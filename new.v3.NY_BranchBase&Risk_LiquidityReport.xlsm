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 defaultThemeVersion="124226"/>
  <bookViews>
    <workbookView xWindow="-15" yWindow="5775" windowWidth="28830" windowHeight="5835" tabRatio="651"/>
  </bookViews>
  <sheets>
    <sheet name="Inputs" sheetId="4" r:id="rId1"/>
    <sheet name="BaseCase Report" sheetId="15" r:id="rId2"/>
    <sheet name="RiskCase Report" sheetId="8" r:id="rId3"/>
    <sheet name="XXXXPLC_NY Query output" sheetId="1" r:id="rId4"/>
    <sheet name="GIC Assumptions" sheetId="9" r:id="rId5"/>
    <sheet name="GIC Deposits" sheetId="5" r:id="rId6"/>
    <sheet name="Lookups" sheetId="3" r:id="rId7"/>
    <sheet name="Formated_Data_Table" sheetId="6" r:id="rId8"/>
  </sheets>
  <functionGroups builtInGroupCount="17"/>
  <externalReferences>
    <externalReference r:id="rId9"/>
  </externalReferences>
  <definedNames>
    <definedName name="_xlnm._FilterDatabase" localSheetId="7" hidden="1">Formated_Data_Table!$A$1:$AQ$1</definedName>
    <definedName name="_xlnm._FilterDatabase" localSheetId="3" hidden="1">'XXXXPLC_NY Query output'!$A$1:$BJ$7268</definedName>
    <definedName name="CADEUR_FX_Rate">Inputs!$D$21</definedName>
    <definedName name="ExternalData_1" localSheetId="7">Formated_Data_Table!$G$1:$AH$970</definedName>
    <definedName name="ExternalData_1" localSheetId="3">'XXXXPLC_NY Query output'!$G$1:$AH$970</definedName>
    <definedName name="ExternalData_10" localSheetId="3">'XXXXPLC_NY Query output'!#REF!</definedName>
    <definedName name="ExternalData_11" localSheetId="3">'XXXXPLC_NY Query output'!#REF!</definedName>
    <definedName name="ExternalData_2" localSheetId="7">Formated_Data_Table!#REF!</definedName>
    <definedName name="ExternalData_4" localSheetId="7">Formated_Data_Table!#REF!</definedName>
    <definedName name="ExternalData_4" localSheetId="3">'XXXXPLC_NY Query output'!#REF!</definedName>
    <definedName name="ExternalData_5" localSheetId="7">Formated_Data_Table!#REF!</definedName>
    <definedName name="ExternalData_5" localSheetId="3">'XXXXPLC_NY Query output'!#REF!</definedName>
    <definedName name="ExternalData_6" localSheetId="7">Formated_Data_Table!#REF!</definedName>
    <definedName name="ExternalData_6" localSheetId="3">'XXXXPLC_NY Query output'!#REF!</definedName>
    <definedName name="ExternalData_7" localSheetId="7">Formated_Data_Table!#REF!</definedName>
    <definedName name="ExternalData_7" localSheetId="3">'XXXXPLC_NY Query output'!#REF!</definedName>
    <definedName name="ExternalData_8" localSheetId="3">'XXXXPLC_NY Query output'!#REF!</definedName>
    <definedName name="ExternalData_9" localSheetId="3">'XXXXPLC_NY Query output'!#REF!</definedName>
    <definedName name="FXRates_1" localSheetId="4">'GIC Assumptions'!#REF!</definedName>
    <definedName name="GIC_Details">'GIC Deposits'!$B$1:$L$76</definedName>
    <definedName name="GICInfoSheet">'GIC Deposits'!$B$1:$L$48</definedName>
    <definedName name="Input_File_Date">Inputs!$D$8</definedName>
    <definedName name="Nostro_Balance__USD">Inputs!$D$14</definedName>
    <definedName name="PivotDataFlows">'XXXXPLC_NY Query output'!$A$1:$AI$970</definedName>
    <definedName name="_xlnm.Print_Area" localSheetId="1">'BaseCase Report'!$B$2:$R$75</definedName>
    <definedName name="_xlnm.Print_Area" localSheetId="2">'RiskCase Report'!$B$2:$R$77</definedName>
    <definedName name="RecDate" localSheetId="1">'BaseCase Report'!#REF!</definedName>
    <definedName name="RecDate" localSheetId="2">'RiskCase Report'!#REF!</definedName>
    <definedName name="Report_date">Inputs!$D$7</definedName>
    <definedName name="ReportCCY" localSheetId="1">'BaseCase Report'!#REF!</definedName>
    <definedName name="ReportCCY" localSheetId="2">'RiskCase Report'!#REF!</definedName>
    <definedName name="ReportCCY">#REF!</definedName>
    <definedName name="RptDate">'[1]User Guide'!$D$6</definedName>
    <definedName name="Total_Nostro_USD">Inputs!$F$17</definedName>
    <definedName name="USDEUR_FX_Rate">Inputs!$D$20</definedName>
  </definedNames>
  <calcPr calcId="145621"/>
  <pivotCaches>
    <pivotCache cacheId="92" r:id="rId10"/>
  </pivotCaches>
</workbook>
</file>

<file path=xl/calcChain.xml><?xml version="1.0" encoding="utf-8"?>
<calcChain xmlns="http://schemas.openxmlformats.org/spreadsheetml/2006/main">
  <c r="E64" i="4" l="1"/>
  <c r="E63" i="4"/>
  <c r="E57" i="4"/>
  <c r="E56" i="4"/>
  <c r="F15" i="4" l="1"/>
  <c r="D8" i="4" l="1"/>
  <c r="F14" i="4" l="1"/>
  <c r="E43" i="8" l="1"/>
  <c r="N12" i="9" l="1"/>
  <c r="N11" i="9"/>
  <c r="I103" i="9"/>
  <c r="I104" i="9"/>
  <c r="I105" i="9"/>
  <c r="I106" i="9"/>
  <c r="I107" i="9"/>
  <c r="N97" i="9"/>
  <c r="N34" i="9"/>
  <c r="N35" i="9"/>
  <c r="N36" i="9"/>
  <c r="N37" i="9"/>
  <c r="N38" i="9"/>
  <c r="N39" i="9"/>
  <c r="N40" i="9"/>
  <c r="N41" i="9"/>
  <c r="N42" i="9"/>
  <c r="N43" i="9"/>
  <c r="N44" i="9"/>
  <c r="N45" i="9"/>
  <c r="N46" i="9"/>
  <c r="N47" i="9"/>
  <c r="N48" i="9"/>
  <c r="N49" i="9"/>
  <c r="N50" i="9"/>
  <c r="N51" i="9"/>
  <c r="N52" i="9"/>
  <c r="N53" i="9"/>
  <c r="N54" i="9"/>
  <c r="N55" i="9"/>
  <c r="N56" i="9"/>
  <c r="N57" i="9"/>
  <c r="N58" i="9"/>
  <c r="N59" i="9"/>
  <c r="N60" i="9"/>
  <c r="N61" i="9"/>
  <c r="N62" i="9"/>
  <c r="N63" i="9"/>
  <c r="N64" i="9"/>
  <c r="N65" i="9"/>
  <c r="N66" i="9"/>
  <c r="N67" i="9"/>
  <c r="N68" i="9"/>
  <c r="N69" i="9"/>
  <c r="N70" i="9"/>
  <c r="N71" i="9"/>
  <c r="N72" i="9"/>
  <c r="N73" i="9"/>
  <c r="N74" i="9"/>
  <c r="N75" i="9"/>
  <c r="N76" i="9"/>
  <c r="N77" i="9"/>
  <c r="N78" i="9"/>
  <c r="N79" i="9"/>
  <c r="N80" i="9"/>
  <c r="N81" i="9"/>
  <c r="N82" i="9"/>
  <c r="N83" i="9"/>
  <c r="N84" i="9"/>
  <c r="N85" i="9"/>
  <c r="N86" i="9"/>
  <c r="N87" i="9"/>
  <c r="N88" i="9"/>
  <c r="N89" i="9"/>
  <c r="N90" i="9"/>
  <c r="N91" i="9"/>
  <c r="N92" i="9"/>
  <c r="N93" i="9"/>
  <c r="N94" i="9"/>
  <c r="N95" i="9"/>
  <c r="N96" i="9"/>
  <c r="N98" i="9"/>
  <c r="N99" i="9"/>
  <c r="N100" i="9"/>
  <c r="N101" i="9"/>
  <c r="N102" i="9"/>
  <c r="N103" i="9"/>
  <c r="N104" i="9"/>
  <c r="N105" i="9"/>
  <c r="N106" i="9"/>
  <c r="N107" i="9"/>
  <c r="N108" i="9"/>
  <c r="N109" i="9"/>
  <c r="N110" i="9"/>
  <c r="N111" i="9"/>
  <c r="N112" i="9"/>
  <c r="N113" i="9"/>
  <c r="N114" i="9"/>
  <c r="N115" i="9"/>
  <c r="N116" i="9"/>
  <c r="N117" i="9"/>
  <c r="N118" i="9"/>
  <c r="N119" i="9"/>
  <c r="N120" i="9"/>
  <c r="N121" i="9"/>
  <c r="N122" i="9"/>
  <c r="N33" i="9"/>
  <c r="D11" i="9"/>
  <c r="D12" i="9" s="1"/>
  <c r="Q64" i="15"/>
  <c r="P64" i="15"/>
  <c r="O64" i="15"/>
  <c r="N64" i="15"/>
  <c r="M64" i="15"/>
  <c r="L64" i="15"/>
  <c r="K64" i="15"/>
  <c r="J64" i="15"/>
  <c r="I64" i="15"/>
  <c r="H64" i="15"/>
  <c r="G64" i="15"/>
  <c r="F64" i="15"/>
  <c r="E64" i="15"/>
  <c r="Q43" i="15"/>
  <c r="P43" i="15"/>
  <c r="O43" i="15"/>
  <c r="N43" i="15"/>
  <c r="M43" i="15"/>
  <c r="L43" i="15"/>
  <c r="K43" i="15"/>
  <c r="J43" i="15"/>
  <c r="I43" i="15"/>
  <c r="H43" i="15"/>
  <c r="G43" i="15"/>
  <c r="F43" i="15"/>
  <c r="E43" i="15"/>
  <c r="Q37" i="15"/>
  <c r="P37" i="15"/>
  <c r="O37" i="15"/>
  <c r="N37" i="15"/>
  <c r="M37" i="15"/>
  <c r="L37" i="15"/>
  <c r="K37" i="15"/>
  <c r="J37" i="15"/>
  <c r="I37" i="15"/>
  <c r="H37" i="15"/>
  <c r="G37" i="15"/>
  <c r="F37" i="15"/>
  <c r="E37" i="15"/>
  <c r="Q36" i="15"/>
  <c r="P36" i="15"/>
  <c r="O36" i="15"/>
  <c r="N36" i="15"/>
  <c r="M36" i="15"/>
  <c r="L36" i="15"/>
  <c r="K36" i="15"/>
  <c r="J36" i="15"/>
  <c r="I36" i="15"/>
  <c r="H36" i="15"/>
  <c r="G36" i="15"/>
  <c r="F36" i="15"/>
  <c r="E36" i="15"/>
  <c r="Q34" i="15"/>
  <c r="P34" i="15"/>
  <c r="O34" i="15"/>
  <c r="N34" i="15"/>
  <c r="M34" i="15"/>
  <c r="L34" i="15"/>
  <c r="K34" i="15"/>
  <c r="J34" i="15"/>
  <c r="I34" i="15"/>
  <c r="H34" i="15"/>
  <c r="G34" i="15"/>
  <c r="F34" i="15"/>
  <c r="E34" i="15"/>
  <c r="Q33" i="15"/>
  <c r="P33" i="15"/>
  <c r="O33" i="15"/>
  <c r="N33" i="15"/>
  <c r="M33" i="15"/>
  <c r="L33" i="15"/>
  <c r="K33" i="15"/>
  <c r="J33" i="15"/>
  <c r="I33" i="15"/>
  <c r="H33" i="15"/>
  <c r="G33" i="15"/>
  <c r="F33" i="15"/>
  <c r="E33" i="15"/>
  <c r="Q32" i="15"/>
  <c r="P32" i="15"/>
  <c r="O32" i="15"/>
  <c r="N32" i="15"/>
  <c r="M32" i="15"/>
  <c r="L32" i="15"/>
  <c r="K32" i="15"/>
  <c r="J32" i="15"/>
  <c r="I32" i="15"/>
  <c r="H32" i="15"/>
  <c r="G32" i="15"/>
  <c r="F32" i="15"/>
  <c r="E32" i="15"/>
  <c r="Q31" i="15"/>
  <c r="P31" i="15"/>
  <c r="O31" i="15"/>
  <c r="N31" i="15"/>
  <c r="M31" i="15"/>
  <c r="L31" i="15"/>
  <c r="K31" i="15"/>
  <c r="J31" i="15"/>
  <c r="I31" i="15"/>
  <c r="H31" i="15"/>
  <c r="G31" i="15"/>
  <c r="F31" i="15"/>
  <c r="E31" i="15"/>
  <c r="Q30" i="15"/>
  <c r="P30" i="15"/>
  <c r="O30" i="15"/>
  <c r="N30" i="15"/>
  <c r="M30" i="15"/>
  <c r="L30" i="15"/>
  <c r="K30" i="15"/>
  <c r="J30" i="15"/>
  <c r="I30" i="15"/>
  <c r="H30" i="15"/>
  <c r="G30" i="15"/>
  <c r="F30" i="15"/>
  <c r="E30" i="15"/>
  <c r="Q29" i="15"/>
  <c r="P29" i="15"/>
  <c r="O29" i="15"/>
  <c r="N29" i="15"/>
  <c r="M29" i="15"/>
  <c r="L29" i="15"/>
  <c r="K29" i="15"/>
  <c r="J29" i="15"/>
  <c r="I29" i="15"/>
  <c r="H29" i="15"/>
  <c r="G29" i="15"/>
  <c r="F29" i="15"/>
  <c r="E29" i="15"/>
  <c r="Q28" i="15"/>
  <c r="P28" i="15"/>
  <c r="O28" i="15"/>
  <c r="N28" i="15"/>
  <c r="M28" i="15"/>
  <c r="L28" i="15"/>
  <c r="K28" i="15"/>
  <c r="J28" i="15"/>
  <c r="I28" i="15"/>
  <c r="H28" i="15"/>
  <c r="G28" i="15"/>
  <c r="F28" i="15"/>
  <c r="E28" i="15"/>
  <c r="Q27" i="15"/>
  <c r="P27" i="15"/>
  <c r="O27" i="15"/>
  <c r="N27" i="15"/>
  <c r="M27" i="15"/>
  <c r="L27" i="15"/>
  <c r="K27" i="15"/>
  <c r="J27" i="15"/>
  <c r="I27" i="15"/>
  <c r="H27" i="15"/>
  <c r="G27" i="15"/>
  <c r="F27" i="15"/>
  <c r="E27" i="15"/>
  <c r="Q26" i="15"/>
  <c r="P26" i="15"/>
  <c r="O26" i="15"/>
  <c r="N26" i="15"/>
  <c r="M26" i="15"/>
  <c r="L26" i="15"/>
  <c r="K26" i="15"/>
  <c r="J26" i="15"/>
  <c r="I26" i="15"/>
  <c r="H26" i="15"/>
  <c r="G26" i="15"/>
  <c r="F26" i="15"/>
  <c r="E26" i="15"/>
  <c r="Q25" i="15"/>
  <c r="P25" i="15"/>
  <c r="O25" i="15"/>
  <c r="N25" i="15"/>
  <c r="M25" i="15"/>
  <c r="L25" i="15"/>
  <c r="K25" i="15"/>
  <c r="J25" i="15"/>
  <c r="I25" i="15"/>
  <c r="H25" i="15"/>
  <c r="G25" i="15"/>
  <c r="F25" i="15"/>
  <c r="E25" i="15"/>
  <c r="Q24" i="15"/>
  <c r="P24" i="15"/>
  <c r="O24" i="15"/>
  <c r="N24" i="15"/>
  <c r="M24" i="15"/>
  <c r="L24" i="15"/>
  <c r="K24" i="15"/>
  <c r="J24" i="15"/>
  <c r="I24" i="15"/>
  <c r="H24" i="15"/>
  <c r="G24" i="15"/>
  <c r="F24" i="15"/>
  <c r="E24" i="15"/>
  <c r="Q23" i="15"/>
  <c r="P23" i="15"/>
  <c r="O23" i="15"/>
  <c r="N23" i="15"/>
  <c r="M23" i="15"/>
  <c r="L23" i="15"/>
  <c r="K23" i="15"/>
  <c r="J23" i="15"/>
  <c r="I23" i="15"/>
  <c r="H23" i="15"/>
  <c r="G23" i="15"/>
  <c r="F23" i="15"/>
  <c r="E23" i="15"/>
  <c r="Q22" i="15"/>
  <c r="P22" i="15"/>
  <c r="O22" i="15"/>
  <c r="N22" i="15"/>
  <c r="M22" i="15"/>
  <c r="L22" i="15"/>
  <c r="K22" i="15"/>
  <c r="J22" i="15"/>
  <c r="I22" i="15"/>
  <c r="H22" i="15"/>
  <c r="G22" i="15"/>
  <c r="F22" i="15"/>
  <c r="E22" i="15"/>
  <c r="Q21" i="15"/>
  <c r="P21" i="15"/>
  <c r="O21" i="15"/>
  <c r="N21" i="15"/>
  <c r="M21" i="15"/>
  <c r="L21" i="15"/>
  <c r="K21" i="15"/>
  <c r="J21" i="15"/>
  <c r="I21" i="15"/>
  <c r="H21" i="15"/>
  <c r="G21" i="15"/>
  <c r="F21" i="15"/>
  <c r="E21" i="15"/>
  <c r="Q20" i="15"/>
  <c r="P20" i="15"/>
  <c r="O20" i="15"/>
  <c r="N20" i="15"/>
  <c r="M20" i="15"/>
  <c r="L20" i="15"/>
  <c r="K20" i="15"/>
  <c r="J20" i="15"/>
  <c r="I20" i="15"/>
  <c r="H20" i="15"/>
  <c r="G20" i="15"/>
  <c r="F20" i="15"/>
  <c r="E20" i="15"/>
  <c r="Q19" i="15"/>
  <c r="P19" i="15"/>
  <c r="O19" i="15"/>
  <c r="N19" i="15"/>
  <c r="M19" i="15"/>
  <c r="L19" i="15"/>
  <c r="K19" i="15"/>
  <c r="J19" i="15"/>
  <c r="I19" i="15"/>
  <c r="H19" i="15"/>
  <c r="G19" i="15"/>
  <c r="F19" i="15"/>
  <c r="E19" i="15"/>
  <c r="Q18" i="15"/>
  <c r="P18" i="15"/>
  <c r="O18" i="15"/>
  <c r="N18" i="15"/>
  <c r="M18" i="15"/>
  <c r="L18" i="15"/>
  <c r="K18" i="15"/>
  <c r="J18" i="15"/>
  <c r="I18" i="15"/>
  <c r="H18" i="15"/>
  <c r="G18" i="15"/>
  <c r="F18" i="15"/>
  <c r="E18" i="15"/>
  <c r="Q17" i="15"/>
  <c r="P17" i="15"/>
  <c r="O17" i="15"/>
  <c r="N17" i="15"/>
  <c r="M17" i="15"/>
  <c r="L17" i="15"/>
  <c r="K17" i="15"/>
  <c r="J17" i="15"/>
  <c r="I17" i="15"/>
  <c r="H17" i="15"/>
  <c r="G17" i="15"/>
  <c r="F17" i="15"/>
  <c r="E17" i="15"/>
  <c r="Q16" i="15"/>
  <c r="P16" i="15"/>
  <c r="O16" i="15"/>
  <c r="N16" i="15"/>
  <c r="M16" i="15"/>
  <c r="L16" i="15"/>
  <c r="K16" i="15"/>
  <c r="J16" i="15"/>
  <c r="I16" i="15"/>
  <c r="H16" i="15"/>
  <c r="G16" i="15"/>
  <c r="F16" i="15"/>
  <c r="E16" i="15"/>
  <c r="Q15" i="15"/>
  <c r="P15" i="15"/>
  <c r="O15" i="15"/>
  <c r="N15" i="15"/>
  <c r="M15" i="15"/>
  <c r="L15" i="15"/>
  <c r="K15" i="15"/>
  <c r="J15" i="15"/>
  <c r="I15" i="15"/>
  <c r="H15" i="15"/>
  <c r="G15" i="15"/>
  <c r="F15" i="15"/>
  <c r="E15" i="15"/>
  <c r="Q14" i="15"/>
  <c r="P14" i="15"/>
  <c r="O14" i="15"/>
  <c r="N14" i="15"/>
  <c r="M14" i="15"/>
  <c r="L14" i="15"/>
  <c r="K14" i="15"/>
  <c r="J14" i="15"/>
  <c r="I14" i="15"/>
  <c r="H14" i="15"/>
  <c r="G14" i="15"/>
  <c r="F14" i="15"/>
  <c r="E14" i="15"/>
  <c r="Q13" i="15"/>
  <c r="P13" i="15"/>
  <c r="O13" i="15"/>
  <c r="N13" i="15"/>
  <c r="M13" i="15"/>
  <c r="L13" i="15"/>
  <c r="K13" i="15"/>
  <c r="J13" i="15"/>
  <c r="I13" i="15"/>
  <c r="H13" i="15"/>
  <c r="G13" i="15"/>
  <c r="F13" i="15"/>
  <c r="E13" i="15"/>
  <c r="Q12" i="15"/>
  <c r="P12" i="15"/>
  <c r="O12" i="15"/>
  <c r="N12" i="15"/>
  <c r="M12" i="15"/>
  <c r="L12" i="15"/>
  <c r="K12" i="15"/>
  <c r="J12" i="15"/>
  <c r="I12" i="15"/>
  <c r="H12" i="15"/>
  <c r="G12" i="15"/>
  <c r="F12" i="15"/>
  <c r="E12" i="15"/>
  <c r="Q11" i="15"/>
  <c r="P11" i="15"/>
  <c r="O11" i="15"/>
  <c r="N11" i="15"/>
  <c r="M11" i="15"/>
  <c r="L11" i="15"/>
  <c r="K11" i="15"/>
  <c r="J11" i="15"/>
  <c r="I11" i="15"/>
  <c r="H11" i="15"/>
  <c r="G11" i="15"/>
  <c r="F11" i="15"/>
  <c r="E11" i="15"/>
  <c r="Q10" i="15"/>
  <c r="P10" i="15"/>
  <c r="O10" i="15"/>
  <c r="N10" i="15"/>
  <c r="M10" i="15"/>
  <c r="L10" i="15"/>
  <c r="K10" i="15"/>
  <c r="J10" i="15"/>
  <c r="I10" i="15"/>
  <c r="H10" i="15"/>
  <c r="G10" i="15"/>
  <c r="F10" i="15"/>
  <c r="E10" i="15"/>
  <c r="C4" i="15"/>
  <c r="N36" i="8"/>
  <c r="Q43" i="8"/>
  <c r="P43" i="8"/>
  <c r="O43" i="8"/>
  <c r="N43" i="8"/>
  <c r="M43" i="8"/>
  <c r="L43" i="8"/>
  <c r="K43" i="8"/>
  <c r="J43" i="8"/>
  <c r="I43" i="8"/>
  <c r="H43" i="8"/>
  <c r="G43" i="8"/>
  <c r="F43" i="8"/>
  <c r="E36" i="8"/>
  <c r="E3" i="3"/>
  <c r="A3" i="3"/>
  <c r="C3" i="3" s="1"/>
  <c r="H36" i="8"/>
  <c r="G36" i="8"/>
  <c r="F36" i="8"/>
  <c r="Q36" i="8"/>
  <c r="P36" i="8"/>
  <c r="O36" i="8"/>
  <c r="M36" i="8"/>
  <c r="L36" i="8"/>
  <c r="K36" i="8"/>
  <c r="J36" i="8"/>
  <c r="I36" i="8"/>
  <c r="G15" i="9" l="1"/>
  <c r="G17" i="9"/>
  <c r="G16" i="9"/>
  <c r="G14" i="9"/>
  <c r="G39" i="15"/>
  <c r="I39" i="15"/>
  <c r="K39" i="15"/>
  <c r="M39" i="15"/>
  <c r="O39" i="15"/>
  <c r="Q39" i="15"/>
  <c r="F39" i="15"/>
  <c r="H39" i="15"/>
  <c r="J39" i="15"/>
  <c r="L39" i="15"/>
  <c r="N39" i="15"/>
  <c r="P39" i="15"/>
  <c r="D13" i="9"/>
  <c r="B13" i="9"/>
  <c r="D3" i="3"/>
  <c r="E2" i="15"/>
  <c r="E1" i="15" s="1"/>
  <c r="N27" i="9"/>
  <c r="N28" i="9" s="1"/>
  <c r="T27" i="9"/>
  <c r="T28" i="9" s="1"/>
  <c r="N17" i="9"/>
  <c r="N18" i="9"/>
  <c r="U27" i="9"/>
  <c r="U28" i="9" s="1"/>
  <c r="S27" i="9"/>
  <c r="S28" i="9" s="1"/>
  <c r="R27" i="9"/>
  <c r="R28" i="9" s="1"/>
  <c r="Q27" i="9"/>
  <c r="Q28" i="9" s="1"/>
  <c r="P27" i="9"/>
  <c r="P28" i="9" s="1"/>
  <c r="O27" i="9"/>
  <c r="O28" i="9" s="1"/>
  <c r="P41" i="9" l="1"/>
  <c r="P40" i="9"/>
  <c r="P42" i="9"/>
  <c r="P65" i="9"/>
  <c r="P67" i="9"/>
  <c r="P66" i="9"/>
  <c r="P69" i="9"/>
  <c r="P71" i="9"/>
  <c r="P73" i="9"/>
  <c r="P75" i="9"/>
  <c r="P77" i="9"/>
  <c r="P64" i="9"/>
  <c r="P68" i="9"/>
  <c r="P70" i="9"/>
  <c r="P72" i="9"/>
  <c r="P74" i="9"/>
  <c r="P76" i="9"/>
  <c r="P63" i="9"/>
  <c r="P109" i="9"/>
  <c r="P111" i="9"/>
  <c r="P113" i="9"/>
  <c r="P115" i="9"/>
  <c r="P117" i="9"/>
  <c r="P119" i="9"/>
  <c r="P121" i="9"/>
  <c r="P108" i="9"/>
  <c r="P110" i="9"/>
  <c r="P112" i="9"/>
  <c r="P114" i="9"/>
  <c r="P116" i="9"/>
  <c r="P118" i="9"/>
  <c r="P120" i="9"/>
  <c r="P122" i="9"/>
  <c r="P35" i="9"/>
  <c r="P34" i="9"/>
  <c r="E13" i="9" s="1"/>
  <c r="H13" i="9" s="1"/>
  <c r="I14" i="9" s="1"/>
  <c r="P33" i="9"/>
  <c r="E12" i="9" s="1"/>
  <c r="D14" i="9"/>
  <c r="P38" i="9"/>
  <c r="P36" i="9"/>
  <c r="P37" i="9"/>
  <c r="P39" i="9"/>
  <c r="P44" i="9"/>
  <c r="P46" i="9"/>
  <c r="P48" i="9"/>
  <c r="P50" i="9"/>
  <c r="P52" i="9"/>
  <c r="P54" i="9"/>
  <c r="P56" i="9"/>
  <c r="P58" i="9"/>
  <c r="P60" i="9"/>
  <c r="P62" i="9"/>
  <c r="P45" i="9"/>
  <c r="P47" i="9"/>
  <c r="P49" i="9"/>
  <c r="P51" i="9"/>
  <c r="P53" i="9"/>
  <c r="P55" i="9"/>
  <c r="P57" i="9"/>
  <c r="P59" i="9"/>
  <c r="P61" i="9"/>
  <c r="P43" i="9"/>
  <c r="P79" i="9"/>
  <c r="P81" i="9"/>
  <c r="P83" i="9"/>
  <c r="P85" i="9"/>
  <c r="P87" i="9"/>
  <c r="P89" i="9"/>
  <c r="P91" i="9"/>
  <c r="P80" i="9"/>
  <c r="P82" i="9"/>
  <c r="P84" i="9"/>
  <c r="P86" i="9"/>
  <c r="P88" i="9"/>
  <c r="P90" i="9"/>
  <c r="P92" i="9"/>
  <c r="P78" i="9"/>
  <c r="P95" i="9"/>
  <c r="P97" i="9"/>
  <c r="P99" i="9"/>
  <c r="P101" i="9"/>
  <c r="P103" i="9"/>
  <c r="P105" i="9"/>
  <c r="P107" i="9"/>
  <c r="P94" i="9"/>
  <c r="P96" i="9"/>
  <c r="P98" i="9"/>
  <c r="P100" i="9"/>
  <c r="P102" i="9"/>
  <c r="P104" i="9"/>
  <c r="P106" i="9"/>
  <c r="P93" i="9"/>
  <c r="V27" i="9"/>
  <c r="N13" i="9"/>
  <c r="H12" i="9" l="1"/>
  <c r="D15" i="9"/>
  <c r="E14" i="9"/>
  <c r="H14" i="9" s="1"/>
  <c r="B14" i="9"/>
  <c r="I15" i="9" l="1"/>
  <c r="I13" i="9"/>
  <c r="D16" i="9"/>
  <c r="E15" i="9"/>
  <c r="B15" i="9"/>
  <c r="H15" i="9" l="1"/>
  <c r="D17" i="9"/>
  <c r="E16" i="9"/>
  <c r="H16" i="9" s="1"/>
  <c r="B16" i="9"/>
  <c r="I17" i="9" l="1"/>
  <c r="I16" i="9"/>
  <c r="D18" i="9"/>
  <c r="E17" i="9"/>
  <c r="H17" i="9" s="1"/>
  <c r="B17" i="9"/>
  <c r="I18" i="9" l="1"/>
  <c r="D19" i="9"/>
  <c r="E18" i="9"/>
  <c r="H18" i="9" s="1"/>
  <c r="B18" i="9"/>
  <c r="I19" i="9" l="1"/>
  <c r="D20" i="9"/>
  <c r="E19" i="9"/>
  <c r="H19" i="9" s="1"/>
  <c r="B19" i="9"/>
  <c r="I20" i="9" l="1"/>
  <c r="D21" i="9"/>
  <c r="E20" i="9"/>
  <c r="H20" i="9" s="1"/>
  <c r="B20" i="9"/>
  <c r="I21" i="9" l="1"/>
  <c r="D22" i="9"/>
  <c r="E21" i="9"/>
  <c r="H21" i="9" s="1"/>
  <c r="B21" i="9"/>
  <c r="I22" i="9" l="1"/>
  <c r="D23" i="9"/>
  <c r="E22" i="9"/>
  <c r="H22" i="9" s="1"/>
  <c r="B22" i="9"/>
  <c r="I23" i="9" l="1"/>
  <c r="D24" i="9"/>
  <c r="E23" i="9"/>
  <c r="H23" i="9" s="1"/>
  <c r="B23" i="9"/>
  <c r="I24" i="9" l="1"/>
  <c r="D25" i="9"/>
  <c r="E24" i="9"/>
  <c r="H24" i="9" s="1"/>
  <c r="B24" i="9"/>
  <c r="I25" i="9" l="1"/>
  <c r="D26" i="9"/>
  <c r="E25" i="9"/>
  <c r="H25" i="9" s="1"/>
  <c r="B25" i="9"/>
  <c r="I26" i="9" l="1"/>
  <c r="D27" i="9"/>
  <c r="E26" i="9"/>
  <c r="H26" i="9" s="1"/>
  <c r="B26" i="9"/>
  <c r="I27" i="9" l="1"/>
  <c r="D28" i="9"/>
  <c r="E27" i="9"/>
  <c r="H27" i="9" s="1"/>
  <c r="B27" i="9"/>
  <c r="I28" i="9" l="1"/>
  <c r="D29" i="9"/>
  <c r="E28" i="9"/>
  <c r="H28" i="9" s="1"/>
  <c r="B28" i="9"/>
  <c r="I29" i="9" l="1"/>
  <c r="D30" i="9"/>
  <c r="E29" i="9"/>
  <c r="H29" i="9" s="1"/>
  <c r="B29" i="9"/>
  <c r="I30" i="9" l="1"/>
  <c r="D31" i="9"/>
  <c r="E30" i="9"/>
  <c r="H30" i="9" s="1"/>
  <c r="B30" i="9"/>
  <c r="I31" i="9" l="1"/>
  <c r="D32" i="9"/>
  <c r="E31" i="9"/>
  <c r="H31" i="9" s="1"/>
  <c r="B31" i="9"/>
  <c r="I32" i="9" l="1"/>
  <c r="D33" i="9"/>
  <c r="E32" i="9"/>
  <c r="H32" i="9" s="1"/>
  <c r="B32" i="9"/>
  <c r="I33" i="9" l="1"/>
  <c r="D34" i="9"/>
  <c r="E33" i="9"/>
  <c r="H33" i="9" s="1"/>
  <c r="B33" i="9"/>
  <c r="I34" i="9" l="1"/>
  <c r="D35" i="9"/>
  <c r="E34" i="9"/>
  <c r="H34" i="9" s="1"/>
  <c r="B34" i="9"/>
  <c r="I35" i="9" l="1"/>
  <c r="D36" i="9"/>
  <c r="E35" i="9"/>
  <c r="H35" i="9" s="1"/>
  <c r="B35" i="9"/>
  <c r="I36" i="9" l="1"/>
  <c r="D37" i="9"/>
  <c r="E36" i="9"/>
  <c r="H36" i="9" s="1"/>
  <c r="B36" i="9"/>
  <c r="I37" i="9" l="1"/>
  <c r="D38" i="9"/>
  <c r="E37" i="9"/>
  <c r="H37" i="9" s="1"/>
  <c r="B37" i="9"/>
  <c r="I38" i="9" l="1"/>
  <c r="D39" i="9"/>
  <c r="E38" i="9"/>
  <c r="H38" i="9" s="1"/>
  <c r="B38" i="9"/>
  <c r="I39" i="9" l="1"/>
  <c r="D40" i="9"/>
  <c r="E39" i="9"/>
  <c r="H39" i="9" s="1"/>
  <c r="B39" i="9"/>
  <c r="I40" i="9" l="1"/>
  <c r="D41" i="9"/>
  <c r="E40" i="9"/>
  <c r="H40" i="9" s="1"/>
  <c r="B40" i="9"/>
  <c r="I41" i="9" l="1"/>
  <c r="D42" i="9"/>
  <c r="E41" i="9"/>
  <c r="H41" i="9" s="1"/>
  <c r="B41" i="9"/>
  <c r="I42" i="9" l="1"/>
  <c r="D43" i="9"/>
  <c r="E42" i="9"/>
  <c r="H42" i="9" s="1"/>
  <c r="B42" i="9"/>
  <c r="I43" i="9" l="1"/>
  <c r="D44" i="9"/>
  <c r="E43" i="9"/>
  <c r="H43" i="9" s="1"/>
  <c r="B43" i="9"/>
  <c r="I44" i="9" l="1"/>
  <c r="D45" i="9"/>
  <c r="E44" i="9"/>
  <c r="H44" i="9" s="1"/>
  <c r="B44" i="9"/>
  <c r="I45" i="9" l="1"/>
  <c r="D46" i="9"/>
  <c r="E45" i="9"/>
  <c r="H45" i="9" s="1"/>
  <c r="B45" i="9"/>
  <c r="I46" i="9" l="1"/>
  <c r="D47" i="9"/>
  <c r="E46" i="9"/>
  <c r="H46" i="9" s="1"/>
  <c r="B46" i="9"/>
  <c r="I47" i="9" l="1"/>
  <c r="D48" i="9"/>
  <c r="E47" i="9"/>
  <c r="H47" i="9" s="1"/>
  <c r="B47" i="9"/>
  <c r="I48" i="9" l="1"/>
  <c r="D49" i="9"/>
  <c r="E48" i="9"/>
  <c r="H48" i="9" s="1"/>
  <c r="B48" i="9"/>
  <c r="I49" i="9" l="1"/>
  <c r="D50" i="9"/>
  <c r="E49" i="9"/>
  <c r="H49" i="9" s="1"/>
  <c r="B49" i="9"/>
  <c r="I50" i="9" l="1"/>
  <c r="D51" i="9"/>
  <c r="E50" i="9"/>
  <c r="H50" i="9" s="1"/>
  <c r="B50" i="9"/>
  <c r="I51" i="9" l="1"/>
  <c r="D52" i="9"/>
  <c r="E51" i="9"/>
  <c r="H51" i="9" s="1"/>
  <c r="B51" i="9"/>
  <c r="I52" i="9" l="1"/>
  <c r="D53" i="9"/>
  <c r="E52" i="9"/>
  <c r="H52" i="9" s="1"/>
  <c r="B52" i="9"/>
  <c r="I53" i="9" l="1"/>
  <c r="D54" i="9"/>
  <c r="E53" i="9"/>
  <c r="H53" i="9" s="1"/>
  <c r="B53" i="9"/>
  <c r="I54" i="9" l="1"/>
  <c r="D55" i="9"/>
  <c r="E54" i="9"/>
  <c r="H54" i="9" s="1"/>
  <c r="B54" i="9"/>
  <c r="I55" i="9" l="1"/>
  <c r="D56" i="9"/>
  <c r="E55" i="9"/>
  <c r="H55" i="9" s="1"/>
  <c r="B55" i="9"/>
  <c r="I56" i="9" l="1"/>
  <c r="D57" i="9"/>
  <c r="E56" i="9"/>
  <c r="H56" i="9" s="1"/>
  <c r="B56" i="9"/>
  <c r="I57" i="9" l="1"/>
  <c r="D58" i="9"/>
  <c r="E57" i="9"/>
  <c r="H57" i="9" s="1"/>
  <c r="B57" i="9"/>
  <c r="I58" i="9" l="1"/>
  <c r="D59" i="9"/>
  <c r="E58" i="9"/>
  <c r="H58" i="9" s="1"/>
  <c r="B58" i="9"/>
  <c r="I59" i="9" l="1"/>
  <c r="D60" i="9"/>
  <c r="E59" i="9"/>
  <c r="H59" i="9" s="1"/>
  <c r="B59" i="9"/>
  <c r="I60" i="9" l="1"/>
  <c r="D61" i="9"/>
  <c r="E60" i="9"/>
  <c r="H60" i="9" s="1"/>
  <c r="B60" i="9"/>
  <c r="I61" i="9" l="1"/>
  <c r="D62" i="9"/>
  <c r="E61" i="9"/>
  <c r="H61" i="9" s="1"/>
  <c r="B61" i="9"/>
  <c r="I62" i="9" l="1"/>
  <c r="D63" i="9"/>
  <c r="E62" i="9"/>
  <c r="H62" i="9" s="1"/>
  <c r="B62" i="9"/>
  <c r="I63" i="9" l="1"/>
  <c r="D64" i="9"/>
  <c r="E63" i="9"/>
  <c r="H63" i="9" s="1"/>
  <c r="B63" i="9"/>
  <c r="I64" i="9" l="1"/>
  <c r="D65" i="9"/>
  <c r="E64" i="9"/>
  <c r="H64" i="9" s="1"/>
  <c r="B64" i="9"/>
  <c r="I65" i="9" l="1"/>
  <c r="D66" i="9"/>
  <c r="E65" i="9"/>
  <c r="H65" i="9" s="1"/>
  <c r="B65" i="9"/>
  <c r="I66" i="9" l="1"/>
  <c r="D67" i="9"/>
  <c r="E66" i="9"/>
  <c r="H66" i="9" s="1"/>
  <c r="B66" i="9"/>
  <c r="I67" i="9" l="1"/>
  <c r="D68" i="9"/>
  <c r="E67" i="9"/>
  <c r="H67" i="9" s="1"/>
  <c r="B67" i="9"/>
  <c r="I68" i="9" l="1"/>
  <c r="D69" i="9"/>
  <c r="E68" i="9"/>
  <c r="H68" i="9" s="1"/>
  <c r="B68" i="9"/>
  <c r="I69" i="9" l="1"/>
  <c r="D70" i="9"/>
  <c r="E69" i="9"/>
  <c r="H69" i="9" s="1"/>
  <c r="B69" i="9"/>
  <c r="I70" i="9" l="1"/>
  <c r="D71" i="9"/>
  <c r="E70" i="9"/>
  <c r="H70" i="9" s="1"/>
  <c r="B70" i="9"/>
  <c r="I71" i="9" l="1"/>
  <c r="D72" i="9"/>
  <c r="E71" i="9"/>
  <c r="H71" i="9" s="1"/>
  <c r="B71" i="9"/>
  <c r="I72" i="9" l="1"/>
  <c r="D73" i="9"/>
  <c r="E72" i="9"/>
  <c r="H72" i="9" s="1"/>
  <c r="B72" i="9"/>
  <c r="I73" i="9" l="1"/>
  <c r="D74" i="9"/>
  <c r="E73" i="9"/>
  <c r="H73" i="9" s="1"/>
  <c r="B73" i="9"/>
  <c r="I74" i="9" l="1"/>
  <c r="D75" i="9"/>
  <c r="E74" i="9"/>
  <c r="H74" i="9" s="1"/>
  <c r="B74" i="9"/>
  <c r="I75" i="9" l="1"/>
  <c r="B76" i="9"/>
  <c r="E75" i="9"/>
  <c r="H75" i="9" s="1"/>
  <c r="I76" i="9" s="1"/>
  <c r="D76" i="9"/>
  <c r="B75" i="9"/>
  <c r="E76" i="9" l="1"/>
  <c r="H76" i="9" s="1"/>
  <c r="I77" i="9" s="1"/>
  <c r="D77" i="9"/>
  <c r="B77" i="9"/>
  <c r="D78" i="9" l="1"/>
  <c r="E77" i="9"/>
  <c r="H77" i="9" s="1"/>
  <c r="I78" i="9" s="1"/>
  <c r="Q66" i="8"/>
  <c r="P66" i="8"/>
  <c r="O66" i="8"/>
  <c r="N66" i="8"/>
  <c r="M66" i="8"/>
  <c r="L66" i="8"/>
  <c r="K66" i="8"/>
  <c r="J66" i="8"/>
  <c r="I66" i="8"/>
  <c r="H66" i="8"/>
  <c r="G66" i="8"/>
  <c r="F66" i="8"/>
  <c r="E66" i="8"/>
  <c r="Q37" i="8"/>
  <c r="P37" i="8"/>
  <c r="O37" i="8"/>
  <c r="N37" i="8"/>
  <c r="M37" i="8"/>
  <c r="L37" i="8"/>
  <c r="K37" i="8"/>
  <c r="J37" i="8"/>
  <c r="I37" i="8"/>
  <c r="H37" i="8"/>
  <c r="G37" i="8"/>
  <c r="F37" i="8"/>
  <c r="E37" i="8"/>
  <c r="Q34" i="8"/>
  <c r="P34" i="8"/>
  <c r="O34" i="8"/>
  <c r="N34" i="8"/>
  <c r="M34" i="8"/>
  <c r="L34" i="8"/>
  <c r="K34" i="8"/>
  <c r="J34" i="8"/>
  <c r="I34" i="8"/>
  <c r="H34" i="8"/>
  <c r="G34" i="8"/>
  <c r="F34" i="8"/>
  <c r="E34" i="8"/>
  <c r="Q33" i="8"/>
  <c r="P33" i="8"/>
  <c r="O33" i="8"/>
  <c r="N33" i="8"/>
  <c r="M33" i="8"/>
  <c r="L33" i="8"/>
  <c r="K33" i="8"/>
  <c r="J33" i="8"/>
  <c r="I33" i="8"/>
  <c r="H33" i="8"/>
  <c r="G33" i="8"/>
  <c r="F33" i="8"/>
  <c r="E33" i="8"/>
  <c r="Q32" i="8"/>
  <c r="P32" i="8"/>
  <c r="O32" i="8"/>
  <c r="N32" i="8"/>
  <c r="M32" i="8"/>
  <c r="L32" i="8"/>
  <c r="K32" i="8"/>
  <c r="J32" i="8"/>
  <c r="I32" i="8"/>
  <c r="H32" i="8"/>
  <c r="G32" i="8"/>
  <c r="F32" i="8"/>
  <c r="E32" i="8"/>
  <c r="Q31" i="8"/>
  <c r="P31" i="8"/>
  <c r="O31" i="8"/>
  <c r="N31" i="8"/>
  <c r="M31" i="8"/>
  <c r="L31" i="8"/>
  <c r="K31" i="8"/>
  <c r="J31" i="8"/>
  <c r="I31" i="8"/>
  <c r="H31" i="8"/>
  <c r="G31" i="8"/>
  <c r="F31" i="8"/>
  <c r="E31" i="8"/>
  <c r="Q30" i="8"/>
  <c r="P30" i="8"/>
  <c r="O30" i="8"/>
  <c r="N30" i="8"/>
  <c r="M30" i="8"/>
  <c r="L30" i="8"/>
  <c r="K30" i="8"/>
  <c r="J30" i="8"/>
  <c r="I30" i="8"/>
  <c r="H30" i="8"/>
  <c r="G30" i="8"/>
  <c r="F30" i="8"/>
  <c r="E30" i="8"/>
  <c r="Q29" i="8"/>
  <c r="P29" i="8"/>
  <c r="O29" i="8"/>
  <c r="N29" i="8"/>
  <c r="M29" i="8"/>
  <c r="L29" i="8"/>
  <c r="K29" i="8"/>
  <c r="J29" i="8"/>
  <c r="I29" i="8"/>
  <c r="H29" i="8"/>
  <c r="G29" i="8"/>
  <c r="F29" i="8"/>
  <c r="E29" i="8"/>
  <c r="Q28" i="8"/>
  <c r="P28" i="8"/>
  <c r="O28" i="8"/>
  <c r="N28" i="8"/>
  <c r="M28" i="8"/>
  <c r="L28" i="8"/>
  <c r="K28" i="8"/>
  <c r="J28" i="8"/>
  <c r="I28" i="8"/>
  <c r="H28" i="8"/>
  <c r="G28" i="8"/>
  <c r="F28" i="8"/>
  <c r="E28" i="8"/>
  <c r="Q27" i="8"/>
  <c r="P27" i="8"/>
  <c r="O27" i="8"/>
  <c r="N27" i="8"/>
  <c r="M27" i="8"/>
  <c r="L27" i="8"/>
  <c r="K27" i="8"/>
  <c r="J27" i="8"/>
  <c r="I27" i="8"/>
  <c r="H27" i="8"/>
  <c r="G27" i="8"/>
  <c r="F27" i="8"/>
  <c r="E27" i="8"/>
  <c r="Q26" i="8"/>
  <c r="P26" i="8"/>
  <c r="O26" i="8"/>
  <c r="N26" i="8"/>
  <c r="M26" i="8"/>
  <c r="L26" i="8"/>
  <c r="K26" i="8"/>
  <c r="J26" i="8"/>
  <c r="I26" i="8"/>
  <c r="H26" i="8"/>
  <c r="G26" i="8"/>
  <c r="F26" i="8"/>
  <c r="E26" i="8"/>
  <c r="Q25" i="8"/>
  <c r="P25" i="8"/>
  <c r="O25" i="8"/>
  <c r="N25" i="8"/>
  <c r="M25" i="8"/>
  <c r="L25" i="8"/>
  <c r="K25" i="8"/>
  <c r="J25" i="8"/>
  <c r="I25" i="8"/>
  <c r="H25" i="8"/>
  <c r="G25" i="8"/>
  <c r="F25" i="8"/>
  <c r="E25" i="8"/>
  <c r="Q24" i="8"/>
  <c r="P24" i="8"/>
  <c r="O24" i="8"/>
  <c r="N24" i="8"/>
  <c r="M24" i="8"/>
  <c r="L24" i="8"/>
  <c r="K24" i="8"/>
  <c r="J24" i="8"/>
  <c r="I24" i="8"/>
  <c r="H24" i="8"/>
  <c r="G24" i="8"/>
  <c r="F24" i="8"/>
  <c r="E24" i="8"/>
  <c r="Q23" i="8"/>
  <c r="P23" i="8"/>
  <c r="O23" i="8"/>
  <c r="N23" i="8"/>
  <c r="M23" i="8"/>
  <c r="L23" i="8"/>
  <c r="K23" i="8"/>
  <c r="J23" i="8"/>
  <c r="I23" i="8"/>
  <c r="H23" i="8"/>
  <c r="G23" i="8"/>
  <c r="F23" i="8"/>
  <c r="E23" i="8"/>
  <c r="Q22" i="8"/>
  <c r="P22" i="8"/>
  <c r="O22" i="8"/>
  <c r="N22" i="8"/>
  <c r="M22" i="8"/>
  <c r="L22" i="8"/>
  <c r="K22" i="8"/>
  <c r="J22" i="8"/>
  <c r="I22" i="8"/>
  <c r="H22" i="8"/>
  <c r="G22" i="8"/>
  <c r="F22" i="8"/>
  <c r="E22" i="8"/>
  <c r="Q21" i="8"/>
  <c r="P21" i="8"/>
  <c r="O21" i="8"/>
  <c r="N21" i="8"/>
  <c r="M21" i="8"/>
  <c r="L21" i="8"/>
  <c r="K21" i="8"/>
  <c r="J21" i="8"/>
  <c r="I21" i="8"/>
  <c r="H21" i="8"/>
  <c r="G21" i="8"/>
  <c r="F21" i="8"/>
  <c r="E21" i="8"/>
  <c r="Q20" i="8"/>
  <c r="P20" i="8"/>
  <c r="O20" i="8"/>
  <c r="N20" i="8"/>
  <c r="M20" i="8"/>
  <c r="L20" i="8"/>
  <c r="K20" i="8"/>
  <c r="J20" i="8"/>
  <c r="I20" i="8"/>
  <c r="H20" i="8"/>
  <c r="G20" i="8"/>
  <c r="F20" i="8"/>
  <c r="E20" i="8"/>
  <c r="Q19" i="8"/>
  <c r="P19" i="8"/>
  <c r="O19" i="8"/>
  <c r="N19" i="8"/>
  <c r="M19" i="8"/>
  <c r="L19" i="8"/>
  <c r="K19" i="8"/>
  <c r="J19" i="8"/>
  <c r="I19" i="8"/>
  <c r="H19" i="8"/>
  <c r="G19" i="8"/>
  <c r="F19" i="8"/>
  <c r="E19" i="8"/>
  <c r="Q18" i="8"/>
  <c r="P18" i="8"/>
  <c r="O18" i="8"/>
  <c r="N18" i="8"/>
  <c r="M18" i="8"/>
  <c r="L18" i="8"/>
  <c r="K18" i="8"/>
  <c r="J18" i="8"/>
  <c r="I18" i="8"/>
  <c r="H18" i="8"/>
  <c r="G18" i="8"/>
  <c r="F18" i="8"/>
  <c r="E18" i="8"/>
  <c r="Q17" i="8"/>
  <c r="P17" i="8"/>
  <c r="O17" i="8"/>
  <c r="N17" i="8"/>
  <c r="M17" i="8"/>
  <c r="L17" i="8"/>
  <c r="K17" i="8"/>
  <c r="J17" i="8"/>
  <c r="I17" i="8"/>
  <c r="H17" i="8"/>
  <c r="G17" i="8"/>
  <c r="F17" i="8"/>
  <c r="E17" i="8"/>
  <c r="Q16" i="8"/>
  <c r="P16" i="8"/>
  <c r="O16" i="8"/>
  <c r="N16" i="8"/>
  <c r="M16" i="8"/>
  <c r="L16" i="8"/>
  <c r="K16" i="8"/>
  <c r="J16" i="8"/>
  <c r="I16" i="8"/>
  <c r="H16" i="8"/>
  <c r="G16" i="8"/>
  <c r="F16" i="8"/>
  <c r="E16" i="8"/>
  <c r="Q15" i="8"/>
  <c r="P15" i="8"/>
  <c r="O15" i="8"/>
  <c r="N15" i="8"/>
  <c r="M15" i="8"/>
  <c r="L15" i="8"/>
  <c r="K15" i="8"/>
  <c r="J15" i="8"/>
  <c r="I15" i="8"/>
  <c r="H15" i="8"/>
  <c r="G15" i="8"/>
  <c r="F15" i="8"/>
  <c r="E15" i="8"/>
  <c r="Q14" i="8"/>
  <c r="P14" i="8"/>
  <c r="O14" i="8"/>
  <c r="N14" i="8"/>
  <c r="M14" i="8"/>
  <c r="L14" i="8"/>
  <c r="K14" i="8"/>
  <c r="J14" i="8"/>
  <c r="I14" i="8"/>
  <c r="H14" i="8"/>
  <c r="G14" i="8"/>
  <c r="F14" i="8"/>
  <c r="E14" i="8"/>
  <c r="Q13" i="8"/>
  <c r="P13" i="8"/>
  <c r="O13" i="8"/>
  <c r="N13" i="8"/>
  <c r="M13" i="8"/>
  <c r="L13" i="8"/>
  <c r="K13" i="8"/>
  <c r="J13" i="8"/>
  <c r="I13" i="8"/>
  <c r="H13" i="8"/>
  <c r="G13" i="8"/>
  <c r="F13" i="8"/>
  <c r="E13" i="8"/>
  <c r="Q12" i="8"/>
  <c r="P12" i="8"/>
  <c r="O12" i="8"/>
  <c r="N12" i="8"/>
  <c r="M12" i="8"/>
  <c r="L12" i="8"/>
  <c r="K12" i="8"/>
  <c r="J12" i="8"/>
  <c r="I12" i="8"/>
  <c r="H12" i="8"/>
  <c r="G12" i="8"/>
  <c r="F12" i="8"/>
  <c r="E12" i="8"/>
  <c r="Q11" i="8"/>
  <c r="P11" i="8"/>
  <c r="O11" i="8"/>
  <c r="N11" i="8"/>
  <c r="M11" i="8"/>
  <c r="L11" i="8"/>
  <c r="K11" i="8"/>
  <c r="J11" i="8"/>
  <c r="I11" i="8"/>
  <c r="H11" i="8"/>
  <c r="G11" i="8"/>
  <c r="F11" i="8"/>
  <c r="E11" i="8"/>
  <c r="Q10" i="8"/>
  <c r="P10" i="8"/>
  <c r="O10" i="8"/>
  <c r="N10" i="8"/>
  <c r="M10" i="8"/>
  <c r="L10" i="8"/>
  <c r="K10" i="8"/>
  <c r="J10" i="8"/>
  <c r="I10" i="8"/>
  <c r="H10" i="8"/>
  <c r="G10" i="8"/>
  <c r="F10" i="8"/>
  <c r="E10" i="8"/>
  <c r="C4" i="8"/>
  <c r="D79" i="9" l="1"/>
  <c r="E78" i="9"/>
  <c r="H78" i="9" s="1"/>
  <c r="I79" i="9" s="1"/>
  <c r="F39" i="8"/>
  <c r="H39" i="8"/>
  <c r="J39" i="8"/>
  <c r="L39" i="8"/>
  <c r="N39" i="8"/>
  <c r="P39" i="8"/>
  <c r="E45" i="4"/>
  <c r="E44" i="4"/>
  <c r="G39" i="8"/>
  <c r="I39" i="8"/>
  <c r="K39" i="8"/>
  <c r="M39" i="8"/>
  <c r="O39" i="8"/>
  <c r="Q39" i="8"/>
  <c r="F16" i="4"/>
  <c r="F17" i="4" s="1"/>
  <c r="D80" i="9" l="1"/>
  <c r="E79" i="9"/>
  <c r="H79" i="9" s="1"/>
  <c r="I80" i="9" s="1"/>
  <c r="D81" i="9" l="1"/>
  <c r="E80" i="9"/>
  <c r="H80" i="9" s="1"/>
  <c r="I81" i="9" s="1"/>
  <c r="A16" i="3"/>
  <c r="A15" i="3"/>
  <c r="A14" i="3"/>
  <c r="A13" i="3"/>
  <c r="A12" i="3"/>
  <c r="A11" i="3"/>
  <c r="A10" i="3"/>
  <c r="A9" i="3"/>
  <c r="A8" i="3"/>
  <c r="A7" i="3"/>
  <c r="A6" i="3"/>
  <c r="A5" i="3"/>
  <c r="A4" i="3"/>
  <c r="E55" i="4"/>
  <c r="E54" i="4"/>
  <c r="E53" i="4"/>
  <c r="E52" i="4"/>
  <c r="D82" i="9" l="1"/>
  <c r="E81" i="9"/>
  <c r="H81" i="9" s="1"/>
  <c r="I82" i="9" s="1"/>
  <c r="D13" i="3"/>
  <c r="D10" i="3"/>
  <c r="D16" i="3"/>
  <c r="D14" i="3"/>
  <c r="C5" i="3"/>
  <c r="F7" i="8" s="1"/>
  <c r="C4" i="3"/>
  <c r="C7" i="3"/>
  <c r="C6" i="3"/>
  <c r="E4" i="3"/>
  <c r="E7" i="3"/>
  <c r="E16" i="3"/>
  <c r="E14" i="3"/>
  <c r="E15" i="3"/>
  <c r="E13" i="3"/>
  <c r="E12" i="3"/>
  <c r="E10" i="3"/>
  <c r="E11" i="3"/>
  <c r="E9" i="3"/>
  <c r="E8" i="3"/>
  <c r="E5" i="3"/>
  <c r="C16" i="3"/>
  <c r="E6" i="3"/>
  <c r="C9" i="3"/>
  <c r="E9" i="15" l="1"/>
  <c r="E39" i="15" s="1"/>
  <c r="E40" i="15" s="1"/>
  <c r="F40" i="15" s="1"/>
  <c r="G40" i="15" s="1"/>
  <c r="H40" i="15" s="1"/>
  <c r="I40" i="15" s="1"/>
  <c r="J40" i="15" s="1"/>
  <c r="K40" i="15" s="1"/>
  <c r="L40" i="15" s="1"/>
  <c r="M40" i="15" s="1"/>
  <c r="N40" i="15" s="1"/>
  <c r="O40" i="15" s="1"/>
  <c r="P40" i="15" s="1"/>
  <c r="Q40" i="15" s="1"/>
  <c r="E9" i="8"/>
  <c r="E39" i="8" s="1"/>
  <c r="E40" i="8" s="1"/>
  <c r="F40" i="8" s="1"/>
  <c r="G40" i="8" s="1"/>
  <c r="H40" i="8" s="1"/>
  <c r="I40" i="8" s="1"/>
  <c r="J40" i="8" s="1"/>
  <c r="K40" i="8" s="1"/>
  <c r="L40" i="8" s="1"/>
  <c r="M40" i="8" s="1"/>
  <c r="N40" i="8" s="1"/>
  <c r="O40" i="8" s="1"/>
  <c r="P40" i="8" s="1"/>
  <c r="Q40" i="8" s="1"/>
  <c r="E7" i="8"/>
  <c r="E53" i="8" s="1"/>
  <c r="E7" i="15"/>
  <c r="E51" i="15" s="1"/>
  <c r="E54" i="15" s="1"/>
  <c r="E55" i="15" s="1"/>
  <c r="D83" i="9"/>
  <c r="E82" i="9"/>
  <c r="H82" i="9" s="1"/>
  <c r="I83" i="9" s="1"/>
  <c r="G7" i="15"/>
  <c r="G51" i="15" s="1"/>
  <c r="G54" i="15" s="1"/>
  <c r="G2" i="15"/>
  <c r="G1" i="15" s="1"/>
  <c r="J7" i="15"/>
  <c r="J2" i="15"/>
  <c r="J1" i="15" s="1"/>
  <c r="Q7" i="15"/>
  <c r="Q2" i="15"/>
  <c r="Q1" i="15" s="1"/>
  <c r="H2" i="15"/>
  <c r="H1" i="15" s="1"/>
  <c r="H7" i="15"/>
  <c r="H51" i="15" s="1"/>
  <c r="H54" i="15" s="1"/>
  <c r="F2" i="15"/>
  <c r="F1" i="15" s="1"/>
  <c r="F7" i="15"/>
  <c r="F51" i="15" s="1"/>
  <c r="F54" i="15" s="1"/>
  <c r="G7" i="8"/>
  <c r="G53" i="8" s="1"/>
  <c r="G2" i="8"/>
  <c r="G1" i="8" s="1"/>
  <c r="E2" i="8"/>
  <c r="E1" i="8" s="1"/>
  <c r="J7" i="8"/>
  <c r="J2" i="8"/>
  <c r="J1" i="8" s="1"/>
  <c r="Q7" i="8"/>
  <c r="Q2" i="8"/>
  <c r="Q1" i="8" s="1"/>
  <c r="H7" i="8"/>
  <c r="H53" i="8" s="1"/>
  <c r="H2" i="8"/>
  <c r="H1" i="8" s="1"/>
  <c r="F53" i="8"/>
  <c r="F2" i="8"/>
  <c r="F1" i="8" s="1"/>
  <c r="D5" i="3"/>
  <c r="C13" i="3"/>
  <c r="C12" i="3"/>
  <c r="C15" i="3"/>
  <c r="D6" i="3"/>
  <c r="D4" i="3"/>
  <c r="D12" i="3"/>
  <c r="C11" i="3"/>
  <c r="D15" i="3"/>
  <c r="F78" i="9" s="1"/>
  <c r="C14" i="3"/>
  <c r="D11" i="3"/>
  <c r="F22" i="9" s="1"/>
  <c r="C10" i="3"/>
  <c r="D9" i="3"/>
  <c r="C8" i="3"/>
  <c r="D7" i="3"/>
  <c r="F77" i="9" l="1"/>
  <c r="F55" i="15"/>
  <c r="F68" i="15" s="1"/>
  <c r="F70" i="15" s="1"/>
  <c r="F12" i="9"/>
  <c r="O33" i="9" s="1"/>
  <c r="E68" i="15"/>
  <c r="E70" i="15" s="1"/>
  <c r="E57" i="15"/>
  <c r="E65" i="15" s="1"/>
  <c r="F82" i="9"/>
  <c r="F81" i="9"/>
  <c r="F79" i="9"/>
  <c r="F76" i="9"/>
  <c r="F73" i="9"/>
  <c r="F71" i="9"/>
  <c r="F69" i="9"/>
  <c r="F67" i="9"/>
  <c r="F65" i="9"/>
  <c r="F63" i="9"/>
  <c r="F61" i="9"/>
  <c r="F59" i="9"/>
  <c r="F57" i="9"/>
  <c r="F55" i="9"/>
  <c r="F53" i="9"/>
  <c r="F51" i="9"/>
  <c r="F49" i="9"/>
  <c r="F47" i="9"/>
  <c r="F45" i="9"/>
  <c r="F43" i="9"/>
  <c r="F41" i="9"/>
  <c r="F39" i="9"/>
  <c r="F37" i="9"/>
  <c r="F35" i="9"/>
  <c r="F33" i="9"/>
  <c r="F31" i="9"/>
  <c r="F29" i="9"/>
  <c r="F27" i="9"/>
  <c r="F25" i="9"/>
  <c r="F23" i="9"/>
  <c r="F13" i="9"/>
  <c r="O34" i="9" s="1"/>
  <c r="F80" i="9"/>
  <c r="F75" i="9"/>
  <c r="F74" i="9"/>
  <c r="F72" i="9"/>
  <c r="F70" i="9"/>
  <c r="F68" i="9"/>
  <c r="F66" i="9"/>
  <c r="F64" i="9"/>
  <c r="F62" i="9"/>
  <c r="F60" i="9"/>
  <c r="F58" i="9"/>
  <c r="F56" i="9"/>
  <c r="F54" i="9"/>
  <c r="F52" i="9"/>
  <c r="F50" i="9"/>
  <c r="F48" i="9"/>
  <c r="F46" i="9"/>
  <c r="F44" i="9"/>
  <c r="F42" i="9"/>
  <c r="F40" i="9"/>
  <c r="F38" i="9"/>
  <c r="F36" i="9"/>
  <c r="F34" i="9"/>
  <c r="F32" i="9"/>
  <c r="F30" i="9"/>
  <c r="F28" i="9"/>
  <c r="F26" i="9"/>
  <c r="F24" i="9"/>
  <c r="F14" i="9"/>
  <c r="O35" i="9" s="1"/>
  <c r="D84" i="9"/>
  <c r="E83" i="9"/>
  <c r="H83" i="9" s="1"/>
  <c r="I84" i="9" s="1"/>
  <c r="F83" i="9"/>
  <c r="I7" i="15"/>
  <c r="I51" i="15" s="1"/>
  <c r="I54" i="15" s="1"/>
  <c r="I2" i="15"/>
  <c r="I1" i="15" s="1"/>
  <c r="K7" i="15"/>
  <c r="K2" i="15"/>
  <c r="K1" i="15" s="1"/>
  <c r="O7" i="15"/>
  <c r="O2" i="15"/>
  <c r="O1" i="15" s="1"/>
  <c r="L2" i="15"/>
  <c r="L1" i="15" s="1"/>
  <c r="L7" i="15"/>
  <c r="P2" i="15"/>
  <c r="P1" i="15" s="1"/>
  <c r="P7" i="15"/>
  <c r="N2" i="15"/>
  <c r="N1" i="15" s="1"/>
  <c r="N7" i="15"/>
  <c r="M7" i="15"/>
  <c r="M2" i="15"/>
  <c r="M1" i="15" s="1"/>
  <c r="I7" i="8"/>
  <c r="I53" i="8" s="1"/>
  <c r="J53" i="8" s="1"/>
  <c r="I2" i="8"/>
  <c r="I1" i="8" s="1"/>
  <c r="K7" i="8"/>
  <c r="K2" i="8"/>
  <c r="K1" i="8" s="1"/>
  <c r="O7" i="8"/>
  <c r="O2" i="8"/>
  <c r="O1" i="8" s="1"/>
  <c r="L7" i="8"/>
  <c r="L2" i="8"/>
  <c r="L1" i="8" s="1"/>
  <c r="P7" i="8"/>
  <c r="P2" i="8"/>
  <c r="P1" i="8" s="1"/>
  <c r="N7" i="8"/>
  <c r="N2" i="8"/>
  <c r="N1" i="8" s="1"/>
  <c r="M7" i="8"/>
  <c r="M2" i="8"/>
  <c r="M1" i="8" s="1"/>
  <c r="D8" i="3"/>
  <c r="F21" i="9" s="1"/>
  <c r="F57" i="15" l="1"/>
  <c r="F65" i="15" s="1"/>
  <c r="G55" i="15"/>
  <c r="G57" i="15" s="1"/>
  <c r="G65" i="15" s="1"/>
  <c r="J51" i="15"/>
  <c r="J54" i="15" s="1"/>
  <c r="F16" i="9"/>
  <c r="F20" i="9"/>
  <c r="F15" i="9"/>
  <c r="F19" i="9"/>
  <c r="F18" i="9"/>
  <c r="F17" i="9"/>
  <c r="D85" i="9"/>
  <c r="F84" i="9"/>
  <c r="E84" i="9"/>
  <c r="H84" i="9" s="1"/>
  <c r="I85" i="9" s="1"/>
  <c r="K53" i="8"/>
  <c r="G68" i="15" l="1"/>
  <c r="G70" i="15" s="1"/>
  <c r="H55" i="15"/>
  <c r="H68" i="15" s="1"/>
  <c r="H70" i="15" s="1"/>
  <c r="K51" i="15"/>
  <c r="K54" i="15" s="1"/>
  <c r="D86" i="9"/>
  <c r="E85" i="9"/>
  <c r="H85" i="9" s="1"/>
  <c r="I86" i="9" s="1"/>
  <c r="F85" i="9"/>
  <c r="L53" i="8"/>
  <c r="H57" i="15" l="1"/>
  <c r="H65" i="15" s="1"/>
  <c r="I55" i="15"/>
  <c r="I57" i="15" s="1"/>
  <c r="I65" i="15" s="1"/>
  <c r="L51" i="15"/>
  <c r="L54" i="15" s="1"/>
  <c r="D87" i="9"/>
  <c r="F86" i="9"/>
  <c r="E86" i="9"/>
  <c r="H86" i="9" s="1"/>
  <c r="I87" i="9" s="1"/>
  <c r="M53" i="8"/>
  <c r="J55" i="15" l="1"/>
  <c r="J57" i="15" s="1"/>
  <c r="J65" i="15" s="1"/>
  <c r="I68" i="15"/>
  <c r="I70" i="15" s="1"/>
  <c r="M51" i="15"/>
  <c r="M54" i="15" s="1"/>
  <c r="D88" i="9"/>
  <c r="E87" i="9"/>
  <c r="H87" i="9" s="1"/>
  <c r="I88" i="9" s="1"/>
  <c r="F87" i="9"/>
  <c r="N53" i="8"/>
  <c r="K55" i="15" l="1"/>
  <c r="K57" i="15" s="1"/>
  <c r="K65" i="15" s="1"/>
  <c r="J68" i="15"/>
  <c r="J70" i="15" s="1"/>
  <c r="N51" i="15"/>
  <c r="O51" i="15" s="1"/>
  <c r="O54" i="15" s="1"/>
  <c r="D89" i="9"/>
  <c r="F88" i="9"/>
  <c r="E88" i="9"/>
  <c r="H88" i="9" s="1"/>
  <c r="I89" i="9" s="1"/>
  <c r="O53" i="8"/>
  <c r="K68" i="15" l="1"/>
  <c r="K70" i="15" s="1"/>
  <c r="L55" i="15"/>
  <c r="L68" i="15" s="1"/>
  <c r="L70" i="15" s="1"/>
  <c r="N54" i="15"/>
  <c r="P51" i="15"/>
  <c r="Q51" i="15" s="1"/>
  <c r="Q54" i="15" s="1"/>
  <c r="D90" i="9"/>
  <c r="E89" i="9"/>
  <c r="H89" i="9" s="1"/>
  <c r="I90" i="9" s="1"/>
  <c r="F89" i="9"/>
  <c r="P53" i="8"/>
  <c r="M55" i="15" l="1"/>
  <c r="M57" i="15" s="1"/>
  <c r="M65" i="15" s="1"/>
  <c r="L57" i="15"/>
  <c r="L65" i="15" s="1"/>
  <c r="P54" i="15"/>
  <c r="D91" i="9"/>
  <c r="F90" i="9"/>
  <c r="E90" i="9"/>
  <c r="H90" i="9" s="1"/>
  <c r="I91" i="9" s="1"/>
  <c r="Q53" i="8"/>
  <c r="M68" i="15" l="1"/>
  <c r="M70" i="15" s="1"/>
  <c r="N55" i="15"/>
  <c r="N68" i="15" s="1"/>
  <c r="N70" i="15" s="1"/>
  <c r="D92" i="9"/>
  <c r="E91" i="9"/>
  <c r="H91" i="9" s="1"/>
  <c r="I92" i="9" s="1"/>
  <c r="F91" i="9"/>
  <c r="O55" i="15" l="1"/>
  <c r="O57" i="15" s="1"/>
  <c r="O65" i="15" s="1"/>
  <c r="N57" i="15"/>
  <c r="N65" i="15" s="1"/>
  <c r="D93" i="9"/>
  <c r="F92" i="9"/>
  <c r="E92" i="9"/>
  <c r="H92" i="9" s="1"/>
  <c r="I93" i="9" s="1"/>
  <c r="O68" i="15" l="1"/>
  <c r="O70" i="15" s="1"/>
  <c r="P55" i="15"/>
  <c r="P68" i="15" s="1"/>
  <c r="P70" i="15" s="1"/>
  <c r="D94" i="9"/>
  <c r="E93" i="9"/>
  <c r="H93" i="9" s="1"/>
  <c r="I94" i="9" s="1"/>
  <c r="F93" i="9"/>
  <c r="Q55" i="15" l="1"/>
  <c r="Q57" i="15" s="1"/>
  <c r="Q65" i="15" s="1"/>
  <c r="P57" i="15"/>
  <c r="P65" i="15" s="1"/>
  <c r="D95" i="9"/>
  <c r="F94" i="9"/>
  <c r="E94" i="9"/>
  <c r="H94" i="9" s="1"/>
  <c r="I95" i="9" s="1"/>
  <c r="Q68" i="15" l="1"/>
  <c r="Q70" i="15" s="1"/>
  <c r="D96" i="9"/>
  <c r="E95" i="9"/>
  <c r="H95" i="9" s="1"/>
  <c r="I96" i="9" s="1"/>
  <c r="F95" i="9"/>
  <c r="D97" i="9" l="1"/>
  <c r="F96" i="9"/>
  <c r="E96" i="9"/>
  <c r="H96" i="9" s="1"/>
  <c r="I97" i="9" s="1"/>
  <c r="D98" i="9" l="1"/>
  <c r="E97" i="9"/>
  <c r="H97" i="9" s="1"/>
  <c r="I98" i="9" s="1"/>
  <c r="F97" i="9"/>
  <c r="D99" i="9" l="1"/>
  <c r="F98" i="9"/>
  <c r="E98" i="9"/>
  <c r="H98" i="9" s="1"/>
  <c r="I99" i="9" s="1"/>
  <c r="D100" i="9" l="1"/>
  <c r="E99" i="9"/>
  <c r="H99" i="9" s="1"/>
  <c r="I100" i="9" s="1"/>
  <c r="F99" i="9"/>
  <c r="D101" i="9" l="1"/>
  <c r="D102" i="9" s="1"/>
  <c r="F100" i="9"/>
  <c r="E100" i="9"/>
  <c r="H100" i="9" s="1"/>
  <c r="I101" i="9" s="1"/>
  <c r="I5" i="9" s="1"/>
  <c r="D103" i="9" l="1"/>
  <c r="F102" i="9"/>
  <c r="E101" i="9"/>
  <c r="F101" i="9"/>
  <c r="H101" i="9" l="1"/>
  <c r="E8" i="9"/>
  <c r="D104" i="9"/>
  <c r="F103" i="9"/>
  <c r="O119" i="9"/>
  <c r="O99" i="9"/>
  <c r="O53" i="9"/>
  <c r="O85" i="9"/>
  <c r="O118" i="9"/>
  <c r="O60" i="9"/>
  <c r="O92" i="9"/>
  <c r="O51" i="9"/>
  <c r="O83" i="9"/>
  <c r="O116" i="9"/>
  <c r="O82" i="9"/>
  <c r="O49" i="9"/>
  <c r="O81" i="9"/>
  <c r="O114" i="9"/>
  <c r="O56" i="9"/>
  <c r="O88" i="9"/>
  <c r="O121" i="9"/>
  <c r="O63" i="9"/>
  <c r="O95" i="9"/>
  <c r="O38" i="9"/>
  <c r="O70" i="9"/>
  <c r="O103" i="9"/>
  <c r="O90" i="9"/>
  <c r="O45" i="9"/>
  <c r="O77" i="9"/>
  <c r="O110" i="9"/>
  <c r="O52" i="9"/>
  <c r="O84" i="9"/>
  <c r="O117" i="9"/>
  <c r="O59" i="9"/>
  <c r="O91" i="9"/>
  <c r="O42" i="9"/>
  <c r="O107" i="9"/>
  <c r="O57" i="9"/>
  <c r="O89" i="9"/>
  <c r="O122" i="9"/>
  <c r="O64" i="9"/>
  <c r="O96" i="9"/>
  <c r="O39" i="9"/>
  <c r="O71" i="9"/>
  <c r="O104" i="9"/>
  <c r="O46" i="9"/>
  <c r="O78" i="9"/>
  <c r="O37" i="9"/>
  <c r="O69" i="9"/>
  <c r="O102" i="9"/>
  <c r="O44" i="9"/>
  <c r="O76" i="9"/>
  <c r="O109" i="9"/>
  <c r="O67" i="9"/>
  <c r="O100" i="9"/>
  <c r="O58" i="9"/>
  <c r="O97" i="9"/>
  <c r="O65" i="9"/>
  <c r="O98" i="9"/>
  <c r="O40" i="9"/>
  <c r="O72" i="9"/>
  <c r="O105" i="9"/>
  <c r="O47" i="9"/>
  <c r="O79" i="9"/>
  <c r="O112" i="9"/>
  <c r="O54" i="9"/>
  <c r="O86" i="9"/>
  <c r="O50" i="9"/>
  <c r="O115" i="9"/>
  <c r="O61" i="9"/>
  <c r="O93" i="9"/>
  <c r="O36" i="9"/>
  <c r="O68" i="9"/>
  <c r="O101" i="9"/>
  <c r="O43" i="9"/>
  <c r="O75" i="9"/>
  <c r="O108" i="9"/>
  <c r="O74" i="9"/>
  <c r="O41" i="9"/>
  <c r="O73" i="9"/>
  <c r="O106" i="9"/>
  <c r="O48" i="9"/>
  <c r="O80" i="9"/>
  <c r="O113" i="9"/>
  <c r="O55" i="9"/>
  <c r="O87" i="9"/>
  <c r="O120" i="9"/>
  <c r="O62" i="9"/>
  <c r="O94" i="9"/>
  <c r="O66" i="9"/>
  <c r="O111" i="9"/>
  <c r="D105" i="9" l="1"/>
  <c r="F104" i="9"/>
  <c r="I102" i="9"/>
  <c r="H5" i="9"/>
  <c r="H6" i="9" l="1"/>
  <c r="D106" i="9"/>
  <c r="F105" i="9"/>
  <c r="D107" i="9" l="1"/>
  <c r="F106" i="9"/>
  <c r="D108" i="9" l="1"/>
  <c r="F108" i="9" s="1"/>
  <c r="F107" i="9"/>
  <c r="K49" i="8" l="1"/>
  <c r="M50" i="8"/>
  <c r="H49" i="8"/>
  <c r="N49" i="8"/>
  <c r="Q49" i="8"/>
  <c r="F49" i="8"/>
  <c r="J49" i="8"/>
  <c r="M49" i="8"/>
  <c r="E49" i="8"/>
  <c r="I49" i="8"/>
  <c r="L49" i="8"/>
  <c r="O49" i="8"/>
  <c r="G49" i="8"/>
  <c r="P49" i="8"/>
  <c r="Q50" i="8"/>
  <c r="F50" i="8"/>
  <c r="K50" i="8"/>
  <c r="I50" i="8"/>
  <c r="J50" i="8"/>
  <c r="O50" i="8"/>
  <c r="P50" i="8"/>
  <c r="E50" i="8"/>
  <c r="N50" i="8"/>
  <c r="L50" i="8"/>
  <c r="G50" i="8"/>
  <c r="H50" i="8"/>
  <c r="Q56" i="8" l="1"/>
  <c r="N56" i="8"/>
  <c r="M56" i="8"/>
  <c r="E56" i="8"/>
  <c r="E57" i="8" s="1"/>
  <c r="E59" i="8" s="1"/>
  <c r="E67" i="8" s="1"/>
  <c r="K56" i="8"/>
  <c r="O56" i="8"/>
  <c r="H56" i="8"/>
  <c r="L56" i="8"/>
  <c r="J56" i="8"/>
  <c r="F56" i="8"/>
  <c r="P56" i="8"/>
  <c r="G56" i="8"/>
  <c r="I56" i="8"/>
  <c r="F57" i="8" l="1"/>
  <c r="F59" i="8" s="1"/>
  <c r="F67" i="8" s="1"/>
  <c r="E70" i="8"/>
  <c r="E72" i="8" s="1"/>
  <c r="F70" i="8" l="1"/>
  <c r="F72" i="8" s="1"/>
  <c r="G57" i="8"/>
  <c r="H57" i="8" s="1"/>
  <c r="H70" i="8" s="1"/>
  <c r="H72" i="8" s="1"/>
  <c r="I57" i="8" l="1"/>
  <c r="I70" i="8" s="1"/>
  <c r="I72" i="8" s="1"/>
  <c r="G70" i="8"/>
  <c r="G72" i="8" s="1"/>
  <c r="H59" i="8"/>
  <c r="H67" i="8" s="1"/>
  <c r="G59" i="8"/>
  <c r="G67" i="8" s="1"/>
  <c r="I59" i="8" l="1"/>
  <c r="I67" i="8" s="1"/>
  <c r="J57" i="8"/>
  <c r="J70" i="8" s="1"/>
  <c r="J72" i="8" s="1"/>
  <c r="J59" i="8" l="1"/>
  <c r="J67" i="8" s="1"/>
  <c r="K57" i="8"/>
  <c r="L57" i="8" s="1"/>
  <c r="K70" i="8" l="1"/>
  <c r="K72" i="8" s="1"/>
  <c r="K59" i="8"/>
  <c r="K67" i="8" s="1"/>
  <c r="L59" i="8"/>
  <c r="L67" i="8" s="1"/>
  <c r="L70" i="8"/>
  <c r="L72" i="8" s="1"/>
  <c r="M57" i="8"/>
  <c r="M59" i="8" l="1"/>
  <c r="M67" i="8" s="1"/>
  <c r="M70" i="8"/>
  <c r="M72" i="8" s="1"/>
  <c r="N57" i="8"/>
  <c r="O57" i="8" l="1"/>
  <c r="N59" i="8"/>
  <c r="N67" i="8" s="1"/>
  <c r="N70" i="8"/>
  <c r="N72" i="8" s="1"/>
  <c r="O59" i="8" l="1"/>
  <c r="O67" i="8" s="1"/>
  <c r="O70" i="8"/>
  <c r="O72" i="8" s="1"/>
  <c r="P57" i="8"/>
  <c r="P70" i="8" l="1"/>
  <c r="P72" i="8" s="1"/>
  <c r="Q57" i="8"/>
  <c r="P59" i="8"/>
  <c r="P67" i="8" s="1"/>
  <c r="Q70" i="8" l="1"/>
  <c r="Q72" i="8" s="1"/>
  <c r="Q59" i="8"/>
  <c r="Q67" i="8" s="1"/>
</calcChain>
</file>

<file path=xl/connections.xml><?xml version="1.0" encoding="utf-8"?>
<connections xmlns="http://schemas.openxmlformats.org/spreadsheetml/2006/main">
  <connection id="1" name="FXRates" type="6" refreshedVersion="3" background="1" saveData="1">
    <textPr prompt="0" codePage="850" sourceFile="P:\001840_DP_USNY_Interdepartment_Liquidity\Liquidity\Import\FXRates.txt" tab="0" comma="1">
      <textFields count="2">
        <textField/>
        <textField/>
      </textFields>
    </textPr>
  </connection>
  <connection id="2" name="NYLiquidity.sql_2014-01-28_29012014111053" type="6" refreshedVersion="4" background="1">
    <textPr prompt="0" codePage="437" sourceFile="\\hre.loc\dfs_shares\001840_DP_USNY_Interdepartment_Liquidity\Liquidity\Import\LRS_Data_LiquiReports\NYLiquidity.sql_2014-01-28_29012014111053.csv" decimal="," thousands=" " delimiter="|">
      <textFields count="27">
        <textField/>
        <textField/>
        <textField/>
        <textField/>
        <textField type="DMY"/>
        <textField/>
        <textField/>
        <textField/>
        <textField/>
        <textField/>
        <textField/>
        <textField/>
        <textField/>
        <textField/>
        <textField type="DMY"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NYLiquidity.sql_2014-01-28_29012014130001" type="6" refreshedVersion="0" background="1">
    <textPr prompt="0" sourceFile="\\hre.loc\dfs_shares\001840_DP_USNY_Interdepartment_Liquidity\Liquidity\Import\LRS_Data_LiquiReports\NYLiquidity.sql_2014-01-28_29012014130001.csv">
      <textFields>
        <textField/>
      </textFields>
    </textPr>
  </connection>
  <connection id="4" name="NYLiquidity.sql_2014-01-30_31012014130014" type="6" refreshedVersion="4" background="1">
    <textPr prompt="0" codePage="437" sourceFile="\\hre.loc\dfs_shares\001840_DP_USNY_Interdepartment_Liquidity\Liquidity\Import\LRS_Data_LiquiReports\NYLiquidity.sql_2014-01-30_31012014130014.csv" decimal="," thousands=" " delimiter="|">
      <textFields count="27">
        <textField/>
        <textField/>
        <textField/>
        <textField/>
        <textField type="DMY"/>
        <textField/>
        <textField/>
        <textField/>
        <textField/>
        <textField/>
        <textField/>
        <textField/>
        <textField/>
        <textField/>
        <textField type="DMY"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name="NYLiquidity.sql_2014-01-30_310120141300141" type="6" refreshedVersion="4" background="1">
    <textPr prompt="0" codePage="437" sourceFile="\\hre.loc\dfs_shares\001840_DP_USNY_Interdepartment_Liquidity\Liquidity\Import\LRS_Data_LiquiReports\NYLiquidity.sql_2014-01-30_31012014130014.csv" decimal="," thousands=" " delimiter="|">
      <textFields count="27">
        <textField/>
        <textField/>
        <textField/>
        <textField/>
        <textField type="DMY"/>
        <textField/>
        <textField/>
        <textField/>
        <textField/>
        <textField/>
        <textField/>
        <textField/>
        <textField/>
        <textField/>
        <textField type="DMY"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name="NYLiquidity.sql_2014-01-30_310120141300142" type="6" refreshedVersion="4" background="1">
    <textPr prompt="0" codePage="437" sourceFile="\\hre.loc\dfs_shares\001840_DP_USNY_Interdepartment_Liquidity\Liquidity\Import\LRS_Data_LiquiReports\NYLiquidity.sql_2014-01-30_31012014130014.csv" decimal="," thousands=" " delimiter="|">
      <textFields count="27">
        <textField/>
        <textField/>
        <textField/>
        <textField/>
        <textField type="DMY"/>
        <textField/>
        <textField/>
        <textField/>
        <textField/>
        <textField/>
        <textField/>
        <textField/>
        <textField/>
        <textField/>
        <textField type="DMY"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name="NYLiquidity.sql_2014-01-30_310120141300143" type="6" refreshedVersion="4" background="1" saveData="1">
    <textPr prompt="0" codePage="437" sourceFile="\\hre.loc\dfs_shares\001840_DP_USNY_Interdepartment_Liquidity\Liquidity\Import\LRS_Data_LiquiReports\NYLiquidity.sql_2014-01-30_31012014130014.csv" decimal="," thousands=" " delimiter="|">
      <textFields count="27">
        <textField/>
        <textField/>
        <textField/>
        <textField/>
        <textField type="DMY"/>
        <textField/>
        <textField/>
        <textField/>
        <textField/>
        <textField/>
        <textField/>
        <textField/>
        <textField/>
        <textField/>
        <textField type="DMY"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" name="NYLiquidity.sql_2014-03-25_260320141300141" type="6" refreshedVersion="4" background="1" saveData="1">
    <textPr prompt="0" codePage="437" sourceFile="\\hre.loc\dfs_shares\001840_DP_USNY_Interdepartment_Liquidity\Liquidity\Import\LRS_Data_LiquiReports\NYLiquidity.sql_2014-03-25_26032014130014.csv" decimal="," thousands=" " delimiter="|">
      <textFields count="27">
        <textField/>
        <textField/>
        <textField/>
        <textField/>
        <textField type="DMY"/>
        <textField/>
        <textField/>
        <textField/>
        <textField/>
        <textField/>
        <textField/>
        <textField/>
        <textField/>
        <textField/>
        <textField type="DMY"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" name="NYLiquidity.sql_2014-03-26_270320141300141" type="6" refreshedVersion="4" background="1">
    <textPr prompt="0" codePage="437" sourceFile="\\hre.loc\dfs_shares\001840_DP_USNY_Interdepartment_Liquidity\Liquidity\Import\LRS_Data_LiquiReports\NYLiquidity.sql_2014-03-26_27032014130014.csv" decimal="," thousands=" " delimiter="|">
      <textFields count="27">
        <textField/>
        <textField/>
        <textField/>
        <textField/>
        <textField type="DMY"/>
        <textField/>
        <textField/>
        <textField/>
        <textField/>
        <textField/>
        <textField/>
        <textField/>
        <textField/>
        <textField/>
        <textField type="DMY"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" name="NYLiquidity.sql_2014-03-26_270320141300142" type="6" refreshedVersion="4" background="1">
    <textPr prompt="0" codePage="437" sourceFile="\\hre.loc\dfs_shares\001840_DP_USNY_Interdepartment_Liquidity\Liquidity\Import\LRS_Data_LiquiReports\NYLiquidity.sql_2014-03-26_27032014130014.csv" decimal="," thousands=" " delimiter="|">
      <textFields count="27">
        <textField/>
        <textField/>
        <textField/>
        <textField/>
        <textField type="DMY"/>
        <textField/>
        <textField/>
        <textField/>
        <textField/>
        <textField/>
        <textField/>
        <textField/>
        <textField/>
        <textField/>
        <textField type="DMY"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" name="NYLiquidity.sql_2014-03-26_270320141300143" type="6" refreshedVersion="4" background="1">
    <textPr prompt="0" codePage="437" sourceFile="\\hre.loc\dfs_shares\001840_DP_USNY_Interdepartment_Liquidity\Liquidity\Import\LRS_Data_LiquiReports\NYLiquidity.sql_2014-03-26_27032014130014.csv" decimal="," thousands=" " delimiter="|">
      <textFields count="27">
        <textField/>
        <textField/>
        <textField/>
        <textField/>
        <textField type="DMY"/>
        <textField/>
        <textField/>
        <textField/>
        <textField/>
        <textField/>
        <textField/>
        <textField/>
        <textField/>
        <textField/>
        <textField type="DMY"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" name="NYLiquidity.sql_2014-03-26_270320141300144" type="6" refreshedVersion="4" background="1" saveData="1">
    <textPr prompt="0" codePage="437" sourceFile="\\hre.loc\dfs_shares\001840_DP_USNY_Interdepartment_Liquidity\Liquidity\Import\LRS_Data_LiquiReports\NYLiquidity.sql_2014-03-26_27032014130014.csv" decimal="," thousands=" " delimiter="|">
      <textFields count="27">
        <textField/>
        <textField/>
        <textField/>
        <textField/>
        <textField type="DMY"/>
        <textField/>
        <textField/>
        <textField/>
        <textField/>
        <textField/>
        <textField/>
        <textField/>
        <textField/>
        <textField/>
        <textField type="DMY"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" name="NYLiquidity.sql_2014-03-26_270320141300145" type="6" refreshedVersion="4" background="1" saveData="1">
    <textPr prompt="0" codePage="437" sourceFile="\\hre.loc\dfs_shares\001840_DP_USNY_Interdepartment_Liquidity\Liquidity\Import\LRS_Data_LiquiReports\NYLiquidity.sql_2014-03-26_27032014130014.csv" decimal="," thousands=" " delimiter="|">
      <textFields count="27">
        <textField/>
        <textField/>
        <textField/>
        <textField/>
        <textField type="DMY"/>
        <textField/>
        <textField/>
        <textField/>
        <textField/>
        <textField/>
        <textField/>
        <textField/>
        <textField/>
        <textField/>
        <textField type="DMY"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" name="NYLiquidity.sql_2014-03-26_270320141300146" type="6" refreshedVersion="4" background="1">
    <textPr prompt="0" codePage="437" sourceFile="\\hre.loc\dfs_shares\001840_DP_USNY_Interdepartment_Liquidity\Liquidity\Import\LRS_Data_LiquiReports\NYLiquidity.sql_2014-03-26_27032014130014.csv" decimal="," thousands=" " delimiter="|">
      <textFields count="27">
        <textField/>
        <textField/>
        <textField/>
        <textField/>
        <textField type="DMY"/>
        <textField/>
        <textField/>
        <textField/>
        <textField/>
        <textField/>
        <textField/>
        <textField/>
        <textField/>
        <textField/>
        <textField type="DMY"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" name="NYLiquidity.sql_2014-03-26_270320141300147" type="6" refreshedVersion="4" background="1" saveData="1">
    <textPr prompt="0" codePage="437" sourceFile="\\hre.loc\dfs_shares\001840_DP_USNY_Interdepartment_Liquidity\Liquidity\Import\LRS_Data_LiquiReports\NYLiquidity.sql_2014-03-26_27032014130014.csv" decimal="," thousands=" " delimiter="|">
      <textFields count="27">
        <textField/>
        <textField/>
        <textField/>
        <textField/>
        <textField type="DMY"/>
        <textField/>
        <textField/>
        <textField/>
        <textField/>
        <textField/>
        <textField/>
        <textField/>
        <textField/>
        <textField/>
        <textField type="DMY"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" name="NYLiquidity.sql_2014-04-06_070420141300431" type="6" refreshedVersion="4" background="1" saveData="1">
    <textPr prompt="0" codePage="437" sourceFile="\\hre.loc\dfs_shares\001840_DP_USNY_Interdepartment_Liquidity\Liquidity\Import\LRS_Data_LiquiReports\NYLiquidity.sql_2014-04-06_07042014130043.csv" decimal="," thousands=" " delimiter="|">
      <textFields count="27">
        <textField/>
        <textField/>
        <textField/>
        <textField/>
        <textField type="DMY"/>
        <textField/>
        <textField/>
        <textField/>
        <textField/>
        <textField/>
        <textField/>
        <textField/>
        <textField/>
        <textField/>
        <textField type="DMY"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" name="NYLiquidity.sql_2014-04-06_070420141300432" type="6" refreshedVersion="4" background="1" saveData="1">
    <textPr prompt="0" codePage="437" sourceFile="\\hre.loc\dfs_shares\001840_DP_USNY_Interdepartment_Liquidity\Liquidity\Import\LRS_Data_LiquiReports\NYLiquidity.sql_2014-04-06_07042014130043.csv" decimal="," thousands=" " delimiter="|">
      <textFields count="27">
        <textField/>
        <textField/>
        <textField/>
        <textField/>
        <textField type="DMY"/>
        <textField/>
        <textField/>
        <textField/>
        <textField/>
        <textField/>
        <textField/>
        <textField/>
        <textField/>
        <textField/>
        <textField type="DMY"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" name="NYLiquidity.sql_2016-05-10_11052016130000" type="6" refreshedVersion="4" background="1" saveData="1">
    <textPr prompt="0" codePage="437" sourceFile="\\depfa.loc\dfs_shares\001840_DP_USNY_Interdepartment_Liquidity\Liquidity\Import\LRS_Data_LiquiReports\NYLiquidity.sql_2016-05-10_11052016130000.csv" decimal="," thousands=" " delimiter="|">
      <textFields count="27">
        <textField/>
        <textField/>
        <textField/>
        <textField/>
        <textField type="DMY"/>
        <textField/>
        <textField/>
        <textField/>
        <textField/>
        <textField/>
        <textField/>
        <textField/>
        <textField/>
        <textField/>
        <textField type="DMY"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" name="NYLiquidity.sql_2016-05-10_110520161300001" type="6" refreshedVersion="4" background="1" saveData="1">
    <textPr prompt="0" codePage="437" sourceFile="\\depfa.loc\dfs_shares\001840_DP_USNY_Interdepartment_Liquidity\Liquidity\Import\LRS_Data_LiquiReports\NYLiquidity.sql_2016-05-10_11052016130000.csv" decimal="," thousands=" " delimiter="|">
      <textFields count="27">
        <textField/>
        <textField/>
        <textField/>
        <textField/>
        <textField type="DMY"/>
        <textField/>
        <textField/>
        <textField/>
        <textField/>
        <textField/>
        <textField/>
        <textField/>
        <textField/>
        <textField/>
        <textField type="DMY"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<sst xmlns="http://schemas.openxmlformats.org/spreadsheetml/2006/main" count="46914" uniqueCount="1786">
  <si>
    <t>3.75%</t>
  </si>
  <si>
    <t>ROELAND PARK REDEVELOPMENT LLC PROJECT, SERIES 2005</t>
  </si>
  <si>
    <t>4.6%</t>
  </si>
  <si>
    <t>20240501</t>
  </si>
  <si>
    <t>THE INDUSTRIAL DEVELOPMENT AUTHORITY OF THE CITY OF FLORISSANT MISSOURI SERIES 2003 CROSS KEYS</t>
  </si>
  <si>
    <t>644373SA</t>
  </si>
  <si>
    <t>SANSABIA</t>
  </si>
  <si>
    <t>20110701</t>
  </si>
  <si>
    <t>20370701</t>
  </si>
  <si>
    <t>TRAVIS COUNTY HEALTH FACILITIES LONGHORN VILLAGE PROJECT SERIES 2008</t>
  </si>
  <si>
    <t>20110331</t>
  </si>
  <si>
    <t>20391003</t>
  </si>
  <si>
    <t>644376SA</t>
  </si>
  <si>
    <t>4.33%</t>
  </si>
  <si>
    <t>20110630</t>
  </si>
  <si>
    <t>20390103</t>
  </si>
  <si>
    <t>New Mexico Mortgage Finance Authority Single Family Mortgage Program Bonds 2007 Series B</t>
  </si>
  <si>
    <t>644377SA</t>
  </si>
  <si>
    <t>4.4%</t>
  </si>
  <si>
    <t>20390701</t>
  </si>
  <si>
    <t>NEW MEXICO MORTGAGE FINANCE AUTHORITY 2008 SERIES C</t>
  </si>
  <si>
    <t>644381SA</t>
  </si>
  <si>
    <t>3.35%</t>
  </si>
  <si>
    <t>NEVADA HOUSING DIVISON SERIES 2008 B</t>
  </si>
  <si>
    <t>644383SA</t>
  </si>
  <si>
    <t>4.73%</t>
  </si>
  <si>
    <t>NEW MEXICO MORTGAGE FINANCE AUTHORITY 2007 D</t>
  </si>
  <si>
    <t>644384SA</t>
  </si>
  <si>
    <t>4.14%</t>
  </si>
  <si>
    <t>20390630</t>
  </si>
  <si>
    <t>NEW MEXICO MORTGAGE FINANCE AUTHORITY SERIES 2008 B</t>
  </si>
  <si>
    <t>644385SA</t>
  </si>
  <si>
    <t>4.9%</t>
  </si>
  <si>
    <t>20380401</t>
  </si>
  <si>
    <t>ARKANSAS DEVELOPMENT FINANCE AUTHORITY 2007 SERIES D</t>
  </si>
  <si>
    <t>644386SA</t>
  </si>
  <si>
    <t>5.05%</t>
  </si>
  <si>
    <t>20261231</t>
  </si>
  <si>
    <t>HAWAIIAN PARADISE PARK OWNERS ASSOCIATION SERIES 2007</t>
  </si>
  <si>
    <t>644388SA</t>
  </si>
  <si>
    <t>4.3%</t>
  </si>
  <si>
    <t>20110318</t>
  </si>
  <si>
    <t>20490319</t>
  </si>
  <si>
    <t>City of Chicago Multi-Family Mortgage Revenue Bond (Paul G. Steart Apartments Series 2007 FHA</t>
  </si>
  <si>
    <t>20110922</t>
  </si>
  <si>
    <t>20390429</t>
  </si>
  <si>
    <t>HOUSING FINANCE AUTHORITY OF MANATEE COUNTY, FLORIDA 2006 A,B</t>
  </si>
  <si>
    <t>4.38%</t>
  </si>
  <si>
    <t>20400831</t>
  </si>
  <si>
    <t>HOUSING FINANCE AUTHORITY OF MANATEE COUNTY, FLORIDA 2007A,B,C</t>
  </si>
  <si>
    <t>646501SA</t>
  </si>
  <si>
    <t>FRN</t>
  </si>
  <si>
    <t>4.65%</t>
  </si>
  <si>
    <t>20110829</t>
  </si>
  <si>
    <t>20380901</t>
  </si>
  <si>
    <t>HEALTH AND EDUCATIONAL FACILITIES AUTHORITY OF THE STATE OF MISSOURI SERIES 2007</t>
  </si>
  <si>
    <t>Sum:</t>
  </si>
  <si>
    <t>Missing</t>
  </si>
  <si>
    <t>all amounts in mio USD</t>
  </si>
  <si>
    <t>FED window (waiting at Window)</t>
  </si>
  <si>
    <t>FED window (depends on 5 day turn)</t>
  </si>
  <si>
    <t>Central Bank Rollovers</t>
  </si>
  <si>
    <t>Total</t>
  </si>
  <si>
    <t>Grand Total</t>
  </si>
  <si>
    <t>MM_Deposit</t>
  </si>
  <si>
    <t>MM_Loan</t>
  </si>
  <si>
    <t>Ext</t>
  </si>
  <si>
    <t>Reverse_Repo</t>
  </si>
  <si>
    <t>Manual Adjustments</t>
  </si>
  <si>
    <t>Bonds_Structured</t>
  </si>
  <si>
    <t>Loan Mortgage</t>
  </si>
  <si>
    <t>Loan Public</t>
  </si>
  <si>
    <t>Derivates</t>
  </si>
  <si>
    <t>Comment</t>
  </si>
  <si>
    <t>Amount (USD)</t>
  </si>
  <si>
    <t>DEPFAPLC_NY</t>
  </si>
  <si>
    <t>AM_GICS_F</t>
  </si>
  <si>
    <t>AM_GICS_T</t>
  </si>
  <si>
    <t>Depfa Bank Plc</t>
  </si>
  <si>
    <t>Loan</t>
  </si>
  <si>
    <t>CAD</t>
  </si>
  <si>
    <t>293335PN</t>
  </si>
  <si>
    <t>617259PN</t>
  </si>
  <si>
    <t>293668PN</t>
  </si>
  <si>
    <t>397829PN</t>
  </si>
  <si>
    <t>645313PN</t>
  </si>
  <si>
    <t>318264PN</t>
  </si>
  <si>
    <t>351977PN</t>
  </si>
  <si>
    <t>293550PN</t>
  </si>
  <si>
    <t>645311PN</t>
  </si>
  <si>
    <t>322229PN</t>
  </si>
  <si>
    <t>SAN SABIA CAPITAL CORPORATION</t>
  </si>
  <si>
    <t>FX</t>
  </si>
  <si>
    <t>EUR</t>
  </si>
  <si>
    <t>Collateral</t>
  </si>
  <si>
    <t>Repo</t>
  </si>
  <si>
    <t>PALLAS CAPITAL CORP</t>
  </si>
  <si>
    <t>work day</t>
  </si>
  <si>
    <t>bucket Date</t>
  </si>
  <si>
    <t>version:</t>
  </si>
  <si>
    <t>2.1.2.0</t>
  </si>
  <si>
    <t>1D</t>
  </si>
  <si>
    <t>2D</t>
  </si>
  <si>
    <t>3D</t>
  </si>
  <si>
    <t>4D</t>
  </si>
  <si>
    <t>5D</t>
  </si>
  <si>
    <t>2W</t>
  </si>
  <si>
    <t>3W</t>
  </si>
  <si>
    <t>1M</t>
  </si>
  <si>
    <t>3M</t>
  </si>
  <si>
    <t>6M</t>
  </si>
  <si>
    <t>12M</t>
  </si>
  <si>
    <t>18M</t>
  </si>
  <si>
    <t>2Y</t>
  </si>
  <si>
    <t>Contractual Cashflows</t>
  </si>
  <si>
    <t>Nostros</t>
  </si>
  <si>
    <t>Bonds</t>
  </si>
  <si>
    <t>Bonds Mortgage</t>
  </si>
  <si>
    <t>Bonds Public</t>
  </si>
  <si>
    <t>Issues</t>
  </si>
  <si>
    <t>Issues Mortgage</t>
  </si>
  <si>
    <t>Issues Public</t>
  </si>
  <si>
    <t>Issues (Sub)</t>
  </si>
  <si>
    <t>Issues (Unsecured)</t>
  </si>
  <si>
    <t>Call Money</t>
  </si>
  <si>
    <t>Term Money</t>
  </si>
  <si>
    <t>Interest</t>
  </si>
  <si>
    <t>Others</t>
  </si>
  <si>
    <t>Total Contractuals</t>
  </si>
  <si>
    <t>Cum. Contractuals</t>
  </si>
  <si>
    <t>Assumptions</t>
  </si>
  <si>
    <t>Total Assumptions</t>
  </si>
  <si>
    <t>Cum. Assumptions</t>
  </si>
  <si>
    <t>Cumulative Liquidity Position</t>
  </si>
  <si>
    <t>MaRisk 3.2 Liqui Buffer (Cumultive)</t>
  </si>
  <si>
    <t>Buffer-eligible Nostro</t>
  </si>
  <si>
    <t xml:space="preserve">Buffer -eligible Bonds </t>
  </si>
  <si>
    <t>Buffer - eligible Cash</t>
  </si>
  <si>
    <t>Buffer-eligible  Facility</t>
  </si>
  <si>
    <t>Manual Buffer Adjustments</t>
  </si>
  <si>
    <t>MaRisk 3.2 Liqui Buffer (Cumulative)</t>
  </si>
  <si>
    <t>MaRisk 3.2 Headroom (Cumulative)</t>
  </si>
  <si>
    <t>CTLP</t>
  </si>
  <si>
    <t>Limit</t>
  </si>
  <si>
    <t>Headroom</t>
  </si>
  <si>
    <t>Date</t>
  </si>
  <si>
    <t>Bucket</t>
  </si>
  <si>
    <t>Key Bucket</t>
  </si>
  <si>
    <t>Key Date</t>
  </si>
  <si>
    <t>The buckets and corresponding dates are adjusted to wrk with a vlookup formula in the "...Query output" tab</t>
  </si>
  <si>
    <t>Line Item</t>
  </si>
  <si>
    <t>Flows to other entities within Depfa Group</t>
  </si>
  <si>
    <t>Scope</t>
  </si>
  <si>
    <t>USD/EUR FX Rate</t>
  </si>
  <si>
    <t>Other NY Entities</t>
  </si>
  <si>
    <t>Other entities within Depfa Group (including NY)</t>
  </si>
  <si>
    <t>Flows to other Depfa entities in New York</t>
  </si>
  <si>
    <t>Trade ID</t>
  </si>
  <si>
    <t>Desk</t>
  </si>
  <si>
    <t>Amount</t>
  </si>
  <si>
    <t>Company</t>
  </si>
  <si>
    <t>Deal Type</t>
  </si>
  <si>
    <t>Rate</t>
  </si>
  <si>
    <t>Text Start Date</t>
  </si>
  <si>
    <t>Text End Date</t>
  </si>
  <si>
    <t>Long Name</t>
  </si>
  <si>
    <t>GIC Mapping</t>
  </si>
  <si>
    <t>GIC Coupon</t>
  </si>
  <si>
    <t>FRB</t>
  </si>
  <si>
    <t>5.27%</t>
  </si>
  <si>
    <t>20220601</t>
  </si>
  <si>
    <t>Michigan Tobacco Settlement Finance Authority Tobacco Settlement Asset-Backed Bonds, Series 2006</t>
  </si>
  <si>
    <t>GICS Deposit Collateralized</t>
  </si>
  <si>
    <t>Fixed</t>
  </si>
  <si>
    <t>4.63%</t>
  </si>
  <si>
    <t>20361128</t>
  </si>
  <si>
    <t>Georgia Housing Finance Authority Single Family Mortgage Bonds 2006 Series B</t>
  </si>
  <si>
    <t>20401130</t>
  </si>
  <si>
    <t>20341130</t>
  </si>
  <si>
    <t>20331130</t>
  </si>
  <si>
    <t>20321130</t>
  </si>
  <si>
    <t>4.651%</t>
  </si>
  <si>
    <t>20061220</t>
  </si>
  <si>
    <t>20261215</t>
  </si>
  <si>
    <t>Texas Municipal Gas Acquisition and Supply Corporation ! Series 2006A B C</t>
  </si>
  <si>
    <t>4.731%</t>
  </si>
  <si>
    <t>20070228</t>
  </si>
  <si>
    <t>4.791%</t>
  </si>
  <si>
    <t>20071231</t>
  </si>
  <si>
    <t>20170701</t>
  </si>
  <si>
    <t>GICS Deposit</t>
  </si>
  <si>
    <t>VRB</t>
  </si>
  <si>
    <t>5.137%</t>
  </si>
  <si>
    <t>20411101</t>
  </si>
  <si>
    <t>Mass Development Finance Agency-First Mtg Rev Refunding Bonds, VOA Concord Assisted Living (2007)</t>
  </si>
  <si>
    <t>4.53%</t>
  </si>
  <si>
    <t>5.616%</t>
  </si>
  <si>
    <t>20211001</t>
  </si>
  <si>
    <t>Alabama State Port Authority, Docks Facilities Rev Bonds Series 2006A (AMT) &amp; 2006B (Non-AMT)</t>
  </si>
  <si>
    <t>5.647%</t>
  </si>
  <si>
    <t>Tyler Health Facilities Devel Corp (Trinity Mother Frances Health System), Series 2007A &amp; B</t>
  </si>
  <si>
    <t>5.49%</t>
  </si>
  <si>
    <t>20470601</t>
  </si>
  <si>
    <t>West Virginia Tobacco Settlement Finance Auth, Taxable Tobacco Settlement Asset-Backed Bds, 2007</t>
  </si>
  <si>
    <t>4.77%</t>
  </si>
  <si>
    <t>20070614</t>
  </si>
  <si>
    <t>California County Tobacco (Golden Gate) Series 2007A&amp;B</t>
  </si>
  <si>
    <t>4.94%</t>
  </si>
  <si>
    <t>20370529</t>
  </si>
  <si>
    <t>Kitsap County Consolidated Housing Authority (Washington) Housing Rev Bonds, 2007</t>
  </si>
  <si>
    <t>5.60%</t>
  </si>
  <si>
    <t>20070719</t>
  </si>
  <si>
    <t>20370801</t>
  </si>
  <si>
    <t>Washington Unified School District 20076 COP (New High School Project)</t>
  </si>
  <si>
    <t>4.25%</t>
  </si>
  <si>
    <t>20170901</t>
  </si>
  <si>
    <t>Thomas Ecomonic Development Authority, Educational Facilities-Public Schools Project Series 2007</t>
  </si>
  <si>
    <t>4.95%</t>
  </si>
  <si>
    <t>4.51%</t>
  </si>
  <si>
    <t>Peninsula Town Center Community Development Authority Special Obligations Bonds Series 2007</t>
  </si>
  <si>
    <t>5.078%</t>
  </si>
  <si>
    <t>20291001</t>
  </si>
  <si>
    <t>Michigan Municipal Bond Authority State Clean Water Revolving Fund Revenue Bonds, Series 2007</t>
  </si>
  <si>
    <t>3.83%</t>
  </si>
  <si>
    <t>20080207</t>
  </si>
  <si>
    <t>20240801</t>
  </si>
  <si>
    <t>Dormitory Authority of the State of New York (Montefiore Medical Center) Series 2008</t>
  </si>
  <si>
    <t>4.20%</t>
  </si>
  <si>
    <t>20360301</t>
  </si>
  <si>
    <t>Matagorda County Hospital District FHA Insured Hospital Mort Rev Bonds Series 2008</t>
  </si>
  <si>
    <t>3.70%</t>
  </si>
  <si>
    <t>5.667%</t>
  </si>
  <si>
    <t>20070904</t>
  </si>
  <si>
    <t>20270801</t>
  </si>
  <si>
    <t>SA Energy Acquisition Public Facility Corp Gas Supply Revenue Bonds Series 2007</t>
  </si>
  <si>
    <t>4.41%</t>
  </si>
  <si>
    <t>20180904</t>
  </si>
  <si>
    <t>Grady County School Finance Authority Educational Facilites (Chickasha Public Schools Series 2008</t>
  </si>
  <si>
    <t>3.15%</t>
  </si>
  <si>
    <t>20110401</t>
  </si>
  <si>
    <t>20250101</t>
  </si>
  <si>
    <t>MINNESOTA UTILITY ASSOCIATION FINANCING PROGRAM, SERIES 2005A</t>
  </si>
  <si>
    <t>CAD/EUR FX Rate</t>
  </si>
  <si>
    <t xml:space="preserve"> (USD)</t>
  </si>
  <si>
    <t>Nostro Balances</t>
  </si>
  <si>
    <t>Local Currency - from Operations</t>
  </si>
  <si>
    <t>USD Equivalent</t>
  </si>
  <si>
    <t>Refresh Data</t>
  </si>
  <si>
    <t>File Save Locations</t>
  </si>
  <si>
    <t>Root Folder</t>
  </si>
  <si>
    <t>Year</t>
  </si>
  <si>
    <t>Month</t>
  </si>
  <si>
    <t>Run Date</t>
  </si>
  <si>
    <t>Save Date</t>
  </si>
  <si>
    <t>Save File Name</t>
  </si>
  <si>
    <t>Save PDF Name</t>
  </si>
  <si>
    <t>Database Data Location</t>
  </si>
  <si>
    <t>csv Filename</t>
  </si>
  <si>
    <t>GIC Notional File Connections</t>
  </si>
  <si>
    <t>GIC Notional File 1</t>
  </si>
  <si>
    <t xml:space="preserve">Backup File 1: GIC Notional </t>
  </si>
  <si>
    <t xml:space="preserve">Backup File 2: GIC Notional </t>
  </si>
  <si>
    <t>[1wUSDxbma]</t>
  </si>
  <si>
    <t>San Sabia Capital Corporation</t>
  </si>
  <si>
    <t>Gics Deposit Collateralized</t>
  </si>
  <si>
    <t>Gics Deposit</t>
  </si>
  <si>
    <t>Sum of AMOUNT_USD</t>
  </si>
  <si>
    <t>PAYMENTDATE</t>
  </si>
  <si>
    <t>Key1</t>
  </si>
  <si>
    <t>Key2</t>
  </si>
  <si>
    <t>18M_Ext_Interest</t>
  </si>
  <si>
    <t>2Y_Ext_Interest</t>
  </si>
  <si>
    <t>3M_Ext_Interest</t>
  </si>
  <si>
    <t>12M_Ext_Interest</t>
  </si>
  <si>
    <t>3M_San Sabia Capital Corporation_Interest</t>
  </si>
  <si>
    <t>3M_San Sabia Capital Corporation</t>
  </si>
  <si>
    <t>6M_San Sabia Capital Corporation</t>
  </si>
  <si>
    <t>12M_San Sabia Capital Corporation</t>
  </si>
  <si>
    <t>18M_San Sabia Capital Corporation</t>
  </si>
  <si>
    <t>2Y_San Sabia Capital Corporation</t>
  </si>
  <si>
    <t>1M_Ext_Interest</t>
  </si>
  <si>
    <t>6M_Ext_Interest</t>
  </si>
  <si>
    <t>1D_Ext_Interest</t>
  </si>
  <si>
    <t>6M_Ext_Gics Deposit</t>
  </si>
  <si>
    <t>12M_Ext_Gics Deposit Collateralized</t>
  </si>
  <si>
    <t>2Y_Ext_Gics Deposit Collateralized</t>
  </si>
  <si>
    <t>12M_Ext_Gics Deposit</t>
  </si>
  <si>
    <t>2Y_Ext_Gics Deposit</t>
  </si>
  <si>
    <t>3M_Ext_Gics Deposit Collateralized</t>
  </si>
  <si>
    <t>6M_Ext_Gics Deposit Collateralized</t>
  </si>
  <si>
    <t>18M_Ext_Gics Deposit Collateralized</t>
  </si>
  <si>
    <t>3M_Ext_Gics Deposit</t>
  </si>
  <si>
    <t>(blank)</t>
  </si>
  <si>
    <t>Report Date - todays date</t>
  </si>
  <si>
    <t>File Date - previous date</t>
  </si>
  <si>
    <t>Contractual cashflows: Other NY entities</t>
  </si>
  <si>
    <t>Output</t>
  </si>
  <si>
    <t>calander days</t>
  </si>
  <si>
    <t>Uncollateralised GIC Deposit drawdown</t>
  </si>
  <si>
    <t>Collateralised GIC Deposit drawdown</t>
  </si>
  <si>
    <t>GIC collateral Refinancing</t>
  </si>
  <si>
    <t>Haircut</t>
  </si>
  <si>
    <t>Outstanding GIC Balance Uncollateralised</t>
  </si>
  <si>
    <t>Outstanding GIC Balance Collateralised</t>
  </si>
  <si>
    <t>Shervyn Von Hoerl's downgrade analysis 17th Feb 2009</t>
  </si>
  <si>
    <t>Business Days</t>
  </si>
  <si>
    <t>Days</t>
  </si>
  <si>
    <t>Worst Case Drawdown</t>
  </si>
  <si>
    <t>Proportion of Total</t>
  </si>
  <si>
    <t>Assumes All Uncollateralised GICs drawn down within 3-7 days</t>
  </si>
  <si>
    <t>GICS</t>
  </si>
  <si>
    <t>Summit</t>
  </si>
  <si>
    <t>1D_San Sabia Capital Corporation</t>
  </si>
  <si>
    <t>Daily Amount for each day in each bucket</t>
  </si>
  <si>
    <t>Day</t>
  </si>
  <si>
    <t>Business Date</t>
  </si>
  <si>
    <t>Daily Amount Percent</t>
  </si>
  <si>
    <t>Daily Amount</t>
  </si>
  <si>
    <t>Overview of Portfolio</t>
  </si>
  <si>
    <t>Check</t>
  </si>
  <si>
    <t>Collateralised Drawdowns</t>
  </si>
  <si>
    <t>Available Collateral</t>
  </si>
  <si>
    <t>Bucketed Drawdown on GIC Analysis</t>
  </si>
  <si>
    <t>The table below generates the daily outflow and then the released collateral from GICs</t>
  </si>
  <si>
    <t>GIC Drawdown</t>
  </si>
  <si>
    <t>GIC collateral rollover</t>
  </si>
  <si>
    <t>Save File Down</t>
  </si>
  <si>
    <t>Print PDF</t>
  </si>
  <si>
    <t>Note:Reverse Repos are expected to roll-over to mainly satisfy collateral requirements</t>
  </si>
  <si>
    <t>Further details are available from Treasury Department, NY.</t>
  </si>
  <si>
    <t>18M_Ext_Bonds</t>
  </si>
  <si>
    <t>This is the temp path until Fujitsu fix link</t>
  </si>
  <si>
    <t>\\stdpdedcfs001\dfs_shares03\DFS_001840_DP_USNY_Interdepartment_Liquidity\Liquidity\Import\LRS_Data_LiquiReports\</t>
  </si>
  <si>
    <t>Temp Path</t>
  </si>
  <si>
    <t>3W_San Sabia Capital Corporation</t>
  </si>
  <si>
    <t>3M_Depfa Bank Plc_Mm_Deposit</t>
  </si>
  <si>
    <t>3M_Depfa Bank Plc</t>
  </si>
  <si>
    <t>3M_Depfa Bank Plc_Interest</t>
  </si>
  <si>
    <t>3M_Ext_Bonds</t>
  </si>
  <si>
    <t>2Y_Depfa Bank Plc_Interest</t>
  </si>
  <si>
    <t>2Y_Depfa Bank Plc</t>
  </si>
  <si>
    <t>18M_Depfa Bank Plc_Interest</t>
  </si>
  <si>
    <t>18M_Depfa Bank Plc</t>
  </si>
  <si>
    <t>Follow the steps below as they are numbered</t>
  </si>
  <si>
    <t>Only the yellow boxes are to be filled by person - everything else is automated</t>
  </si>
  <si>
    <t>20160421</t>
  </si>
  <si>
    <t>956905DE</t>
  </si>
  <si>
    <t>AM_GICMAC_T</t>
  </si>
  <si>
    <t>DEPFA_EUR</t>
  </si>
  <si>
    <t>20160401</t>
  </si>
  <si>
    <t>956906DE</t>
  </si>
  <si>
    <t>957030DE</t>
  </si>
  <si>
    <t>AM_GICMAC_F</t>
  </si>
  <si>
    <t>20160407</t>
  </si>
  <si>
    <t>957091DE</t>
  </si>
  <si>
    <t>20160413</t>
  </si>
  <si>
    <t>957147DE</t>
  </si>
  <si>
    <t>20160418</t>
  </si>
  <si>
    <t>957148DE</t>
  </si>
  <si>
    <t>957149DE</t>
  </si>
  <si>
    <t>957150DE</t>
  </si>
  <si>
    <t>957230DE</t>
  </si>
  <si>
    <t>AM_GICMI_F</t>
  </si>
  <si>
    <t>957231DE</t>
  </si>
  <si>
    <t>AMOUNT</t>
  </si>
  <si>
    <t>AMOUNT_EUR</t>
  </si>
  <si>
    <t>FX_RATE</t>
  </si>
  <si>
    <t>CURRENCY</t>
  </si>
  <si>
    <t>CFTYPE</t>
  </si>
  <si>
    <t>AFTERFIRSTCALL</t>
  </si>
  <si>
    <t>COVERPOOL</t>
  </si>
  <si>
    <t>COVERPOOLAMOUNT</t>
  </si>
  <si>
    <t>COVERPOOLAMOUNT_EUR</t>
  </si>
  <si>
    <t>REGREPORTCLASSIFIER</t>
  </si>
  <si>
    <t>TR_EXTTRADEID</t>
  </si>
  <si>
    <t>TR_SOURCESYSTEM</t>
  </si>
  <si>
    <t>LO_EXTLOANID</t>
  </si>
  <si>
    <t>TR_MATURITY</t>
  </si>
  <si>
    <t>TR_BOOK</t>
  </si>
  <si>
    <t>TR_DESK</t>
  </si>
  <si>
    <t>TR_INTERNAL</t>
  </si>
  <si>
    <t>LIQUITRADETYPE_HRE</t>
  </si>
  <si>
    <t>CUSTOMERNAME</t>
  </si>
  <si>
    <t>CUSTOMERID</t>
  </si>
  <si>
    <t>PRODUCTCLASS</t>
  </si>
  <si>
    <t>PRODUCTCATEGORY</t>
  </si>
  <si>
    <t>OB_OWNBANK</t>
  </si>
  <si>
    <t>OB_LEGAL_ENTITY</t>
  </si>
  <si>
    <t>AS_SECURITYID</t>
  </si>
  <si>
    <t>ACC_ACCOUNT</t>
  </si>
  <si>
    <t>USD</t>
  </si>
  <si>
    <t>INTEREST_AND_FEES</t>
  </si>
  <si>
    <t>NONE</t>
  </si>
  <si>
    <t>IGNORED</t>
  </si>
  <si>
    <t>SUMMIT</t>
  </si>
  <si>
    <t>FV_OPEN_DER</t>
  </si>
  <si>
    <t>INTRA_SUB_ENTITY</t>
  </si>
  <si>
    <t>Depfa Bank Plc, New York</t>
  </si>
  <si>
    <t>Derivative</t>
  </si>
  <si>
    <t>Option</t>
  </si>
  <si>
    <t>DEPFA</t>
  </si>
  <si>
    <t>169.53</t>
  </si>
  <si>
    <t>DERIVATES</t>
  </si>
  <si>
    <t>Swap</t>
  </si>
  <si>
    <t>-20692.5</t>
  </si>
  <si>
    <t>242612.5</t>
  </si>
  <si>
    <t>INFLOW_OTHER</t>
  </si>
  <si>
    <t>631440PN</t>
  </si>
  <si>
    <t>SV_BTOBV_T</t>
  </si>
  <si>
    <t>Morgan Stanley &amp; Co International Plc</t>
  </si>
  <si>
    <t>INFLOW_NON_GOV_LOANS</t>
  </si>
  <si>
    <t>FV_SHORT_TM</t>
  </si>
  <si>
    <t>LOAN</t>
  </si>
  <si>
    <t>New Mexico Mortgage Finance Authority</t>
  </si>
  <si>
    <t>Lending</t>
  </si>
  <si>
    <t>-19376.75</t>
  </si>
  <si>
    <t>953111SA</t>
  </si>
  <si>
    <t>LIAB_GEN_U</t>
  </si>
  <si>
    <t>MM_DEPOSIT</t>
  </si>
  <si>
    <t>Money Market</t>
  </si>
  <si>
    <t>Short Term Paper</t>
  </si>
  <si>
    <t>PRINCIPAL_FLOW</t>
  </si>
  <si>
    <t>OUTFLOW_DEPOSITS_LOANS</t>
  </si>
  <si>
    <t>955065SA</t>
  </si>
  <si>
    <t>LN_RC_GEN_U</t>
  </si>
  <si>
    <t>TL_COLL_L</t>
  </si>
  <si>
    <t>COLLATERAL</t>
  </si>
  <si>
    <t>US31359MEU36</t>
  </si>
  <si>
    <t>INFLOW_NON_GOV_INVESTMENTS</t>
  </si>
  <si>
    <t>AM_BANKBND_L</t>
  </si>
  <si>
    <t>BONDS</t>
  </si>
  <si>
    <t>Bond</t>
  </si>
  <si>
    <t>US917546BN24_LF5</t>
  </si>
  <si>
    <t>149193.83</t>
  </si>
  <si>
    <t>153408.34</t>
  </si>
  <si>
    <t>151722.54</t>
  </si>
  <si>
    <t>150879.63</t>
  </si>
  <si>
    <t>32562.5</t>
  </si>
  <si>
    <t>INFLOW_SEC_SALES_IN_MFIS</t>
  </si>
  <si>
    <t>LN_DES_GEN_U</t>
  </si>
  <si>
    <t>US31331YHY95</t>
  </si>
  <si>
    <t>AFS_GEN_U</t>
  </si>
  <si>
    <t>J.P. Morgan Securities LLC</t>
  </si>
  <si>
    <t>US3137EAAG46</t>
  </si>
  <si>
    <t>OUTFLOW_GENERAL_GOV_FIX_PERIOD_DEPOSITS</t>
  </si>
  <si>
    <t>LIAB_GEN_H</t>
  </si>
  <si>
    <t>D_644377SA</t>
  </si>
  <si>
    <t>-662031.25</t>
  </si>
  <si>
    <t>957099PN</t>
  </si>
  <si>
    <t>REPO</t>
  </si>
  <si>
    <t>INFLOW_CENTRAL_GOV_INVESTMENTS</t>
  </si>
  <si>
    <t>Prime System New York Branch</t>
  </si>
  <si>
    <t>US912810FE39</t>
  </si>
  <si>
    <t>INFLOW_GENERAL_GOV_LENDINGS</t>
  </si>
  <si>
    <t>D_953128PN</t>
  </si>
  <si>
    <t>953128PN</t>
  </si>
  <si>
    <t>MM_LOAN</t>
  </si>
  <si>
    <t>Money Market/Nostro</t>
  </si>
  <si>
    <t>-125.43</t>
  </si>
  <si>
    <t>D_644381SA</t>
  </si>
  <si>
    <t>NEVADA HOUSING DIVISION</t>
  </si>
  <si>
    <t>494940.14</t>
  </si>
  <si>
    <t>-8421.52</t>
  </si>
  <si>
    <t>-8328.47</t>
  </si>
  <si>
    <t>-7118.75</t>
  </si>
  <si>
    <t>D_617259PN</t>
  </si>
  <si>
    <t>Midwest Consortium Municipal Utilities (Minnesota Municipal Utilties)</t>
  </si>
  <si>
    <t>-602622.22</t>
  </si>
  <si>
    <t>952115PN</t>
  </si>
  <si>
    <t>FV_OUTRIGHT</t>
  </si>
  <si>
    <t>AM_IRSWPS_T</t>
  </si>
  <si>
    <t>INTRA_ENTITY</t>
  </si>
  <si>
    <t>-589377.78</t>
  </si>
  <si>
    <t>D_645313PN</t>
  </si>
  <si>
    <t>Housing Finance Author. of Manatee County Florida</t>
  </si>
  <si>
    <t>-4404.33</t>
  </si>
  <si>
    <t>-4477.33</t>
  </si>
  <si>
    <t>D_293335PN</t>
  </si>
  <si>
    <t>TEXAS MUNICIPAL GAS ACQUISITON &amp; SUPPLY CORP I</t>
  </si>
  <si>
    <t>-146815.81</t>
  </si>
  <si>
    <t>5182540.81</t>
  </si>
  <si>
    <t>-42451380.76</t>
  </si>
  <si>
    <t>-75524.02</t>
  </si>
  <si>
    <t>6955203.85</t>
  </si>
  <si>
    <t>6907341.88</t>
  </si>
  <si>
    <t>-29154.65</t>
  </si>
  <si>
    <t>-54609.72</t>
  </si>
  <si>
    <t>7426564.86</t>
  </si>
  <si>
    <t>-1756615.13</t>
  </si>
  <si>
    <t>-77588.78</t>
  </si>
  <si>
    <t>7539625.59</t>
  </si>
  <si>
    <t>-106647.15</t>
  </si>
  <si>
    <t>7457026.22</t>
  </si>
  <si>
    <t>-131635.3</t>
  </si>
  <si>
    <t>7903139.84</t>
  </si>
  <si>
    <t>-42432287.11</t>
  </si>
  <si>
    <t>6223607.15</t>
  </si>
  <si>
    <t>-76280.92</t>
  </si>
  <si>
    <t>-24582.11</t>
  </si>
  <si>
    <t>7585400.52</t>
  </si>
  <si>
    <t>-49269.02</t>
  </si>
  <si>
    <t>8051645.87</t>
  </si>
  <si>
    <t>-1688027.85</t>
  </si>
  <si>
    <t>-82696.54</t>
  </si>
  <si>
    <t>7280725.25</t>
  </si>
  <si>
    <t>7584037.44</t>
  </si>
  <si>
    <t>-106879.8</t>
  </si>
  <si>
    <t>-138403.45</t>
  </si>
  <si>
    <t>4979339.08</t>
  </si>
  <si>
    <t>-40016727.46</t>
  </si>
  <si>
    <t>-71387.65</t>
  </si>
  <si>
    <t>6583425.15</t>
  </si>
  <si>
    <t>-26005.61</t>
  </si>
  <si>
    <t>6528504.88</t>
  </si>
  <si>
    <t>-51794.28</t>
  </si>
  <si>
    <t>7014418.6</t>
  </si>
  <si>
    <t>-1726430.58</t>
  </si>
  <si>
    <t>7113396.57</t>
  </si>
  <si>
    <t>-74324.38</t>
  </si>
  <si>
    <t>-100781.79</t>
  </si>
  <si>
    <t>7037348.57</t>
  </si>
  <si>
    <t>-124432.72</t>
  </si>
  <si>
    <t>7447298.73</t>
  </si>
  <si>
    <t>-39997961.92</t>
  </si>
  <si>
    <t>5823360.25</t>
  </si>
  <si>
    <t>-72838.25</t>
  </si>
  <si>
    <t>-23003.23</t>
  </si>
  <si>
    <t>7084240.74</t>
  </si>
  <si>
    <t>-46052.91</t>
  </si>
  <si>
    <t>7535970.66</t>
  </si>
  <si>
    <t>-1654050.08</t>
  </si>
  <si>
    <t>RBC CAPTIAL MARKETS, LLC</t>
  </si>
  <si>
    <t>US912828VG29</t>
  </si>
  <si>
    <t>-4805.17</t>
  </si>
  <si>
    <t>957019PN</t>
  </si>
  <si>
    <t>FV_HEDGE</t>
  </si>
  <si>
    <t>114313.98</t>
  </si>
  <si>
    <t>-6816.64</t>
  </si>
  <si>
    <t>D_644388SA</t>
  </si>
  <si>
    <t>Charles A. Beckett Associates Limited Partnership</t>
  </si>
  <si>
    <t>320445.18</t>
  </si>
  <si>
    <t>-13743.17</t>
  </si>
  <si>
    <t>-14130.28</t>
  </si>
  <si>
    <t>6807742.54</t>
  </si>
  <si>
    <t>-78039.91</t>
  </si>
  <si>
    <t>644409SA</t>
  </si>
  <si>
    <t>US912796FH75</t>
  </si>
  <si>
    <t>US912796FQ74</t>
  </si>
  <si>
    <t>US912796FT14</t>
  </si>
  <si>
    <t>US912796FY09</t>
  </si>
  <si>
    <t>US912796GX17</t>
  </si>
  <si>
    <t>US912796HC60</t>
  </si>
  <si>
    <t>US912796HG74</t>
  </si>
  <si>
    <t>US912796HL69</t>
  </si>
  <si>
    <t>US912796HR30</t>
  </si>
  <si>
    <t>US912828UC24</t>
  </si>
  <si>
    <t>UP_STUDNBK_L</t>
  </si>
  <si>
    <t>US78442GNC68</t>
  </si>
  <si>
    <t>1323.16</t>
  </si>
  <si>
    <t>-234204.5</t>
  </si>
  <si>
    <t>D_351977PN</t>
  </si>
  <si>
    <t>Dormitory Authority State of New York</t>
  </si>
  <si>
    <t>-106937.5</t>
  </si>
  <si>
    <t>-108125.69</t>
  </si>
  <si>
    <t>18100.48</t>
  </si>
  <si>
    <t>957100SA</t>
  </si>
  <si>
    <t>REVERSE_REPO</t>
  </si>
  <si>
    <t>US3133XN4B26</t>
  </si>
  <si>
    <t>D_293668PN</t>
  </si>
  <si>
    <t>-153152.18</t>
  </si>
  <si>
    <t>5005786.69</t>
  </si>
  <si>
    <t>-167869.76</t>
  </si>
  <si>
    <t>3778542.94</t>
  </si>
  <si>
    <t>-189894.04</t>
  </si>
  <si>
    <t>-204237.94</t>
  </si>
  <si>
    <t>4062574.94</t>
  </si>
  <si>
    <t>-213603.56</t>
  </si>
  <si>
    <t>4118115.57</t>
  </si>
  <si>
    <t>-237434.79</t>
  </si>
  <si>
    <t>4073000.1</t>
  </si>
  <si>
    <t>-245770.48</t>
  </si>
  <si>
    <t>4315993.39</t>
  </si>
  <si>
    <t>6421839.39</t>
  </si>
  <si>
    <t>-132200.43</t>
  </si>
  <si>
    <t>-26128.6</t>
  </si>
  <si>
    <t>7827008.14</t>
  </si>
  <si>
    <t>-52368.61</t>
  </si>
  <si>
    <t>8309003.57</t>
  </si>
  <si>
    <t>-91789.45</t>
  </si>
  <si>
    <t>7496523.37</t>
  </si>
  <si>
    <t>7808825.63</t>
  </si>
  <si>
    <t>-120398.34</t>
  </si>
  <si>
    <t>-154067.95</t>
  </si>
  <si>
    <t>5126924.92</t>
  </si>
  <si>
    <t>-169286.86</t>
  </si>
  <si>
    <t>4093968.83</t>
  </si>
  <si>
    <t>-191588.41</t>
  </si>
  <si>
    <t>4059816.1</t>
  </si>
  <si>
    <t>-208108.07</t>
  </si>
  <si>
    <t>4361986.41</t>
  </si>
  <si>
    <t>D_293550PN</t>
  </si>
  <si>
    <t>-54233.88</t>
  </si>
  <si>
    <t>1736494.11</t>
  </si>
  <si>
    <t>-59218.3</t>
  </si>
  <si>
    <t>1478225.86</t>
  </si>
  <si>
    <t>1468053.51</t>
  </si>
  <si>
    <t>-67495.21</t>
  </si>
  <si>
    <t>-72998.37</t>
  </si>
  <si>
    <t>1578406.68</t>
  </si>
  <si>
    <t>-76764.44</t>
  </si>
  <si>
    <t>1713544.35</t>
  </si>
  <si>
    <t>12.13</t>
  </si>
  <si>
    <t>81.93</t>
  </si>
  <si>
    <t>8328.47</t>
  </si>
  <si>
    <t>8421.53</t>
  </si>
  <si>
    <t>-856718.75</t>
  </si>
  <si>
    <t>-133391.66</t>
  </si>
  <si>
    <t>D_322229PN</t>
  </si>
  <si>
    <t>Washington Unified School District</t>
  </si>
  <si>
    <t>D_644383SA</t>
  </si>
  <si>
    <t>-14111.17</t>
  </si>
  <si>
    <t>Utah State Board of Regents</t>
  </si>
  <si>
    <t>LN_DES_TR_U</t>
  </si>
  <si>
    <t>US3133XLPP20</t>
  </si>
  <si>
    <t>US917546BN24_LF6</t>
  </si>
  <si>
    <t>US662826DC77_LF3</t>
  </si>
  <si>
    <t>INFLOW_GENERAL_GOV_INVESTMENTS</t>
  </si>
  <si>
    <t>LN_RCS_GEN_U</t>
  </si>
  <si>
    <t>FMS Wertmanagement A├╢R</t>
  </si>
  <si>
    <t>US452151MZ39_LF53</t>
  </si>
  <si>
    <t>644550SA</t>
  </si>
  <si>
    <t>Hawaiian Paradise Park  Owners  Association</t>
  </si>
  <si>
    <t>D_644385SA</t>
  </si>
  <si>
    <t>ARKANSAS DEVELOPMENT FINANCE AUTHORITY</t>
  </si>
  <si>
    <t>-14618.33</t>
  </si>
  <si>
    <t>-4869.1</t>
  </si>
  <si>
    <t>86.16</t>
  </si>
  <si>
    <t>D_397829PN</t>
  </si>
  <si>
    <t>CPS Energy</t>
  </si>
  <si>
    <t>-37896333.9</t>
  </si>
  <si>
    <t>-8888156.25</t>
  </si>
  <si>
    <t>-38091303.75</t>
  </si>
  <si>
    <t>-8102231.25</t>
  </si>
  <si>
    <t>D_646501SA</t>
  </si>
  <si>
    <t>MISSOURI HOUSING DEVELOPMENT COMMISSION</t>
  </si>
  <si>
    <t>-21273.75</t>
  </si>
  <si>
    <t>D_644384SA</t>
  </si>
  <si>
    <t>957017PN</t>
  </si>
  <si>
    <t>-6563.33</t>
  </si>
  <si>
    <t>-86189.65</t>
  </si>
  <si>
    <t>1694771.84</t>
  </si>
  <si>
    <t>-89981.44</t>
  </si>
  <si>
    <t>1796160.89</t>
  </si>
  <si>
    <t>2765156.81</t>
  </si>
  <si>
    <t>-45599.23</t>
  </si>
  <si>
    <t>-11109.73</t>
  </si>
  <si>
    <t>3370203.37</t>
  </si>
  <si>
    <t>-22266.82</t>
  </si>
  <si>
    <t>3577744.06</t>
  </si>
  <si>
    <t>-39028.32</t>
  </si>
  <si>
    <t>3048014.81</t>
  </si>
  <si>
    <t>3174993.93</t>
  </si>
  <si>
    <t>-50444.58</t>
  </si>
  <si>
    <t>-64033.05</t>
  </si>
  <si>
    <t>2084558.71</t>
  </si>
  <si>
    <t>-70073.26</t>
  </si>
  <si>
    <t>1833486.05</t>
  </si>
  <si>
    <t>-79776.18</t>
  </si>
  <si>
    <t>1818190.73</t>
  </si>
  <si>
    <t>-87081.87</t>
  </si>
  <si>
    <t>1953517.86</t>
  </si>
  <si>
    <t>2099344.78</t>
  </si>
  <si>
    <t>-92141.13</t>
  </si>
  <si>
    <t>-103366.71</t>
  </si>
  <si>
    <t>2076901.07</t>
  </si>
  <si>
    <t>-108108.32</t>
  </si>
  <si>
    <t>2197887.82</t>
  </si>
  <si>
    <t>2729693.82</t>
  </si>
  <si>
    <t>-55146.53</t>
  </si>
  <si>
    <t>-10968.21</t>
  </si>
  <si>
    <t>3320730.17</t>
  </si>
  <si>
    <t>-30514.63</t>
  </si>
  <si>
    <t>D_644386SA</t>
  </si>
  <si>
    <t>-30345.1</t>
  </si>
  <si>
    <t>-21958.57</t>
  </si>
  <si>
    <t>3532478.07</t>
  </si>
  <si>
    <t>3022648.38</t>
  </si>
  <si>
    <t>-38896.93</t>
  </si>
  <si>
    <t>4413060.53</t>
  </si>
  <si>
    <t>-219150.84</t>
  </si>
  <si>
    <t>-243814.34</t>
  </si>
  <si>
    <t>4365881.3</t>
  </si>
  <si>
    <t>-253141.36</t>
  </si>
  <si>
    <t>4615161.81</t>
  </si>
  <si>
    <t>7103694.58</t>
  </si>
  <si>
    <t>-137522.36</t>
  </si>
  <si>
    <t>-28905.42</t>
  </si>
  <si>
    <t>8641794.49</t>
  </si>
  <si>
    <t>-57869.2</t>
  </si>
  <si>
    <t>9192842.55</t>
  </si>
  <si>
    <t>8259562.97</t>
  </si>
  <si>
    <t>-102559.92</t>
  </si>
  <si>
    <t>4116.51</t>
  </si>
  <si>
    <t>19376.75</t>
  </si>
  <si>
    <t>US662826DC77_LF2</t>
  </si>
  <si>
    <t>3002.85</t>
  </si>
  <si>
    <t>D_644376SA</t>
  </si>
  <si>
    <t>-22656.25</t>
  </si>
  <si>
    <t>20692.5</t>
  </si>
  <si>
    <t>TL_LIQSIR_L</t>
  </si>
  <si>
    <t>565.07</t>
  </si>
  <si>
    <t>5904.52</t>
  </si>
  <si>
    <t>13819.72</t>
  </si>
  <si>
    <t>14130.28</t>
  </si>
  <si>
    <t>-149193.83</t>
  </si>
  <si>
    <t>-153408.34</t>
  </si>
  <si>
    <t>-151722.54</t>
  </si>
  <si>
    <t>-150879.63</t>
  </si>
  <si>
    <t>LN_DES_TR_H</t>
  </si>
  <si>
    <t>D_644373SA</t>
  </si>
  <si>
    <t>Longhorn Village</t>
  </si>
  <si>
    <t>-63631.04</t>
  </si>
  <si>
    <t>D_318264PN</t>
  </si>
  <si>
    <t>Marin County Board Supervisors</t>
  </si>
  <si>
    <t>D_645311PN</t>
  </si>
  <si>
    <t>-5772.92</t>
  </si>
  <si>
    <t>30514.63</t>
  </si>
  <si>
    <t>30345.1</t>
  </si>
  <si>
    <t>321901.16</t>
  </si>
  <si>
    <t>301053.33</t>
  </si>
  <si>
    <t>297606.82</t>
  </si>
  <si>
    <t>392087.85</t>
  </si>
  <si>
    <t>378210.72</t>
  </si>
  <si>
    <t>418373.84</t>
  </si>
  <si>
    <t>457612.15</t>
  </si>
  <si>
    <t>280713.99</t>
  </si>
  <si>
    <t>65296.11</t>
  </si>
  <si>
    <t>126820.41</t>
  </si>
  <si>
    <t>192218.58</t>
  </si>
  <si>
    <t>217528.26</t>
  </si>
  <si>
    <t>337751.85</t>
  </si>
  <si>
    <t>310280.83</t>
  </si>
  <si>
    <t>331418.67</t>
  </si>
  <si>
    <t>382775.81</t>
  </si>
  <si>
    <t>382567.35</t>
  </si>
  <si>
    <t>452296.99</t>
  </si>
  <si>
    <t>477912.51</t>
  </si>
  <si>
    <t>289756.74</t>
  </si>
  <si>
    <t>68405.86</t>
  </si>
  <si>
    <t>128678.8</t>
  </si>
  <si>
    <t>192547.18</t>
  </si>
  <si>
    <t>-1004.01</t>
  </si>
  <si>
    <t>953112SA</t>
  </si>
  <si>
    <t>-221938.89</t>
  </si>
  <si>
    <t>955880PN</t>
  </si>
  <si>
    <t>Illinois State</t>
  </si>
  <si>
    <t>951874SA</t>
  </si>
  <si>
    <t>1172.16</t>
  </si>
  <si>
    <t>6563.33</t>
  </si>
  <si>
    <t>GIC Flag</t>
  </si>
  <si>
    <t>Not GIC</t>
  </si>
  <si>
    <t>Mm_Deposit</t>
  </si>
  <si>
    <t>Key3 - SanSabia Company Flow</t>
  </si>
  <si>
    <t>2W_San Sabia Capital Corporation</t>
  </si>
  <si>
    <t>1D_Depfa Bank Plc_Interest</t>
  </si>
  <si>
    <t>1D_Depfa Bank Plc</t>
  </si>
  <si>
    <t>1M_Depfa Bank Plc_Interest</t>
  </si>
  <si>
    <t>1M_Depfa Bank Plc</t>
  </si>
  <si>
    <t>12M_Depfa Bank Plc_Interest</t>
  </si>
  <si>
    <t>12M_Depfa Bank Plc</t>
  </si>
  <si>
    <t>6M_Depfa Bank Plc_Interest</t>
  </si>
  <si>
    <t>6M_Depfa Bank Plc</t>
  </si>
  <si>
    <t>3W_Depfa Bank Plc_Interest</t>
  </si>
  <si>
    <t>3W_Depfa Bank Plc</t>
  </si>
  <si>
    <t>AMOUNT_USD</t>
  </si>
  <si>
    <t>20160504</t>
  </si>
  <si>
    <t>957337DE</t>
  </si>
  <si>
    <t>20160425</t>
  </si>
  <si>
    <t>957338DE</t>
  </si>
  <si>
    <t>957339DE</t>
  </si>
  <si>
    <t>957341DE</t>
  </si>
  <si>
    <t>957342DE</t>
  </si>
  <si>
    <t>957345DE</t>
  </si>
  <si>
    <t>957346DE</t>
  </si>
  <si>
    <t>957347DE</t>
  </si>
  <si>
    <t>957348DE</t>
  </si>
  <si>
    <t>957388DE</t>
  </si>
  <si>
    <t>20160427</t>
  </si>
  <si>
    <t>957389DE</t>
  </si>
  <si>
    <t>957390DE</t>
  </si>
  <si>
    <t>957468DE</t>
  </si>
  <si>
    <t>957470DE</t>
  </si>
  <si>
    <t>957474DE</t>
  </si>
  <si>
    <t>957475DE</t>
  </si>
  <si>
    <t>957278SA</t>
  </si>
  <si>
    <t>AM_GICSAB_T</t>
  </si>
  <si>
    <t>957275SA</t>
  </si>
  <si>
    <t>108.39</t>
  </si>
  <si>
    <t>277.94</t>
  </si>
  <si>
    <t>5190.57</t>
  </si>
  <si>
    <t>2441.56</t>
  </si>
  <si>
    <t>276838.37</t>
  </si>
  <si>
    <t>-12458.05</t>
  </si>
  <si>
    <t>193582.06</t>
  </si>
  <si>
    <t>-2675.01</t>
  </si>
  <si>
    <t>957309PN</t>
  </si>
  <si>
    <t>340.28</t>
  </si>
  <si>
    <t>957272SA</t>
  </si>
  <si>
    <t>9980.97</t>
  </si>
  <si>
    <t>1725.19</t>
  </si>
  <si>
    <t>14327.52</t>
  </si>
  <si>
    <t>14729.98</t>
  </si>
  <si>
    <t>41.43</t>
  </si>
  <si>
    <t>-97851.68</t>
  </si>
  <si>
    <t>7093136.07</t>
  </si>
  <si>
    <t>-25475.33</t>
  </si>
  <si>
    <t>-903886.3</t>
  </si>
  <si>
    <t>10110.45</t>
  </si>
  <si>
    <t>957274SA</t>
  </si>
  <si>
    <t>5538.58</t>
  </si>
  <si>
    <t>-8281.79</t>
  </si>
  <si>
    <t>-241989.28</t>
  </si>
  <si>
    <t>1251.7</t>
  </si>
  <si>
    <t>957276SA</t>
  </si>
  <si>
    <t>10349.5</t>
  </si>
  <si>
    <t>9222.47</t>
  </si>
  <si>
    <t>536.09</t>
  </si>
  <si>
    <t>541.88</t>
  </si>
  <si>
    <t>-8.86</t>
  </si>
  <si>
    <t>957378PN</t>
  </si>
  <si>
    <t>-16461.44</t>
  </si>
  <si>
    <t>-32404.12</t>
  </si>
  <si>
    <t>-47832.53</t>
  </si>
  <si>
    <t>-63775.22</t>
  </si>
  <si>
    <t>-85374.99</t>
  </si>
  <si>
    <t>-71770.23</t>
  </si>
  <si>
    <t>-93877.42</t>
  </si>
  <si>
    <t>-114997.2</t>
  </si>
  <si>
    <t>-132684.68</t>
  </si>
  <si>
    <t>-148113.09</t>
  </si>
  <si>
    <t>-164055.78</t>
  </si>
  <si>
    <t>-6484.27</t>
  </si>
  <si>
    <t>-68182.42</t>
  </si>
  <si>
    <t>-90165.89</t>
  </si>
  <si>
    <t>-49016.6</t>
  </si>
  <si>
    <t>3149363.56</t>
  </si>
  <si>
    <t>-111285.66</t>
  </si>
  <si>
    <t>-133605.43</t>
  </si>
  <si>
    <t>-149033.84</t>
  </si>
  <si>
    <t>-164976.52</t>
  </si>
  <si>
    <t>-6514.96</t>
  </si>
  <si>
    <t>-19344.17</t>
  </si>
  <si>
    <t>-641138.02</t>
  </si>
  <si>
    <t>-14274.24</t>
  </si>
  <si>
    <t>-587.09</t>
  </si>
  <si>
    <t>957269SA</t>
  </si>
  <si>
    <t>80680.35</t>
  </si>
  <si>
    <t>-252.66</t>
  </si>
  <si>
    <t>957277SA</t>
  </si>
  <si>
    <t>-22099.25</t>
  </si>
  <si>
    <t>-569802.15</t>
  </si>
  <si>
    <t>957271SA</t>
  </si>
  <si>
    <t>261.86</t>
  </si>
  <si>
    <t>4040.83</t>
  </si>
  <si>
    <t>2577.29</t>
  </si>
  <si>
    <t>29.77</t>
  </si>
  <si>
    <t>957279SA</t>
  </si>
  <si>
    <t>957270SA</t>
  </si>
  <si>
    <t>743.91</t>
  </si>
  <si>
    <t>13235.01</t>
  </si>
  <si>
    <t>6800.35</t>
  </si>
  <si>
    <t>-10555.2</t>
  </si>
  <si>
    <t>248508.35</t>
  </si>
  <si>
    <t>-4333.94</t>
  </si>
  <si>
    <t>35948.2</t>
  </si>
  <si>
    <t>392.53</t>
  </si>
  <si>
    <t>957273SA</t>
  </si>
  <si>
    <t>2.54</t>
  </si>
  <si>
    <t>-9344.86</t>
  </si>
  <si>
    <t>1260075.73</t>
  </si>
  <si>
    <t>-130726.94</t>
  </si>
  <si>
    <t>8605819.6</t>
  </si>
  <si>
    <t>2W_Depfa Bank Plc_Interest</t>
  </si>
  <si>
    <t>2W_Depfa Bank Plc</t>
  </si>
  <si>
    <t>3M_Depfa Bank Plc_Bonds</t>
  </si>
  <si>
    <t>6M_Ext_Bonds</t>
  </si>
  <si>
    <t>3D_Depfa Bank Plc_Interest</t>
  </si>
  <si>
    <t>3D_Depfa Bank Plc</t>
  </si>
  <si>
    <t>-7.789010989010989010989010989010989011</t>
  </si>
  <si>
    <t>1.1375</t>
  </si>
  <si>
    <t>-14.62</t>
  </si>
  <si>
    <t>-12.852747252747252747252747252747252747</t>
  </si>
  <si>
    <t>-10.47</t>
  </si>
  <si>
    <t>-9.2043956043956043956043956043956043956</t>
  </si>
  <si>
    <t>-33.84</t>
  </si>
  <si>
    <t>-29.749450549450549450549450549450549451</t>
  </si>
  <si>
    <t>-39.56043956043956043956043956043956044</t>
  </si>
  <si>
    <t>-46.5</t>
  </si>
  <si>
    <t>-40.879120879120879120879120879120879121</t>
  </si>
  <si>
    <t>-68.98</t>
  </si>
  <si>
    <t>-60.641758241758241758241758241758241758</t>
  </si>
  <si>
    <t>-90.24</t>
  </si>
  <si>
    <t>-79.331868131868131868131868131868131868</t>
  </si>
  <si>
    <t>-107.83</t>
  </si>
  <si>
    <t>-94.795604395604395604395604395604395604</t>
  </si>
  <si>
    <t>-141.26</t>
  </si>
  <si>
    <t>-124.18461538461538461538461538461538462</t>
  </si>
  <si>
    <t>-136.7</t>
  </si>
  <si>
    <t>-120.17582417582417582417582417582417582</t>
  </si>
  <si>
    <t>-175.23</t>
  </si>
  <si>
    <t>-154.04835164835164835164835164835164835</t>
  </si>
  <si>
    <t>-185.23</t>
  </si>
  <si>
    <t>-162.83956043956043956043956043956043956</t>
  </si>
  <si>
    <t>-191.41</t>
  </si>
  <si>
    <t>-168.27252747252747252747252747252747253</t>
  </si>
  <si>
    <t>-172.87</t>
  </si>
  <si>
    <t>-151.97362637362637362637362637362637363</t>
  </si>
  <si>
    <t>170182.030769230769230769230769230769231</t>
  </si>
  <si>
    <t>-2351.6571428571428571428571428571428571</t>
  </si>
  <si>
    <t>-263736.26373626373626373626373626373626</t>
  </si>
  <si>
    <t>-5075.0945054945054945054945054945054945</t>
  </si>
  <si>
    <t>-222.11868131868131868131868131868131868</t>
  </si>
  <si>
    <t>-246.4</t>
  </si>
  <si>
    <t>-216.61538461538461538461538461538461539</t>
  </si>
  <si>
    <t>-243.51</t>
  </si>
  <si>
    <t>-214.07472527472527472527472527472527473</t>
  </si>
  <si>
    <t>-322.05</t>
  </si>
  <si>
    <t>-283.12087912087912087912087912087912088</t>
  </si>
  <si>
    <t>-322.26</t>
  </si>
  <si>
    <t>-283.3054945054945054945054945054945055</t>
  </si>
  <si>
    <t>-333.01</t>
  </si>
  <si>
    <t>-292.75604395604395604395604395604395604</t>
  </si>
  <si>
    <t>-367.73</t>
  </si>
  <si>
    <t>-323.27912087912087912087912087912087912</t>
  </si>
  <si>
    <t>-407.51</t>
  </si>
  <si>
    <t>-358.25054945054945054945054945054945055</t>
  </si>
  <si>
    <t>-434.69</t>
  </si>
  <si>
    <t>-382.14505494505494505494505494505494506</t>
  </si>
  <si>
    <t>-430.06</t>
  </si>
  <si>
    <t>-378.07472527472527472527472527472527473</t>
  </si>
  <si>
    <t>-523.88</t>
  </si>
  <si>
    <t>-460.55384615384615384615384615384615385</t>
  </si>
  <si>
    <t>-473.16</t>
  </si>
  <si>
    <t>-415.96483516483516483516483516483516484</t>
  </si>
  <si>
    <t>-619.6</t>
  </si>
  <si>
    <t>-544.7032967032967032967032967032967033</t>
  </si>
  <si>
    <t>-604.71</t>
  </si>
  <si>
    <t>-531.61318681318681318681318681318681319</t>
  </si>
  <si>
    <t>-624.88</t>
  </si>
  <si>
    <t>-549.34505494505494505494505494505494506</t>
  </si>
  <si>
    <t>-584.55</t>
  </si>
  <si>
    <t>-513.89010989010989010989010989010989011</t>
  </si>
  <si>
    <t>-645.04</t>
  </si>
  <si>
    <t>-567.06813186813186813186813186813186813</t>
  </si>
  <si>
    <t>-665.21</t>
  </si>
  <si>
    <t>-584.8</t>
  </si>
  <si>
    <t>-564.38</t>
  </si>
  <si>
    <t>-496.15824175824175824175824175824175824</t>
  </si>
  <si>
    <t>26826.0483516483516483516483516483516484</t>
  </si>
  <si>
    <t>26677.010989010989010989010989010989011</t>
  </si>
  <si>
    <t>957519SA</t>
  </si>
  <si>
    <t>-16406.25</t>
  </si>
  <si>
    <t>-14423.076923076923076923076923076923077</t>
  </si>
  <si>
    <t>-195111.11208791208791208791208791208791</t>
  </si>
  <si>
    <t>-87912087.912087912087912087912087912088</t>
  </si>
  <si>
    <t>-753159.34065934065934065934065934065934</t>
  </si>
  <si>
    <t>-8241.7582417582417582417582417582417582</t>
  </si>
  <si>
    <t>1100.3956043956043956043956043956043956</t>
  </si>
  <si>
    <t>9098.46153846153846153846153846153846154</t>
  </si>
  <si>
    <t>8107.66593406593406593406593406593406593</t>
  </si>
  <si>
    <t>12923.0769230769230769230769230769230769</t>
  </si>
  <si>
    <t>-175.72</t>
  </si>
  <si>
    <t>-154.47912087912087912087912087912087912</t>
  </si>
  <si>
    <t>-195.14</t>
  </si>
  <si>
    <t>-171.55164835164835164835164835164835165</t>
  </si>
  <si>
    <t>-203.52</t>
  </si>
  <si>
    <t>-178.91868131868131868131868131868131868</t>
  </si>
  <si>
    <t>-185.31</t>
  </si>
  <si>
    <t>-162.90989010989010989010989010989010989</t>
  </si>
  <si>
    <t>-202.56</t>
  </si>
  <si>
    <t>-178.07472527472527472527472527472527473</t>
  </si>
  <si>
    <t>-203.95</t>
  </si>
  <si>
    <t>-179.2967032967032967032967032967032967</t>
  </si>
  <si>
    <t>-206.4</t>
  </si>
  <si>
    <t>-181.45054945054945054945054945054945055</t>
  </si>
  <si>
    <t>-207.8</t>
  </si>
  <si>
    <t>-182.68131868131868131868131868131868132</t>
  </si>
  <si>
    <t>-244.03</t>
  </si>
  <si>
    <t>-214.53186813186813186813186813186813187</t>
  </si>
  <si>
    <t>-228.77</t>
  </si>
  <si>
    <t>-201.11648351648351648351648351648351648</t>
  </si>
  <si>
    <t>-213.52</t>
  </si>
  <si>
    <t>-187.70989010989010989010989010989010989</t>
  </si>
  <si>
    <t>-244.02</t>
  </si>
  <si>
    <t>-214.52307692307692307692307692307692308</t>
  </si>
  <si>
    <t>-229.58</t>
  </si>
  <si>
    <t>-201.82857142857142857142857142857142857</t>
  </si>
  <si>
    <t>-159.17</t>
  </si>
  <si>
    <t>-139.92967032967032967032967032967032967</t>
  </si>
  <si>
    <t>-148.2</t>
  </si>
  <si>
    <t>-130.28571428571428571428571428571428571</t>
  </si>
  <si>
    <t>-153.52</t>
  </si>
  <si>
    <t>-134.96263736263736263736263736263736264</t>
  </si>
  <si>
    <t>-153.8</t>
  </si>
  <si>
    <t>-135.20879120879120879120879120879120879</t>
  </si>
  <si>
    <t>-170.1</t>
  </si>
  <si>
    <t>-149.53846153846153846153846153846153846</t>
  </si>
  <si>
    <t>-162.15</t>
  </si>
  <si>
    <t>-142.54945054945054945054945054945054945</t>
  </si>
  <si>
    <t>-183.82</t>
  </si>
  <si>
    <t>-161.6</t>
  </si>
  <si>
    <t>-222.43</t>
  </si>
  <si>
    <t>-195.54285714285714285714285714285714286</t>
  </si>
  <si>
    <t>-190.9</t>
  </si>
  <si>
    <t>-167.82417582417582417582417582417582418</t>
  </si>
  <si>
    <t>-178.64</t>
  </si>
  <si>
    <t>-157.04615384615384615384615384615384615</t>
  </si>
  <si>
    <t>-209.39</t>
  </si>
  <si>
    <t>-184.07912087912087912087912087912087912</t>
  </si>
  <si>
    <t>-26826.048351648351648351648351648351648</t>
  </si>
  <si>
    <t>-26677.010989010989010989010989010989011</t>
  </si>
  <si>
    <t>10989.010989010989010989010989010989011</t>
  </si>
  <si>
    <t>4395604.3956043956043956043956043956044</t>
  </si>
  <si>
    <t>-7238.6813186813186813186813186813186813</t>
  </si>
  <si>
    <t>-8215.2615384615384615384615384615384615</t>
  </si>
  <si>
    <t>1107758.88351648351648351648351648351648</t>
  </si>
  <si>
    <t>-36395.604395604395604395604395604395604</t>
  </si>
  <si>
    <t>-1406593.4065934065934065934065934065934</t>
  </si>
  <si>
    <t>-7279.1208791208791208791208791208791209</t>
  </si>
  <si>
    <t>-18461.538461538461538461538461538461539</t>
  </si>
  <si>
    <t>-7912087.9120879120879120879120879120879</t>
  </si>
  <si>
    <t>37912.0879120879120879120879120879120879</t>
  </si>
  <si>
    <t>-117267.39340659340659340659340659340659</t>
  </si>
  <si>
    <t>147252.747252747252747252747252747252747</t>
  </si>
  <si>
    <t>58901098.9010989010989010989010989010989</t>
  </si>
  <si>
    <t>1923076.92307692307692307692307692307692</t>
  </si>
  <si>
    <t>-30219.78021978021978021978021978021978</t>
  </si>
  <si>
    <t>31602.8131868131868131868131868131868132</t>
  </si>
  <si>
    <t>-3810.0571428571428571428571428571428571</t>
  </si>
  <si>
    <t>-3871.9384615384615384615384615384615385</t>
  </si>
  <si>
    <t>-3936.1142857142857142857142857142857143</t>
  </si>
  <si>
    <t>-25.71</t>
  </si>
  <si>
    <t>-22.602197802197802197802197802197802198</t>
  </si>
  <si>
    <t>-2317.27</t>
  </si>
  <si>
    <t>-2037.1604395604395604395604395604395604</t>
  </si>
  <si>
    <t>149.037362637362637362637362637362637363</t>
  </si>
  <si>
    <t>471.287912087912087912087912087912087912</t>
  </si>
  <si>
    <t>480.94</t>
  </si>
  <si>
    <t>422.804395604395604395604395604395604396</t>
  </si>
  <si>
    <t>237.53</t>
  </si>
  <si>
    <t>208.817582417582417582417582417582417582</t>
  </si>
  <si>
    <t>214.16</t>
  </si>
  <si>
    <t>188.272527472527472527472527472527472527</t>
  </si>
  <si>
    <t>171.428571428571428571428571428571428571</t>
  </si>
  <si>
    <t>201.5</t>
  </si>
  <si>
    <t>177.142857142857142857142857142857142857</t>
  </si>
  <si>
    <t>171.02</t>
  </si>
  <si>
    <t>150.347252747252747252747252747252747253</t>
  </si>
  <si>
    <t>157.76</t>
  </si>
  <si>
    <t>138.69010989010989010989010989010989011</t>
  </si>
  <si>
    <t>116.17</t>
  </si>
  <si>
    <t>102.127472527472527472527472527472527473</t>
  </si>
  <si>
    <t>106.74</t>
  </si>
  <si>
    <t>93.8373626373626373626373626373626373626</t>
  </si>
  <si>
    <t>103.3</t>
  </si>
  <si>
    <t>90.8131868131868131868131868131868131868</t>
  </si>
  <si>
    <t>72.77</t>
  </si>
  <si>
    <t>63.9736263736263736263736263736263736264</t>
  </si>
  <si>
    <t>54.77</t>
  </si>
  <si>
    <t>48.1494505494505494505494505494505494506</t>
  </si>
  <si>
    <t>56.59</t>
  </si>
  <si>
    <t>49.7494505494505494505494505494505494506</t>
  </si>
  <si>
    <t>51.13</t>
  </si>
  <si>
    <t>44.9494505494505494505494505494505494506</t>
  </si>
  <si>
    <t>-84615.384615384615384615384615384615385</t>
  </si>
  <si>
    <t>967032.967032967032967032967032967032967</t>
  </si>
  <si>
    <t>2639.86813186813186813186813186813186813</t>
  </si>
  <si>
    <t>476.378021978021978021978021978021978022</t>
  </si>
  <si>
    <t>8888.30769230769230769230769230769230769</t>
  </si>
  <si>
    <t>4869.08131868131868131868131868131868132</t>
  </si>
  <si>
    <t>12474.7252747252747252747252747252747253</t>
  </si>
  <si>
    <t>-3076923.0769230769230769230769230769231</t>
  </si>
  <si>
    <t>54945.0549450549450549450549450549450549</t>
  </si>
  <si>
    <t>21978021.978021978021978021978021978022</t>
  </si>
  <si>
    <t>-19427.912087912087912087912087912087912</t>
  </si>
  <si>
    <t>-500924.96703296703296703296703296703297</t>
  </si>
  <si>
    <t>-12851.279120879120879120879120879120879</t>
  </si>
  <si>
    <t>-12923.076923076923076923076923076923077</t>
  </si>
  <si>
    <t>95.2879120879120879120879120879120879121</t>
  </si>
  <si>
    <t>95.78</t>
  </si>
  <si>
    <t>84.2021978021978021978021978021978021978</t>
  </si>
  <si>
    <t>241.45</t>
  </si>
  <si>
    <t>212.263736263736263736263736263736263736</t>
  </si>
  <si>
    <t>200.36</t>
  </si>
  <si>
    <t>176.140659340659340659340659340659340659</t>
  </si>
  <si>
    <t>133.34</t>
  </si>
  <si>
    <t>117.221978021978021978021978021978021978</t>
  </si>
  <si>
    <t>137.78</t>
  </si>
  <si>
    <t>121.125274725274725274725274725274725275</t>
  </si>
  <si>
    <t>58.1</t>
  </si>
  <si>
    <t>51.0769230769230769230769230769230769231</t>
  </si>
  <si>
    <t>-7.74</t>
  </si>
  <si>
    <t>-6.8043956043956043956043956043956043956</t>
  </si>
  <si>
    <t>-1.66</t>
  </si>
  <si>
    <t>-1.4593406593406593406593406593406593407</t>
  </si>
  <si>
    <t>-17.9</t>
  </si>
  <si>
    <t>-15.736263736263736263736263736263736264</t>
  </si>
  <si>
    <t>-35.62</t>
  </si>
  <si>
    <t>-31.314285714285714285714285714285714286</t>
  </si>
  <si>
    <t>-32.17</t>
  </si>
  <si>
    <t>-28.281318681318681318681318681318681319</t>
  </si>
  <si>
    <t>-58.41</t>
  </si>
  <si>
    <t>-51.349450549450549450549450549450549451</t>
  </si>
  <si>
    <t>-66.82</t>
  </si>
  <si>
    <t>-58.742857142857142857142857142857142857</t>
  </si>
  <si>
    <t>-69.05</t>
  </si>
  <si>
    <t>-60.703296703296703296703296703296703297</t>
  </si>
  <si>
    <t>-64.59</t>
  </si>
  <si>
    <t>-56.782417582417582417582417582417582418</t>
  </si>
  <si>
    <t>-71.28</t>
  </si>
  <si>
    <t>-62.663736263736263736263736263736263736</t>
  </si>
  <si>
    <t>-73.51</t>
  </si>
  <si>
    <t>-64.624175824175824175824175824175824176</t>
  </si>
  <si>
    <t>-62.36</t>
  </si>
  <si>
    <t>-54.821978021978021978021978021978021978</t>
  </si>
  <si>
    <t>1163.21758241758241758241758241758241758</t>
  </si>
  <si>
    <t>244.342857142857142857142857142857142857</t>
  </si>
  <si>
    <t>4563.13846153846153846153846153846153846</t>
  </si>
  <si>
    <t>2146.42637362637362637362637362637362637</t>
  </si>
  <si>
    <t>36395.6043956043956043956043956043956044</t>
  </si>
  <si>
    <t>7279.12087912087912087912087912087912088</t>
  </si>
  <si>
    <t>7238.68131868131868131868131868131868132</t>
  </si>
  <si>
    <t>21978.021978021978021978021978021978022</t>
  </si>
  <si>
    <t>8791208.79120879120879120879120879120879</t>
  </si>
  <si>
    <t>-47678.136263736263736263736263736263736</t>
  </si>
  <si>
    <t>1526588.22857142857142857142857142857143</t>
  </si>
  <si>
    <t>-52060.043956043956043956043956043956044</t>
  </si>
  <si>
    <t>1299539.21758241758241758241758241758242</t>
  </si>
  <si>
    <t>1290596.49230769230769230769230769230769</t>
  </si>
  <si>
    <t>-59336.448351648351648351648351648351648</t>
  </si>
  <si>
    <t>-64174.391208791208791208791208791208791</t>
  </si>
  <si>
    <t>1387610.26813186813186813186813186813187</t>
  </si>
  <si>
    <t>-67485.221978021978021978021978021978022</t>
  </si>
  <si>
    <t>1506412.61538461538461538461538461538462</t>
  </si>
  <si>
    <t>-75771.120879120879120879120879120879121</t>
  </si>
  <si>
    <t>1489909.30989010989010989010989010989011</t>
  </si>
  <si>
    <t>-79104.562637362637362637362637362637363</t>
  </si>
  <si>
    <t>1579042.54065934065934065934065934065934</t>
  </si>
  <si>
    <t>-21978021.978021978021978021978021978022</t>
  </si>
  <si>
    <t>2430907.08571428571428571428571428571429</t>
  </si>
  <si>
    <t>-40087.235164835164835164835164835164835</t>
  </si>
  <si>
    <t>-9766.7956043956043956043956043956043956</t>
  </si>
  <si>
    <t>2962816.14945054945054945054945054945055</t>
  </si>
  <si>
    <t>-19575.226373626373626373626373626373626</t>
  </si>
  <si>
    <t>3145269.5032967032967032967032967032967</t>
  </si>
  <si>
    <t>-34310.610989010989010989010989010989011</t>
  </si>
  <si>
    <t>2679573.45934065934065934065934065934066</t>
  </si>
  <si>
    <t>2791203.45494505494505494505494505494505</t>
  </si>
  <si>
    <t>-4224.3252747252747252747252747252747253</t>
  </si>
  <si>
    <t>-6481.54</t>
  </si>
  <si>
    <t>-5698.0571428571428571428571428571428571</t>
  </si>
  <si>
    <t>-6375.39</t>
  </si>
  <si>
    <t>-5604.7384615384615384615384615384615385</t>
  </si>
  <si>
    <t>-6730.26</t>
  </si>
  <si>
    <t>-5916.7120879120879120879120879120879121</t>
  </si>
  <si>
    <t>-7943.66</t>
  </si>
  <si>
    <t>-6983.4373626373626373626373626373626374</t>
  </si>
  <si>
    <t>-8739.32</t>
  </si>
  <si>
    <t>-7682.9186813186813186813186813186813187</t>
  </si>
  <si>
    <t>-8835.51</t>
  </si>
  <si>
    <t>-7767.4813186813186813186813186813186813</t>
  </si>
  <si>
    <t>-8643.13</t>
  </si>
  <si>
    <t>-7598.356043956043956043956043956043956</t>
  </si>
  <si>
    <t>100495.806593406593406593406593406593407</t>
  </si>
  <si>
    <t>-55939.375824175824175824175824175824176</t>
  </si>
  <si>
    <t>6528848.22857142857142857142857142857143</t>
  </si>
  <si>
    <t>-1544277.0373626373626373626373626373626</t>
  </si>
  <si>
    <t>-68209.916483516483516483516483516483517</t>
  </si>
  <si>
    <t>6628242.27692307692307692307692307692308</t>
  </si>
  <si>
    <t>-93755.736263736263736263736263736263736</t>
  </si>
  <si>
    <t>6555627.44615384615384615384615384615385</t>
  </si>
  <si>
    <t>-115723.34065934065934065934065934065934</t>
  </si>
  <si>
    <t>6947815.24395604395604395604395604395604</t>
  </si>
  <si>
    <t>-37303109.547252747252747252747252747253</t>
  </si>
  <si>
    <t>5471302.98901098901098901098901098901099</t>
  </si>
  <si>
    <t>-67060.14945054945054945054945054945055</t>
  </si>
  <si>
    <t>-21610.646153846153846153846153846153846</t>
  </si>
  <si>
    <t>6668483.97362637362637362637362637362637</t>
  </si>
  <si>
    <t>-43313.424175824175824175824175824175824</t>
  </si>
  <si>
    <t>7078369.9956043956043956043956043956044</t>
  </si>
  <si>
    <t>-1483980.5274725274725274725274725274725</t>
  </si>
  <si>
    <t>-72700.254945054945054945054945054945055</t>
  </si>
  <si>
    <t>6400637.58241758241758241758241758241758</t>
  </si>
  <si>
    <t>6667285.66153846153846153846153846153846</t>
  </si>
  <si>
    <t>-93960.263736263736263736263736263736264</t>
  </si>
  <si>
    <t>-121673.36263736263736263736263736263736</t>
  </si>
  <si>
    <t>4377440.94945054945054945054945054945055</t>
  </si>
  <si>
    <t>-35179540.624175824175824175824175824176</t>
  </si>
  <si>
    <t>-62758.373626373626373626373626373626374</t>
  </si>
  <si>
    <t>5787626.50549450549450549450549450549451</t>
  </si>
  <si>
    <t>-22862.074725274725274725274725274725275</t>
  </si>
  <si>
    <t>5739344.94945054945054945054945054945055</t>
  </si>
  <si>
    <t>-45533.432967032967032967032967032967033</t>
  </si>
  <si>
    <t>6166521.84615384615384615384615384615385</t>
  </si>
  <si>
    <t>-1517741.1692307692307692307692307692308</t>
  </si>
  <si>
    <t>6253535.44615384615384615384615384615385</t>
  </si>
  <si>
    <t>-65340.114285714285714285714285714285714</t>
  </si>
  <si>
    <t>-88599.375824175824175824175824175824176</t>
  </si>
  <si>
    <t>6186680.06153846153846153846153846153846</t>
  </si>
  <si>
    <t>-109391.4021978021978021978021978021978</t>
  </si>
  <si>
    <t>6547075.80659340659340659340659340659341</t>
  </si>
  <si>
    <t>-35163043.446153846153846153846153846154</t>
  </si>
  <si>
    <t>5119437.58241758241758241758241758241758</t>
  </si>
  <si>
    <t>-64033.626373626373626373626373626373626</t>
  </si>
  <si>
    <t>-20222.61978021978021978021978021978022</t>
  </si>
  <si>
    <t>6227903.94725274725274725274725274725275</t>
  </si>
  <si>
    <t>-40486.074725274725274725274725274725275</t>
  </si>
  <si>
    <t>6625029.15164835164835164835164835164835</t>
  </si>
  <si>
    <t>-1454109.9604395604395604395604395604396</t>
  </si>
  <si>
    <t>5984828.60659340659340659340659340659341</t>
  </si>
  <si>
    <t>-68606.514285714285714285714285714285714</t>
  </si>
  <si>
    <t>-86023.454945054945054945054945054945055</t>
  </si>
  <si>
    <t>6235724.01758241758241758241758241758242</t>
  </si>
  <si>
    <t>12595.621978021978021978021978021978022</t>
  </si>
  <si>
    <t>12949.432967032967032967032967032967033</t>
  </si>
  <si>
    <t>18191.2087912087912087912087912087912088</t>
  </si>
  <si>
    <t>36.421978021978021978021978021978021978</t>
  </si>
  <si>
    <t>33.93</t>
  </si>
  <si>
    <t>29.8285714285714285714285714285714285714</t>
  </si>
  <si>
    <t>30.05</t>
  </si>
  <si>
    <t>26.4175824175824175824175824175824175824</t>
  </si>
  <si>
    <t>11.02</t>
  </si>
  <si>
    <t>9.68791208791208791208791208791208791209</t>
  </si>
  <si>
    <t>-7.5</t>
  </si>
  <si>
    <t>-6.5934065934065934065934065934065934066</t>
  </si>
  <si>
    <t>-7.75</t>
  </si>
  <si>
    <t>-6.8131868131868131868131868131868131868</t>
  </si>
  <si>
    <t>-41.36</t>
  </si>
  <si>
    <t>-36.36043956043956043956043956043956044</t>
  </si>
  <si>
    <t>-70.98</t>
  </si>
  <si>
    <t>-62.4</t>
  </si>
  <si>
    <t>-75.73</t>
  </si>
  <si>
    <t>-66.575824175824175824175824175824175824</t>
  </si>
  <si>
    <t>-103.28</t>
  </si>
  <si>
    <t>-90.795604395604395604395604395604395604</t>
  </si>
  <si>
    <t>-149.9</t>
  </si>
  <si>
    <t>-131.78021978021978021978021978021978022</t>
  </si>
  <si>
    <t>-135.38</t>
  </si>
  <si>
    <t>-119.01538461538461538461538461538461539</t>
  </si>
  <si>
    <t>-205.68</t>
  </si>
  <si>
    <t>-180.81758241758241758241758241758241758</t>
  </si>
  <si>
    <t>-217.84</t>
  </si>
  <si>
    <t>-191.50769230769230769230769230769230769</t>
  </si>
  <si>
    <t>-225.11</t>
  </si>
  <si>
    <t>-197.8989010989010989010989010989010989</t>
  </si>
  <si>
    <t>-210.58</t>
  </si>
  <si>
    <t>-185.12527472527472527472527472527472528</t>
  </si>
  <si>
    <t>-232.38</t>
  </si>
  <si>
    <t>-204.29010989010989010989010989010989011</t>
  </si>
  <si>
    <t>-239.65</t>
  </si>
  <si>
    <t>-210.68131868131868131868131868131868132</t>
  </si>
  <si>
    <t>-203.31</t>
  </si>
  <si>
    <t>-178.73406593406593406593406593406593407</t>
  </si>
  <si>
    <t>-582005.49450549450549450549450549450549</t>
  </si>
  <si>
    <t>-129068.84395604395604395604395604395604</t>
  </si>
  <si>
    <t>4556079.83296703296703296703296703296703</t>
  </si>
  <si>
    <t>-37319895.173626373626373626373626373626</t>
  </si>
  <si>
    <t>-66394.742857142857142857142857142857143</t>
  </si>
  <si>
    <t>6114464.92307692307692307692307692307692</t>
  </si>
  <si>
    <t>6072388.46593406593406593406593406593407</t>
  </si>
  <si>
    <t>-25630.461538461538461538461538461538462</t>
  </si>
  <si>
    <t>-48008.545054945054945054945054945054945</t>
  </si>
  <si>
    <t>-94010.989010989010989010989010989010989</t>
  </si>
  <si>
    <t>-95055.551648351648351648351648351648352</t>
  </si>
  <si>
    <t>15912.5098901098901098901098901098901099</t>
  </si>
  <si>
    <t>25867.86</t>
  </si>
  <si>
    <t>22740.9758241758241758241758241758241758</t>
  </si>
  <si>
    <t>25290.03</t>
  </si>
  <si>
    <t>22232.9934065934065934065934065934065934</t>
  </si>
  <si>
    <t>29551.77</t>
  </si>
  <si>
    <t>25979.578021978021978021978021978021978</t>
  </si>
  <si>
    <t>-882.64615384615384615384615384615384615</t>
  </si>
  <si>
    <t>-549450.54945054945054945054945054945055</t>
  </si>
  <si>
    <t>7261154.25934065934065934065934065934066</t>
  </si>
  <si>
    <t>-90162.567032967032967032967032967032967</t>
  </si>
  <si>
    <t>-114924.78241758241758241758241758241758</t>
  </si>
  <si>
    <t>7565555.69230769230769230769230769230769</t>
  </si>
  <si>
    <t>-17005.863736263736263736263736263736264</t>
  </si>
  <si>
    <t>-563637.81978021978021978021978021978022</t>
  </si>
  <si>
    <t>-12548.782417582417582417582417582417582</t>
  </si>
  <si>
    <t>-12474.725274725274725274725274725274725</t>
  </si>
  <si>
    <t>-12405.424175824175824175824175824175824</t>
  </si>
  <si>
    <t>299.147252747252747252747252747252747253</t>
  </si>
  <si>
    <t>8774.47912087912087912087912087912087912</t>
  </si>
  <si>
    <t>1516.65054945054945054945054945054945055</t>
  </si>
  <si>
    <t>-134639.27912087912087912087912087912088</t>
  </si>
  <si>
    <t>4400691.5956043956043956043956043956044</t>
  </si>
  <si>
    <t>-147577.81098901098901098901098901098901</t>
  </si>
  <si>
    <t>3344813.18681318681318681318681318681319</t>
  </si>
  <si>
    <t>3321795.99120879120879120879120879120879</t>
  </si>
  <si>
    <t>-166939.81538461538461538461538461538462</t>
  </si>
  <si>
    <t>-179549.83736263736263736263736263736264</t>
  </si>
  <si>
    <t>3571494.45274725274725274725274725274725</t>
  </si>
  <si>
    <t>-187783.34945054945054945054945054945055</t>
  </si>
  <si>
    <t>3620321.38021978021978021978021978021978</t>
  </si>
  <si>
    <t>957527SA</t>
  </si>
  <si>
    <t>-516.12307692307692307692307692307692308</t>
  </si>
  <si>
    <t>-641.93</t>
  </si>
  <si>
    <t>-564.33406593406593406593406593406593407</t>
  </si>
  <si>
    <t>-693.66</t>
  </si>
  <si>
    <t>-609.81098901098901098901098901098901099</t>
  </si>
  <si>
    <t>-954.64</t>
  </si>
  <si>
    <t>-839.24395604395604395604395604395604396</t>
  </si>
  <si>
    <t>-1131.34</t>
  </si>
  <si>
    <t>-994.58461538461538461538461538461538462</t>
  </si>
  <si>
    <t>-1025.22</t>
  </si>
  <si>
    <t>-901.29230769230769230769230769230769231</t>
  </si>
  <si>
    <t>-1328.35</t>
  </si>
  <si>
    <t>-1167.7802197802197802197802197802197802</t>
  </si>
  <si>
    <t>-1686.52</t>
  </si>
  <si>
    <t>-1482.6549450549450549450549450549450549</t>
  </si>
  <si>
    <t>-1481.98</t>
  </si>
  <si>
    <t>-1302.8395604395604395604395604395604396</t>
  </si>
  <si>
    <t>-1724.87</t>
  </si>
  <si>
    <t>-1516.3692307692307692307692307692307692</t>
  </si>
  <si>
    <t>-2292.98</t>
  </si>
  <si>
    <t>-2015.8065934065934065934065934065934066</t>
  </si>
  <si>
    <t>-2014.9</t>
  </si>
  <si>
    <t>-1771.3406593406593406593406593406593407</t>
  </si>
  <si>
    <t>-2445.57</t>
  </si>
  <si>
    <t>-2149.9516483516483516483516483516483516</t>
  </si>
  <si>
    <t>-2801.34</t>
  </si>
  <si>
    <t>-2462.7164835164835164835164835164835165</t>
  </si>
  <si>
    <t>10.6637362637362637362637362637362637363</t>
  </si>
  <si>
    <t>72.0263736263736263736263736263736263736</t>
  </si>
  <si>
    <t>7362.63736263736263736263736263736263736</t>
  </si>
  <si>
    <t>7321.73186813186813186813186813186813187</t>
  </si>
  <si>
    <t>7403.54285714285714285714285714285714286</t>
  </si>
  <si>
    <t>3618.90989010989010989010989010989010989</t>
  </si>
  <si>
    <t>653.986813186813186813186813186813186813</t>
  </si>
  <si>
    <t>11635.1736263736263736263736263736263736</t>
  </si>
  <si>
    <t>5978.32967032967032967032967032967032967</t>
  </si>
  <si>
    <t>17129.6703296703296703296703296703296703</t>
  </si>
  <si>
    <t>17034.5054945054945054945054945054945055</t>
  </si>
  <si>
    <t>131159.410989010989010989010989010989011</t>
  </si>
  <si>
    <t>134864.474725274725274725274725274725275</t>
  </si>
  <si>
    <t>133382.452747252747252747252747252747253</t>
  </si>
  <si>
    <t>132641.432967032967032967032967032967033</t>
  </si>
  <si>
    <t>-2538.57</t>
  </si>
  <si>
    <t>-2231.7098901098901098901098901098901099</t>
  </si>
  <si>
    <t>-2713.75</t>
  </si>
  <si>
    <t>-2385.7142857142857142857142857142857143</t>
  </si>
  <si>
    <t>-2626.16</t>
  </si>
  <si>
    <t>-2308.7120879120879120879120879120879121</t>
  </si>
  <si>
    <t>-2450.99</t>
  </si>
  <si>
    <t>-2154.7164835164835164835164835164835165</t>
  </si>
  <si>
    <t>-2888.94</t>
  </si>
  <si>
    <t>-2539.7274725274725274725274725274725275</t>
  </si>
  <si>
    <t>345.081318681318681318681318681318681319</t>
  </si>
  <si>
    <t>353.76</t>
  </si>
  <si>
    <t>310.997802197802197802197802197802197802</t>
  </si>
  <si>
    <t>166.65</t>
  </si>
  <si>
    <t>146.505494505494505494505494505494505495</t>
  </si>
  <si>
    <t>156.16</t>
  </si>
  <si>
    <t>137.283516483516483516483516483516483516</t>
  </si>
  <si>
    <t>105.494505494505494505494505494505494505</t>
  </si>
  <si>
    <t>109.010989010989010989010989010989010989</t>
  </si>
  <si>
    <t>86.14</t>
  </si>
  <si>
    <t>75.7274725274725274725274725274725274725</t>
  </si>
  <si>
    <t>56.52</t>
  </si>
  <si>
    <t>49.6879120879120879120879120879120879121</t>
  </si>
  <si>
    <t>60.27</t>
  </si>
  <si>
    <t>52.9846153846153846153846153846153846154</t>
  </si>
  <si>
    <t>15.72</t>
  </si>
  <si>
    <t>13.8197802197802197802197802197802197802</t>
  </si>
  <si>
    <t>-18.15</t>
  </si>
  <si>
    <t>-15.956043956043956043956043956043956044</t>
  </si>
  <si>
    <t>-16.38</t>
  </si>
  <si>
    <t>-14.4</t>
  </si>
  <si>
    <t>-65.43</t>
  </si>
  <si>
    <t>-57.520879120879120879120879120879120879</t>
  </si>
  <si>
    <t>-90.34</t>
  </si>
  <si>
    <t>-79.41978021978021978021978021978021978</t>
  </si>
  <si>
    <t>-93.36</t>
  </si>
  <si>
    <t>-82.074725274725274725274725274725274725</t>
  </si>
  <si>
    <t>-87.33</t>
  </si>
  <si>
    <t>-76.773626373626373626373626373626373626</t>
  </si>
  <si>
    <t>-96.38</t>
  </si>
  <si>
    <t>-84.72967032967032967032967032967032967</t>
  </si>
  <si>
    <t>-99.4</t>
  </si>
  <si>
    <t>-87.384615384615384615384615384615384615</t>
  </si>
  <si>
    <t>-84.31</t>
  </si>
  <si>
    <t>-74.118681318681318681318681318681318681</t>
  </si>
  <si>
    <t>-529777.77582417582417582417582417582418</t>
  </si>
  <si>
    <t>-518134.31208791208791208791208791208791</t>
  </si>
  <si>
    <t>-523956.04395604395604395604395604395604</t>
  </si>
  <si>
    <t>70927.7802197802197802197802197802197802</t>
  </si>
  <si>
    <t>96140.24</t>
  </si>
  <si>
    <t>84518.8923076923076923076923076923076923</t>
  </si>
  <si>
    <t>98448.11</t>
  </si>
  <si>
    <t>86547.789010989010989010989010989010989</t>
  </si>
  <si>
    <t>98179.54</t>
  </si>
  <si>
    <t>86311.6835164835164835164835164835164835</t>
  </si>
  <si>
    <t>123114.97</t>
  </si>
  <si>
    <t>108232.940659340659340659340659340659341</t>
  </si>
  <si>
    <t>122218.39</t>
  </si>
  <si>
    <t>107444.738461538461538461538461538461539</t>
  </si>
  <si>
    <t>8241.75824175824175824175824175824175824</t>
  </si>
  <si>
    <t>507692.307692307692307692307692307692308</t>
  </si>
  <si>
    <t>28626.3736263736263736263736263736263736</t>
  </si>
  <si>
    <t>2.23296703296703296703296703296703296703</t>
  </si>
  <si>
    <t>2.34</t>
  </si>
  <si>
    <t>2.05714285714285714285714285714285714286</t>
  </si>
  <si>
    <t>2.24</t>
  </si>
  <si>
    <t>1.96923076923076923076923076923076923077</t>
  </si>
  <si>
    <t>2.36</t>
  </si>
  <si>
    <t>2.07472527472527472527472527472527472527</t>
  </si>
  <si>
    <t>2.02</t>
  </si>
  <si>
    <t>1.77582417582417582417582417582417582418</t>
  </si>
  <si>
    <t>206.67</t>
  </si>
  <si>
    <t>181.687912087912087912087912087912087912</t>
  </si>
  <si>
    <t>181.19</t>
  </si>
  <si>
    <t>159.287912087912087912087912087912087912</t>
  </si>
  <si>
    <t>164.73</t>
  </si>
  <si>
    <t>144.817582417582417582417582417582417582</t>
  </si>
  <si>
    <t>175.71</t>
  </si>
  <si>
    <t>154.47032967032967032967032967032967033</t>
  </si>
  <si>
    <t>133.18</t>
  </si>
  <si>
    <t>117.081318681318681318681318681318681319</t>
  </si>
  <si>
    <t>127.7</t>
  </si>
  <si>
    <t>112.263736263736263736263736263736263736</t>
  </si>
  <si>
    <t>115.35</t>
  </si>
  <si>
    <t>101.406593406593406593406593406593406593</t>
  </si>
  <si>
    <t>110.32</t>
  </si>
  <si>
    <t>96.9846153846153846153846153846153846154</t>
  </si>
  <si>
    <t>83.14</t>
  </si>
  <si>
    <t>73.0901098901098901098901098901098901099</t>
  </si>
  <si>
    <t>85.91</t>
  </si>
  <si>
    <t>75.5252747252747252747252747252747252747</t>
  </si>
  <si>
    <t>80.37</t>
  </si>
  <si>
    <t>70.6549450549450549450549450549450549451</t>
  </si>
  <si>
    <t>88.68</t>
  </si>
  <si>
    <t>77.9604395604395604395604395604395604396</t>
  </si>
  <si>
    <t>91.44</t>
  </si>
  <si>
    <t>80.3868131868131868131868131868131868132</t>
  </si>
  <si>
    <t>77.61</t>
  </si>
  <si>
    <t>68.2285714285714285714285714285714285714</t>
  </si>
  <si>
    <t>26.1714285714285714285714285714285714286</t>
  </si>
  <si>
    <t>24.93</t>
  </si>
  <si>
    <t>21.9164835164835164835164835164835164835</t>
  </si>
  <si>
    <t>12.07</t>
  </si>
  <si>
    <t>10.610989010989010989010989010989010989</t>
  </si>
  <si>
    <t>-4.79</t>
  </si>
  <si>
    <t>-4.210989010989010989010989010989010989</t>
  </si>
  <si>
    <t>18461.5384615384615384615384615384615385</t>
  </si>
  <si>
    <t>7912087.91208791208791208791208791208791</t>
  </si>
  <si>
    <t>628571.428571428571428571428571428571429</t>
  </si>
  <si>
    <t>22857142.8571428571428571428571428571429</t>
  </si>
  <si>
    <t>87912087.9120879120879120879120879120879</t>
  </si>
  <si>
    <t>957526PN</t>
  </si>
  <si>
    <t>-193705.49450549450549450549450549450549</t>
  </si>
  <si>
    <t>-256021.97802197802197802197802197802198</t>
  </si>
  <si>
    <t>-352967.03296703296703296703296703296703</t>
  </si>
  <si>
    <t>213285.714285714285714285714285714285714</t>
  </si>
  <si>
    <t>243288.03</t>
  </si>
  <si>
    <t>213879.586813186813186813186813186813187</t>
  </si>
  <si>
    <t>241859.78</t>
  </si>
  <si>
    <t>212623.982417582417582417582417582417582</t>
  </si>
  <si>
    <t>236953.97</t>
  </si>
  <si>
    <t>208311.182417582417582417582417582417582</t>
  </si>
  <si>
    <t>227994.86</t>
  </si>
  <si>
    <t>200435.041758241758241758241758241758242</t>
  </si>
  <si>
    <t>6593.40659340659340659340659340659340659</t>
  </si>
  <si>
    <t>2637362.63736263736263736263736263736264</t>
  </si>
  <si>
    <t>57142.8571428571428571428571428571428571</t>
  </si>
  <si>
    <t>-116645.87252747252747252747252747252747</t>
  </si>
  <si>
    <t>2872087.91208791208791208791208791208791</t>
  </si>
  <si>
    <t>-130209.30989010989010989010989010989011</t>
  </si>
  <si>
    <t>2967824.17582417582417582417582417582418</t>
  </si>
  <si>
    <t>-144224.86153846153846153846153846153846</t>
  </si>
  <si>
    <t>-33315458.373626373626373626373626373626</t>
  </si>
  <si>
    <t>-5700.4571428571428571428571428571428571</t>
  </si>
  <si>
    <t>-14471.595604395604395604395604395604396</t>
  </si>
  <si>
    <t>-28487.138461538461538461538461538461539</t>
  </si>
  <si>
    <t>-42050.575824175824175824175824175824176</t>
  </si>
  <si>
    <t>-56066.127472527472527472527472527472528</t>
  </si>
  <si>
    <t>4020923.07692307692307692307692307692308</t>
  </si>
  <si>
    <t>-75054.936263736263736263736263736263736</t>
  </si>
  <si>
    <t>4352808.79120879120879120879120879120879</t>
  </si>
  <si>
    <t>-7813763.7362637362637362637362637362637</t>
  </si>
  <si>
    <t>-59940.589010989010989010989010989010989</t>
  </si>
  <si>
    <t>-79266.716483516483516483516483516483517</t>
  </si>
  <si>
    <t>3931569.23076923076923076923076923076923</t>
  </si>
  <si>
    <t>-97833.547252747252747252747252747252747</t>
  </si>
  <si>
    <t>4154953.84615384615384615384615384615385</t>
  </si>
  <si>
    <t>-117455.32307692307692307692307692307692</t>
  </si>
  <si>
    <t>-131018.76043956043956043956043956043956</t>
  </si>
  <si>
    <t>-145034.3032967032967032967032967032967</t>
  </si>
  <si>
    <t>-33486860.43956043956043956043956043956</t>
  </si>
  <si>
    <t>-5727.4373626373626373626373626373626374</t>
  </si>
  <si>
    <t>-7122840.6593406593406593406593406593407</t>
  </si>
  <si>
    <t>-63094.707692307692307692307692307692308</t>
  </si>
  <si>
    <t>-82529.6</t>
  </si>
  <si>
    <t>-101096.43956043956043956043956043956044</t>
  </si>
  <si>
    <t>32967.032967032967032967032967032967033</t>
  </si>
  <si>
    <t>13186813.1868131868131868131868131868132</t>
  </si>
  <si>
    <t>115384.615384615384615384615384615384615</t>
  </si>
  <si>
    <t>75.745054945054945054945054945054945055</t>
  </si>
  <si>
    <t>82.19</t>
  </si>
  <si>
    <t>72.2549450549450549450549450549450549451</t>
  </si>
  <si>
    <t>88.05</t>
  </si>
  <si>
    <t>77.4065934065934065934065934065934065934</t>
  </si>
  <si>
    <t>80.44</t>
  </si>
  <si>
    <t>70.7164835164835164835164835164835164835</t>
  </si>
  <si>
    <t>65.27</t>
  </si>
  <si>
    <t>57.3802197802197802197802197802197802198</t>
  </si>
  <si>
    <t>124.58</t>
  </si>
  <si>
    <t>109.520879120879120879120879120879120879</t>
  </si>
  <si>
    <t>118.47</t>
  </si>
  <si>
    <t>104.149450549450549450549450549450549451</t>
  </si>
  <si>
    <t>81.35</t>
  </si>
  <si>
    <t>71.5164835164835164835164835164835164835</t>
  </si>
  <si>
    <t>68.98</t>
  </si>
  <si>
    <t>60.6417582417582417582417582417582417582</t>
  </si>
  <si>
    <t>23.56</t>
  </si>
  <si>
    <t>20.7120879120879120879120879120879120879</t>
  </si>
  <si>
    <t>27.75</t>
  </si>
  <si>
    <t>24.3956043956043956043956043956043956044</t>
  </si>
  <si>
    <t>12.97</t>
  </si>
  <si>
    <t>11.4021978021978021978021978021978021978</t>
  </si>
  <si>
    <t>-28.25</t>
  </si>
  <si>
    <t>-24.835164835164835164835164835164835165</t>
  </si>
  <si>
    <t>-27.33</t>
  </si>
  <si>
    <t>-24.026373626373626373626373626373626374</t>
  </si>
  <si>
    <t>-29.16</t>
  </si>
  <si>
    <t>-25.635164835164835164835164835164835165</t>
  </si>
  <si>
    <t>-26.42</t>
  </si>
  <si>
    <t>-23.226373626373626373626373626373626374</t>
  </si>
  <si>
    <t>-25.5</t>
  </si>
  <si>
    <t>-22.417582417582417582417582417582417582</t>
  </si>
  <si>
    <t>64483.5164835164835164835164835164835165</t>
  </si>
  <si>
    <t>-9279.2967032967032967032967032967032967</t>
  </si>
  <si>
    <t>-10481.5</t>
  </si>
  <si>
    <t>-9214.5054945054945054945054945054945055</t>
  </si>
  <si>
    <t>-10709.85</t>
  </si>
  <si>
    <t>-9415.2527472527472527472527472527472527</t>
  </si>
  <si>
    <t>-17515.5</t>
  </si>
  <si>
    <t>-15398.241758241758241758241758241758242</t>
  </si>
  <si>
    <t>-19265.95</t>
  </si>
  <si>
    <t>-16937.098901098901098901098901098901099</t>
  </si>
  <si>
    <t>-21312.19</t>
  </si>
  <si>
    <t>-18735.991208791208791208791208791208791</t>
  </si>
  <si>
    <t>-27732.42</t>
  </si>
  <si>
    <t>-24380.14945054945054945054945054945055</t>
  </si>
  <si>
    <t>-19385.45</t>
  </si>
  <si>
    <t>-17042.153846153846153846153846153846154</t>
  </si>
  <si>
    <t>-4497.78</t>
  </si>
  <si>
    <t>-3954.0923076923076923076923076923076923</t>
  </si>
  <si>
    <t>-10165.85</t>
  </si>
  <si>
    <t>-8937.010989010989010989010989010989011</t>
  </si>
  <si>
    <t>-17290.28</t>
  </si>
  <si>
    <t>-15200.246153846153846153846153846153846</t>
  </si>
  <si>
    <t>-19565.96</t>
  </si>
  <si>
    <t>-17200.843956043956043956043956043956044</t>
  </si>
  <si>
    <t>-34410.69</t>
  </si>
  <si>
    <t>-30251.156043956043956043956043956043956</t>
  </si>
  <si>
    <t>-34337.21</t>
  </si>
  <si>
    <t>-30186.558241758241758241758241758241758</t>
  </si>
  <si>
    <t>-36677.06</t>
  </si>
  <si>
    <t>-32243.569230769230769230769230769230769</t>
  </si>
  <si>
    <t>-42360.59</t>
  </si>
  <si>
    <t>-37240.079120879120879120879120879120879</t>
  </si>
  <si>
    <t>-42336.07</t>
  </si>
  <si>
    <t>-37218.523076923076923076923076923076923</t>
  </si>
  <si>
    <t>-50055.14</t>
  </si>
  <si>
    <t>-44004.518681318681318681318681318681319</t>
  </si>
  <si>
    <t>-52888.17</t>
  </si>
  <si>
    <t>-46495.094505494505494505494505494505495</t>
  </si>
  <si>
    <t>-32065.37</t>
  </si>
  <si>
    <t>-28189.336263736263736263736263736263736</t>
  </si>
  <si>
    <t>-7570.52</t>
  </si>
  <si>
    <t>-6655.4021978021978021978021978021978022</t>
  </si>
  <si>
    <t>-14239.74</t>
  </si>
  <si>
    <t>-12518.452747252747252747252747252747253</t>
  </si>
  <si>
    <t>-21308.22</t>
  </si>
  <si>
    <t>-18732.501098901098901098901098901098901</t>
  </si>
  <si>
    <t>-27501.64</t>
  </si>
  <si>
    <t>-24177.265934065934065934065934065934066</t>
  </si>
  <si>
    <t>-7280.6945054945054945054945054945054945</t>
  </si>
  <si>
    <t>-212737.82857142857142857142857142857143</t>
  </si>
  <si>
    <t>-5802.1978021978021978021978021978021978</t>
  </si>
  <si>
    <t>-5769.9604395604395604395604395604395604</t>
  </si>
  <si>
    <t>26373626.3736263736263736263736263736264</t>
  </si>
  <si>
    <t>243374.391208791208791208791208791208791</t>
  </si>
  <si>
    <t>-10952.131868131868131868131868131868132</t>
  </si>
  <si>
    <t>-18191.208791208791208791208791208791209</t>
  </si>
  <si>
    <t>-18702.197802197802197802197802197802198</t>
  </si>
  <si>
    <t>496.764835164835164835164835164835164835</t>
  </si>
  <si>
    <t>5190.78681318681318681318681318681318681</t>
  </si>
  <si>
    <t>12149.2043956043956043956043956043956044</t>
  </si>
  <si>
    <t>12422.2241758241758241758241758241758242</t>
  </si>
  <si>
    <t>12285.7142857142857142857142857142857143</t>
  </si>
  <si>
    <t>-4280.5274725274725274725274725274725275</t>
  </si>
  <si>
    <t>-5357.23</t>
  </si>
  <si>
    <t>-4709.6527472527472527472527472527472527</t>
  </si>
  <si>
    <t>-5520.37</t>
  </si>
  <si>
    <t>-4853.0725274725274725274725274725274725</t>
  </si>
  <si>
    <t>-5950.92</t>
  </si>
  <si>
    <t>-5231.578021978021978021978021978021978</t>
  </si>
  <si>
    <t>-6445.77</t>
  </si>
  <si>
    <t>-5666.610989010989010989010989010989011</t>
  </si>
  <si>
    <t>-7413.79</t>
  </si>
  <si>
    <t>-6517.6175824175824175824175824175824176</t>
  </si>
  <si>
    <t>-7333.1</t>
  </si>
  <si>
    <t>-6446.6813186813186813186813186813186813</t>
  </si>
  <si>
    <t>-7252.42</t>
  </si>
  <si>
    <t>-6375.7538461538461538461538461538461538</t>
  </si>
  <si>
    <t>-205894.06593406593406593406593406593407</t>
  </si>
  <si>
    <t>-131159.41098901098901098901098901098901</t>
  </si>
  <si>
    <t>-134864.47472527472527472527472527472527</t>
  </si>
  <si>
    <t>-133382.45274725274725274725274725274725</t>
  </si>
  <si>
    <t>-132641.43296703296703296703296703296703</t>
  </si>
  <si>
    <t>-194615.38461538461538461538461538461538</t>
  </si>
  <si>
    <t>282990.030769230769230769230769230769231</t>
  </si>
  <si>
    <t>264662.268131868131868131868131868131868</t>
  </si>
  <si>
    <t>261632.369230769230769230769230769230769</t>
  </si>
  <si>
    <t>344692.615384615384615384615384615384615</t>
  </si>
  <si>
    <t>332492.940659340659340659340659340659341</t>
  </si>
  <si>
    <t>367801.178021978021978021978021978021978</t>
  </si>
  <si>
    <t>402296.395604395604395604395604395604396</t>
  </si>
  <si>
    <t>246781.52967032967032967032967032967033</t>
  </si>
  <si>
    <t>57403.1736263736263736263736263736263736</t>
  </si>
  <si>
    <t>111490.47032967032967032967032967032967</t>
  </si>
  <si>
    <t>168983.367032967032967032967032967032967</t>
  </si>
  <si>
    <t>191233.635164835164835164835164835164835</t>
  </si>
  <si>
    <t>296924.703296703296703296703296703296703</t>
  </si>
  <si>
    <t>272774.356043956043956043956043956043956</t>
  </si>
  <si>
    <t>291357.072527472527472527472527472527473</t>
  </si>
  <si>
    <t>336506.206593406593406593406593406593407</t>
  </si>
  <si>
    <t>336322.945054945054945054945054945054945</t>
  </si>
  <si>
    <t>397623.727472527472527472527472527472528</t>
  </si>
  <si>
    <t>420142.865934065934065934065934065934066</t>
  </si>
  <si>
    <t>254731.2</t>
  </si>
  <si>
    <t>60137.0197802197802197802197802197802198</t>
  </si>
  <si>
    <t>113124.21978021978021978021978021978022</t>
  </si>
  <si>
    <t>169272.246153846153846153846153846153846</t>
  </si>
  <si>
    <t>218468.879120879120879120879120879120879</t>
  </si>
  <si>
    <t>39560.4395604395604395604395604395604396</t>
  </si>
  <si>
    <t>15824175.8241758241758241758241758241758</t>
  </si>
  <si>
    <t>-110.26813186813186813186813186813186813</t>
  </si>
  <si>
    <t>435112.210989010989010989010989010989011</t>
  </si>
  <si>
    <t>-7403.5340659340659340659340659340659341</t>
  </si>
  <si>
    <t>-7321.7318681318681318681318681318681319</t>
  </si>
  <si>
    <t>-439560.43956043956043956043956043956044</t>
  </si>
  <si>
    <t>-6258.2417582417582417582417582417582418</t>
  </si>
  <si>
    <t>-44346.883516483516483516483516483516484</t>
  </si>
  <si>
    <t>-56292.791208791208791208791208791208791</t>
  </si>
  <si>
    <t>1832579.08571428571428571428571428571429</t>
  </si>
  <si>
    <t>-61602.865934065934065934065934065934066</t>
  </si>
  <si>
    <t>1611855.86813186813186813186813186813187</t>
  </si>
  <si>
    <t>-70132.905494505494505494505494505494506</t>
  </si>
  <si>
    <t>1598409.43296703296703296703296703296703</t>
  </si>
  <si>
    <t>-76555.49010989010989010989010989010989</t>
  </si>
  <si>
    <t>1717378.33846153846153846153846153846154</t>
  </si>
  <si>
    <t>1845577.82857142857142857142857142857143</t>
  </si>
  <si>
    <t>-81003.191208791208791208791208791208791</t>
  </si>
  <si>
    <t>-90871.832967032967032967032967032967033</t>
  </si>
  <si>
    <t>1825847.09450549450549450549450549450549</t>
  </si>
  <si>
    <t>-95040.281318681318681318681318681318681</t>
  </si>
  <si>
    <t>1932209.07252747252747252747252747252747</t>
  </si>
  <si>
    <t>-26373626.373626373626373626373626373626</t>
  </si>
  <si>
    <t>2399730.83076923076923076923076923076923</t>
  </si>
  <si>
    <t>-48480.465934065934065934065934065934066</t>
  </si>
  <si>
    <t>-9642.3824175824175824175824175824175824</t>
  </si>
  <si>
    <t>2919323.22637362637362637362637362637363</t>
  </si>
  <si>
    <t>-19304.237362637362637362637362637362637</t>
  </si>
  <si>
    <t>3105475.22637362637362637362637362637363</t>
  </si>
  <si>
    <t>2657273.3010989010989010989010989010989</t>
  </si>
  <si>
    <t>-34195.103296703296703296703296703296703</t>
  </si>
  <si>
    <t>-43091.516483516483516483516483516483517</t>
  </si>
  <si>
    <t>2768671.26153846153846153846153846153846</t>
  </si>
  <si>
    <t>-182527.47252747252747252747252747252747</t>
  </si>
  <si>
    <t>-73010989.010989010989010989010989010989</t>
  </si>
  <si>
    <t>-22395.894505494505494505494505494505495</t>
  </si>
  <si>
    <t>-794625.31868131868131868131868131868132</t>
  </si>
  <si>
    <t>-17129.67032967032967032967032967032967</t>
  </si>
  <si>
    <t>-17034.505494505494505494505494505494506</t>
  </si>
  <si>
    <t>-208733.88131868131868131868131868131868</t>
  </si>
  <si>
    <t>3580659.42857142857142857142857142857143</t>
  </si>
  <si>
    <t>-216061.96043956043956043956043956043956</t>
  </si>
  <si>
    <t>3794279.9032967032967032967032967032967</t>
  </si>
  <si>
    <t>-58813186.813186813186813186813186813187</t>
  </si>
  <si>
    <t>5645573.09010989010989010989010989010989</t>
  </si>
  <si>
    <t>-116220.15824175824175824175824175824176</t>
  </si>
  <si>
    <t>-22970.197802197802197802197802197802198</t>
  </si>
  <si>
    <t>6880886.27692307692307692307692307692308</t>
  </si>
  <si>
    <t>-46038.338461538461538461538461538461539</t>
  </si>
  <si>
    <t>7304618.52307692307692307692307692307692</t>
  </si>
  <si>
    <t>-80694.021978021978021978021978021978022</t>
  </si>
  <si>
    <t>6590350.21538461538461538461538461538462</t>
  </si>
  <si>
    <t>6864901.65274725274725274725274725274725</t>
  </si>
  <si>
    <t>-105844.69450549450549450549450549450549</t>
  </si>
  <si>
    <t>-135444.35164835164835164835164835164835</t>
  </si>
  <si>
    <t>4507186.74285714285714285714285714285714</t>
  </si>
  <si>
    <t>-148823.61318681318681318681318681318681</t>
  </si>
  <si>
    <t>3599093.47692307692307692307692307692308</t>
  </si>
  <si>
    <t>-168429.37142857142857142857142857142857</t>
  </si>
  <si>
    <t>3569069.0989010989010989010989010989011</t>
  </si>
  <si>
    <t>-182952.14945054945054945054945054945055</t>
  </si>
  <si>
    <t>3834713.32747252747252747252747252747253</t>
  </si>
  <si>
    <t>3879613.65274725274725274725274725274725</t>
  </si>
  <si>
    <t>-192660.07912087912087912087912087912088</t>
  </si>
  <si>
    <t>-214342.27692307692307692307692307692308</t>
  </si>
  <si>
    <t>3838137.40659340659340659340659340659341</t>
  </si>
  <si>
    <t>-222541.85494505494505494505494505494505</t>
  </si>
  <si>
    <t>4057285.10769230769230769230769230769231</t>
  </si>
  <si>
    <t>-60571428.571428571428571428571428571429</t>
  </si>
  <si>
    <t>6245006.22417582417582417582417582417582</t>
  </si>
  <si>
    <t>-120898.77802197802197802197802197802198</t>
  </si>
  <si>
    <t>-25411.358241758241758241758241758241758</t>
  </si>
  <si>
    <t>7597181.96923076923076923076923076923077</t>
  </si>
  <si>
    <t>-50874.021978021978021978021978021978022</t>
  </si>
  <si>
    <t>8081619.82417582417582417582417582417582</t>
  </si>
  <si>
    <t>-5992.6505494505494505494505494505494505</t>
  </si>
  <si>
    <t>281710.048351648351648351648351648351648</t>
  </si>
  <si>
    <t>-12081.907692307692307692307692307692308</t>
  </si>
  <si>
    <t>-12422.224175824175824175824175824175824</t>
  </si>
  <si>
    <t>-12285.714285714285714285714285714285714</t>
  </si>
  <si>
    <t>-19917.582417582417582417582417582417582</t>
  </si>
  <si>
    <t>-5.17</t>
  </si>
  <si>
    <t>-4.545054945054945054945054945054945055</t>
  </si>
  <si>
    <t>-16.59</t>
  </si>
  <si>
    <t>-14.584615384615384615384615384615384615</t>
  </si>
  <si>
    <t>-25.86</t>
  </si>
  <si>
    <t>-22.734065934065934065934065934065934066</t>
  </si>
  <si>
    <t>-27.91</t>
  </si>
  <si>
    <t>-24.536263736263736263736263736263736264</t>
  </si>
  <si>
    <t>-37.11</t>
  </si>
  <si>
    <t>-32.624175824175824175824175824175824176</t>
  </si>
  <si>
    <t>-52.2</t>
  </si>
  <si>
    <t>-45.89010989010989010989010989010989011</t>
  </si>
  <si>
    <t>-47.47</t>
  </si>
  <si>
    <t>-41.731868131868131868131868131868131868</t>
  </si>
  <si>
    <t>-71.57</t>
  </si>
  <si>
    <t>-62.918681318681318681318681318681318681</t>
  </si>
  <si>
    <t>-74.84</t>
  </si>
  <si>
    <t>-65.793406593406593406593406593406593407</t>
  </si>
  <si>
    <t>-77.61</t>
  </si>
  <si>
    <t>-68.228571428571428571428571428571428571</t>
  </si>
  <si>
    <t>-77.62</t>
  </si>
  <si>
    <t>-68.237362637362637362637362637362637363</t>
  </si>
  <si>
    <t>-72.61</t>
  </si>
  <si>
    <t>-63.832967032967032967032967032967032967</t>
  </si>
  <si>
    <t>-80.12</t>
  </si>
  <si>
    <t>-70.435164835164835164835164835164835165</t>
  </si>
  <si>
    <t>-75.11</t>
  </si>
  <si>
    <t>-66.030769230769230769230769230769230769</t>
  </si>
  <si>
    <t>-12087.912087912087912087912087912087912</t>
  </si>
  <si>
    <t>-206043.95604395604395604395604395604396</t>
  </si>
  <si>
    <t>1030.47032967032967032967032967032967033</t>
  </si>
  <si>
    <t>230.206593406593406593406593406593406593</t>
  </si>
  <si>
    <t>3552.37802197802197802197802197802197802</t>
  </si>
  <si>
    <t>2265.74945054945054945054945054945054945</t>
  </si>
  <si>
    <t>5802.1978021978021978021978021978021978</t>
  </si>
  <si>
    <t>5769.96043956043956043956043956043956044</t>
  </si>
  <si>
    <t>-82.63</t>
  </si>
  <si>
    <t>-72.641758241758241758241758241758241758</t>
  </si>
  <si>
    <t>-70.1</t>
  </si>
  <si>
    <t>-61.626373626373626373626373626373626374</t>
  </si>
  <si>
    <t>3W_Ext_Interest</t>
  </si>
  <si>
    <t>1D_Depfa Bank Plc_Mm_Deposit</t>
  </si>
  <si>
    <t>2D_San Sabia Capital Corporation_Interest</t>
  </si>
  <si>
    <t>2D_San Sabia Capital Corporation</t>
  </si>
  <si>
    <t>2D_San Sabia Capital Corporation_Repo</t>
  </si>
  <si>
    <t>3D_Ext_Interest</t>
  </si>
  <si>
    <t>3W_Ext_Gics Deposit Collateralized</t>
  </si>
  <si>
    <t>2D_Ext_Interest</t>
  </si>
  <si>
    <t>2D_Ext_Reverse_Repo</t>
  </si>
  <si>
    <t>6M_Depfa Bank Plc_Mm_Deposit</t>
  </si>
  <si>
    <t>1D_Ext_Bonds</t>
  </si>
  <si>
    <r>
      <rPr>
        <b/>
        <sz val="14"/>
        <color rgb="FFFF0000"/>
        <rFont val="Arial"/>
        <family val="2"/>
      </rPr>
      <t>BASE</t>
    </r>
    <r>
      <rPr>
        <b/>
        <sz val="14"/>
        <color indexed="9"/>
        <rFont val="Arial"/>
        <family val="2"/>
      </rPr>
      <t xml:space="preserve"> Liquidity Report XXXX - New York</t>
    </r>
  </si>
  <si>
    <r>
      <rPr>
        <b/>
        <sz val="14"/>
        <color rgb="FFFF0000"/>
        <rFont val="Arial"/>
        <family val="2"/>
      </rPr>
      <t>RISK</t>
    </r>
    <r>
      <rPr>
        <b/>
        <sz val="14"/>
        <color indexed="9"/>
        <rFont val="Arial"/>
        <family val="2"/>
      </rPr>
      <t xml:space="preserve"> Liquidity Report XXXX - New York</t>
    </r>
  </si>
  <si>
    <t>XXXX NY Risk Liquidity Report: Launch Sheet</t>
  </si>
  <si>
    <t>\\XXXX.loc\dfs_shares\001840_DP_USNY_Interdepartment_Liquidity\Liquidity\Import\LRS_Data_LiquiReports\</t>
  </si>
  <si>
    <t>\\XXXX.loc\DFS_SHARES\001840_DP_USNY_Interdepartment_Liquidity\Liquidity\Excel Data\</t>
  </si>
  <si>
    <t>\\XXXX.loc\dfs_shares\001831_DP_USNY_Interdepartment\PnL Reports\000_Setup Files\600_GIC_Notional\GIC_Notional_Processed\GIC_Current_Notional_asof_20140130.xls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</si>
</sst>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8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[$€]* #,##0.00_);_([$€]* \(#,##0.00\);_([$€]* &quot;-&quot;??_);_(@_)"/>
    <numFmt numFmtId="166" formatCode="#,##0\ [$CAD]"/>
    <numFmt numFmtId="167" formatCode="[$$-409]#,##0"/>
    <numFmt numFmtId="168" formatCode="#,##0\ &quot;$&quot;"/>
    <numFmt numFmtId="169" formatCode="[$$-409]#,##0.00"/>
    <numFmt numFmtId="170" formatCode="#,##0.00\ _€"/>
    <numFmt numFmtId="171" formatCode="_(&quot;$&quot;* #,##0.0000_);_(&quot;$&quot;* \(#,##0.0000\);_(&quot;$&quot;* &quot;-&quot;??_);_(@_)"/>
    <numFmt numFmtId="172" formatCode="_-* #,##0.00_-;\-* #,##0.00_-;_-* &quot;-&quot;??_-;_-@_-"/>
    <numFmt numFmtId="173" formatCode="_(* #,##0_);_(* \(#,##0\);_(* &quot;-&quot;??_);_(@_)"/>
    <numFmt numFmtId="174" formatCode="_-* #,##0_-;\-* #,##0_-;_-* &quot;-&quot;??_-;_-@_-"/>
    <numFmt numFmtId="175" formatCode="0.0000"/>
    <numFmt numFmtId="176" formatCode="0.00%;[Red]\-0.00%"/>
    <numFmt numFmtId="177" formatCode="0.000%"/>
    <numFmt numFmtId="178" formatCode="0_);\(0\)"/>
    <numFmt numFmtId="179" formatCode="m/d/yy;@"/>
  </numFmts>
  <fonts count="74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0"/>
      <name val="Arial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9"/>
      <color indexed="8"/>
      <name val="Arial"/>
      <family val="2"/>
    </font>
    <font>
      <sz val="9"/>
      <color indexed="22"/>
      <name val="Arial"/>
      <family val="2"/>
    </font>
    <font>
      <sz val="9"/>
      <color indexed="9"/>
      <name val="Arial"/>
      <family val="2"/>
    </font>
    <font>
      <b/>
      <sz val="14"/>
      <color indexed="9"/>
      <name val="Arial"/>
      <family val="2"/>
    </font>
    <font>
      <sz val="14"/>
      <color indexed="8"/>
      <name val="Arial"/>
      <family val="2"/>
    </font>
    <font>
      <sz val="8"/>
      <color indexed="9"/>
      <name val="Arial"/>
      <family val="2"/>
    </font>
    <font>
      <b/>
      <sz val="9"/>
      <color indexed="9"/>
      <name val="Arial"/>
      <family val="2"/>
    </font>
    <font>
      <b/>
      <sz val="9"/>
      <name val="Arial"/>
      <family val="2"/>
    </font>
    <font>
      <sz val="11"/>
      <color indexed="8"/>
      <name val="Arial"/>
      <family val="2"/>
    </font>
    <font>
      <b/>
      <sz val="11"/>
      <name val="Arial"/>
      <family val="2"/>
    </font>
    <font>
      <b/>
      <sz val="11"/>
      <color indexed="8"/>
      <name val="Arial"/>
      <family val="2"/>
    </font>
    <font>
      <b/>
      <sz val="9"/>
      <color indexed="22"/>
      <name val="Arial"/>
      <family val="2"/>
    </font>
    <font>
      <sz val="9"/>
      <name val="Arial"/>
      <family val="2"/>
    </font>
    <font>
      <b/>
      <sz val="9"/>
      <color indexed="8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6"/>
      <color indexed="8"/>
      <name val="Arial"/>
      <family val="2"/>
    </font>
    <font>
      <b/>
      <sz val="10"/>
      <color indexed="23"/>
      <name val="Arial"/>
      <family val="2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b/>
      <sz val="16"/>
      <color indexed="9"/>
      <name val="Arial"/>
      <family val="2"/>
    </font>
    <font>
      <b/>
      <sz val="10"/>
      <color indexed="8"/>
      <name val="Arial"/>
      <family val="2"/>
    </font>
    <font>
      <b/>
      <sz val="12"/>
      <color indexed="8"/>
      <name val="Arial"/>
      <family val="2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b/>
      <sz val="8"/>
      <name val="Arial"/>
      <family val="2"/>
    </font>
    <font>
      <b/>
      <sz val="9"/>
      <color indexed="23"/>
      <name val="Arial"/>
      <family val="2"/>
    </font>
    <font>
      <b/>
      <sz val="8"/>
      <color indexed="12"/>
      <name val="Arial"/>
      <family val="2"/>
    </font>
    <font>
      <b/>
      <sz val="12"/>
      <color theme="0"/>
      <name val="Arial"/>
      <family val="2"/>
    </font>
    <font>
      <b/>
      <i/>
      <sz val="10"/>
      <name val="Arial"/>
      <family val="2"/>
    </font>
    <font>
      <b/>
      <sz val="15"/>
      <color theme="0"/>
      <name val="Calibri"/>
      <family val="2"/>
    </font>
    <font>
      <b/>
      <sz val="14"/>
      <color rgb="FFFF0000"/>
      <name val="Arial"/>
      <family val="2"/>
    </font>
    <font>
      <sz val="10"/>
      <color indexed="23"/>
      <name val="Arial"/>
      <family val="2"/>
    </font>
    <font>
      <sz val="10"/>
      <color indexed="55"/>
      <name val="Arial"/>
      <family val="2"/>
    </font>
    <font>
      <i/>
      <sz val="8"/>
      <name val="Arial"/>
      <family val="2"/>
    </font>
    <font>
      <sz val="10"/>
      <name val="Arial"/>
      <family val="2"/>
    </font>
    <font>
      <b/>
      <sz val="11"/>
      <color indexed="9"/>
      <name val="Arial"/>
      <family val="2"/>
    </font>
    <font>
      <sz val="8"/>
      <color theme="0" tint="-0.499984740745262"/>
      <name val="Arial"/>
      <family val="2"/>
    </font>
    <font>
      <b/>
      <sz val="9"/>
      <color theme="0" tint="-0.499984740745262"/>
      <name val="Arial"/>
      <family val="2"/>
    </font>
    <font>
      <b/>
      <sz val="10"/>
      <color indexed="11"/>
      <name val="Arial"/>
      <family val="2"/>
    </font>
    <font>
      <b/>
      <sz val="10"/>
      <color rgb="FF000000"/>
      <name val="Arial"/>
      <family val="2"/>
    </font>
    <font>
      <b/>
      <sz val="10"/>
      <color indexed="10"/>
      <name val="Arial"/>
      <family val="2"/>
    </font>
    <font>
      <sz val="10"/>
      <name val="Arial"/>
      <family val="2"/>
    </font>
    <font>
      <sz val="11"/>
      <color indexed="63"/>
      <name val="Calibri"/>
      <family val="2"/>
    </font>
    <font>
      <sz val="11"/>
      <name val="Arial"/>
      <family val="2"/>
    </font>
    <font>
      <u/>
      <sz val="11"/>
      <color indexed="12"/>
      <name val="Arial"/>
      <family val="2"/>
    </font>
    <font>
      <b/>
      <i/>
      <sz val="10"/>
      <color rgb="FFFF0000"/>
      <name val="Arial"/>
      <family val="2"/>
    </font>
  </fonts>
  <fills count="36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9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62"/>
        <bgColor indexed="9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56"/>
        <bgColor indexed="9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14996795556505021"/>
        <bgColor indexed="64"/>
      </patternFill>
    </fill>
  </fills>
  <borders count="52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theme="4" tint="-0.24994659260841701"/>
      </left>
      <right style="medium">
        <color theme="4" tint="-0.24994659260841701"/>
      </right>
      <top style="medium">
        <color theme="4" tint="-0.24994659260841701"/>
      </top>
      <bottom style="medium">
        <color theme="4" tint="-0.24994659260841701"/>
      </bottom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65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</borders>
  <cellStyleXfs count="88">
    <xf numFmtId="0" fontId="0" fillId="0" borderId="0"/>
    <xf numFmtId="0" fontId="8" fillId="2" borderId="0" applyNumberFormat="0" applyBorder="0" applyAlignment="0" applyProtection="0"/>
    <xf numFmtId="0" fontId="8" fillId="3" borderId="0" applyNumberFormat="0" applyBorder="0" applyAlignment="0" applyProtection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8" fillId="10" borderId="0" applyNumberFormat="0" applyBorder="0" applyAlignment="0" applyProtection="0"/>
    <xf numFmtId="0" fontId="8" fillId="5" borderId="0" applyNumberFormat="0" applyBorder="0" applyAlignment="0" applyProtection="0"/>
    <xf numFmtId="0" fontId="8" fillId="8" borderId="0" applyNumberFormat="0" applyBorder="0" applyAlignment="0" applyProtection="0"/>
    <xf numFmtId="0" fontId="8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9" borderId="0" applyNumberFormat="0" applyBorder="0" applyAlignment="0" applyProtection="0"/>
    <xf numFmtId="0" fontId="10" fillId="3" borderId="0" applyNumberFormat="0" applyBorder="0" applyAlignment="0" applyProtection="0"/>
    <xf numFmtId="0" fontId="11" fillId="20" borderId="1" applyNumberFormat="0" applyAlignment="0" applyProtection="0"/>
    <xf numFmtId="0" fontId="12" fillId="21" borderId="2" applyNumberFormat="0" applyAlignment="0" applyProtection="0"/>
    <xf numFmtId="44" fontId="5" fillId="0" borderId="0" applyFont="0" applyFill="0" applyBorder="0" applyAlignment="0" applyProtection="0"/>
    <xf numFmtId="0" fontId="13" fillId="0" borderId="0" applyNumberFormat="0" applyFill="0" applyBorder="0" applyAlignment="0" applyProtection="0"/>
    <xf numFmtId="0" fontId="14" fillId="4" borderId="0" applyNumberFormat="0" applyBorder="0" applyAlignment="0" applyProtection="0"/>
    <xf numFmtId="0" fontId="15" fillId="0" borderId="3" applyNumberFormat="0" applyFill="0" applyAlignment="0" applyProtection="0"/>
    <xf numFmtId="0" fontId="16" fillId="0" borderId="4" applyNumberFormat="0" applyFill="0" applyAlignment="0" applyProtection="0"/>
    <xf numFmtId="0" fontId="17" fillId="0" borderId="5" applyNumberFormat="0" applyFill="0" applyAlignment="0" applyProtection="0"/>
    <xf numFmtId="0" fontId="17" fillId="0" borderId="0" applyNumberFormat="0" applyFill="0" applyBorder="0" applyAlignment="0" applyProtection="0"/>
    <xf numFmtId="0" fontId="18" fillId="7" borderId="1" applyNumberFormat="0" applyAlignment="0" applyProtection="0"/>
    <xf numFmtId="0" fontId="19" fillId="0" borderId="6" applyNumberFormat="0" applyFill="0" applyAlignment="0" applyProtection="0"/>
    <xf numFmtId="0" fontId="20" fillId="22" borderId="0" applyNumberFormat="0" applyBorder="0" applyAlignment="0" applyProtection="0"/>
    <xf numFmtId="0" fontId="41" fillId="0" borderId="0"/>
    <xf numFmtId="0" fontId="8" fillId="0" borderId="0"/>
    <xf numFmtId="0" fontId="42" fillId="0" borderId="0"/>
    <xf numFmtId="0" fontId="21" fillId="23" borderId="7" applyNumberFormat="0" applyFont="0" applyAlignment="0" applyProtection="0"/>
    <xf numFmtId="0" fontId="22" fillId="20" borderId="8" applyNumberFormat="0" applyAlignment="0" applyProtection="0"/>
    <xf numFmtId="0" fontId="23" fillId="0" borderId="0" applyNumberFormat="0" applyFill="0" applyBorder="0" applyAlignment="0" applyProtection="0"/>
    <xf numFmtId="0" fontId="24" fillId="0" borderId="9" applyNumberFormat="0" applyFill="0" applyAlignment="0" applyProtection="0"/>
    <xf numFmtId="0" fontId="25" fillId="0" borderId="0" applyNumberFormat="0" applyFill="0" applyBorder="0" applyAlignment="0" applyProtection="0"/>
    <xf numFmtId="0" fontId="45" fillId="0" borderId="0"/>
    <xf numFmtId="0" fontId="5" fillId="0" borderId="0" applyNumberFormat="0" applyFill="0" applyBorder="0" applyAlignment="0" applyProtection="0"/>
    <xf numFmtId="0" fontId="50" fillId="31" borderId="0">
      <alignment horizontal="left"/>
      <protection hidden="1"/>
    </xf>
    <xf numFmtId="2" fontId="51" fillId="0" borderId="0" applyBorder="0">
      <alignment horizontal="center"/>
    </xf>
    <xf numFmtId="43" fontId="41" fillId="0" borderId="0" applyFont="0" applyFill="0" applyBorder="0" applyAlignment="0" applyProtection="0"/>
    <xf numFmtId="15" fontId="52" fillId="0" borderId="0">
      <alignment horizontal="left"/>
      <protection locked="0"/>
    </xf>
    <xf numFmtId="165" fontId="5" fillId="0" borderId="0" applyFont="0" applyFill="0" applyBorder="0" applyAlignment="0" applyProtection="0"/>
    <xf numFmtId="2" fontId="53" fillId="0" borderId="24">
      <alignment horizontal="center"/>
    </xf>
    <xf numFmtId="0" fontId="46" fillId="0" borderId="0" applyNumberFormat="0" applyFill="0" applyBorder="0" applyAlignment="0" applyProtection="0">
      <alignment vertical="top"/>
      <protection locked="0"/>
    </xf>
    <xf numFmtId="0" fontId="5" fillId="23" borderId="7" applyNumberFormat="0" applyFont="0" applyAlignment="0" applyProtection="0"/>
    <xf numFmtId="0" fontId="5" fillId="0" borderId="0"/>
    <xf numFmtId="0" fontId="5" fillId="0" borderId="0" applyNumberFormat="0" applyFill="0" applyBorder="0" applyAlignment="0" applyProtection="0"/>
    <xf numFmtId="0" fontId="54" fillId="0" borderId="0">
      <alignment horizontal="left"/>
      <protection hidden="1"/>
    </xf>
    <xf numFmtId="0" fontId="5" fillId="0" borderId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45" fillId="30" borderId="0" applyNumberFormat="0" applyBorder="0" applyAlignment="0" applyProtection="0"/>
    <xf numFmtId="9" fontId="62" fillId="0" borderId="0" applyFont="0" applyFill="0" applyBorder="0" applyAlignment="0" applyProtection="0"/>
    <xf numFmtId="172" fontId="4" fillId="0" borderId="0" applyFont="0" applyFill="0" applyBorder="0" applyAlignment="0" applyProtection="0"/>
    <xf numFmtId="44" fontId="69" fillId="0" borderId="0" applyFont="0" applyFill="0" applyBorder="0" applyAlignment="0" applyProtection="0"/>
    <xf numFmtId="172" fontId="5" fillId="0" borderId="0" applyFont="0" applyFill="0" applyBorder="0" applyAlignment="0" applyProtection="0"/>
    <xf numFmtId="172" fontId="70" fillId="0" borderId="0" applyFont="0" applyFill="0" applyBorder="0" applyAlignment="0" applyProtection="0"/>
    <xf numFmtId="172" fontId="5" fillId="0" borderId="0" applyFont="0" applyFill="0" applyBorder="0" applyAlignment="0" applyProtection="0"/>
    <xf numFmtId="172" fontId="70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70" fillId="0" borderId="0" applyFont="0" applyFill="0" applyBorder="0" applyAlignment="0" applyProtection="0"/>
    <xf numFmtId="172" fontId="70" fillId="0" borderId="0" applyFont="0" applyFill="0" applyBorder="0" applyAlignment="0" applyProtection="0"/>
    <xf numFmtId="172" fontId="70" fillId="0" borderId="0" applyFont="0" applyFill="0" applyBorder="0" applyAlignment="0" applyProtection="0"/>
    <xf numFmtId="172" fontId="70" fillId="0" borderId="0" applyFont="0" applyFill="0" applyBorder="0" applyAlignment="0" applyProtection="0"/>
    <xf numFmtId="172" fontId="70" fillId="0" borderId="0" applyFont="0" applyFill="0" applyBorder="0" applyAlignment="0" applyProtection="0"/>
    <xf numFmtId="172" fontId="70" fillId="0" borderId="0" applyFont="0" applyFill="0" applyBorder="0" applyAlignment="0" applyProtection="0"/>
    <xf numFmtId="172" fontId="70" fillId="0" borderId="0" applyFont="0" applyFill="0" applyBorder="0" applyAlignment="0" applyProtection="0"/>
    <xf numFmtId="172" fontId="70" fillId="0" borderId="0" applyFont="0" applyFill="0" applyBorder="0" applyAlignment="0" applyProtection="0"/>
    <xf numFmtId="172" fontId="71" fillId="0" borderId="0" applyFont="0" applyFill="0" applyBorder="0" applyAlignment="0" applyProtection="0"/>
    <xf numFmtId="0" fontId="72" fillId="0" borderId="0" applyNumberFormat="0" applyFill="0" applyBorder="0" applyAlignment="0" applyProtection="0">
      <alignment vertical="top"/>
      <protection locked="0"/>
    </xf>
    <xf numFmtId="0" fontId="45" fillId="0" borderId="0"/>
    <xf numFmtId="0" fontId="3" fillId="0" borderId="0"/>
    <xf numFmtId="172" fontId="2" fillId="0" borderId="0" applyFont="0" applyFill="0" applyBorder="0" applyAlignment="0" applyProtection="0"/>
    <xf numFmtId="0" fontId="2" fillId="0" borderId="0"/>
    <xf numFmtId="172" fontId="1" fillId="0" borderId="0" applyFont="0" applyFill="0" applyBorder="0" applyAlignment="0" applyProtection="0"/>
    <xf numFmtId="0" fontId="1" fillId="0" borderId="0"/>
  </cellStyleXfs>
  <cellXfs count="272">
    <xf numFmtId="0" fontId="0" fillId="0" borderId="0" xfId="0"/>
    <xf numFmtId="14" fontId="27" fillId="24" borderId="0" xfId="0" applyNumberFormat="1" applyFont="1" applyFill="1" applyBorder="1" applyAlignment="1"/>
    <xf numFmtId="0" fontId="26" fillId="24" borderId="0" xfId="0" applyNumberFormat="1" applyFont="1" applyFill="1" applyBorder="1" applyAlignment="1"/>
    <xf numFmtId="0" fontId="28" fillId="24" borderId="0" xfId="0" applyNumberFormat="1" applyFont="1" applyFill="1" applyBorder="1" applyAlignment="1"/>
    <xf numFmtId="0" fontId="28" fillId="25" borderId="0" xfId="0" applyNumberFormat="1" applyFont="1" applyFill="1" applyBorder="1" applyAlignment="1">
      <alignment horizontal="right" vertical="center"/>
    </xf>
    <xf numFmtId="0" fontId="31" fillId="25" borderId="0" xfId="0" applyNumberFormat="1" applyFont="1" applyFill="1" applyBorder="1" applyAlignment="1">
      <alignment horizontal="right" vertical="top" indent="1"/>
    </xf>
    <xf numFmtId="3" fontId="26" fillId="24" borderId="0" xfId="0" applyNumberFormat="1" applyFont="1" applyFill="1" applyBorder="1" applyAlignment="1"/>
    <xf numFmtId="0" fontId="27" fillId="24" borderId="0" xfId="39" applyNumberFormat="1" applyFont="1" applyFill="1" applyBorder="1" applyAlignment="1"/>
    <xf numFmtId="0" fontId="26" fillId="26" borderId="0" xfId="0" applyNumberFormat="1" applyFont="1" applyFill="1" applyBorder="1" applyAlignment="1">
      <alignment vertical="center"/>
    </xf>
    <xf numFmtId="0" fontId="27" fillId="24" borderId="0" xfId="0" applyNumberFormat="1" applyFont="1" applyFill="1" applyBorder="1" applyAlignment="1"/>
    <xf numFmtId="0" fontId="37" fillId="24" borderId="0" xfId="0" applyNumberFormat="1" applyFont="1" applyFill="1" applyBorder="1" applyAlignment="1"/>
    <xf numFmtId="0" fontId="26" fillId="25" borderId="12" xfId="0" applyNumberFormat="1" applyFont="1" applyFill="1" applyBorder="1" applyAlignment="1"/>
    <xf numFmtId="0" fontId="32" fillId="25" borderId="12" xfId="0" applyNumberFormat="1" applyFont="1" applyFill="1" applyBorder="1" applyAlignment="1">
      <alignment horizontal="center" vertical="center" textRotation="90" wrapText="1"/>
    </xf>
    <xf numFmtId="3" fontId="34" fillId="24" borderId="0" xfId="0" applyNumberFormat="1" applyFont="1" applyFill="1" applyBorder="1"/>
    <xf numFmtId="0" fontId="27" fillId="0" borderId="0" xfId="0" applyNumberFormat="1" applyFont="1" applyFill="1" applyBorder="1" applyAlignment="1"/>
    <xf numFmtId="3" fontId="27" fillId="24" borderId="0" xfId="0" applyNumberFormat="1" applyFont="1" applyFill="1" applyBorder="1" applyAlignment="1"/>
    <xf numFmtId="0" fontId="26" fillId="24" borderId="0" xfId="0" applyNumberFormat="1" applyFont="1" applyFill="1" applyBorder="1" applyAlignment="1">
      <alignment vertical="center"/>
    </xf>
    <xf numFmtId="0" fontId="0" fillId="24" borderId="0" xfId="0" applyFill="1"/>
    <xf numFmtId="0" fontId="21" fillId="0" borderId="0" xfId="0" applyFont="1" applyFill="1"/>
    <xf numFmtId="0" fontId="0" fillId="24" borderId="14" xfId="0" applyFill="1" applyBorder="1"/>
    <xf numFmtId="0" fontId="0" fillId="24" borderId="15" xfId="0" applyFill="1" applyBorder="1"/>
    <xf numFmtId="14" fontId="0" fillId="24" borderId="14" xfId="0" applyNumberFormat="1" applyFill="1" applyBorder="1"/>
    <xf numFmtId="14" fontId="0" fillId="24" borderId="16" xfId="0" applyNumberFormat="1" applyFill="1" applyBorder="1"/>
    <xf numFmtId="0" fontId="0" fillId="24" borderId="17" xfId="0" applyFill="1" applyBorder="1"/>
    <xf numFmtId="0" fontId="0" fillId="24" borderId="18" xfId="0" applyFill="1" applyBorder="1"/>
    <xf numFmtId="0" fontId="0" fillId="24" borderId="19" xfId="0" applyFill="1" applyBorder="1"/>
    <xf numFmtId="0" fontId="0" fillId="24" borderId="20" xfId="0" applyFill="1" applyBorder="1"/>
    <xf numFmtId="0" fontId="0" fillId="24" borderId="0" xfId="0" applyFill="1" applyBorder="1"/>
    <xf numFmtId="14" fontId="38" fillId="24" borderId="14" xfId="0" applyNumberFormat="1" applyFont="1" applyFill="1" applyBorder="1" applyAlignment="1"/>
    <xf numFmtId="14" fontId="0" fillId="24" borderId="15" xfId="0" applyNumberFormat="1" applyFill="1" applyBorder="1"/>
    <xf numFmtId="14" fontId="38" fillId="24" borderId="16" xfId="0" applyNumberFormat="1" applyFont="1" applyFill="1" applyBorder="1" applyAlignment="1"/>
    <xf numFmtId="0" fontId="0" fillId="24" borderId="21" xfId="0" applyFill="1" applyBorder="1"/>
    <xf numFmtId="14" fontId="0" fillId="24" borderId="17" xfId="0" applyNumberFormat="1" applyFill="1" applyBorder="1"/>
    <xf numFmtId="3" fontId="33" fillId="24" borderId="0" xfId="0" applyNumberFormat="1" applyFont="1" applyFill="1" applyBorder="1" applyAlignment="1"/>
    <xf numFmtId="3" fontId="35" fillId="24" borderId="21" xfId="0" applyNumberFormat="1" applyFont="1" applyFill="1" applyBorder="1" applyAlignment="1"/>
    <xf numFmtId="3" fontId="26" fillId="24" borderId="19" xfId="0" applyNumberFormat="1" applyFont="1" applyFill="1" applyBorder="1" applyAlignment="1"/>
    <xf numFmtId="3" fontId="34" fillId="24" borderId="19" xfId="0" applyNumberFormat="1" applyFont="1" applyFill="1" applyBorder="1"/>
    <xf numFmtId="3" fontId="35" fillId="24" borderId="22" xfId="0" applyNumberFormat="1" applyFont="1" applyFill="1" applyBorder="1" applyAlignment="1"/>
    <xf numFmtId="3" fontId="36" fillId="24" borderId="21" xfId="0" applyNumberFormat="1" applyFont="1" applyFill="1" applyBorder="1" applyAlignment="1"/>
    <xf numFmtId="3" fontId="36" fillId="24" borderId="22" xfId="0" applyNumberFormat="1" applyFont="1" applyFill="1" applyBorder="1" applyAlignment="1"/>
    <xf numFmtId="3" fontId="36" fillId="24" borderId="22" xfId="0" applyNumberFormat="1" applyFont="1" applyFill="1" applyBorder="1"/>
    <xf numFmtId="3" fontId="33" fillId="24" borderId="21" xfId="0" applyNumberFormat="1" applyFont="1" applyFill="1" applyBorder="1" applyAlignment="1"/>
    <xf numFmtId="3" fontId="33" fillId="24" borderId="19" xfId="0" applyNumberFormat="1" applyFont="1" applyFill="1" applyBorder="1" applyAlignment="1"/>
    <xf numFmtId="0" fontId="26" fillId="26" borderId="19" xfId="0" applyNumberFormat="1" applyFont="1" applyFill="1" applyBorder="1" applyAlignment="1">
      <alignment vertical="center"/>
    </xf>
    <xf numFmtId="3" fontId="26" fillId="24" borderId="20" xfId="0" applyNumberFormat="1" applyFont="1" applyFill="1" applyBorder="1" applyAlignment="1"/>
    <xf numFmtId="3" fontId="26" fillId="24" borderId="14" xfId="0" applyNumberFormat="1" applyFont="1" applyFill="1" applyBorder="1" applyAlignment="1"/>
    <xf numFmtId="3" fontId="26" fillId="24" borderId="15" xfId="0" applyNumberFormat="1" applyFont="1" applyFill="1" applyBorder="1" applyAlignment="1"/>
    <xf numFmtId="3" fontId="33" fillId="24" borderId="14" xfId="0" applyNumberFormat="1" applyFont="1" applyFill="1" applyBorder="1" applyAlignment="1"/>
    <xf numFmtId="3" fontId="33" fillId="24" borderId="15" xfId="0" applyNumberFormat="1" applyFont="1" applyFill="1" applyBorder="1" applyAlignment="1"/>
    <xf numFmtId="3" fontId="35" fillId="24" borderId="16" xfId="0" applyNumberFormat="1" applyFont="1" applyFill="1" applyBorder="1" applyAlignment="1"/>
    <xf numFmtId="3" fontId="35" fillId="24" borderId="17" xfId="0" applyNumberFormat="1" applyFont="1" applyFill="1" applyBorder="1" applyAlignment="1"/>
    <xf numFmtId="3" fontId="26" fillId="24" borderId="18" xfId="0" applyNumberFormat="1" applyFont="1" applyFill="1" applyBorder="1" applyAlignment="1"/>
    <xf numFmtId="3" fontId="34" fillId="24" borderId="20" xfId="0" applyNumberFormat="1" applyFont="1" applyFill="1" applyBorder="1"/>
    <xf numFmtId="3" fontId="34" fillId="24" borderId="15" xfId="0" applyNumberFormat="1" applyFont="1" applyFill="1" applyBorder="1"/>
    <xf numFmtId="3" fontId="35" fillId="24" borderId="12" xfId="0" applyNumberFormat="1" applyFont="1" applyFill="1" applyBorder="1" applyAlignment="1"/>
    <xf numFmtId="3" fontId="35" fillId="24" borderId="23" xfId="0" applyNumberFormat="1" applyFont="1" applyFill="1" applyBorder="1" applyAlignment="1"/>
    <xf numFmtId="3" fontId="36" fillId="24" borderId="16" xfId="0" applyNumberFormat="1" applyFont="1" applyFill="1" applyBorder="1" applyAlignment="1"/>
    <xf numFmtId="3" fontId="36" fillId="24" borderId="17" xfId="0" applyNumberFormat="1" applyFont="1" applyFill="1" applyBorder="1" applyAlignment="1"/>
    <xf numFmtId="3" fontId="36" fillId="24" borderId="12" xfId="0" applyNumberFormat="1" applyFont="1" applyFill="1" applyBorder="1" applyAlignment="1"/>
    <xf numFmtId="3" fontId="36" fillId="24" borderId="23" xfId="0" applyNumberFormat="1" applyFont="1" applyFill="1" applyBorder="1"/>
    <xf numFmtId="3" fontId="33" fillId="24" borderId="16" xfId="0" applyNumberFormat="1" applyFont="1" applyFill="1" applyBorder="1" applyAlignment="1"/>
    <xf numFmtId="3" fontId="33" fillId="24" borderId="17" xfId="0" applyNumberFormat="1" applyFont="1" applyFill="1" applyBorder="1" applyAlignment="1"/>
    <xf numFmtId="3" fontId="33" fillId="24" borderId="18" xfId="0" applyNumberFormat="1" applyFont="1" applyFill="1" applyBorder="1" applyAlignment="1"/>
    <xf numFmtId="3" fontId="33" fillId="24" borderId="20" xfId="0" applyNumberFormat="1" applyFont="1" applyFill="1" applyBorder="1" applyAlignment="1"/>
    <xf numFmtId="0" fontId="26" fillId="24" borderId="18" xfId="0" applyNumberFormat="1" applyFont="1" applyFill="1" applyBorder="1" applyAlignment="1"/>
    <xf numFmtId="0" fontId="26" fillId="24" borderId="19" xfId="0" applyNumberFormat="1" applyFont="1" applyFill="1" applyBorder="1" applyAlignment="1"/>
    <xf numFmtId="0" fontId="26" fillId="24" borderId="20" xfId="0" applyNumberFormat="1" applyFont="1" applyFill="1" applyBorder="1" applyAlignment="1"/>
    <xf numFmtId="0" fontId="0" fillId="24" borderId="24" xfId="0" applyFill="1" applyBorder="1"/>
    <xf numFmtId="0" fontId="0" fillId="24" borderId="25" xfId="0" applyFill="1" applyBorder="1"/>
    <xf numFmtId="0" fontId="0" fillId="0" borderId="24" xfId="0" applyBorder="1" applyAlignment="1">
      <alignment horizontal="left"/>
    </xf>
    <xf numFmtId="0" fontId="39" fillId="24" borderId="26" xfId="0" applyNumberFormat="1" applyFont="1" applyFill="1" applyBorder="1" applyAlignment="1">
      <alignment vertical="center" wrapText="1"/>
    </xf>
    <xf numFmtId="49" fontId="26" fillId="28" borderId="7" xfId="40" applyNumberFormat="1" applyFont="1" applyFill="1" applyBorder="1" applyAlignment="1">
      <alignment horizontal="left" shrinkToFit="1"/>
    </xf>
    <xf numFmtId="49" fontId="32" fillId="29" borderId="7" xfId="40" applyNumberFormat="1" applyFont="1" applyFill="1" applyBorder="1" applyAlignment="1">
      <alignment horizontal="left" shrinkToFit="1"/>
    </xf>
    <xf numFmtId="0" fontId="43" fillId="28" borderId="0" xfId="40" applyFont="1" applyFill="1" applyAlignment="1">
      <alignment horizontal="left" shrinkToFit="1"/>
    </xf>
    <xf numFmtId="49" fontId="43" fillId="28" borderId="0" xfId="40" applyNumberFormat="1" applyFont="1" applyFill="1" applyAlignment="1">
      <alignment horizontal="left" shrinkToFit="1"/>
    </xf>
    <xf numFmtId="0" fontId="26" fillId="28" borderId="7" xfId="40" applyFont="1" applyFill="1" applyBorder="1" applyAlignment="1">
      <alignment horizontal="right" shrinkToFit="1"/>
    </xf>
    <xf numFmtId="49" fontId="26" fillId="28" borderId="7" xfId="40" applyNumberFormat="1" applyFont="1" applyFill="1" applyBorder="1" applyAlignment="1">
      <alignment horizontal="right" vertical="center" shrinkToFit="1"/>
    </xf>
    <xf numFmtId="49" fontId="26" fillId="28" borderId="7" xfId="40" applyNumberFormat="1" applyFont="1" applyFill="1" applyBorder="1" applyAlignment="1">
      <alignment horizontal="left" vertical="center" shrinkToFit="1"/>
    </xf>
    <xf numFmtId="0" fontId="26" fillId="28" borderId="7" xfId="40" applyFont="1" applyFill="1" applyBorder="1" applyAlignment="1">
      <alignment horizontal="right" vertical="center" shrinkToFit="1"/>
    </xf>
    <xf numFmtId="0" fontId="42" fillId="0" borderId="0" xfId="40"/>
    <xf numFmtId="0" fontId="0" fillId="0" borderId="27" xfId="0" pivotButton="1" applyBorder="1"/>
    <xf numFmtId="0" fontId="0" fillId="0" borderId="28" xfId="0" applyBorder="1"/>
    <xf numFmtId="0" fontId="0" fillId="0" borderId="27" xfId="0" applyBorder="1"/>
    <xf numFmtId="0" fontId="0" fillId="0" borderId="29" xfId="0" applyBorder="1"/>
    <xf numFmtId="0" fontId="0" fillId="0" borderId="30" xfId="0" applyBorder="1"/>
    <xf numFmtId="0" fontId="0" fillId="0" borderId="31" xfId="0" pivotButton="1" applyBorder="1"/>
    <xf numFmtId="0" fontId="0" fillId="0" borderId="31" xfId="0" applyBorder="1"/>
    <xf numFmtId="3" fontId="0" fillId="0" borderId="28" xfId="0" applyNumberFormat="1" applyBorder="1"/>
    <xf numFmtId="3" fontId="0" fillId="0" borderId="32" xfId="0" applyNumberFormat="1" applyBorder="1"/>
    <xf numFmtId="3" fontId="0" fillId="0" borderId="31" xfId="0" applyNumberFormat="1" applyBorder="1"/>
    <xf numFmtId="3" fontId="0" fillId="0" borderId="0" xfId="0" applyNumberFormat="1"/>
    <xf numFmtId="0" fontId="40" fillId="24" borderId="26" xfId="0" applyFont="1" applyFill="1" applyBorder="1" applyAlignment="1">
      <alignment horizontal="center"/>
    </xf>
    <xf numFmtId="0" fontId="40" fillId="24" borderId="26" xfId="0" applyFont="1" applyFill="1" applyBorder="1" applyAlignment="1">
      <alignment horizontal="left"/>
    </xf>
    <xf numFmtId="14" fontId="0" fillId="24" borderId="24" xfId="0" applyNumberFormat="1" applyFill="1" applyBorder="1" applyAlignment="1">
      <alignment horizontal="center"/>
    </xf>
    <xf numFmtId="3" fontId="0" fillId="24" borderId="24" xfId="0" applyNumberFormat="1" applyFill="1" applyBorder="1" applyAlignment="1">
      <alignment horizontal="center"/>
    </xf>
    <xf numFmtId="0" fontId="44" fillId="26" borderId="20" xfId="38" applyFont="1" applyFill="1" applyBorder="1"/>
    <xf numFmtId="0" fontId="6" fillId="24" borderId="0" xfId="0" applyFont="1" applyFill="1" applyBorder="1" applyAlignment="1">
      <alignment horizontal="center"/>
    </xf>
    <xf numFmtId="0" fontId="6" fillId="24" borderId="0" xfId="0" applyFont="1" applyFill="1" applyAlignment="1">
      <alignment horizontal="center"/>
    </xf>
    <xf numFmtId="0" fontId="6" fillId="24" borderId="0" xfId="38" applyFont="1" applyFill="1" applyAlignment="1">
      <alignment horizontal="center"/>
    </xf>
    <xf numFmtId="0" fontId="0" fillId="24" borderId="0" xfId="0" applyFill="1" applyBorder="1" applyAlignment="1">
      <alignment horizontal="center"/>
    </xf>
    <xf numFmtId="0" fontId="0" fillId="24" borderId="0" xfId="0" applyFill="1" applyAlignment="1">
      <alignment horizontal="center"/>
    </xf>
    <xf numFmtId="0" fontId="0" fillId="32" borderId="0" xfId="0" applyFill="1"/>
    <xf numFmtId="0" fontId="55" fillId="32" borderId="0" xfId="0" applyFont="1" applyFill="1" applyAlignment="1">
      <alignment horizontal="center"/>
    </xf>
    <xf numFmtId="0" fontId="0" fillId="32" borderId="0" xfId="0" applyFill="1" applyAlignment="1"/>
    <xf numFmtId="0" fontId="56" fillId="24" borderId="0" xfId="0" applyFont="1" applyFill="1" applyAlignment="1">
      <alignment horizontal="center"/>
    </xf>
    <xf numFmtId="0" fontId="56" fillId="24" borderId="0" xfId="0" applyFont="1" applyFill="1"/>
    <xf numFmtId="164" fontId="5" fillId="32" borderId="0" xfId="28" applyNumberFormat="1" applyFont="1" applyFill="1" applyBorder="1" applyAlignment="1">
      <alignment horizontal="center"/>
    </xf>
    <xf numFmtId="0" fontId="47" fillId="24" borderId="0" xfId="38" applyFont="1" applyFill="1" applyBorder="1" applyAlignment="1">
      <alignment horizontal="center" vertical="center"/>
    </xf>
    <xf numFmtId="0" fontId="49" fillId="24" borderId="0" xfId="38" applyFont="1" applyFill="1" applyAlignment="1">
      <alignment horizontal="center"/>
    </xf>
    <xf numFmtId="167" fontId="5" fillId="27" borderId="42" xfId="28" applyNumberFormat="1" applyFont="1" applyFill="1" applyBorder="1" applyAlignment="1">
      <alignment horizontal="center"/>
    </xf>
    <xf numFmtId="166" fontId="5" fillId="27" borderId="43" xfId="28" applyNumberFormat="1" applyFont="1" applyFill="1" applyBorder="1" applyAlignment="1">
      <alignment horizontal="center"/>
    </xf>
    <xf numFmtId="168" fontId="5" fillId="27" borderId="44" xfId="28" applyNumberFormat="1" applyFont="1" applyFill="1" applyBorder="1" applyAlignment="1">
      <alignment horizontal="center"/>
    </xf>
    <xf numFmtId="164" fontId="22" fillId="20" borderId="8" xfId="42" applyNumberFormat="1"/>
    <xf numFmtId="0" fontId="0" fillId="24" borderId="34" xfId="0" applyFill="1" applyBorder="1"/>
    <xf numFmtId="44" fontId="22" fillId="20" borderId="8" xfId="42" applyNumberFormat="1"/>
    <xf numFmtId="0" fontId="48" fillId="24" borderId="0" xfId="38" applyFont="1" applyFill="1"/>
    <xf numFmtId="0" fontId="41" fillId="0" borderId="0" xfId="38"/>
    <xf numFmtId="0" fontId="41" fillId="24" borderId="0" xfId="38" applyFill="1" applyBorder="1"/>
    <xf numFmtId="0" fontId="48" fillId="26" borderId="18" xfId="38" applyFont="1" applyFill="1" applyBorder="1"/>
    <xf numFmtId="0" fontId="48" fillId="26" borderId="20" xfId="38" applyFont="1" applyFill="1" applyBorder="1"/>
    <xf numFmtId="0" fontId="41" fillId="24" borderId="35" xfId="38" applyFill="1" applyBorder="1"/>
    <xf numFmtId="0" fontId="41" fillId="24" borderId="38" xfId="38" applyFill="1" applyBorder="1"/>
    <xf numFmtId="0" fontId="41" fillId="24" borderId="36" xfId="38" applyFill="1" applyBorder="1"/>
    <xf numFmtId="0" fontId="41" fillId="24" borderId="37" xfId="38" applyFill="1" applyBorder="1"/>
    <xf numFmtId="0" fontId="41" fillId="24" borderId="40" xfId="38" applyFill="1" applyBorder="1"/>
    <xf numFmtId="0" fontId="50" fillId="31" borderId="0" xfId="48">
      <alignment horizontal="left"/>
      <protection hidden="1"/>
    </xf>
    <xf numFmtId="169" fontId="16" fillId="0" borderId="4" xfId="32" applyNumberFormat="1" applyAlignment="1" applyProtection="1">
      <alignment horizontal="center" vertical="center"/>
      <protection hidden="1"/>
    </xf>
    <xf numFmtId="0" fontId="0" fillId="24" borderId="38" xfId="0" applyFill="1" applyBorder="1"/>
    <xf numFmtId="0" fontId="0" fillId="24" borderId="39" xfId="0" applyFill="1" applyBorder="1"/>
    <xf numFmtId="0" fontId="0" fillId="24" borderId="40" xfId="0" applyFill="1" applyBorder="1"/>
    <xf numFmtId="0" fontId="0" fillId="24" borderId="41" xfId="0" applyFill="1" applyBorder="1"/>
    <xf numFmtId="0" fontId="46" fillId="24" borderId="38" xfId="54" applyFill="1" applyBorder="1" applyAlignment="1" applyProtection="1"/>
    <xf numFmtId="170" fontId="0" fillId="32" borderId="0" xfId="28" applyNumberFormat="1" applyFont="1" applyFill="1"/>
    <xf numFmtId="0" fontId="7" fillId="32" borderId="35" xfId="59" applyFont="1" applyFill="1" applyBorder="1"/>
    <xf numFmtId="0" fontId="7" fillId="32" borderId="36" xfId="59" applyFont="1" applyFill="1" applyBorder="1"/>
    <xf numFmtId="3" fontId="26" fillId="24" borderId="21" xfId="28" applyNumberFormat="1" applyFont="1" applyFill="1" applyBorder="1" applyAlignment="1"/>
    <xf numFmtId="3" fontId="26" fillId="24" borderId="17" xfId="28" applyNumberFormat="1" applyFont="1" applyFill="1" applyBorder="1" applyAlignment="1"/>
    <xf numFmtId="3" fontId="26" fillId="24" borderId="16" xfId="28" applyNumberFormat="1" applyFont="1" applyFill="1" applyBorder="1" applyAlignment="1"/>
    <xf numFmtId="0" fontId="0" fillId="0" borderId="46" xfId="0" applyBorder="1"/>
    <xf numFmtId="0" fontId="0" fillId="0" borderId="47" xfId="0" applyBorder="1"/>
    <xf numFmtId="3" fontId="0" fillId="0" borderId="27" xfId="0" applyNumberFormat="1" applyBorder="1"/>
    <xf numFmtId="0" fontId="0" fillId="0" borderId="48" xfId="0" applyBorder="1"/>
    <xf numFmtId="3" fontId="0" fillId="0" borderId="48" xfId="0" applyNumberFormat="1" applyBorder="1"/>
    <xf numFmtId="3" fontId="0" fillId="0" borderId="29" xfId="0" applyNumberFormat="1" applyBorder="1"/>
    <xf numFmtId="3" fontId="0" fillId="0" borderId="30" xfId="0" applyNumberFormat="1" applyBorder="1"/>
    <xf numFmtId="3" fontId="0" fillId="0" borderId="49" xfId="0" applyNumberFormat="1" applyBorder="1"/>
    <xf numFmtId="14" fontId="0" fillId="0" borderId="27" xfId="0" applyNumberFormat="1" applyBorder="1"/>
    <xf numFmtId="14" fontId="0" fillId="0" borderId="48" xfId="0" applyNumberFormat="1" applyBorder="1"/>
    <xf numFmtId="14" fontId="0" fillId="0" borderId="28" xfId="0" applyNumberFormat="1" applyBorder="1"/>
    <xf numFmtId="0" fontId="0" fillId="0" borderId="51" xfId="0" applyBorder="1"/>
    <xf numFmtId="0" fontId="0" fillId="0" borderId="50" xfId="0" applyBorder="1"/>
    <xf numFmtId="0" fontId="26" fillId="0" borderId="0" xfId="0" applyNumberFormat="1" applyFont="1" applyFill="1" applyBorder="1" applyAlignment="1"/>
    <xf numFmtId="0" fontId="48" fillId="33" borderId="0" xfId="38" applyFont="1" applyFill="1" applyAlignment="1">
      <alignment horizontal="center"/>
    </xf>
    <xf numFmtId="14" fontId="48" fillId="33" borderId="45" xfId="0" applyNumberFormat="1" applyFont="1" applyFill="1" applyBorder="1" applyAlignment="1">
      <alignment horizontal="center"/>
    </xf>
    <xf numFmtId="3" fontId="26" fillId="24" borderId="14" xfId="28" applyNumberFormat="1" applyFont="1" applyFill="1" applyBorder="1" applyAlignment="1"/>
    <xf numFmtId="3" fontId="26" fillId="24" borderId="0" xfId="28" applyNumberFormat="1" applyFont="1" applyFill="1" applyBorder="1" applyAlignment="1"/>
    <xf numFmtId="3" fontId="26" fillId="24" borderId="15" xfId="28" applyNumberFormat="1" applyFont="1" applyFill="1" applyBorder="1" applyAlignment="1"/>
    <xf numFmtId="0" fontId="32" fillId="25" borderId="10" xfId="0" applyNumberFormat="1" applyFont="1" applyFill="1" applyBorder="1" applyAlignment="1">
      <alignment horizontal="center"/>
    </xf>
    <xf numFmtId="0" fontId="32" fillId="25" borderId="11" xfId="0" applyNumberFormat="1" applyFont="1" applyFill="1" applyBorder="1" applyAlignment="1">
      <alignment horizontal="center"/>
    </xf>
    <xf numFmtId="14" fontId="28" fillId="25" borderId="13" xfId="0" applyNumberFormat="1" applyFont="1" applyFill="1" applyBorder="1" applyAlignment="1">
      <alignment horizontal="center"/>
    </xf>
    <xf numFmtId="0" fontId="41" fillId="26" borderId="0" xfId="0" applyNumberFormat="1" applyFont="1" applyFill="1" applyBorder="1" applyAlignment="1">
      <alignment vertical="center"/>
    </xf>
    <xf numFmtId="0" fontId="6" fillId="26" borderId="0" xfId="0" applyNumberFormat="1" applyFont="1" applyFill="1" applyBorder="1" applyAlignment="1">
      <alignment vertical="center"/>
    </xf>
    <xf numFmtId="0" fontId="6" fillId="26" borderId="21" xfId="0" applyNumberFormat="1" applyFont="1" applyFill="1" applyBorder="1" applyAlignment="1">
      <alignment vertical="center"/>
    </xf>
    <xf numFmtId="0" fontId="41" fillId="24" borderId="0" xfId="0" applyNumberFormat="1" applyFont="1" applyFill="1" applyBorder="1" applyAlignment="1"/>
    <xf numFmtId="0" fontId="6" fillId="26" borderId="24" xfId="0" applyNumberFormat="1" applyFont="1" applyFill="1" applyBorder="1" applyAlignment="1">
      <alignment vertical="center"/>
    </xf>
    <xf numFmtId="0" fontId="59" fillId="26" borderId="17" xfId="0" applyNumberFormat="1" applyFont="1" applyFill="1" applyBorder="1" applyAlignment="1">
      <alignment vertical="center"/>
    </xf>
    <xf numFmtId="0" fontId="60" fillId="26" borderId="19" xfId="0" applyNumberFormat="1" applyFont="1" applyFill="1" applyBorder="1" applyAlignment="1">
      <alignment vertical="center"/>
    </xf>
    <xf numFmtId="0" fontId="60" fillId="26" borderId="0" xfId="0" applyNumberFormat="1" applyFont="1" applyFill="1" applyBorder="1" applyAlignment="1">
      <alignment horizontal="left" vertical="center" indent="1"/>
    </xf>
    <xf numFmtId="0" fontId="60" fillId="26" borderId="0" xfId="0" applyNumberFormat="1" applyFont="1" applyFill="1" applyBorder="1" applyAlignment="1">
      <alignment vertical="center"/>
    </xf>
    <xf numFmtId="0" fontId="5" fillId="26" borderId="0" xfId="0" applyNumberFormat="1" applyFont="1" applyFill="1" applyBorder="1" applyAlignment="1">
      <alignment horizontal="left" vertical="center" indent="1"/>
    </xf>
    <xf numFmtId="0" fontId="48" fillId="26" borderId="22" xfId="0" applyNumberFormat="1" applyFont="1" applyFill="1" applyBorder="1" applyAlignment="1">
      <alignment vertical="center"/>
    </xf>
    <xf numFmtId="0" fontId="48" fillId="26" borderId="21" xfId="0" applyNumberFormat="1" applyFont="1" applyFill="1" applyBorder="1" applyAlignment="1">
      <alignment vertical="center"/>
    </xf>
    <xf numFmtId="0" fontId="48" fillId="24" borderId="0" xfId="0" applyNumberFormat="1" applyFont="1" applyFill="1" applyBorder="1" applyAlignment="1">
      <alignment vertical="center"/>
    </xf>
    <xf numFmtId="0" fontId="6" fillId="26" borderId="19" xfId="0" applyNumberFormat="1" applyFont="1" applyFill="1" applyBorder="1" applyAlignment="1">
      <alignment vertical="center"/>
    </xf>
    <xf numFmtId="0" fontId="7" fillId="32" borderId="0" xfId="0" applyFont="1" applyFill="1"/>
    <xf numFmtId="0" fontId="52" fillId="32" borderId="0" xfId="0" applyFont="1" applyFill="1"/>
    <xf numFmtId="0" fontId="52" fillId="32" borderId="0" xfId="0" applyFont="1" applyFill="1" applyBorder="1"/>
    <xf numFmtId="0" fontId="5" fillId="32" borderId="0" xfId="0" applyFont="1" applyFill="1" applyBorder="1"/>
    <xf numFmtId="0" fontId="7" fillId="32" borderId="0" xfId="0" applyFont="1" applyFill="1" applyBorder="1"/>
    <xf numFmtId="14" fontId="5" fillId="32" borderId="0" xfId="0" applyNumberFormat="1" applyFont="1" applyFill="1" applyBorder="1"/>
    <xf numFmtId="1" fontId="5" fillId="32" borderId="0" xfId="0" applyNumberFormat="1" applyFont="1" applyFill="1" applyBorder="1"/>
    <xf numFmtId="1" fontId="7" fillId="32" borderId="0" xfId="0" applyNumberFormat="1" applyFont="1" applyFill="1" applyBorder="1"/>
    <xf numFmtId="0" fontId="7" fillId="32" borderId="24" xfId="0" applyFont="1" applyFill="1" applyBorder="1"/>
    <xf numFmtId="0" fontId="7" fillId="32" borderId="25" xfId="0" applyFont="1" applyFill="1" applyBorder="1"/>
    <xf numFmtId="3" fontId="7" fillId="32" borderId="0" xfId="0" applyNumberFormat="1" applyFont="1" applyFill="1"/>
    <xf numFmtId="9" fontId="7" fillId="32" borderId="15" xfId="0" applyNumberFormat="1" applyFont="1" applyFill="1" applyBorder="1"/>
    <xf numFmtId="3" fontId="7" fillId="32" borderId="0" xfId="0" applyNumberFormat="1" applyFont="1" applyFill="1" applyBorder="1"/>
    <xf numFmtId="1" fontId="7" fillId="32" borderId="15" xfId="0" applyNumberFormat="1" applyFont="1" applyFill="1" applyBorder="1"/>
    <xf numFmtId="1" fontId="7" fillId="32" borderId="25" xfId="0" applyNumberFormat="1" applyFont="1" applyFill="1" applyBorder="1"/>
    <xf numFmtId="3" fontId="52" fillId="32" borderId="0" xfId="0" applyNumberFormat="1" applyFont="1" applyFill="1" applyBorder="1"/>
    <xf numFmtId="0" fontId="7" fillId="32" borderId="0" xfId="0" applyFont="1" applyFill="1" applyBorder="1" applyAlignment="1">
      <alignment horizontal="center"/>
    </xf>
    <xf numFmtId="0" fontId="7" fillId="32" borderId="0" xfId="0" applyFont="1" applyFill="1" applyAlignment="1">
      <alignment horizontal="center"/>
    </xf>
    <xf numFmtId="0" fontId="7" fillId="32" borderId="26" xfId="0" applyFont="1" applyFill="1" applyBorder="1"/>
    <xf numFmtId="0" fontId="7" fillId="32" borderId="22" xfId="0" applyFont="1" applyFill="1" applyBorder="1"/>
    <xf numFmtId="0" fontId="7" fillId="32" borderId="23" xfId="0" applyFont="1" applyFill="1" applyBorder="1"/>
    <xf numFmtId="174" fontId="7" fillId="32" borderId="0" xfId="50" applyNumberFormat="1" applyFont="1" applyFill="1" applyBorder="1" applyAlignment="1"/>
    <xf numFmtId="14" fontId="7" fillId="32" borderId="0" xfId="0" applyNumberFormat="1" applyFont="1" applyFill="1"/>
    <xf numFmtId="43" fontId="7" fillId="32" borderId="21" xfId="50" applyFont="1" applyFill="1" applyBorder="1"/>
    <xf numFmtId="43" fontId="7" fillId="32" borderId="17" xfId="50" applyFont="1" applyFill="1" applyBorder="1"/>
    <xf numFmtId="175" fontId="7" fillId="32" borderId="25" xfId="0" applyNumberFormat="1" applyFont="1" applyFill="1" applyBorder="1"/>
    <xf numFmtId="10" fontId="7" fillId="32" borderId="21" xfId="0" applyNumberFormat="1" applyFont="1" applyFill="1" applyBorder="1"/>
    <xf numFmtId="174" fontId="7" fillId="32" borderId="0" xfId="50" applyNumberFormat="1" applyFont="1" applyFill="1" applyAlignment="1"/>
    <xf numFmtId="175" fontId="7" fillId="32" borderId="0" xfId="0" applyNumberFormat="1" applyFont="1" applyFill="1" applyBorder="1"/>
    <xf numFmtId="176" fontId="7" fillId="32" borderId="0" xfId="0" applyNumberFormat="1" applyFont="1" applyFill="1" applyBorder="1"/>
    <xf numFmtId="172" fontId="7" fillId="32" borderId="0" xfId="0" applyNumberFormat="1" applyFont="1" applyFill="1" applyBorder="1"/>
    <xf numFmtId="0" fontId="61" fillId="32" borderId="0" xfId="0" applyFont="1" applyFill="1" applyAlignment="1">
      <alignment horizontal="center"/>
    </xf>
    <xf numFmtId="0" fontId="52" fillId="32" borderId="26" xfId="0" applyFont="1" applyFill="1" applyBorder="1"/>
    <xf numFmtId="173" fontId="7" fillId="32" borderId="26" xfId="50" applyNumberFormat="1" applyFont="1" applyFill="1" applyBorder="1"/>
    <xf numFmtId="0" fontId="52" fillId="34" borderId="0" xfId="0" applyFont="1" applyFill="1"/>
    <xf numFmtId="0" fontId="9" fillId="16" borderId="0" xfId="19" applyBorder="1"/>
    <xf numFmtId="0" fontId="16" fillId="32" borderId="4" xfId="32" applyFill="1"/>
    <xf numFmtId="0" fontId="22" fillId="20" borderId="8" xfId="42"/>
    <xf numFmtId="177" fontId="22" fillId="20" borderId="8" xfId="42" applyNumberFormat="1"/>
    <xf numFmtId="177" fontId="7" fillId="32" borderId="0" xfId="0" applyNumberFormat="1" applyFont="1" applyFill="1"/>
    <xf numFmtId="0" fontId="7" fillId="33" borderId="0" xfId="0" applyFont="1" applyFill="1" applyBorder="1"/>
    <xf numFmtId="0" fontId="64" fillId="33" borderId="0" xfId="0" applyFont="1" applyFill="1" applyBorder="1"/>
    <xf numFmtId="177" fontId="5" fillId="32" borderId="0" xfId="64" applyNumberFormat="1" applyFont="1" applyFill="1" applyBorder="1"/>
    <xf numFmtId="44" fontId="5" fillId="32" borderId="0" xfId="28" applyFont="1" applyFill="1" applyBorder="1"/>
    <xf numFmtId="44" fontId="7" fillId="32" borderId="0" xfId="28" applyFont="1" applyFill="1"/>
    <xf numFmtId="14" fontId="7" fillId="32" borderId="0" xfId="64" applyNumberFormat="1" applyFont="1" applyFill="1"/>
    <xf numFmtId="3" fontId="9" fillId="16" borderId="0" xfId="19" applyNumberFormat="1" applyBorder="1"/>
    <xf numFmtId="0" fontId="17" fillId="32" borderId="5" xfId="33" applyFill="1"/>
    <xf numFmtId="44" fontId="9" fillId="16" borderId="0" xfId="19" applyNumberFormat="1"/>
    <xf numFmtId="10" fontId="16" fillId="32" borderId="4" xfId="32" applyNumberFormat="1" applyFill="1"/>
    <xf numFmtId="0" fontId="7" fillId="33" borderId="0" xfId="0" applyFont="1" applyFill="1"/>
    <xf numFmtId="3" fontId="7" fillId="33" borderId="0" xfId="0" applyNumberFormat="1" applyFont="1" applyFill="1"/>
    <xf numFmtId="0" fontId="15" fillId="32" borderId="3" xfId="31" applyFill="1"/>
    <xf numFmtId="0" fontId="65" fillId="33" borderId="0" xfId="0" applyFont="1" applyFill="1" applyBorder="1"/>
    <xf numFmtId="0" fontId="33" fillId="32" borderId="0" xfId="0" applyFont="1" applyFill="1" applyBorder="1"/>
    <xf numFmtId="14" fontId="12" fillId="21" borderId="2" xfId="27" applyNumberFormat="1"/>
    <xf numFmtId="9" fontId="12" fillId="21" borderId="2" xfId="27" applyNumberFormat="1"/>
    <xf numFmtId="0" fontId="66" fillId="24" borderId="0" xfId="0" applyFont="1" applyFill="1"/>
    <xf numFmtId="0" fontId="68" fillId="24" borderId="0" xfId="0" applyFont="1" applyFill="1"/>
    <xf numFmtId="0" fontId="5" fillId="24" borderId="0" xfId="0" applyNumberFormat="1" applyFont="1" applyFill="1" applyBorder="1" applyAlignment="1"/>
    <xf numFmtId="0" fontId="5" fillId="24" borderId="0" xfId="0" applyFont="1" applyFill="1" applyBorder="1"/>
    <xf numFmtId="0" fontId="46" fillId="24" borderId="0" xfId="54" applyFill="1" applyBorder="1" applyAlignment="1" applyProtection="1"/>
    <xf numFmtId="171" fontId="26" fillId="24" borderId="14" xfId="28" applyNumberFormat="1" applyFont="1" applyFill="1" applyBorder="1" applyAlignment="1"/>
    <xf numFmtId="178" fontId="26" fillId="24" borderId="14" xfId="66" applyNumberFormat="1" applyFont="1" applyFill="1" applyBorder="1" applyAlignment="1"/>
    <xf numFmtId="178" fontId="26" fillId="24" borderId="14" xfId="28" applyNumberFormat="1" applyFont="1" applyFill="1" applyBorder="1" applyAlignment="1"/>
    <xf numFmtId="178" fontId="26" fillId="24" borderId="14" xfId="0" applyNumberFormat="1" applyFont="1" applyFill="1" applyBorder="1" applyAlignment="1"/>
    <xf numFmtId="37" fontId="33" fillId="24" borderId="14" xfId="28" applyNumberFormat="1" applyFont="1" applyFill="1" applyBorder="1" applyAlignment="1"/>
    <xf numFmtId="171" fontId="0" fillId="33" borderId="42" xfId="28" applyNumberFormat="1" applyFont="1" applyFill="1" applyBorder="1" applyAlignment="1">
      <alignment horizontal="center"/>
    </xf>
    <xf numFmtId="171" fontId="0" fillId="33" borderId="44" xfId="28" applyNumberFormat="1" applyFont="1" applyFill="1" applyBorder="1" applyAlignment="1">
      <alignment horizontal="center"/>
    </xf>
    <xf numFmtId="0" fontId="73" fillId="24" borderId="0" xfId="0" applyFont="1" applyFill="1"/>
    <xf numFmtId="179" fontId="39" fillId="27" borderId="45" xfId="0" applyNumberFormat="1" applyFont="1" applyFill="1" applyBorder="1" applyAlignment="1">
      <alignment horizontal="center"/>
    </xf>
    <xf numFmtId="15" fontId="0" fillId="32" borderId="0" xfId="0" applyNumberFormat="1" applyFill="1"/>
    <xf numFmtId="0" fontId="0" fillId="35" borderId="0" xfId="0" applyFill="1"/>
    <xf numFmtId="0" fontId="57" fillId="16" borderId="3" xfId="31" applyFont="1" applyFill="1" applyAlignment="1">
      <alignment horizontal="center"/>
    </xf>
    <xf numFmtId="0" fontId="57" fillId="16" borderId="3" xfId="31" applyFont="1" applyFill="1" applyAlignment="1"/>
    <xf numFmtId="0" fontId="40" fillId="24" borderId="12" xfId="0" applyFont="1" applyFill="1" applyBorder="1" applyAlignment="1">
      <alignment horizontal="center"/>
    </xf>
    <xf numFmtId="0" fontId="40" fillId="24" borderId="22" xfId="0" applyFont="1" applyFill="1" applyBorder="1" applyAlignment="1">
      <alignment horizontal="center"/>
    </xf>
    <xf numFmtId="0" fontId="40" fillId="24" borderId="23" xfId="0" applyFont="1" applyFill="1" applyBorder="1" applyAlignment="1">
      <alignment horizontal="center"/>
    </xf>
    <xf numFmtId="0" fontId="57" fillId="16" borderId="0" xfId="31" applyFont="1" applyFill="1" applyBorder="1" applyAlignment="1">
      <alignment horizontal="center"/>
    </xf>
    <xf numFmtId="0" fontId="57" fillId="16" borderId="0" xfId="31" applyFont="1" applyFill="1" applyBorder="1" applyAlignment="1"/>
    <xf numFmtId="0" fontId="0" fillId="0" borderId="0" xfId="0" applyAlignment="1"/>
    <xf numFmtId="0" fontId="0" fillId="0" borderId="3" xfId="0" applyBorder="1" applyAlignment="1"/>
    <xf numFmtId="0" fontId="32" fillId="25" borderId="18" xfId="0" applyNumberFormat="1" applyFont="1" applyFill="1" applyBorder="1" applyAlignment="1">
      <alignment horizontal="center" vertical="center" textRotation="90" wrapText="1"/>
    </xf>
    <xf numFmtId="0" fontId="32" fillId="25" borderId="14" xfId="0" applyNumberFormat="1" applyFont="1" applyFill="1" applyBorder="1" applyAlignment="1">
      <alignment horizontal="center" vertical="center" textRotation="90" wrapText="1"/>
    </xf>
    <xf numFmtId="0" fontId="32" fillId="25" borderId="16" xfId="0" applyNumberFormat="1" applyFont="1" applyFill="1" applyBorder="1" applyAlignment="1">
      <alignment horizontal="center" vertical="center" textRotation="90" wrapText="1"/>
    </xf>
    <xf numFmtId="0" fontId="29" fillId="25" borderId="0" xfId="0" applyNumberFormat="1" applyFont="1" applyFill="1" applyBorder="1" applyAlignment="1"/>
    <xf numFmtId="0" fontId="30" fillId="0" borderId="0" xfId="0" applyNumberFormat="1" applyFont="1" applyFill="1" applyBorder="1" applyAlignment="1"/>
    <xf numFmtId="0" fontId="63" fillId="25" borderId="0" xfId="0" applyNumberFormat="1" applyFont="1" applyFill="1" applyBorder="1" applyAlignment="1">
      <alignment vertical="center"/>
    </xf>
    <xf numFmtId="0" fontId="36" fillId="0" borderId="0" xfId="0" applyNumberFormat="1" applyFont="1" applyFill="1" applyBorder="1" applyAlignment="1"/>
    <xf numFmtId="0" fontId="26" fillId="0" borderId="14" xfId="0" applyNumberFormat="1" applyFont="1" applyFill="1" applyBorder="1" applyAlignment="1"/>
    <xf numFmtId="0" fontId="26" fillId="0" borderId="16" xfId="0" applyNumberFormat="1" applyFont="1" applyFill="1" applyBorder="1" applyAlignment="1"/>
    <xf numFmtId="0" fontId="32" fillId="25" borderId="33" xfId="0" applyNumberFormat="1" applyFont="1" applyFill="1" applyBorder="1" applyAlignment="1">
      <alignment horizontal="center" vertical="center" textRotation="90" wrapText="1"/>
    </xf>
    <xf numFmtId="0" fontId="0" fillId="0" borderId="24" xfId="0" applyBorder="1" applyAlignment="1">
      <alignment horizontal="center" vertical="center" textRotation="90" wrapText="1"/>
    </xf>
    <xf numFmtId="0" fontId="0" fillId="0" borderId="25" xfId="0" applyBorder="1" applyAlignment="1">
      <alignment horizontal="center" vertical="center" textRotation="90" wrapText="1"/>
    </xf>
    <xf numFmtId="0" fontId="0" fillId="0" borderId="14" xfId="0" applyBorder="1" applyAlignment="1">
      <alignment horizontal="center" vertical="center" textRotation="90" wrapText="1"/>
    </xf>
    <xf numFmtId="0" fontId="0" fillId="0" borderId="16" xfId="0" applyBorder="1" applyAlignment="1">
      <alignment horizontal="center" vertical="center" textRotation="90" wrapText="1"/>
    </xf>
    <xf numFmtId="0" fontId="0" fillId="24" borderId="18" xfId="0" applyFill="1" applyBorder="1" applyAlignment="1">
      <alignment horizontal="center" wrapText="1"/>
    </xf>
    <xf numFmtId="0" fontId="0" fillId="24" borderId="20" xfId="0" applyFill="1" applyBorder="1" applyAlignment="1">
      <alignment horizontal="center" wrapText="1"/>
    </xf>
  </cellXfs>
  <cellStyles count="88">
    <cellStyle name="_Liquidity Facilities 11-04-08" xfId="47"/>
    <cellStyle name="20% - Accent1" xfId="1" builtinId="30" customBuiltin="1"/>
    <cellStyle name="20% - Accent1 2" xfId="63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blue axis cells" xfId="48"/>
    <cellStyle name="blue text cells" xfId="49"/>
    <cellStyle name="Calculation" xfId="26" builtinId="22" customBuiltin="1"/>
    <cellStyle name="Check Cell" xfId="27" builtinId="23" customBuiltin="1"/>
    <cellStyle name="Comma" xfId="28" builtinId="3"/>
    <cellStyle name="Comma 10" xfId="68"/>
    <cellStyle name="Comma 11" xfId="69"/>
    <cellStyle name="Comma 12" xfId="70"/>
    <cellStyle name="Comma 13" xfId="65"/>
    <cellStyle name="Comma 13 2" xfId="71"/>
    <cellStyle name="Comma 13 3" xfId="84"/>
    <cellStyle name="Comma 13 4" xfId="86"/>
    <cellStyle name="Comma 14" xfId="67"/>
    <cellStyle name="Comma 2" xfId="50"/>
    <cellStyle name="Comma 2 2" xfId="62"/>
    <cellStyle name="Comma 2 3" xfId="72"/>
    <cellStyle name="Comma 3" xfId="60"/>
    <cellStyle name="Comma 3 2" xfId="73"/>
    <cellStyle name="Comma 4" xfId="74"/>
    <cellStyle name="Comma 5" xfId="75"/>
    <cellStyle name="Comma 6" xfId="76"/>
    <cellStyle name="Comma 7" xfId="77"/>
    <cellStyle name="Comma 8" xfId="78"/>
    <cellStyle name="Comma 9" xfId="79"/>
    <cellStyle name="Currency" xfId="66" builtinId="4"/>
    <cellStyle name="date title" xfId="51"/>
    <cellStyle name="Dezimal_~4472507" xfId="80"/>
    <cellStyle name="Euro" xfId="52"/>
    <cellStyle name="Explanatory Text" xfId="29" builtinId="53" customBuiltin="1"/>
    <cellStyle name="Good" xfId="30" builtinId="26" customBuiltin="1"/>
    <cellStyle name="gray text cells" xfId="53"/>
    <cellStyle name="Heading 1" xfId="31" builtinId="16" customBuiltin="1"/>
    <cellStyle name="Heading 2" xfId="32" builtinId="17" customBuiltin="1"/>
    <cellStyle name="Heading 3" xfId="33" builtinId="18" customBuiltin="1"/>
    <cellStyle name="Heading 4" xfId="34" builtinId="19" customBuiltin="1"/>
    <cellStyle name="Hyperlink" xfId="54" builtinId="8"/>
    <cellStyle name="Hyperlink 2" xfId="81"/>
    <cellStyle name="Input" xfId="35" builtinId="20" customBuiltin="1"/>
    <cellStyle name="Linked Cell" xfId="36" builtinId="24" customBuiltin="1"/>
    <cellStyle name="Neutral" xfId="37" builtinId="28" customBuiltin="1"/>
    <cellStyle name="Normal" xfId="0" builtinId="0"/>
    <cellStyle name="Normal 2" xfId="38"/>
    <cellStyle name="Normal 2 2" xfId="61"/>
    <cellStyle name="Normal 2 3" xfId="82"/>
    <cellStyle name="Normal 3" xfId="46"/>
    <cellStyle name="Normal 3 2" xfId="83"/>
    <cellStyle name="Normal 3 3" xfId="85"/>
    <cellStyle name="Normal 3 4" xfId="87"/>
    <cellStyle name="Normal 4" xfId="59"/>
    <cellStyle name="Normal_DEPFA_Liquidity_Report_BASE_20120925(1)" xfId="39"/>
    <cellStyle name="Normal_GIC_Current_Notional_asof_20130819" xfId="40"/>
    <cellStyle name="Note" xfId="41" builtinId="10" customBuiltin="1"/>
    <cellStyle name="Note 2" xfId="55"/>
    <cellStyle name="Output" xfId="42" builtinId="21" customBuiltin="1"/>
    <cellStyle name="Percent" xfId="64" builtinId="5"/>
    <cellStyle name="Standard_035 - Bundesbank drawdowns" xfId="56"/>
    <cellStyle name="Style 1" xfId="57"/>
    <cellStyle name="subtitle" xfId="58"/>
    <cellStyle name="Title" xfId="43" builtinId="15" customBuiltin="1"/>
    <cellStyle name="Total" xfId="44" builtinId="25" customBuiltin="1"/>
    <cellStyle name="Warning Text" xfId="45" builtinId="11" customBuiltin="1"/>
  </cellStyles>
  <dxfs count="8"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B4D63C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2133600</xdr:colOff>
          <xdr:row>24</xdr:row>
          <xdr:rowOff>28575</xdr:rowOff>
        </xdr:from>
        <xdr:to>
          <xdr:col>4</xdr:col>
          <xdr:colOff>485775</xdr:colOff>
          <xdr:row>25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Linked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2152650</xdr:colOff>
          <xdr:row>27</xdr:row>
          <xdr:rowOff>142875</xdr:rowOff>
        </xdr:from>
        <xdr:to>
          <xdr:col>4</xdr:col>
          <xdr:colOff>504825</xdr:colOff>
          <xdr:row>29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 File Down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2181225</xdr:colOff>
          <xdr:row>30</xdr:row>
          <xdr:rowOff>152400</xdr:rowOff>
        </xdr:from>
        <xdr:to>
          <xdr:col>4</xdr:col>
          <xdr:colOff>533400</xdr:colOff>
          <xdr:row>32</xdr:row>
          <xdr:rowOff>19050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PDF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re.loc\DFS_SHARES\001840_DP_USNY_Interdepartment_Liquidity\Liquidity\Excel%20Data\2014\Apr%202014\04.11.2014\20140411.autoimport.v1.NY%20-%20Depfa%20Risk%20Liquidity%20Repor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ser Guide"/>
      <sheetName val="Depfa Stress Scenario"/>
      <sheetName val="Assumptions"/>
      <sheetName val="GICs"/>
      <sheetName val="Undrawn_CL"/>
      <sheetName val="DateBuckets"/>
      <sheetName val="ContractualFlows"/>
      <sheetName val="Pivot Data"/>
      <sheetName val="SAP_GIC"/>
      <sheetName val="Summit_GIC"/>
      <sheetName val="Assumptio Text Pic"/>
    </sheetNames>
    <sheetDataSet>
      <sheetData sheetId="0">
        <row r="6">
          <cell r="D6">
            <v>41740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Noel Kennedy" refreshedDate="42501.446894328707" createdVersion="4" refreshedVersion="4" minRefreshableVersion="3" recordCount="969">
  <cacheSource type="worksheet">
    <worksheetSource name="PivotDataFlows"/>
  </cacheSource>
  <cacheFields count="35">
    <cacheField name="Bucket" numFmtId="0">
      <sharedItems count="14">
        <s v="3W"/>
        <s v="3M"/>
        <s v="6M"/>
        <s v="12M"/>
        <s v="18M"/>
        <s v="2Y"/>
        <s v="3D"/>
        <s v="1D"/>
        <s v="2D"/>
        <s v="1M"/>
        <s v="2W"/>
        <s v="4D" u="1"/>
        <e v="#N/A" u="1"/>
        <s v="5D" u="1"/>
      </sharedItems>
    </cacheField>
    <cacheField name="Scope" numFmtId="0">
      <sharedItems count="9">
        <s v="Depfa Bank Plc"/>
        <s v="Ext"/>
        <s v="San Sabia Capital Corporation"/>
        <s v="3D" u="1"/>
        <s v="18M" u="1"/>
        <s v="2Y" u="1"/>
        <e v="#N/A" u="1"/>
        <s v="3M" u="1"/>
        <s v="12M" u="1"/>
      </sharedItems>
    </cacheField>
    <cacheField name="Line Item" numFmtId="0">
      <sharedItems count="16">
        <s v="Interest"/>
        <s v="Gics Deposit"/>
        <s v="Bonds"/>
        <s v="Mm_Deposit"/>
        <s v="Repo"/>
        <s v="Gics Deposit Collateralized"/>
        <s v="Reverse_Repo"/>
        <s v="Bonds_Structured" u="1"/>
        <s v="Fmsw_Loan" u="1"/>
        <e v="#N/A" u="1"/>
        <s v="PRINCIPAL_FLOW" u="1"/>
        <s v="3M" u="1"/>
        <s v="Mm_Loan" u="1"/>
        <s v="Issues" u="1"/>
        <s v="6M" u="1"/>
        <s v="12M" u="1"/>
      </sharedItems>
    </cacheField>
    <cacheField name="Key1" numFmtId="0">
      <sharedItems count="137">
        <s v="3W_Depfa Bank Plc_Interest"/>
        <s v="3M_Depfa Bank Plc_Interest"/>
        <s v="6M_Depfa Bank Plc_Interest"/>
        <s v="12M_Depfa Bank Plc_Interest"/>
        <s v="18M_Depfa Bank Plc_Interest"/>
        <s v="2Y_Depfa Bank Plc_Interest"/>
        <s v="6M_Ext_Gics Deposit"/>
        <s v="6M_Ext_Interest"/>
        <s v="12M_Ext_Gics Deposit"/>
        <s v="12M_Ext_Interest"/>
        <s v="18M_Ext_Interest"/>
        <s v="2Y_Ext_Interest"/>
        <s v="3W_Ext_Interest"/>
        <s v="3M_Ext_Interest"/>
        <s v="18M_Ext_Bonds"/>
        <s v="3D_Depfa Bank Plc_Interest"/>
        <s v="1D_Depfa Bank Plc_Interest"/>
        <s v="1D_Depfa Bank Plc_Mm_Deposit"/>
        <s v="3M_Ext_Bonds"/>
        <s v="3M_Ext_Gics Deposit"/>
        <s v="2D_San Sabia Capital Corporation_Interest"/>
        <s v="2D_San Sabia Capital Corporation_Repo"/>
        <s v="1M_Ext_Interest"/>
        <s v="3D_Ext_Interest"/>
        <s v="3W_Ext_Gics Deposit Collateralized"/>
        <s v="3M_Ext_Gics Deposit Collateralized"/>
        <s v="6M_Ext_Gics Deposit Collateralized"/>
        <s v="12M_Ext_Gics Deposit Collateralized"/>
        <s v="18M_Ext_Gics Deposit Collateralized"/>
        <s v="2Y_Ext_Gics Deposit Collateralized"/>
        <s v="1M_Depfa Bank Plc_Interest"/>
        <s v="3M_Depfa Bank Plc_Mm_Deposit"/>
        <s v="1D_Ext_Interest"/>
        <s v="6M_Ext_Bonds"/>
        <s v="3M_San Sabia Capital Corporation_Interest"/>
        <s v="2D_Ext_Interest"/>
        <s v="2D_Ext_Reverse_Repo"/>
        <s v="6M_Depfa Bank Plc_Mm_Deposit"/>
        <s v="2W_Depfa Bank Plc_Interest"/>
        <s v="1D_Ext_Bonds"/>
        <s v="2Y_Ext_Gics Deposit"/>
        <s v="3M_Depfa Bank Plc_Bonds"/>
        <s v="1M_Ext_Fmsw_Loan" u="1"/>
        <s v="18M_Ext_Gics Deposit" u="1"/>
        <s v="3W_Ext_Gics Deposit" u="1"/>
        <s v="2W_Ext_Gics Deposit Collateralized" u="1"/>
        <s v="3W_Ext_Issues" u="1"/>
        <s v="3W_Ext_Fmsw_Loan" u="1"/>
        <s v="1D_San Sabia Capital Corporation_Repo" u="1"/>
        <s v="4D_San Sabia Capital Corporation_Interest" u="1"/>
        <s v="6M_Ext_Issues" u="1"/>
        <s v="6M_Ext_Fmsw_Loan" u="1"/>
        <s v="3D_Ext_Gics Deposit" u="1"/>
        <s v="2D_Ext_Gics Deposit Collateralized" u="1"/>
        <s v="2W_San Sabia Capital Corporation_Interest" u="1"/>
        <s v="4D_Depfa Bank Plc_Interest" u="1"/>
        <s v="4D_Depfa Bank Plc_Mm_Deposit" u="1"/>
        <s v="3D_Ext_Issues" u="1"/>
        <s v="4D_Ext_Reverse_Repo" u="1"/>
        <s v="2Y_San Sabia Capital Corporation_Interest" u="1"/>
        <s v="1M_Ext_Bonds" u="1"/>
        <s v="5D_Ext_Bonds" u="1"/>
        <s v="2W_Depfa Bank Plc_Mm_Deposit" u="1"/>
        <s v="2W_Ext_Reverse_Repo" u="1"/>
        <s v="3W_Ext_Bonds" u="1"/>
        <s v="12M_San Sabia Capital Corporation_Interest" u="1"/>
        <s v="1D_Ext_Gics Deposit" u="1"/>
        <s v="12M_Ext_Issues" u="1"/>
        <s v="2D_Depfa Bank Plc_Interest" u="1"/>
        <s v="2D_Depfa Bank Plc_Mm_Deposit" u="1"/>
        <s v="1D_Ext_Issues" u="1"/>
        <s v="3D_Ext_Bonds" u="1"/>
        <s v="12M_Depfa Bank Plc_Mm_Deposit" u="1"/>
        <s v="4D_San Sabia Capital Corporation_Repo" u="1"/>
        <s v="5D_Ext_Interest" u="1"/>
        <s v="5D_Ext_Mm_Deposit" u="1"/>
        <s v="4D_Depfa Bank Plc_Mm_Loan" u="1"/>
        <s v="1M_Ext_Gics Deposit Collateralized" u="1"/>
        <s v="5D_Ext_Gics Deposit Collateralized" u="1"/>
        <s v="2W_San Sabia Capital Corporation_Repo" u="1"/>
        <s v="18M_San Sabia Capital Corporation_Interest" u="1"/>
        <s v="18M_Ext_Issues" u="1"/>
        <s v="2W_Depfa Bank Plc_Mm_Loan" u="1"/>
        <s v="12M_Depfa Bank Plc_Mm_Loan" u="1"/>
        <s v="1M_San Sabia Capital Corporation_Interest" u="1"/>
        <s v="5D_San Sabia Capital Corporation_Interest" u="1"/>
        <s v="12M_Ext_Fmsw_Loan" u="1"/>
        <s v="2D_Depfa Bank Plc_Mm_Loan" u="1"/>
        <s v="12M_Ext_Bonds" u="1"/>
        <s v="4D_Ext_Gics Deposit" u="1"/>
        <s v="3D_Ext_Gics Deposit Collateralized" u="1"/>
        <s v="3W_San Sabia Capital Corporation_Interest" u="1"/>
        <s v="5D_Depfa Bank Plc_Interest" u="1"/>
        <s v="1M_Depfa Bank Plc_Mm_Deposit" u="1"/>
        <s v="5D_Depfa Bank Plc_Mm_Deposit" u="1"/>
        <s v="4D_Ext_Issues" u="1"/>
        <s v="1M_Ext_Reverse_Repo" u="1"/>
        <s v="2W_Ext_Gics Deposit" u="1"/>
        <s v="6M_San Sabia Capital Corporation_Interest" u="1"/>
        <e v="#N/A" u="1"/>
        <s v="3W_Depfa Bank Plc_Mm_Deposit" u="1"/>
        <s v="2W_Ext_Issues" u="1"/>
        <s v="18M_Ext_Fmsw_Loan" u="1"/>
        <s v="3M_Depfa Bank Plc_Mm_Loan" u="1"/>
        <s v="3W_Ext_Reverse_Repo" u="1"/>
        <s v="3D_San Sabia Capital Corporation_Interest" u="1"/>
        <s v="1M_San Sabia Capital Corporation_Reverse_Repo" u="1"/>
        <s v="2Y_Ext_Issues" u="1"/>
        <s v="2Y_Ext_Fmsw_Loan" u="1"/>
        <s v="2D_Ext_Gics Deposit" u="1"/>
        <s v="1D_Ext_Gics Deposit Collateralized" u="1"/>
        <s v="3D_Depfa Bank Plc_Mm_Deposit" u="1"/>
        <s v="3D_Ext_Reverse_Repo" u="1"/>
        <s v="4D_Ext_Bonds" u="1"/>
        <s v="1M_San Sabia Capital Corporation_Repo" u="1"/>
        <s v="1D_San Sabia Capital Corporation_Interest" u="1"/>
        <s v="2W_Ext_Bonds" u="1"/>
        <s v="3W_San Sabia Capital Corporation_Repo" u="1"/>
        <s v="4D_Ext_Repo" u="1"/>
        <s v="3M_Ext_Issues" u="1"/>
        <s v="2Y_Ext_Bonds" u="1"/>
        <s v="3M_Ext_Fmsw_Loan" u="1"/>
        <s v="1D_Ext_Reverse_Repo" u="1"/>
        <s v="6M_Depfa Bank Plc_Mm_Loan" u="1"/>
        <s v="2D_Ext_Bonds" u="1"/>
        <s v="3D_San Sabia Capital Corporation_Repo" u="1"/>
        <s v="4D_Ext_Interest" u="1"/>
        <s v="4D_Ext_Mm_Deposit" u="1"/>
        <s v="3D_Depfa Bank Plc_Mm_Loan" u="1"/>
        <s v="1M_Ext_Gics Deposit" u="1"/>
        <s v="5D_Ext_Gics Deposit" u="1"/>
        <s v="4D_Ext_Gics Deposit Collateralized" u="1"/>
        <s v="12M" u="1"/>
        <s v="2D_Ext_Repo" u="1"/>
        <s v="1M_Ext_Issues" u="1"/>
        <s v="5D_Ext_Issues" u="1"/>
        <s v="2W_Ext_Interest" u="1"/>
      </sharedItems>
    </cacheField>
    <cacheField name="Key2" numFmtId="0">
      <sharedItems containsBlank="1" count="29">
        <s v="3W_Depfa Bank Plc"/>
        <s v="3M_Depfa Bank Plc"/>
        <s v="6M_Depfa Bank Plc"/>
        <s v="12M_Depfa Bank Plc"/>
        <s v="18M_Depfa Bank Plc"/>
        <s v="2Y_Depfa Bank Plc"/>
        <m/>
        <s v="3D_Depfa Bank Plc"/>
        <s v="1D_Depfa Bank Plc"/>
        <s v="2D_San Sabia Capital Corporation"/>
        <s v="1M_Depfa Bank Plc"/>
        <s v="3M_San Sabia Capital Corporation"/>
        <s v="2W_Depfa Bank Plc"/>
        <s v="4D_San Sabia Capital Corporation" u="1"/>
        <s v="2W_San Sabia Capital Corporation" u="1"/>
        <s v="18M" u="1"/>
        <s v="2Y_San Sabia Capital Corporation" u="1"/>
        <s v="5D_Depfa Bank Plc" u="1"/>
        <s v="12M_San Sabia Capital Corporation" u="1"/>
        <s v="1M_San Sabia Capital Corporation" u="1"/>
        <s v="5D_San Sabia Capital Corporation" u="1"/>
        <s v="3W_San Sabia Capital Corporation" u="1"/>
        <s v="6M_San Sabia Capital Corporation" u="1"/>
        <s v="18M_San Sabia Capital Corporation" u="1"/>
        <s v="3D_San Sabia Capital Corporation" u="1"/>
        <e v="#N/A" u="1"/>
        <s v="1D_San Sabia Capital Corporation" u="1"/>
        <s v="4D_Depfa Bank Plc" u="1"/>
        <s v="2D_Depfa Bank Plc" u="1"/>
      </sharedItems>
    </cacheField>
    <cacheField name="Key3 - SanSabia Company Flow" numFmtId="0">
      <sharedItems containsBlank="1"/>
    </cacheField>
    <cacheField name="AMOUNT" numFmtId="170">
      <sharedItems containsMixedTypes="1" containsNumber="1" containsInteger="1" minValue="-100000000" maxValue="100000000"/>
    </cacheField>
    <cacheField name="AMOUNT_EUR" numFmtId="170">
      <sharedItems containsMixedTypes="1" containsNumber="1" containsInteger="1" minValue="0" maxValue="0"/>
    </cacheField>
    <cacheField name="AMOUNT_USD" numFmtId="170">
      <sharedItems containsSemiMixedTypes="0" containsString="0" containsNumber="1" minValue="-100000000" maxValue="100000000"/>
    </cacheField>
    <cacheField name="FX_RATE" numFmtId="0">
      <sharedItems/>
    </cacheField>
    <cacheField name="CURRENCY" numFmtId="15">
      <sharedItems/>
    </cacheField>
    <cacheField name="PAYMENTDATE" numFmtId="15">
      <sharedItems containsSemiMixedTypes="0" containsNonDate="0" containsDate="1" containsString="0" minDate="2014-02-25T00:00:00" maxDate="2018-05-02T00:00:00" count="611">
        <d v="2016-05-31T00:00:00"/>
        <d v="2016-06-30T00:00:00"/>
        <d v="2016-07-29T00:00:00"/>
        <d v="2016-08-31T00:00:00"/>
        <d v="2016-09-30T00:00:00"/>
        <d v="2016-10-31T00:00:00"/>
        <d v="2016-11-30T00:00:00"/>
        <d v="2016-12-30T00:00:00"/>
        <d v="2017-01-31T00:00:00"/>
        <d v="2017-02-28T00:00:00"/>
        <d v="2017-03-31T00:00:00"/>
        <d v="2017-04-28T00:00:00"/>
        <d v="2017-05-31T00:00:00"/>
        <d v="2017-06-30T00:00:00"/>
        <d v="2017-07-31T00:00:00"/>
        <d v="2017-08-31T00:00:00"/>
        <d v="2017-09-29T00:00:00"/>
        <d v="2017-10-31T00:00:00"/>
        <d v="2017-11-30T00:00:00"/>
        <d v="2017-12-29T00:00:00"/>
        <d v="2018-01-31T00:00:00"/>
        <d v="2018-02-28T00:00:00"/>
        <d v="2018-03-30T00:00:00"/>
        <d v="2018-04-30T00:00:00"/>
        <d v="2016-10-14T00:00:00"/>
        <d v="2016-11-01T00:00:00"/>
        <d v="2017-04-14T00:00:00"/>
        <d v="2017-05-01T00:00:00"/>
        <d v="2017-11-01T00:00:00"/>
        <d v="2018-05-01T00:00:00"/>
        <d v="2016-06-01T00:00:00"/>
        <d v="2016-07-01T00:00:00"/>
        <d v="2016-08-01T00:00:00"/>
        <d v="2016-09-01T00:00:00"/>
        <d v="2016-10-03T00:00:00"/>
        <d v="2016-12-01T00:00:00"/>
        <d v="2017-01-03T00:00:00"/>
        <d v="2017-02-01T00:00:00"/>
        <d v="2017-03-01T00:00:00"/>
        <d v="2017-04-03T00:00:00"/>
        <d v="2017-06-01T00:00:00"/>
        <d v="2017-07-03T00:00:00"/>
        <d v="2017-08-04T00:00:00"/>
        <d v="2016-05-16T00:00:00"/>
        <d v="2016-11-15T00:00:00"/>
        <d v="2017-05-15T00:00:00"/>
        <d v="2017-11-15T00:00:00"/>
        <d v="2016-05-12T00:00:00"/>
        <d v="2016-06-28T00:00:00"/>
        <d v="2017-08-01T00:00:00"/>
        <d v="2017-09-01T00:00:00"/>
        <d v="2017-10-02T00:00:00"/>
        <d v="2017-12-01T00:00:00"/>
        <d v="2018-01-02T00:00:00"/>
        <d v="2018-02-01T00:00:00"/>
        <d v="2018-03-01T00:00:00"/>
        <d v="2018-04-02T00:00:00"/>
        <d v="2016-06-15T00:00:00"/>
        <d v="2016-05-13T00:00:00"/>
        <d v="2016-06-10T00:00:00"/>
        <d v="2016-12-12T00:00:00"/>
        <d v="2017-06-12T00:00:00"/>
        <d v="2017-12-11T00:00:00"/>
        <d v="2016-07-27T00:00:00"/>
        <d v="2017-01-27T00:00:00"/>
        <d v="2017-07-27T00:00:00"/>
        <d v="2018-01-29T00:00:00"/>
        <d v="2016-08-26T00:00:00"/>
        <d v="2018-03-29T00:00:00"/>
        <d v="2016-07-18T00:00:00"/>
        <d v="2016-08-15T00:00:00"/>
        <d v="2017-02-15T00:00:00"/>
        <d v="2017-08-15T00:00:00"/>
        <d v="2018-02-15T00:00:00"/>
        <d v="2018-04-03T00:00:00"/>
        <d v="2017-07-17T00:00:00"/>
        <d v="2016-12-14T00:00:00"/>
        <d v="2017-05-02T00:00:00"/>
        <d v="2016-09-14T00:00:00"/>
        <d v="2017-03-14T00:00:00"/>
        <d v="2017-06-14T00:00:00"/>
        <d v="2017-09-14T00:00:00"/>
        <d v="2017-12-14T00:00:00"/>
        <d v="2018-03-14T00:00:00"/>
        <d v="2016-06-14T00:00:00"/>
        <d v="2016-06-09T00:00:00"/>
        <d v="2016-12-09T00:00:00"/>
        <d v="2017-06-09T00:00:00"/>
        <d v="2016-05-11T00:00:00"/>
        <d v="2016-07-25T00:00:00"/>
        <d v="2016-10-25T00:00:00"/>
        <d v="2017-10-30T00:00:00"/>
        <d v="2017-01-30T00:00:00"/>
        <d v="2016-06-20T00:00:00"/>
        <d v="2016-12-19T00:00:00"/>
        <d v="2017-06-19T00:00:00"/>
        <d v="2017-12-19T00:00:00"/>
        <d v="2016-08-12T00:00:00"/>
        <d v="2016-08-02T00:00:00"/>
        <d v="2016-10-01T00:00:00"/>
        <d v="2017-01-01T00:00:00"/>
        <d v="2017-02-02T00:00:00"/>
        <d v="2017-04-01T00:00:00"/>
        <d v="2017-07-01T00:00:00"/>
        <d v="2017-08-02T00:00:00"/>
        <d v="2017-10-01T00:00:00"/>
        <d v="2018-01-01T00:00:00"/>
        <d v="2018-02-02T00:00:00"/>
        <d v="2018-04-01T00:00:00"/>
        <d v="2016-05-19T00:00:00"/>
        <d v="2016-06-17T00:00:00"/>
        <d v="2016-07-19T00:00:00"/>
        <d v="2016-08-19T00:00:00"/>
        <d v="2016-09-19T00:00:00"/>
        <d v="2016-10-19T00:00:00"/>
        <d v="2016-11-18T00:00:00"/>
        <d v="2017-01-19T00:00:00"/>
        <d v="2017-02-17T00:00:00"/>
        <d v="2017-03-17T00:00:00"/>
        <d v="2017-04-19T00:00:00"/>
        <d v="2017-05-19T00:00:00"/>
        <d v="2017-07-19T00:00:00"/>
        <d v="2017-08-18T00:00:00"/>
        <d v="2017-09-19T00:00:00"/>
        <d v="2017-10-19T00:00:00"/>
        <d v="2017-11-17T00:00:00"/>
        <d v="2018-01-19T00:00:00"/>
        <d v="2018-02-16T00:00:00"/>
        <d v="2018-03-19T00:00:00"/>
        <d v="2018-04-19T00:00:00"/>
        <d v="2016-08-29T00:00:00"/>
        <d v="2018-03-02T00:00:00"/>
        <d v="2016-12-15T00:00:00"/>
        <d v="2017-12-15T00:00:00"/>
        <d v="2016-09-21T00:00:00"/>
        <d v="2014-09-29T00:00:00" u="1"/>
        <d v="2015-12-17T00:00:00" u="1"/>
        <d v="2014-10-27T00:00:00" u="1"/>
        <d v="2015-10-27T00:00:00" u="1"/>
        <d v="2016-10-27T00:00:00" u="1"/>
        <d v="2014-12-19T00:00:00" u="1"/>
        <d v="2015-10-29T00:00:00" u="1"/>
        <d v="2015-12-21T00:00:00" u="1"/>
        <d v="2015-01-02T00:00:00" u="1"/>
        <d v="2014-10-31T00:00:00" u="1"/>
        <d v="2015-11-27T00:00:00" u="1"/>
        <d v="2016-01-04T00:00:00" u="1"/>
        <d v="2017-01-04T00:00:00" u="1"/>
        <d v="2015-01-06T00:00:00" u="1"/>
        <d v="2016-01-06T00:00:00" u="1"/>
        <d v="2015-02-02T00:00:00" u="1"/>
        <d v="2017-01-06T00:00:00" u="1"/>
        <d v="2016-02-02T00:00:00" u="1"/>
        <d v="2016-12-27T00:00:00" u="1"/>
        <d v="2015-01-08T00:00:00" u="1"/>
        <d v="2015-02-04T00:00:00" u="1"/>
        <d v="2016-02-04T00:00:00" u="1"/>
        <d v="2014-12-29T00:00:00" u="1"/>
        <d v="2015-03-02T00:00:00" u="1"/>
        <d v="2016-03-02T00:00:00" u="1"/>
        <d v="2017-03-02T00:00:00" u="1"/>
        <d v="2014-12-31T00:00:00" u="1"/>
        <d v="2015-12-31T00:00:00" u="1"/>
        <d v="2015-01-12T00:00:00" u="1"/>
        <d v="2015-03-04T00:00:00" u="1"/>
        <d v="2016-01-14T00:00:00" u="1"/>
        <d v="2014-03-06T00:00:00" u="1"/>
        <d v="2015-03-06T00:00:00" u="1"/>
        <d v="2014-04-02T00:00:00" u="1"/>
        <d v="2015-04-02T00:00:00" u="1"/>
        <d v="2017-03-06T00:00:00" u="1"/>
        <d v="2015-01-16T00:00:00" u="1"/>
        <d v="2015-02-12T00:00:00" u="1"/>
        <d v="2016-02-12T00:00:00" u="1"/>
        <d v="2014-04-04T00:00:00" u="1"/>
        <d v="2016-03-08T00:00:00" u="1"/>
        <d v="2017-03-08T00:00:00" u="1"/>
        <d v="2016-04-04T00:00:00" u="1"/>
        <d v="2016-01-18T00:00:00" u="1"/>
        <d v="2017-01-18T00:00:00" u="1"/>
        <d v="2014-03-10T00:00:00" u="1"/>
        <d v="2015-03-10T00:00:00" u="1"/>
        <d v="2017-02-14T00:00:00" u="1"/>
        <d v="2016-03-10T00:00:00" u="1"/>
        <d v="2018-02-14T00:00:00" u="1"/>
        <d v="2015-04-06T00:00:00" u="1"/>
        <d v="2014-05-02T00:00:00" u="1"/>
        <d v="2016-04-06T00:00:00" u="1"/>
        <d v="2017-04-06T00:00:00" u="1"/>
        <d v="2016-05-02T00:00:00" u="1"/>
        <d v="2015-01-20T00:00:00" u="1"/>
        <d v="2014-03-12T00:00:00" u="1"/>
        <d v="2016-02-16T00:00:00" u="1"/>
        <d v="2015-03-12T00:00:00" u="1"/>
        <d v="2015-05-04T00:00:00" u="1"/>
        <d v="2016-05-04T00:00:00" u="1"/>
        <d v="2017-05-04T00:00:00" u="1"/>
        <d v="2015-01-22T00:00:00" u="1"/>
        <d v="2014-03-14T00:00:00" u="1"/>
        <d v="2016-02-18T00:00:00" u="1"/>
        <d v="2014-04-10T00:00:00" u="1"/>
        <d v="2016-03-14T00:00:00" u="1"/>
        <d v="2015-04-10T00:00:00" u="1"/>
        <d v="2014-05-06T00:00:00" u="1"/>
        <d v="2015-05-06T00:00:00" u="1"/>
        <d v="2014-06-02T00:00:00" u="1"/>
        <d v="2016-06-02T00:00:00" u="1"/>
        <d v="2017-01-24T00:00:00" u="1"/>
        <d v="2015-03-16T00:00:00" u="1"/>
        <d v="2014-05-08T00:00:00" u="1"/>
        <d v="2014-06-04T00:00:00" u="1"/>
        <d v="2015-06-04T00:00:00" u="1"/>
        <d v="2015-01-26T00:00:00" u="1"/>
        <d v="2016-03-18T00:00:00" u="1"/>
        <d v="2016-04-14T00:00:00" u="1"/>
        <d v="2014-07-02T00:00:00" u="1"/>
        <d v="2015-07-02T00:00:00" u="1"/>
        <d v="2015-01-28T00:00:00" u="1"/>
        <d v="2016-01-28T00:00:00" u="1"/>
        <d v="2014-03-20T00:00:00" u="1"/>
        <d v="2015-03-20T00:00:00" u="1"/>
        <d v="2015-04-16T00:00:00" u="1"/>
        <d v="2017-03-20T00:00:00" u="1"/>
        <d v="2015-06-08T00:00:00" u="1"/>
        <d v="2016-06-08T00:00:00" u="1"/>
        <d v="2017-06-08T00:00:00" u="1"/>
        <d v="2015-01-30T00:00:00" u="1"/>
        <d v="2014-02-26T00:00:00" u="1"/>
        <d v="2015-02-26T00:00:00" u="1"/>
        <d v="2016-02-26T00:00:00" u="1"/>
        <d v="2016-03-22T00:00:00" u="1"/>
        <d v="2016-04-18T00:00:00" u="1"/>
        <d v="2015-05-14T00:00:00" u="1"/>
        <d v="2017-04-18T00:00:00" u="1"/>
        <d v="2014-06-10T00:00:00" u="1"/>
        <d v="2015-06-10T00:00:00" u="1"/>
        <d v="2015-07-06T00:00:00" u="1"/>
        <d v="2014-08-02T00:00:00" u="1"/>
        <d v="2016-07-06T00:00:00" u="1"/>
        <d v="2015-08-02T00:00:00" u="1"/>
        <d v="2017-07-06T00:00:00" u="1"/>
        <d v="2014-02-28T00:00:00" u="1"/>
        <d v="2014-03-24T00:00:00" u="1"/>
        <d v="2016-03-24T00:00:00" u="1"/>
        <d v="2015-04-20T00:00:00" u="1"/>
        <d v="2014-06-12T00:00:00" u="1"/>
        <d v="2015-06-12T00:00:00" u="1"/>
        <d v="2014-08-04T00:00:00" u="1"/>
        <d v="2015-08-04T00:00:00" u="1"/>
        <d v="2016-08-04T00:00:00" u="1"/>
        <d v="2014-03-26T00:00:00" u="1"/>
        <d v="2015-03-26T00:00:00" u="1"/>
        <d v="2014-04-22T00:00:00" u="1"/>
        <d v="2015-04-22T00:00:00" u="1"/>
        <d v="2016-04-22T00:00:00" u="1"/>
        <d v="2014-07-10T00:00:00" u="1"/>
        <d v="2014-08-06T00:00:00" u="1"/>
        <d v="2015-08-06T00:00:00" u="1"/>
        <d v="2014-09-02T00:00:00" u="1"/>
        <d v="2015-09-02T00:00:00" u="1"/>
        <d v="2014-03-28T00:00:00" u="1"/>
        <d v="2014-04-24T00:00:00" u="1"/>
        <d v="2016-03-28T00:00:00" u="1"/>
        <d v="2015-04-24T00:00:00" u="1"/>
        <d v="2014-06-16T00:00:00" u="1"/>
        <d v="2014-09-04T00:00:00" u="1"/>
        <d v="2015-03-30T00:00:00" u="1"/>
        <d v="2014-05-22T00:00:00" u="1"/>
        <d v="2016-04-26T00:00:00" u="1"/>
        <d v="2015-06-18T00:00:00" u="1"/>
        <d v="2014-10-02T00:00:00" u="1"/>
        <d v="2016-09-06T00:00:00" u="1"/>
        <d v="2014-04-28T00:00:00" u="1"/>
        <d v="2016-04-28T00:00:00" u="1"/>
        <d v="2015-07-16T00:00:00" u="1"/>
        <d v="2014-09-08T00:00:00" u="1"/>
        <d v="2015-09-08T00:00:00" u="1"/>
        <d v="2016-09-08T00:00:00" u="1"/>
        <d v="2016-10-04T00:00:00" u="1"/>
        <d v="2014-04-30T00:00:00" u="1"/>
        <d v="2015-04-30T00:00:00" u="1"/>
        <d v="2015-06-22T00:00:00" u="1"/>
        <d v="2014-07-18T00:00:00" u="1"/>
        <d v="2016-06-22T00:00:00" u="1"/>
        <d v="2014-08-14T00:00:00" u="1"/>
        <d v="2015-08-14T00:00:00" u="1"/>
        <d v="2014-09-10T00:00:00" u="1"/>
        <d v="2015-09-10T00:00:00" u="1"/>
        <d v="2017-08-14T00:00:00" u="1"/>
        <d v="2014-10-06T00:00:00" u="1"/>
        <d v="2015-10-06T00:00:00" u="1"/>
        <d v="2016-10-06T00:00:00" u="1"/>
        <d v="2015-11-02T00:00:00" u="1"/>
        <d v="2016-11-02T00:00:00" u="1"/>
        <d v="2014-05-28T00:00:00" u="1"/>
        <d v="2015-05-28T00:00:00" u="1"/>
        <d v="2015-06-24T00:00:00" u="1"/>
        <d v="2015-07-20T00:00:00" u="1"/>
        <d v="2014-09-12T00:00:00" u="1"/>
        <d v="2014-10-08T00:00:00" u="1"/>
        <d v="2016-09-12T00:00:00" u="1"/>
        <d v="2015-10-08T00:00:00" u="1"/>
        <d v="2015-11-04T00:00:00" u="1"/>
        <d v="2014-05-30T00:00:00" u="1"/>
        <d v="2014-06-26T00:00:00" u="1"/>
        <d v="2017-05-30T00:00:00" u="1"/>
        <d v="2015-09-14T00:00:00" u="1"/>
        <d v="2014-11-06T00:00:00" u="1"/>
        <d v="2015-12-02T00:00:00" u="1"/>
        <d v="2014-07-24T00:00:00" u="1"/>
        <d v="2015-07-24T00:00:00" u="1"/>
        <d v="2014-08-20T00:00:00" u="1"/>
        <d v="2015-08-20T00:00:00" u="1"/>
        <d v="2016-10-12T00:00:00" u="1"/>
        <d v="2014-12-04T00:00:00" u="1"/>
        <d v="2014-06-30T00:00:00" u="1"/>
        <d v="2015-06-30T00:00:00" u="1"/>
        <d v="2014-09-18T00:00:00" u="1"/>
        <d v="2015-09-18T00:00:00" u="1"/>
        <d v="2014-10-14T00:00:00" u="1"/>
        <d v="2014-07-28T00:00:00" u="1"/>
        <d v="2015-07-28T00:00:00" u="1"/>
        <d v="2016-07-28T00:00:00" u="1"/>
        <d v="2017-07-28T00:00:00" u="1"/>
        <d v="2014-10-16T00:00:00" u="1"/>
        <d v="2016-09-20T00:00:00" u="1"/>
        <d v="2015-11-12T00:00:00" u="1"/>
        <d v="2014-12-08T00:00:00" u="1"/>
        <d v="2015-12-08T00:00:00" u="1"/>
        <d v="2016-12-08T00:00:00" u="1"/>
        <d v="2015-07-30T00:00:00" u="1"/>
        <d v="2014-09-22T00:00:00" u="1"/>
        <d v="2015-09-22T00:00:00" u="1"/>
        <d v="2016-09-22T00:00:00" u="1"/>
        <d v="2014-11-14T00:00:00" u="1"/>
        <d v="2016-10-18T00:00:00" u="1"/>
        <d v="2014-12-10T00:00:00" u="1"/>
        <d v="2015-12-10T00:00:00" u="1"/>
        <d v="2014-08-28T00:00:00" u="1"/>
        <d v="2015-08-28T00:00:00" u="1"/>
        <d v="2014-09-24T00:00:00" u="1"/>
        <d v="2015-09-24T00:00:00" u="1"/>
        <d v="2014-10-20T00:00:00" u="1"/>
        <d v="2015-11-16T00:00:00" u="1"/>
        <d v="2014-12-12T00:00:00" u="1"/>
        <d v="2016-08-30T00:00:00" u="1"/>
        <d v="2017-08-30T00:00:00" u="1"/>
        <d v="2014-10-22T00:00:00" u="1"/>
        <d v="2015-10-22T00:00:00" u="1"/>
        <d v="2015-12-14T00:00:00" u="1"/>
        <d v="2015-09-28T00:00:00" u="1"/>
        <d v="2014-10-24T00:00:00" u="1"/>
        <d v="2014-11-20T00:00:00" u="1"/>
        <d v="2016-10-24T00:00:00" u="1"/>
        <d v="2014-09-30T00:00:00" u="1"/>
        <d v="2015-09-30T00:00:00" u="1"/>
        <d v="2015-10-26T00:00:00" u="1"/>
        <d v="2014-12-18T00:00:00" u="1"/>
        <d v="2015-12-18T00:00:00" u="1"/>
        <d v="2016-10-28T00:00:00" u="1"/>
        <d v="2015-01-01T00:00:00" u="1"/>
        <d v="2016-01-01T00:00:00" u="1"/>
        <d v="2014-10-30T00:00:00" u="1"/>
        <d v="2015-10-30T00:00:00" u="1"/>
        <d v="2014-12-22T00:00:00" u="1"/>
        <d v="2015-12-22T00:00:00" u="1"/>
        <d v="2016-12-22T00:00:00" u="1"/>
        <d v="2014-11-28T00:00:00" u="1"/>
        <d v="2016-11-28T00:00:00" u="1"/>
        <d v="2015-12-24T00:00:00" u="1"/>
        <d v="2015-01-05T00:00:00" u="1"/>
        <d v="2015-02-01T00:00:00" u="1"/>
        <d v="2017-01-05T00:00:00" u="1"/>
        <d v="2016-02-01T00:00:00" u="1"/>
        <d v="2015-11-30T00:00:00" u="1"/>
        <d v="2014-12-26T00:00:00" u="1"/>
        <d v="2015-01-07T00:00:00" u="1"/>
        <d v="2016-01-07T00:00:00" u="1"/>
        <d v="2015-02-03T00:00:00" u="1"/>
        <d v="2016-02-03T00:00:00" u="1"/>
        <d v="2017-02-03T00:00:00" u="1"/>
        <d v="2015-12-28T00:00:00" u="1"/>
        <d v="2015-02-05T00:00:00" u="1"/>
        <d v="2014-03-01T00:00:00" u="1"/>
        <d v="2015-03-01T00:00:00" u="1"/>
        <d v="2016-03-01T00:00:00" u="1"/>
        <d v="2014-12-30T00:00:00" u="1"/>
        <d v="2016-01-11T00:00:00" u="1"/>
        <d v="2017-01-11T00:00:00" u="1"/>
        <d v="2014-03-03T00:00:00" u="1"/>
        <d v="2018-01-11T00:00:00" u="1"/>
        <d v="2016-03-03T00:00:00" u="1"/>
        <d v="2014-03-05T00:00:00" u="1"/>
        <d v="2015-03-05T00:00:00" u="1"/>
        <d v="2014-04-01T00:00:00" u="1"/>
        <d v="2015-04-01T00:00:00" u="1"/>
        <d v="2016-04-01T00:00:00" u="1"/>
        <d v="2015-01-15T00:00:00" u="1"/>
        <d v="2016-01-15T00:00:00" u="1"/>
        <d v="2014-03-07T00:00:00" u="1"/>
        <d v="2016-02-11T00:00:00" u="1"/>
        <d v="2014-04-03T00:00:00" u="1"/>
        <d v="2016-03-07T00:00:00" u="1"/>
        <d v="2017-03-07T00:00:00" u="1"/>
        <d v="2015-02-13T00:00:00" u="1"/>
        <d v="2017-01-17T00:00:00" u="1"/>
        <d v="2015-03-09T00:00:00" u="1"/>
        <d v="2014-05-01T00:00:00" u="1"/>
        <d v="2015-05-01T00:00:00" u="1"/>
        <d v="2017-04-05T00:00:00" u="1"/>
        <d v="2016-05-01T00:00:00" u="1"/>
        <d v="2015-01-19T00:00:00" u="1"/>
        <d v="2016-01-19T00:00:00" u="1"/>
        <d v="2014-03-11T00:00:00" u="1"/>
        <d v="2015-03-11T00:00:00" u="1"/>
        <d v="2014-04-07T00:00:00" u="1"/>
        <d v="2016-03-11T00:00:00" u="1"/>
        <d v="2015-04-07T00:00:00" u="1"/>
        <d v="2016-04-07T00:00:00" u="1"/>
        <d v="2016-05-03T00:00:00" u="1"/>
        <d v="2017-05-03T00:00:00" u="1"/>
        <d v="2016-01-21T00:00:00" u="1"/>
        <d v="2015-02-17T00:00:00" u="1"/>
        <d v="2014-03-13T00:00:00" u="1"/>
        <d v="2015-03-13T00:00:00" u="1"/>
        <d v="2014-04-09T00:00:00" u="1"/>
        <d v="2015-04-09T00:00:00" u="1"/>
        <d v="2017-03-13T00:00:00" u="1"/>
        <d v="2014-05-05T00:00:00" u="1"/>
        <d v="2015-05-05T00:00:00" u="1"/>
        <d v="2014-06-01T00:00:00" u="1"/>
        <d v="2016-05-05T00:00:00" u="1"/>
        <d v="2015-06-01T00:00:00" u="1"/>
        <d v="2015-02-19T00:00:00" u="1"/>
        <d v="2016-02-19T00:00:00" u="1"/>
        <d v="2014-04-11T00:00:00" u="1"/>
        <d v="2016-03-15T00:00:00" u="1"/>
        <d v="2017-03-15T00:00:00" u="1"/>
        <d v="2014-05-07T00:00:00" u="1"/>
        <d v="2016-04-11T00:00:00" u="1"/>
        <d v="2015-05-07T00:00:00" u="1"/>
        <d v="2017-04-11T00:00:00" u="1"/>
        <d v="2014-06-03T00:00:00" u="1"/>
        <d v="2018-04-11T00:00:00" u="1"/>
        <d v="2015-06-03T00:00:00" u="1"/>
        <d v="2016-01-25T00:00:00" u="1"/>
        <d v="2014-03-17T00:00:00" u="1"/>
        <d v="2015-03-17T00:00:00" u="1"/>
        <d v="2016-03-17T00:00:00" u="1"/>
        <d v="2015-04-13T00:00:00" u="1"/>
        <d v="2014-06-05T00:00:00" u="1"/>
        <d v="2016-05-09T00:00:00" u="1"/>
        <d v="2014-07-01T00:00:00" u="1"/>
        <d v="2015-07-01T00:00:00" u="1"/>
        <d v="2015-01-27T00:00:00" u="1"/>
        <d v="2016-01-27T00:00:00" u="1"/>
        <d v="2014-03-19T00:00:00" u="1"/>
        <d v="2015-03-19T00:00:00" u="1"/>
        <d v="2014-04-15T00:00:00" u="1"/>
        <d v="2015-04-15T00:00:00" u="1"/>
        <d v="2016-04-15T00:00:00" u="1"/>
        <d v="2014-07-03T00:00:00" u="1"/>
        <d v="2016-06-07T00:00:00" u="1"/>
        <d v="2015-07-03T00:00:00" u="1"/>
        <d v="2017-06-07T00:00:00" u="1"/>
        <d v="2015-01-29T00:00:00" u="1"/>
        <d v="2014-02-25T00:00:00" u="1"/>
        <d v="2016-01-29T00:00:00" u="1"/>
        <d v="2015-02-25T00:00:00" u="1"/>
        <d v="2016-02-25T00:00:00" u="1"/>
        <d v="2014-04-17T00:00:00" u="1"/>
        <d v="2016-03-21T00:00:00" u="1"/>
        <d v="2015-04-17T00:00:00" u="1"/>
        <d v="2014-06-09T00:00:00" u="1"/>
        <d v="2015-06-09T00:00:00" u="1"/>
        <d v="2014-08-01T00:00:00" u="1"/>
        <d v="2016-07-05T00:00:00" u="1"/>
        <d v="2015-08-01T00:00:00" u="1"/>
        <d v="2014-02-27T00:00:00" u="1"/>
        <d v="2015-02-27T00:00:00" u="1"/>
        <d v="2015-03-23T00:00:00" u="1"/>
        <d v="2017-02-27T00:00:00" u="1"/>
        <d v="2014-05-15T00:00:00" u="1"/>
        <d v="2016-04-19T00:00:00" u="1"/>
        <d v="2015-05-15T00:00:00" u="1"/>
        <d v="2015-06-11T00:00:00" u="1"/>
        <d v="2014-07-07T00:00:00" u="1"/>
        <d v="2016-07-07T00:00:00" u="1"/>
        <d v="2015-08-03T00:00:00" u="1"/>
        <d v="2016-08-03T00:00:00" u="1"/>
        <d v="2016-02-29T00:00:00" u="1"/>
        <d v="2015-03-25T00:00:00" u="1"/>
        <d v="2016-04-21T00:00:00" u="1"/>
        <d v="2017-04-21T00:00:00" u="1"/>
        <d v="2014-06-13T00:00:00" u="1"/>
        <d v="2016-06-13T00:00:00" u="1"/>
        <d v="2015-07-09T00:00:00" u="1"/>
        <d v="2015-08-05T00:00:00" u="1"/>
        <d v="2014-09-01T00:00:00" u="1"/>
        <d v="2015-09-01T00:00:00" u="1"/>
        <d v="2014-03-27T00:00:00" u="1"/>
        <d v="2015-03-27T00:00:00" u="1"/>
        <d v="2015-04-23T00:00:00" u="1"/>
        <d v="2017-03-27T00:00:00" u="1"/>
        <d v="2014-05-19T00:00:00" u="1"/>
        <d v="2015-05-19T00:00:00" u="1"/>
        <d v="2015-06-15T00:00:00" u="1"/>
        <d v="2014-07-11T00:00:00" u="1"/>
        <d v="2014-08-07T00:00:00" u="1"/>
        <d v="2016-07-11T00:00:00" u="1"/>
        <d v="2017-07-11T00:00:00" u="1"/>
        <d v="2014-09-03T00:00:00" u="1"/>
        <d v="2015-09-03T00:00:00" u="1"/>
        <d v="2014-04-25T00:00:00" u="1"/>
        <d v="2016-04-25T00:00:00" u="1"/>
        <d v="2015-05-21T00:00:00" u="1"/>
        <d v="2015-07-13T00:00:00" u="1"/>
        <d v="2014-10-01T00:00:00" u="1"/>
        <d v="2015-10-01T00:00:00" u="1"/>
        <d v="2014-03-31T00:00:00" u="1"/>
        <d v="2015-03-31T00:00:00" u="1"/>
        <d v="2016-03-31T00:00:00" u="1"/>
        <d v="2015-04-27T00:00:00" u="1"/>
        <d v="2016-04-27T00:00:00" u="1"/>
        <d v="2017-04-27T00:00:00" u="1"/>
        <d v="2014-06-19T00:00:00" u="1"/>
        <d v="2015-06-19T00:00:00" u="1"/>
        <d v="2014-07-15T00:00:00" u="1"/>
        <d v="2015-07-15T00:00:00" u="1"/>
        <d v="2016-07-15T00:00:00" u="1"/>
        <d v="2014-10-03T00:00:00" u="1"/>
        <d v="2016-09-07T00:00:00" u="1"/>
        <d v="2016-04-29T00:00:00" u="1"/>
        <d v="2014-07-17T00:00:00" u="1"/>
        <d v="2015-07-17T00:00:00" u="1"/>
        <d v="2015-08-13T00:00:00" u="1"/>
        <d v="2014-09-09T00:00:00" u="1"/>
        <d v="2015-10-05T00:00:00" u="1"/>
        <d v="2014-11-01T00:00:00" u="1"/>
        <d v="2016-10-05T00:00:00" u="1"/>
        <d v="2015-11-01T00:00:00" u="1"/>
        <d v="2014-05-27T00:00:00" u="1"/>
        <d v="2015-05-27T00:00:00" u="1"/>
        <d v="2014-06-23T00:00:00" u="1"/>
        <d v="2016-05-27T00:00:00" u="1"/>
        <d v="2014-08-15T00:00:00" u="1"/>
        <d v="2014-09-11T00:00:00" u="1"/>
        <d v="2015-09-11T00:00:00" u="1"/>
        <d v="2015-10-07T00:00:00" u="1"/>
        <d v="2014-11-03T00:00:00" u="1"/>
        <d v="2015-11-03T00:00:00" u="1"/>
        <d v="2016-11-03T00:00:00" u="1"/>
        <d v="2014-05-29T00:00:00" u="1"/>
        <d v="2015-05-29T00:00:00" u="1"/>
        <d v="2015-06-25T00:00:00" u="1"/>
        <d v="2015-08-17T00:00:00" u="1"/>
        <d v="2014-10-09T00:00:00" u="1"/>
        <d v="2014-11-05T00:00:00" u="1"/>
        <d v="2015-11-05T00:00:00" u="1"/>
        <d v="2014-12-01T00:00:00" u="1"/>
        <d v="2015-12-01T00:00:00" u="1"/>
        <d v="2014-06-27T00:00:00" u="1"/>
        <d v="2014-07-23T00:00:00" u="1"/>
        <d v="2016-06-27T00:00:00" u="1"/>
        <d v="2015-07-23T00:00:00" u="1"/>
        <d v="2014-08-19T00:00:00" u="1"/>
        <d v="2015-08-19T00:00:00" u="1"/>
        <d v="2014-09-15T00:00:00" u="1"/>
        <d v="2015-09-15T00:00:00" u="1"/>
        <d v="2016-09-15T00:00:00" u="1"/>
        <d v="2016-10-11T00:00:00" u="1"/>
        <d v="2017-10-11T00:00:00" u="1"/>
        <d v="2014-12-03T00:00:00" u="1"/>
        <d v="2015-12-03T00:00:00" u="1"/>
        <d v="2015-06-29T00:00:00" u="1"/>
        <d v="2014-07-25T00:00:00" u="1"/>
        <d v="2014-08-21T00:00:00" u="1"/>
        <d v="2014-09-17T00:00:00" u="1"/>
        <d v="2015-09-17T00:00:00" u="1"/>
        <d v="2015-10-13T00:00:00" u="1"/>
        <d v="2015-07-27T00:00:00" u="1"/>
        <d v="2014-09-19T00:00:00" u="1"/>
        <d v="2014-10-15T00:00:00" u="1"/>
        <d v="2015-10-15T00:00:00" u="1"/>
        <d v="2015-12-07T00:00:00" u="1"/>
        <d v="2016-12-07T00:00:00" u="1"/>
        <d v="2014-07-29T00:00:00" u="1"/>
        <d v="2015-07-29T00:00:00" u="1"/>
        <d v="2015-09-21T00:00:00" u="1"/>
        <d v="2014-10-17T00:00:00" u="1"/>
        <d v="2014-11-13T00:00:00" u="1"/>
        <d v="2016-10-17T00:00:00" u="1"/>
        <d v="2014-12-09T00:00:00" u="1"/>
        <d v="2015-12-09T00:00:00" u="1"/>
        <d v="2014-07-31T00:00:00" u="1"/>
        <d v="2015-07-31T00:00:00" u="1"/>
        <d v="2014-08-27T00:00:00" u="1"/>
        <d v="2015-08-27T00:00:00" u="1"/>
        <d v="2015-10-19T00:00:00" u="1"/>
        <d v="2014-12-11T00:00:00" u="1"/>
        <d v="2014-08-29T00:00:00" u="1"/>
        <d v="2014-09-25T00:00:00" u="1"/>
        <d v="2014-11-17T00:00:00" u="1"/>
        <d v="2016-10-21T00:00:00" u="1"/>
        <d v="2015-08-31T00:00:00" u="1"/>
        <d v="2014-10-23T00:00:00" u="1"/>
        <d v="2016-09-27T00:00:00" u="1"/>
        <d v="2014-11-19T00:00:00" u="1"/>
        <d v="2015-11-19T00:00:00" u="1"/>
        <d v="2014-12-15T00:00:00" u="1"/>
        <d v="2015-12-15T00:00:00" u="1"/>
      </sharedItems>
    </cacheField>
    <cacheField name="CFTYPE" numFmtId="15">
      <sharedItems/>
    </cacheField>
    <cacheField name="AFTERFIRSTCALL" numFmtId="0">
      <sharedItems containsSemiMixedTypes="0" containsString="0" containsNumber="1" containsInteger="1" minValue="0" maxValue="1"/>
    </cacheField>
    <cacheField name="COVERPOOL" numFmtId="0">
      <sharedItems/>
    </cacheField>
    <cacheField name="COVERPOOLAMOUNT" numFmtId="0">
      <sharedItems containsSemiMixedTypes="0" containsString="0" containsNumber="1" containsInteger="1" minValue="0" maxValue="0"/>
    </cacheField>
    <cacheField name="COVERPOOLAMOUNT_EUR" numFmtId="0">
      <sharedItems containsSemiMixedTypes="0" containsString="0" containsNumber="1" containsInteger="1" minValue="0" maxValue="0"/>
    </cacheField>
    <cacheField name="REGREPORTCLASSIFIER" numFmtId="0">
      <sharedItems containsBlank="1"/>
    </cacheField>
    <cacheField name="TR_EXTTRADEID" numFmtId="0">
      <sharedItems containsMixedTypes="1" containsNumber="1" containsInteger="1" minValue="148669" maxValue="194070"/>
    </cacheField>
    <cacheField name="TR_SOURCESYSTEM" numFmtId="0">
      <sharedItems/>
    </cacheField>
    <cacheField name="LO_EXTLOANID" numFmtId="0">
      <sharedItems containsBlank="1"/>
    </cacheField>
    <cacheField name="TR_MATURITY" numFmtId="15">
      <sharedItems containsSemiMixedTypes="0" containsNonDate="0" containsDate="1" containsString="0" minDate="1930-04-29T00:00:00" maxDate="2029-05-16T00:00:00"/>
    </cacheField>
    <cacheField name="TR_BOOK" numFmtId="0">
      <sharedItems/>
    </cacheField>
    <cacheField name="TR_DESK" numFmtId="0">
      <sharedItems/>
    </cacheField>
    <cacheField name="TR_INTERNAL" numFmtId="0">
      <sharedItems/>
    </cacheField>
    <cacheField name="LIQUITRADETYPE_HRE" numFmtId="0">
      <sharedItems/>
    </cacheField>
    <cacheField name="CUSTOMERNAME" numFmtId="0">
      <sharedItems/>
    </cacheField>
    <cacheField name="CUSTOMERID" numFmtId="0">
      <sharedItems containsSemiMixedTypes="0" containsString="0" containsNumber="1" containsInteger="1" minValue="101000141" maxValue="5101000018"/>
    </cacheField>
    <cacheField name="PRODUCTCLASS" numFmtId="0">
      <sharedItems/>
    </cacheField>
    <cacheField name="PRODUCTCATEGORY" numFmtId="0">
      <sharedItems/>
    </cacheField>
    <cacheField name="OB_OWNBANK" numFmtId="0">
      <sharedItems/>
    </cacheField>
    <cacheField name="OB_LEGAL_ENTITY" numFmtId="0">
      <sharedItems/>
    </cacheField>
    <cacheField name="AS_SECURITYID" numFmtId="0">
      <sharedItems containsBlank="1"/>
    </cacheField>
    <cacheField name="ACC_ACCOUNT" numFmtId="0">
      <sharedItems containsNonDate="0" containsString="0" containsBlank="1"/>
    </cacheField>
    <cacheField name="GIC Flag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69">
  <r>
    <x v="0"/>
    <x v="0"/>
    <x v="0"/>
    <x v="0"/>
    <x v="0"/>
    <s v="3W_San Sabia Capital Corporation"/>
    <s v="-8.86"/>
    <s v="-7.789010989010989010989010989010989011"/>
    <n v="-8.86"/>
    <s v="1.1375"/>
    <s v="USD"/>
    <x v="0"/>
    <s v="INTEREST_AND_FEES"/>
    <n v="0"/>
    <s v="NONE"/>
    <n v="0"/>
    <n v="0"/>
    <s v="IGNORED"/>
    <s v="957276SA"/>
    <s v="SUMMIT"/>
    <m/>
    <d v="1938-01-04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1"/>
    <x v="0"/>
    <x v="0"/>
    <x v="1"/>
    <x v="1"/>
    <s v="3M_San Sabia Capital Corporation"/>
    <s v="-14.62"/>
    <s v="-12.852747252747252747252747252747252747"/>
    <n v="-14.62"/>
    <s v="1.1375"/>
    <s v="USD"/>
    <x v="1"/>
    <s v="INTEREST_AND_FEES"/>
    <n v="0"/>
    <s v="NONE"/>
    <n v="0"/>
    <n v="0"/>
    <s v="IGNORED"/>
    <s v="957276SA"/>
    <s v="SUMMIT"/>
    <m/>
    <d v="1938-01-04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1"/>
    <x v="0"/>
    <x v="0"/>
    <x v="1"/>
    <x v="1"/>
    <s v="3M_San Sabia Capital Corporation"/>
    <s v="-10.47"/>
    <s v="-9.2043956043956043956043956043956043956"/>
    <n v="-10.469999999999999"/>
    <s v="1.1375"/>
    <s v="USD"/>
    <x v="2"/>
    <s v="INTEREST_AND_FEES"/>
    <n v="0"/>
    <s v="NONE"/>
    <n v="0"/>
    <n v="0"/>
    <s v="IGNORED"/>
    <s v="957276SA"/>
    <s v="SUMMIT"/>
    <m/>
    <d v="1938-01-04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2"/>
    <x v="0"/>
    <x v="0"/>
    <x v="2"/>
    <x v="2"/>
    <s v="6M_San Sabia Capital Corporation"/>
    <s v="-33.84"/>
    <s v="-29.749450549450549450549450549450549451"/>
    <n v="-33.839999999999996"/>
    <s v="1.1375"/>
    <s v="USD"/>
    <x v="3"/>
    <s v="INTEREST_AND_FEES"/>
    <n v="0"/>
    <s v="NONE"/>
    <n v="0"/>
    <n v="0"/>
    <s v="IGNORED"/>
    <s v="957276SA"/>
    <s v="SUMMIT"/>
    <m/>
    <d v="1938-01-04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2"/>
    <x v="0"/>
    <x v="0"/>
    <x v="2"/>
    <x v="2"/>
    <s v="6M_San Sabia Capital Corporation"/>
    <n v="-45"/>
    <s v="-39.56043956043956043956043956043956044"/>
    <n v="-45"/>
    <s v="1.1375"/>
    <s v="USD"/>
    <x v="4"/>
    <s v="INTEREST_AND_FEES"/>
    <n v="0"/>
    <s v="NONE"/>
    <n v="0"/>
    <n v="0"/>
    <s v="IGNORED"/>
    <s v="957276SA"/>
    <s v="SUMMIT"/>
    <m/>
    <d v="1938-01-04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2"/>
    <x v="0"/>
    <x v="0"/>
    <x v="2"/>
    <x v="2"/>
    <s v="6M_San Sabia Capital Corporation"/>
    <s v="-46.5"/>
    <s v="-40.879120879120879120879120879120879121"/>
    <n v="-46.499999999999993"/>
    <s v="1.1375"/>
    <s v="USD"/>
    <x v="5"/>
    <s v="INTEREST_AND_FEES"/>
    <n v="0"/>
    <s v="NONE"/>
    <n v="0"/>
    <n v="0"/>
    <s v="IGNORED"/>
    <s v="957276SA"/>
    <s v="SUMMIT"/>
    <m/>
    <d v="1938-01-04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s v="-68.98"/>
    <s v="-60.641758241758241758241758241758241758"/>
    <n v="-68.97999999999999"/>
    <s v="1.1375"/>
    <s v="USD"/>
    <x v="6"/>
    <s v="INTEREST_AND_FEES"/>
    <n v="0"/>
    <s v="NONE"/>
    <n v="0"/>
    <n v="0"/>
    <s v="IGNORED"/>
    <s v="957276SA"/>
    <s v="SUMMIT"/>
    <m/>
    <d v="1938-01-04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s v="-90.24"/>
    <s v="-79.331868131868131868131868131868131868"/>
    <n v="-90.24"/>
    <s v="1.1375"/>
    <s v="USD"/>
    <x v="7"/>
    <s v="INTEREST_AND_FEES"/>
    <n v="0"/>
    <s v="NONE"/>
    <n v="0"/>
    <n v="0"/>
    <s v="IGNORED"/>
    <s v="957276SA"/>
    <s v="SUMMIT"/>
    <m/>
    <d v="1938-01-04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s v="-90.24"/>
    <s v="-79.331868131868131868131868131868131868"/>
    <n v="-90.24"/>
    <s v="1.1375"/>
    <s v="USD"/>
    <x v="8"/>
    <s v="INTEREST_AND_FEES"/>
    <n v="0"/>
    <s v="NONE"/>
    <n v="0"/>
    <n v="0"/>
    <s v="IGNORED"/>
    <s v="957276SA"/>
    <s v="SUMMIT"/>
    <m/>
    <d v="1938-01-04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s v="-107.83"/>
    <s v="-94.795604395604395604395604395604395604"/>
    <n v="-107.83"/>
    <s v="1.1375"/>
    <s v="USD"/>
    <x v="9"/>
    <s v="INTEREST_AND_FEES"/>
    <n v="0"/>
    <s v="NONE"/>
    <n v="0"/>
    <n v="0"/>
    <s v="IGNORED"/>
    <s v="957276SA"/>
    <s v="SUMMIT"/>
    <m/>
    <d v="1938-01-04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s v="-141.26"/>
    <s v="-124.18461538461538461538461538461538462"/>
    <n v="-141.26"/>
    <s v="1.1375"/>
    <s v="USD"/>
    <x v="10"/>
    <s v="INTEREST_AND_FEES"/>
    <n v="0"/>
    <s v="NONE"/>
    <n v="0"/>
    <n v="0"/>
    <s v="IGNORED"/>
    <s v="957276SA"/>
    <s v="SUMMIT"/>
    <m/>
    <d v="1938-01-04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s v="-136.7"/>
    <s v="-120.17582417582417582417582417582417582"/>
    <n v="-136.69999999999999"/>
    <s v="1.1375"/>
    <s v="USD"/>
    <x v="11"/>
    <s v="INTEREST_AND_FEES"/>
    <n v="0"/>
    <s v="NONE"/>
    <n v="0"/>
    <n v="0"/>
    <s v="IGNORED"/>
    <s v="957276SA"/>
    <s v="SUMMIT"/>
    <m/>
    <d v="1938-01-04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-175.23"/>
    <s v="-154.04835164835164835164835164835164835"/>
    <n v="-175.23"/>
    <s v="1.1375"/>
    <s v="USD"/>
    <x v="12"/>
    <s v="INTEREST_AND_FEES"/>
    <n v="0"/>
    <s v="NONE"/>
    <n v="0"/>
    <n v="0"/>
    <s v="IGNORED"/>
    <s v="957276SA"/>
    <s v="SUMMIT"/>
    <m/>
    <d v="1938-01-04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-185.23"/>
    <s v="-162.83956043956043956043956043956043956"/>
    <n v="-185.23"/>
    <s v="1.1375"/>
    <s v="USD"/>
    <x v="13"/>
    <s v="INTEREST_AND_FEES"/>
    <n v="0"/>
    <s v="NONE"/>
    <n v="0"/>
    <n v="0"/>
    <s v="IGNORED"/>
    <s v="957276SA"/>
    <s v="SUMMIT"/>
    <m/>
    <d v="1938-01-04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-191.41"/>
    <s v="-168.27252747252747252747252747252747253"/>
    <n v="-191.41"/>
    <s v="1.1375"/>
    <s v="USD"/>
    <x v="14"/>
    <s v="INTEREST_AND_FEES"/>
    <n v="0"/>
    <s v="NONE"/>
    <n v="0"/>
    <n v="0"/>
    <s v="IGNORED"/>
    <s v="957276SA"/>
    <s v="SUMMIT"/>
    <m/>
    <d v="1938-01-04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-191.41"/>
    <s v="-168.27252747252747252747252747252747253"/>
    <n v="-191.41"/>
    <s v="1.1375"/>
    <s v="USD"/>
    <x v="15"/>
    <s v="INTEREST_AND_FEES"/>
    <n v="0"/>
    <s v="NONE"/>
    <n v="0"/>
    <n v="0"/>
    <s v="IGNORED"/>
    <s v="957276SA"/>
    <s v="SUMMIT"/>
    <m/>
    <d v="1938-01-04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-185.23"/>
    <s v="-162.83956043956043956043956043956043956"/>
    <n v="-185.23"/>
    <s v="1.1375"/>
    <s v="USD"/>
    <x v="16"/>
    <s v="INTEREST_AND_FEES"/>
    <n v="0"/>
    <s v="NONE"/>
    <n v="0"/>
    <n v="0"/>
    <s v="IGNORED"/>
    <s v="957276SA"/>
    <s v="SUMMIT"/>
    <m/>
    <d v="1938-01-04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-191.41"/>
    <s v="-168.27252747252747252747252747252747253"/>
    <n v="-191.41"/>
    <s v="1.1375"/>
    <s v="USD"/>
    <x v="17"/>
    <s v="INTEREST_AND_FEES"/>
    <n v="0"/>
    <s v="NONE"/>
    <n v="0"/>
    <n v="0"/>
    <s v="IGNORED"/>
    <s v="957276SA"/>
    <s v="SUMMIT"/>
    <m/>
    <d v="1938-01-04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-185.23"/>
    <s v="-162.83956043956043956043956043956043956"/>
    <n v="-185.23"/>
    <s v="1.1375"/>
    <s v="USD"/>
    <x v="18"/>
    <s v="INTEREST_AND_FEES"/>
    <n v="0"/>
    <s v="NONE"/>
    <n v="0"/>
    <n v="0"/>
    <s v="IGNORED"/>
    <s v="957276SA"/>
    <s v="SUMMIT"/>
    <m/>
    <d v="1938-01-04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-191.41"/>
    <s v="-168.27252747252747252747252747252747253"/>
    <n v="-191.41"/>
    <s v="1.1375"/>
    <s v="USD"/>
    <x v="19"/>
    <s v="INTEREST_AND_FEES"/>
    <n v="0"/>
    <s v="NONE"/>
    <n v="0"/>
    <n v="0"/>
    <s v="IGNORED"/>
    <s v="957276SA"/>
    <s v="SUMMIT"/>
    <m/>
    <d v="1938-01-04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-191.41"/>
    <s v="-168.27252747252747252747252747252747253"/>
    <n v="-191.41"/>
    <s v="1.1375"/>
    <s v="USD"/>
    <x v="20"/>
    <s v="INTEREST_AND_FEES"/>
    <n v="0"/>
    <s v="NONE"/>
    <n v="0"/>
    <n v="0"/>
    <s v="IGNORED"/>
    <s v="957276SA"/>
    <s v="SUMMIT"/>
    <m/>
    <d v="1938-01-04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-172.87"/>
    <s v="-151.97362637362637362637362637362637363"/>
    <n v="-172.86999999999998"/>
    <s v="1.1375"/>
    <s v="USD"/>
    <x v="21"/>
    <s v="INTEREST_AND_FEES"/>
    <n v="0"/>
    <s v="NONE"/>
    <n v="0"/>
    <n v="0"/>
    <s v="IGNORED"/>
    <s v="957276SA"/>
    <s v="SUMMIT"/>
    <m/>
    <d v="1938-01-04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-191.41"/>
    <s v="-168.27252747252747252747252747252747253"/>
    <n v="-191.41"/>
    <s v="1.1375"/>
    <s v="USD"/>
    <x v="22"/>
    <s v="INTEREST_AND_FEES"/>
    <n v="0"/>
    <s v="NONE"/>
    <n v="0"/>
    <n v="0"/>
    <s v="IGNORED"/>
    <s v="957276SA"/>
    <s v="SUMMIT"/>
    <m/>
    <d v="1938-01-04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-185.23"/>
    <s v="-162.83956043956043956043956043956043956"/>
    <n v="-185.23"/>
    <s v="1.1375"/>
    <s v="USD"/>
    <x v="23"/>
    <s v="INTEREST_AND_FEES"/>
    <n v="0"/>
    <s v="NONE"/>
    <n v="0"/>
    <n v="0"/>
    <s v="IGNORED"/>
    <s v="957276SA"/>
    <s v="SUMMIT"/>
    <m/>
    <d v="1938-01-04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2"/>
    <x v="1"/>
    <x v="1"/>
    <x v="6"/>
    <x v="6"/>
    <m/>
    <s v="193582.06"/>
    <s v="170182.030769230769230769230769230769231"/>
    <n v="193582.06"/>
    <s v="1.1375"/>
    <s v="USD"/>
    <x v="24"/>
    <s v="PRINCIPAL_FLOW"/>
    <n v="0"/>
    <s v="NONE"/>
    <n v="0"/>
    <n v="0"/>
    <s v="INFLOW_GENERAL_GOV_LENDINGS"/>
    <s v="D_645311PN"/>
    <s v="SUMMIT"/>
    <s v="645311PN"/>
    <d v="1939-04-29T00:00:00"/>
    <s v="FV_SHORT_TM"/>
    <s v="AM_GICS_T"/>
    <s v="NONE"/>
    <s v="LOAN"/>
    <s v="Housing Finance Author. of Manatee County Florida"/>
    <n v="101000310"/>
    <s v="Lending"/>
    <s v="Loan"/>
    <s v="DEPFAPLC_NY"/>
    <s v="DEPFA"/>
    <m/>
    <m/>
    <s v="GICS Deposit"/>
  </r>
  <r>
    <x v="2"/>
    <x v="1"/>
    <x v="0"/>
    <x v="7"/>
    <x v="6"/>
    <m/>
    <s v="-2675.01"/>
    <s v="-2351.6571428571428571428571428571428571"/>
    <n v="-2675.0099999999998"/>
    <s v="1.1375"/>
    <s v="USD"/>
    <x v="25"/>
    <s v="INTEREST_AND_FEES"/>
    <n v="0"/>
    <s v="NONE"/>
    <n v="0"/>
    <n v="0"/>
    <s v="OUTFLOW_GENERAL_GOV_FIX_PERIOD_DEPOSITS"/>
    <s v="D_645311PN"/>
    <s v="SUMMIT"/>
    <s v="645311PN"/>
    <d v="1939-04-29T00:00:00"/>
    <s v="FV_SHORT_TM"/>
    <s v="AM_GICS_T"/>
    <s v="NONE"/>
    <s v="LOAN"/>
    <s v="Housing Finance Author. of Manatee County Florida"/>
    <n v="101000310"/>
    <s v="Lending"/>
    <s v="Loan"/>
    <s v="DEPFAPLC_NY"/>
    <s v="DEPFA"/>
    <m/>
    <m/>
    <s v="GICS Deposit"/>
  </r>
  <r>
    <x v="3"/>
    <x v="1"/>
    <x v="1"/>
    <x v="8"/>
    <x v="6"/>
    <m/>
    <n v="-300000"/>
    <s v="-263736.26373626373626373626373626373626"/>
    <n v="-300000"/>
    <s v="1.1375"/>
    <s v="USD"/>
    <x v="26"/>
    <s v="PRINCIPAL_FLOW"/>
    <n v="0"/>
    <s v="NONE"/>
    <n v="0"/>
    <n v="0"/>
    <s v="OUTFLOW_GENERAL_GOV_FIX_PERIOD_DEPOSITS"/>
    <s v="D_645311PN"/>
    <s v="SUMMIT"/>
    <s v="645311PN"/>
    <d v="1939-04-29T00:00:00"/>
    <s v="FV_SHORT_TM"/>
    <s v="AM_GICS_T"/>
    <s v="NONE"/>
    <s v="LOAN"/>
    <s v="Housing Finance Author. of Manatee County Florida"/>
    <n v="101000310"/>
    <s v="Lending"/>
    <s v="Loan"/>
    <s v="DEPFAPLC_NY"/>
    <s v="DEPFA"/>
    <m/>
    <m/>
    <s v="GICS Deposit"/>
  </r>
  <r>
    <x v="3"/>
    <x v="1"/>
    <x v="0"/>
    <x v="9"/>
    <x v="6"/>
    <m/>
    <s v="-5772.92"/>
    <s v="-5075.0945054945054945054945054945054945"/>
    <n v="-5772.92"/>
    <s v="1.1375"/>
    <s v="USD"/>
    <x v="27"/>
    <s v="INTEREST_AND_FEES"/>
    <n v="0"/>
    <s v="NONE"/>
    <n v="0"/>
    <n v="0"/>
    <s v="OUTFLOW_GENERAL_GOV_FIX_PERIOD_DEPOSITS"/>
    <s v="D_645311PN"/>
    <s v="SUMMIT"/>
    <s v="645311PN"/>
    <d v="1939-04-29T00:00:00"/>
    <s v="FV_SHORT_TM"/>
    <s v="AM_GICS_T"/>
    <s v="NONE"/>
    <s v="LOAN"/>
    <s v="Housing Finance Author. of Manatee County Florida"/>
    <n v="101000310"/>
    <s v="Lending"/>
    <s v="Loan"/>
    <s v="DEPFAPLC_NY"/>
    <s v="DEPFA"/>
    <m/>
    <m/>
    <s v="GICS Deposit"/>
  </r>
  <r>
    <x v="4"/>
    <x v="1"/>
    <x v="0"/>
    <x v="10"/>
    <x v="6"/>
    <m/>
    <n v="0"/>
    <n v="0"/>
    <n v="0"/>
    <s v="1.1375"/>
    <s v="USD"/>
    <x v="28"/>
    <s v="INTEREST_AND_FEES"/>
    <n v="0"/>
    <s v="NONE"/>
    <n v="0"/>
    <n v="0"/>
    <s v="INFLOW_GENERAL_GOV_LENDINGS"/>
    <s v="D_645311PN"/>
    <s v="SUMMIT"/>
    <s v="645311PN"/>
    <d v="1939-04-29T00:00:00"/>
    <s v="FV_SHORT_TM"/>
    <s v="AM_GICS_T"/>
    <s v="NONE"/>
    <s v="LOAN"/>
    <s v="Housing Finance Author. of Manatee County Florida"/>
    <n v="101000310"/>
    <s v="Lending"/>
    <s v="Loan"/>
    <s v="DEPFAPLC_NY"/>
    <s v="DEPFA"/>
    <m/>
    <m/>
    <s v="GICS Deposit"/>
  </r>
  <r>
    <x v="5"/>
    <x v="1"/>
    <x v="0"/>
    <x v="11"/>
    <x v="6"/>
    <m/>
    <n v="0"/>
    <n v="0"/>
    <n v="0"/>
    <s v="1.1375"/>
    <s v="USD"/>
    <x v="29"/>
    <s v="INTEREST_AND_FEES"/>
    <n v="0"/>
    <s v="NONE"/>
    <n v="0"/>
    <n v="0"/>
    <s v="INFLOW_GENERAL_GOV_LENDINGS"/>
    <s v="D_645311PN"/>
    <s v="SUMMIT"/>
    <s v="645311PN"/>
    <d v="1939-04-29T00:00:00"/>
    <s v="FV_SHORT_TM"/>
    <s v="AM_GICS_T"/>
    <s v="NONE"/>
    <s v="LOAN"/>
    <s v="Housing Finance Author. of Manatee County Florida"/>
    <n v="101000310"/>
    <s v="Lending"/>
    <s v="Loan"/>
    <s v="DEPFAPLC_NY"/>
    <s v="DEPFA"/>
    <m/>
    <m/>
    <s v="GICS Deposit"/>
  </r>
  <r>
    <x v="0"/>
    <x v="1"/>
    <x v="0"/>
    <x v="12"/>
    <x v="6"/>
    <m/>
    <n v="0"/>
    <n v="0"/>
    <n v="0"/>
    <s v="1.1375"/>
    <s v="USD"/>
    <x v="30"/>
    <s v="INTEREST_AND_FEES"/>
    <n v="0"/>
    <s v="NONE"/>
    <n v="0"/>
    <n v="0"/>
    <s v="INFLOW_NON_GOV_INVESTMENTS"/>
    <n v="157752"/>
    <s v="SUMMIT"/>
    <m/>
    <d v="2017-08-04T00:00:00"/>
    <s v="LN_RCS_GEN_U"/>
    <s v="AM_BANKBND_L"/>
    <s v="NONE"/>
    <s v="BONDS"/>
    <s v="FMS Wertmanagement A├╢R"/>
    <n v="3101055606"/>
    <s v="Bond"/>
    <s v="Bond"/>
    <s v="DEPFAPLC_NY"/>
    <s v="DEPFA"/>
    <s v="US917546BN24_LF6"/>
    <m/>
    <s v="Not GIC"/>
  </r>
  <r>
    <x v="1"/>
    <x v="1"/>
    <x v="0"/>
    <x v="13"/>
    <x v="6"/>
    <m/>
    <n v="0"/>
    <n v="0"/>
    <n v="0"/>
    <s v="1.1375"/>
    <s v="USD"/>
    <x v="31"/>
    <s v="INTEREST_AND_FEES"/>
    <n v="0"/>
    <s v="NONE"/>
    <n v="0"/>
    <n v="0"/>
    <s v="INFLOW_NON_GOV_INVESTMENTS"/>
    <n v="157752"/>
    <s v="SUMMIT"/>
    <m/>
    <d v="2017-08-04T00:00:00"/>
    <s v="LN_RCS_GEN_U"/>
    <s v="AM_BANKBND_L"/>
    <s v="NONE"/>
    <s v="BONDS"/>
    <s v="FMS Wertmanagement A├╢R"/>
    <n v="3101055606"/>
    <s v="Bond"/>
    <s v="Bond"/>
    <s v="DEPFAPLC_NY"/>
    <s v="DEPFA"/>
    <s v="US917546BN24_LF6"/>
    <m/>
    <s v="Not GIC"/>
  </r>
  <r>
    <x v="1"/>
    <x v="1"/>
    <x v="0"/>
    <x v="13"/>
    <x v="6"/>
    <m/>
    <n v="0"/>
    <n v="0"/>
    <n v="0"/>
    <s v="1.1375"/>
    <s v="USD"/>
    <x v="32"/>
    <s v="INTEREST_AND_FEES"/>
    <n v="0"/>
    <s v="NONE"/>
    <n v="0"/>
    <n v="0"/>
    <s v="INFLOW_NON_GOV_INVESTMENTS"/>
    <n v="157752"/>
    <s v="SUMMIT"/>
    <m/>
    <d v="2017-08-04T00:00:00"/>
    <s v="LN_RCS_GEN_U"/>
    <s v="AM_BANKBND_L"/>
    <s v="NONE"/>
    <s v="BONDS"/>
    <s v="FMS Wertmanagement A├╢R"/>
    <n v="3101055606"/>
    <s v="Bond"/>
    <s v="Bond"/>
    <s v="DEPFAPLC_NY"/>
    <s v="DEPFA"/>
    <s v="US917546BN24_LF6"/>
    <m/>
    <s v="Not GIC"/>
  </r>
  <r>
    <x v="2"/>
    <x v="1"/>
    <x v="0"/>
    <x v="7"/>
    <x v="6"/>
    <m/>
    <n v="0"/>
    <n v="0"/>
    <n v="0"/>
    <s v="1.1375"/>
    <s v="USD"/>
    <x v="33"/>
    <s v="INTEREST_AND_FEES"/>
    <n v="0"/>
    <s v="NONE"/>
    <n v="0"/>
    <n v="0"/>
    <s v="INFLOW_NON_GOV_INVESTMENTS"/>
    <n v="157752"/>
    <s v="SUMMIT"/>
    <m/>
    <d v="2017-08-04T00:00:00"/>
    <s v="LN_RCS_GEN_U"/>
    <s v="AM_BANKBND_L"/>
    <s v="NONE"/>
    <s v="BONDS"/>
    <s v="FMS Wertmanagement A├╢R"/>
    <n v="3101055606"/>
    <s v="Bond"/>
    <s v="Bond"/>
    <s v="DEPFAPLC_NY"/>
    <s v="DEPFA"/>
    <s v="US917546BN24_LF6"/>
    <m/>
    <s v="Not GIC"/>
  </r>
  <r>
    <x v="2"/>
    <x v="1"/>
    <x v="0"/>
    <x v="7"/>
    <x v="6"/>
    <m/>
    <n v="0"/>
    <n v="0"/>
    <n v="0"/>
    <s v="1.1375"/>
    <s v="USD"/>
    <x v="34"/>
    <s v="INTEREST_AND_FEES"/>
    <n v="0"/>
    <s v="NONE"/>
    <n v="0"/>
    <n v="0"/>
    <s v="INFLOW_NON_GOV_INVESTMENTS"/>
    <n v="157752"/>
    <s v="SUMMIT"/>
    <m/>
    <d v="2017-08-04T00:00:00"/>
    <s v="LN_RCS_GEN_U"/>
    <s v="AM_BANKBND_L"/>
    <s v="NONE"/>
    <s v="BONDS"/>
    <s v="FMS Wertmanagement A├╢R"/>
    <n v="3101055606"/>
    <s v="Bond"/>
    <s v="Bond"/>
    <s v="DEPFAPLC_NY"/>
    <s v="DEPFA"/>
    <s v="US917546BN24_LF6"/>
    <m/>
    <s v="Not GIC"/>
  </r>
  <r>
    <x v="2"/>
    <x v="1"/>
    <x v="0"/>
    <x v="7"/>
    <x v="6"/>
    <m/>
    <n v="0"/>
    <n v="0"/>
    <n v="0"/>
    <s v="1.1375"/>
    <s v="USD"/>
    <x v="25"/>
    <s v="INTEREST_AND_FEES"/>
    <n v="0"/>
    <s v="NONE"/>
    <n v="0"/>
    <n v="0"/>
    <s v="INFLOW_NON_GOV_INVESTMENTS"/>
    <n v="157752"/>
    <s v="SUMMIT"/>
    <m/>
    <d v="2017-08-04T00:00:00"/>
    <s v="LN_RCS_GEN_U"/>
    <s v="AM_BANKBND_L"/>
    <s v="NONE"/>
    <s v="BONDS"/>
    <s v="FMS Wertmanagement A├╢R"/>
    <n v="3101055606"/>
    <s v="Bond"/>
    <s v="Bond"/>
    <s v="DEPFAPLC_NY"/>
    <s v="DEPFA"/>
    <s v="US917546BN24_LF6"/>
    <m/>
    <s v="Not GIC"/>
  </r>
  <r>
    <x v="3"/>
    <x v="1"/>
    <x v="0"/>
    <x v="9"/>
    <x v="6"/>
    <m/>
    <n v="0"/>
    <n v="0"/>
    <n v="0"/>
    <s v="1.1375"/>
    <s v="USD"/>
    <x v="35"/>
    <s v="INTEREST_AND_FEES"/>
    <n v="0"/>
    <s v="NONE"/>
    <n v="0"/>
    <n v="0"/>
    <s v="INFLOW_NON_GOV_INVESTMENTS"/>
    <n v="157752"/>
    <s v="SUMMIT"/>
    <m/>
    <d v="2017-08-04T00:00:00"/>
    <s v="LN_RCS_GEN_U"/>
    <s v="AM_BANKBND_L"/>
    <s v="NONE"/>
    <s v="BONDS"/>
    <s v="FMS Wertmanagement A├╢R"/>
    <n v="3101055606"/>
    <s v="Bond"/>
    <s v="Bond"/>
    <s v="DEPFAPLC_NY"/>
    <s v="DEPFA"/>
    <s v="US917546BN24_LF6"/>
    <m/>
    <s v="Not GIC"/>
  </r>
  <r>
    <x v="3"/>
    <x v="1"/>
    <x v="0"/>
    <x v="9"/>
    <x v="6"/>
    <m/>
    <n v="0"/>
    <n v="0"/>
    <n v="0"/>
    <s v="1.1375"/>
    <s v="USD"/>
    <x v="36"/>
    <s v="INTEREST_AND_FEES"/>
    <n v="0"/>
    <s v="NONE"/>
    <n v="0"/>
    <n v="0"/>
    <s v="INFLOW_NON_GOV_INVESTMENTS"/>
    <n v="157752"/>
    <s v="SUMMIT"/>
    <m/>
    <d v="2017-08-04T00:00:00"/>
    <s v="LN_RCS_GEN_U"/>
    <s v="AM_BANKBND_L"/>
    <s v="NONE"/>
    <s v="BONDS"/>
    <s v="FMS Wertmanagement A├╢R"/>
    <n v="3101055606"/>
    <s v="Bond"/>
    <s v="Bond"/>
    <s v="DEPFAPLC_NY"/>
    <s v="DEPFA"/>
    <s v="US917546BN24_LF6"/>
    <m/>
    <s v="Not GIC"/>
  </r>
  <r>
    <x v="3"/>
    <x v="1"/>
    <x v="0"/>
    <x v="9"/>
    <x v="6"/>
    <m/>
    <n v="0"/>
    <n v="0"/>
    <n v="0"/>
    <s v="1.1375"/>
    <s v="USD"/>
    <x v="37"/>
    <s v="INTEREST_AND_FEES"/>
    <n v="0"/>
    <s v="NONE"/>
    <n v="0"/>
    <n v="0"/>
    <s v="INFLOW_NON_GOV_INVESTMENTS"/>
    <n v="157752"/>
    <s v="SUMMIT"/>
    <m/>
    <d v="2017-08-04T00:00:00"/>
    <s v="LN_RCS_GEN_U"/>
    <s v="AM_BANKBND_L"/>
    <s v="NONE"/>
    <s v="BONDS"/>
    <s v="FMS Wertmanagement A├╢R"/>
    <n v="3101055606"/>
    <s v="Bond"/>
    <s v="Bond"/>
    <s v="DEPFAPLC_NY"/>
    <s v="DEPFA"/>
    <s v="US917546BN24_LF6"/>
    <m/>
    <s v="Not GIC"/>
  </r>
  <r>
    <x v="3"/>
    <x v="1"/>
    <x v="0"/>
    <x v="9"/>
    <x v="6"/>
    <m/>
    <n v="0"/>
    <n v="0"/>
    <n v="0"/>
    <s v="1.1375"/>
    <s v="USD"/>
    <x v="38"/>
    <s v="INTEREST_AND_FEES"/>
    <n v="0"/>
    <s v="NONE"/>
    <n v="0"/>
    <n v="0"/>
    <s v="INFLOW_NON_GOV_INVESTMENTS"/>
    <n v="157752"/>
    <s v="SUMMIT"/>
    <m/>
    <d v="2017-08-04T00:00:00"/>
    <s v="LN_RCS_GEN_U"/>
    <s v="AM_BANKBND_L"/>
    <s v="NONE"/>
    <s v="BONDS"/>
    <s v="FMS Wertmanagement A├╢R"/>
    <n v="3101055606"/>
    <s v="Bond"/>
    <s v="Bond"/>
    <s v="DEPFAPLC_NY"/>
    <s v="DEPFA"/>
    <s v="US917546BN24_LF6"/>
    <m/>
    <s v="Not GIC"/>
  </r>
  <r>
    <x v="3"/>
    <x v="1"/>
    <x v="0"/>
    <x v="9"/>
    <x v="6"/>
    <m/>
    <n v="0"/>
    <n v="0"/>
    <n v="0"/>
    <s v="1.1375"/>
    <s v="USD"/>
    <x v="39"/>
    <s v="INTEREST_AND_FEES"/>
    <n v="0"/>
    <s v="NONE"/>
    <n v="0"/>
    <n v="0"/>
    <s v="INFLOW_NON_GOV_INVESTMENTS"/>
    <n v="157752"/>
    <s v="SUMMIT"/>
    <m/>
    <d v="2017-08-04T00:00:00"/>
    <s v="LN_RCS_GEN_U"/>
    <s v="AM_BANKBND_L"/>
    <s v="NONE"/>
    <s v="BONDS"/>
    <s v="FMS Wertmanagement A├╢R"/>
    <n v="3101055606"/>
    <s v="Bond"/>
    <s v="Bond"/>
    <s v="DEPFAPLC_NY"/>
    <s v="DEPFA"/>
    <s v="US917546BN24_LF6"/>
    <m/>
    <s v="Not GIC"/>
  </r>
  <r>
    <x v="3"/>
    <x v="1"/>
    <x v="0"/>
    <x v="9"/>
    <x v="6"/>
    <m/>
    <n v="0"/>
    <n v="0"/>
    <n v="0"/>
    <s v="1.1375"/>
    <s v="USD"/>
    <x v="27"/>
    <s v="INTEREST_AND_FEES"/>
    <n v="0"/>
    <s v="NONE"/>
    <n v="0"/>
    <n v="0"/>
    <s v="INFLOW_NON_GOV_INVESTMENTS"/>
    <n v="157752"/>
    <s v="SUMMIT"/>
    <m/>
    <d v="2017-08-04T00:00:00"/>
    <s v="LN_RCS_GEN_U"/>
    <s v="AM_BANKBND_L"/>
    <s v="NONE"/>
    <s v="BONDS"/>
    <s v="FMS Wertmanagement A├╢R"/>
    <n v="3101055606"/>
    <s v="Bond"/>
    <s v="Bond"/>
    <s v="DEPFAPLC_NY"/>
    <s v="DEPFA"/>
    <s v="US917546BN24_LF6"/>
    <m/>
    <s v="Not GIC"/>
  </r>
  <r>
    <x v="4"/>
    <x v="1"/>
    <x v="0"/>
    <x v="10"/>
    <x v="6"/>
    <m/>
    <n v="0"/>
    <n v="0"/>
    <n v="0"/>
    <s v="1.1375"/>
    <s v="USD"/>
    <x v="40"/>
    <s v="INTEREST_AND_FEES"/>
    <n v="0"/>
    <s v="NONE"/>
    <n v="0"/>
    <n v="0"/>
    <s v="INFLOW_NON_GOV_INVESTMENTS"/>
    <n v="157752"/>
    <s v="SUMMIT"/>
    <m/>
    <d v="2017-08-04T00:00:00"/>
    <s v="LN_RCS_GEN_U"/>
    <s v="AM_BANKBND_L"/>
    <s v="NONE"/>
    <s v="BONDS"/>
    <s v="FMS Wertmanagement A├╢R"/>
    <n v="3101055606"/>
    <s v="Bond"/>
    <s v="Bond"/>
    <s v="DEPFAPLC_NY"/>
    <s v="DEPFA"/>
    <s v="US917546BN24_LF6"/>
    <m/>
    <s v="Not GIC"/>
  </r>
  <r>
    <x v="4"/>
    <x v="1"/>
    <x v="0"/>
    <x v="10"/>
    <x v="6"/>
    <m/>
    <n v="0"/>
    <n v="0"/>
    <n v="0"/>
    <s v="1.1375"/>
    <s v="USD"/>
    <x v="41"/>
    <s v="INTEREST_AND_FEES"/>
    <n v="0"/>
    <s v="NONE"/>
    <n v="0"/>
    <n v="0"/>
    <s v="INFLOW_NON_GOV_INVESTMENTS"/>
    <n v="157752"/>
    <s v="SUMMIT"/>
    <m/>
    <d v="2017-08-04T00:00:00"/>
    <s v="LN_RCS_GEN_U"/>
    <s v="AM_BANKBND_L"/>
    <s v="NONE"/>
    <s v="BONDS"/>
    <s v="FMS Wertmanagement A├╢R"/>
    <n v="3101055606"/>
    <s v="Bond"/>
    <s v="Bond"/>
    <s v="DEPFAPLC_NY"/>
    <s v="DEPFA"/>
    <s v="US917546BN24_LF6"/>
    <m/>
    <s v="Not GIC"/>
  </r>
  <r>
    <x v="4"/>
    <x v="1"/>
    <x v="0"/>
    <x v="10"/>
    <x v="6"/>
    <m/>
    <n v="0"/>
    <n v="0"/>
    <n v="0"/>
    <s v="1.1375"/>
    <s v="USD"/>
    <x v="42"/>
    <s v="INTEREST_AND_FEES"/>
    <n v="0"/>
    <s v="NONE"/>
    <n v="0"/>
    <n v="0"/>
    <s v="INFLOW_NON_GOV_INVESTMENTS"/>
    <n v="157752"/>
    <s v="SUMMIT"/>
    <m/>
    <d v="2017-08-04T00:00:00"/>
    <s v="LN_RCS_GEN_U"/>
    <s v="AM_BANKBND_L"/>
    <s v="NONE"/>
    <s v="BONDS"/>
    <s v="FMS Wertmanagement A├╢R"/>
    <n v="3101055606"/>
    <s v="Bond"/>
    <s v="Bond"/>
    <s v="DEPFAPLC_NY"/>
    <s v="DEPFA"/>
    <s v="US917546BN24_LF6"/>
    <m/>
    <s v="Not GIC"/>
  </r>
  <r>
    <x v="4"/>
    <x v="1"/>
    <x v="2"/>
    <x v="14"/>
    <x v="6"/>
    <m/>
    <n v="0"/>
    <n v="0"/>
    <n v="0"/>
    <s v="1.1375"/>
    <s v="USD"/>
    <x v="42"/>
    <s v="PRINCIPAL_FLOW"/>
    <n v="0"/>
    <s v="NONE"/>
    <n v="0"/>
    <n v="0"/>
    <s v="INFLOW_NON_GOV_INVESTMENTS"/>
    <n v="157752"/>
    <s v="SUMMIT"/>
    <m/>
    <d v="2017-08-04T00:00:00"/>
    <s v="LN_RCS_GEN_U"/>
    <s v="AM_BANKBND_L"/>
    <s v="NONE"/>
    <s v="BONDS"/>
    <s v="FMS Wertmanagement A├╢R"/>
    <n v="3101055606"/>
    <s v="Bond"/>
    <s v="Bond"/>
    <s v="DEPFAPLC_NY"/>
    <s v="DEPFA"/>
    <s v="US917546BN24_LF6"/>
    <m/>
    <s v="Not GIC"/>
  </r>
  <r>
    <x v="0"/>
    <x v="0"/>
    <x v="0"/>
    <x v="0"/>
    <x v="0"/>
    <s v="3W_San Sabia Capital Corporation"/>
    <s v="-252.66"/>
    <s v="-222.11868131868131868131868131868131868"/>
    <n v="-252.66"/>
    <s v="1.1375"/>
    <s v="USD"/>
    <x v="0"/>
    <s v="INTEREST_AND_FEES"/>
    <n v="0"/>
    <s v="NONE"/>
    <n v="0"/>
    <n v="0"/>
    <s v="IGNORED"/>
    <s v="957277SA"/>
    <s v="SUMMIT"/>
    <m/>
    <d v="2026-12-3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1"/>
    <x v="0"/>
    <x v="0"/>
    <x v="1"/>
    <x v="1"/>
    <s v="3M_San Sabia Capital Corporation"/>
    <s v="-246.4"/>
    <s v="-216.61538461538461538461538461538461539"/>
    <n v="-246.39999999999998"/>
    <s v="1.1375"/>
    <s v="USD"/>
    <x v="1"/>
    <s v="INTEREST_AND_FEES"/>
    <n v="0"/>
    <s v="NONE"/>
    <n v="0"/>
    <n v="0"/>
    <s v="IGNORED"/>
    <s v="957277SA"/>
    <s v="SUMMIT"/>
    <m/>
    <d v="2026-12-3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1"/>
    <x v="0"/>
    <x v="0"/>
    <x v="1"/>
    <x v="1"/>
    <s v="3M_San Sabia Capital Corporation"/>
    <s v="-243.51"/>
    <s v="-214.07472527472527472527472527472527473"/>
    <n v="-243.51"/>
    <s v="1.1375"/>
    <s v="USD"/>
    <x v="2"/>
    <s v="INTEREST_AND_FEES"/>
    <n v="0"/>
    <s v="NONE"/>
    <n v="0"/>
    <n v="0"/>
    <s v="IGNORED"/>
    <s v="957277SA"/>
    <s v="SUMMIT"/>
    <m/>
    <d v="2026-12-3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2"/>
    <x v="0"/>
    <x v="0"/>
    <x v="2"/>
    <x v="2"/>
    <s v="6M_San Sabia Capital Corporation"/>
    <s v="-322.05"/>
    <s v="-283.12087912087912087912087912087912088"/>
    <n v="-322.05"/>
    <s v="1.1375"/>
    <s v="USD"/>
    <x v="3"/>
    <s v="INTEREST_AND_FEES"/>
    <n v="0"/>
    <s v="NONE"/>
    <n v="0"/>
    <n v="0"/>
    <s v="IGNORED"/>
    <s v="957277SA"/>
    <s v="SUMMIT"/>
    <m/>
    <d v="2026-12-3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2"/>
    <x v="0"/>
    <x v="0"/>
    <x v="2"/>
    <x v="2"/>
    <s v="6M_San Sabia Capital Corporation"/>
    <s v="-322.26"/>
    <s v="-283.3054945054945054945054945054945055"/>
    <n v="-322.26"/>
    <s v="1.1375"/>
    <s v="USD"/>
    <x v="4"/>
    <s v="INTEREST_AND_FEES"/>
    <n v="0"/>
    <s v="NONE"/>
    <n v="0"/>
    <n v="0"/>
    <s v="IGNORED"/>
    <s v="957277SA"/>
    <s v="SUMMIT"/>
    <m/>
    <d v="2026-12-3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2"/>
    <x v="0"/>
    <x v="0"/>
    <x v="2"/>
    <x v="2"/>
    <s v="6M_San Sabia Capital Corporation"/>
    <s v="-333.01"/>
    <s v="-292.75604395604395604395604395604395604"/>
    <n v="-333.01"/>
    <s v="1.1375"/>
    <s v="USD"/>
    <x v="5"/>
    <s v="INTEREST_AND_FEES"/>
    <n v="0"/>
    <s v="NONE"/>
    <n v="0"/>
    <n v="0"/>
    <s v="IGNORED"/>
    <s v="957277SA"/>
    <s v="SUMMIT"/>
    <m/>
    <d v="2026-12-3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s v="-367.73"/>
    <s v="-323.27912087912087912087912087912087912"/>
    <n v="-367.72999999999996"/>
    <s v="1.1375"/>
    <s v="USD"/>
    <x v="6"/>
    <s v="INTEREST_AND_FEES"/>
    <n v="0"/>
    <s v="NONE"/>
    <n v="0"/>
    <n v="0"/>
    <s v="IGNORED"/>
    <s v="957277SA"/>
    <s v="SUMMIT"/>
    <m/>
    <d v="2026-12-3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s v="-407.51"/>
    <s v="-358.25054945054945054945054945054945055"/>
    <n v="-407.51"/>
    <s v="1.1375"/>
    <s v="USD"/>
    <x v="7"/>
    <s v="INTEREST_AND_FEES"/>
    <n v="0"/>
    <s v="NONE"/>
    <n v="0"/>
    <n v="0"/>
    <s v="IGNORED"/>
    <s v="957277SA"/>
    <s v="SUMMIT"/>
    <m/>
    <d v="2026-12-3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s v="-434.69"/>
    <s v="-382.14505494505494505494505494505494506"/>
    <n v="-434.69"/>
    <s v="1.1375"/>
    <s v="USD"/>
    <x v="8"/>
    <s v="INTEREST_AND_FEES"/>
    <n v="0"/>
    <s v="NONE"/>
    <n v="0"/>
    <n v="0"/>
    <s v="IGNORED"/>
    <s v="957277SA"/>
    <s v="SUMMIT"/>
    <m/>
    <d v="2026-12-3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s v="-430.06"/>
    <s v="-378.07472527472527472527472527472527473"/>
    <n v="-430.06"/>
    <s v="1.1375"/>
    <s v="USD"/>
    <x v="9"/>
    <s v="INTEREST_AND_FEES"/>
    <n v="0"/>
    <s v="NONE"/>
    <n v="0"/>
    <n v="0"/>
    <s v="IGNORED"/>
    <s v="957277SA"/>
    <s v="SUMMIT"/>
    <m/>
    <d v="2026-12-3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s v="-523.88"/>
    <s v="-460.55384615384615384615384615384615385"/>
    <n v="-523.88"/>
    <s v="1.1375"/>
    <s v="USD"/>
    <x v="10"/>
    <s v="INTEREST_AND_FEES"/>
    <n v="0"/>
    <s v="NONE"/>
    <n v="0"/>
    <n v="0"/>
    <s v="IGNORED"/>
    <s v="957277SA"/>
    <s v="SUMMIT"/>
    <m/>
    <d v="2026-12-3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s v="-473.16"/>
    <s v="-415.96483516483516483516483516483516484"/>
    <n v="-473.15999999999997"/>
    <s v="1.1375"/>
    <s v="USD"/>
    <x v="11"/>
    <s v="INTEREST_AND_FEES"/>
    <n v="0"/>
    <s v="NONE"/>
    <n v="0"/>
    <n v="0"/>
    <s v="IGNORED"/>
    <s v="957277SA"/>
    <s v="SUMMIT"/>
    <m/>
    <d v="2026-12-3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-619.6"/>
    <s v="-544.7032967032967032967032967032967033"/>
    <n v="-619.6"/>
    <s v="1.1375"/>
    <s v="USD"/>
    <x v="12"/>
    <s v="INTEREST_AND_FEES"/>
    <n v="0"/>
    <s v="NONE"/>
    <n v="0"/>
    <n v="0"/>
    <s v="IGNORED"/>
    <s v="957277SA"/>
    <s v="SUMMIT"/>
    <m/>
    <d v="2026-12-3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-604.71"/>
    <s v="-531.61318681318681318681318681318681319"/>
    <n v="-604.70999999999992"/>
    <s v="1.1375"/>
    <s v="USD"/>
    <x v="13"/>
    <s v="INTEREST_AND_FEES"/>
    <n v="0"/>
    <s v="NONE"/>
    <n v="0"/>
    <n v="0"/>
    <s v="IGNORED"/>
    <s v="957277SA"/>
    <s v="SUMMIT"/>
    <m/>
    <d v="2026-12-3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-624.88"/>
    <s v="-549.34505494505494505494505494505494506"/>
    <n v="-624.88"/>
    <s v="1.1375"/>
    <s v="USD"/>
    <x v="14"/>
    <s v="INTEREST_AND_FEES"/>
    <n v="0"/>
    <s v="NONE"/>
    <n v="0"/>
    <n v="0"/>
    <s v="IGNORED"/>
    <s v="957277SA"/>
    <s v="SUMMIT"/>
    <m/>
    <d v="2026-12-3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-624.88"/>
    <s v="-549.34505494505494505494505494505494506"/>
    <n v="-624.88"/>
    <s v="1.1375"/>
    <s v="USD"/>
    <x v="15"/>
    <s v="INTEREST_AND_FEES"/>
    <n v="0"/>
    <s v="NONE"/>
    <n v="0"/>
    <n v="0"/>
    <s v="IGNORED"/>
    <s v="957277SA"/>
    <s v="SUMMIT"/>
    <m/>
    <d v="2026-12-3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-584.55"/>
    <s v="-513.89010989010989010989010989010989011"/>
    <n v="-584.54999999999995"/>
    <s v="1.1375"/>
    <s v="USD"/>
    <x v="16"/>
    <s v="INTEREST_AND_FEES"/>
    <n v="0"/>
    <s v="NONE"/>
    <n v="0"/>
    <n v="0"/>
    <s v="IGNORED"/>
    <s v="957277SA"/>
    <s v="SUMMIT"/>
    <m/>
    <d v="2026-12-3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-645.04"/>
    <s v="-567.06813186813186813186813186813186813"/>
    <n v="-645.04"/>
    <s v="1.1375"/>
    <s v="USD"/>
    <x v="17"/>
    <s v="INTEREST_AND_FEES"/>
    <n v="0"/>
    <s v="NONE"/>
    <n v="0"/>
    <n v="0"/>
    <s v="IGNORED"/>
    <s v="957277SA"/>
    <s v="SUMMIT"/>
    <m/>
    <d v="2026-12-3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-604.71"/>
    <s v="-531.61318681318681318681318681318681319"/>
    <n v="-604.70999999999992"/>
    <s v="1.1375"/>
    <s v="USD"/>
    <x v="18"/>
    <s v="INTEREST_AND_FEES"/>
    <n v="0"/>
    <s v="NONE"/>
    <n v="0"/>
    <n v="0"/>
    <s v="IGNORED"/>
    <s v="957277SA"/>
    <s v="SUMMIT"/>
    <m/>
    <d v="2026-12-3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-584.55"/>
    <s v="-513.89010989010989010989010989010989011"/>
    <n v="-584.54999999999995"/>
    <s v="1.1375"/>
    <s v="USD"/>
    <x v="19"/>
    <s v="INTEREST_AND_FEES"/>
    <n v="1"/>
    <s v="NONE"/>
    <n v="0"/>
    <n v="0"/>
    <s v="IGNORED"/>
    <s v="957277SA"/>
    <s v="SUMMIT"/>
    <m/>
    <d v="2026-12-3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-665.21"/>
    <s v="-584.8"/>
    <n v="-665.20999999999992"/>
    <s v="1.1375"/>
    <s v="USD"/>
    <x v="20"/>
    <s v="INTEREST_AND_FEES"/>
    <n v="1"/>
    <s v="NONE"/>
    <n v="0"/>
    <n v="0"/>
    <s v="IGNORED"/>
    <s v="957277SA"/>
    <s v="SUMMIT"/>
    <m/>
    <d v="2026-12-3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-564.38"/>
    <s v="-496.15824175824175824175824175824175824"/>
    <n v="-564.38"/>
    <s v="1.1375"/>
    <s v="USD"/>
    <x v="21"/>
    <s v="INTEREST_AND_FEES"/>
    <n v="1"/>
    <s v="NONE"/>
    <n v="0"/>
    <n v="0"/>
    <s v="IGNORED"/>
    <s v="957277SA"/>
    <s v="SUMMIT"/>
    <m/>
    <d v="2026-12-3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-604.71"/>
    <s v="-531.61318681318681318681318681318681319"/>
    <n v="-604.70999999999992"/>
    <s v="1.1375"/>
    <s v="USD"/>
    <x v="22"/>
    <s v="INTEREST_AND_FEES"/>
    <n v="1"/>
    <s v="NONE"/>
    <n v="0"/>
    <n v="0"/>
    <s v="IGNORED"/>
    <s v="957277SA"/>
    <s v="SUMMIT"/>
    <m/>
    <d v="2026-12-3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-624.88"/>
    <s v="-549.34505494505494505494505494505494506"/>
    <n v="-624.88"/>
    <s v="1.1375"/>
    <s v="USD"/>
    <x v="23"/>
    <s v="INTEREST_AND_FEES"/>
    <n v="1"/>
    <s v="NONE"/>
    <n v="0"/>
    <n v="0"/>
    <s v="IGNORED"/>
    <s v="957277SA"/>
    <s v="SUMMIT"/>
    <m/>
    <d v="2026-12-3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1"/>
    <x v="0"/>
    <x v="0"/>
    <x v="1"/>
    <x v="1"/>
    <s v="3M_San Sabia Capital Corporation"/>
    <s v="30514.63"/>
    <s v="26826.0483516483516483516483516483516484"/>
    <n v="30514.629999999997"/>
    <s v="1.1375"/>
    <s v="USD"/>
    <x v="1"/>
    <s v="INTEREST_AND_FEES"/>
    <n v="0"/>
    <s v="NONE"/>
    <n v="0"/>
    <n v="0"/>
    <s v="IGNORED"/>
    <s v="957277SA"/>
    <s v="SUMMIT"/>
    <m/>
    <d v="2026-12-3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s v="30514.63"/>
    <s v="26826.0483516483516483516483516483516484"/>
    <n v="30514.629999999997"/>
    <s v="1.1375"/>
    <s v="USD"/>
    <x v="7"/>
    <s v="INTEREST_AND_FEES"/>
    <n v="0"/>
    <s v="NONE"/>
    <n v="0"/>
    <n v="0"/>
    <s v="IGNORED"/>
    <s v="957277SA"/>
    <s v="SUMMIT"/>
    <m/>
    <d v="2026-12-3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30514.63"/>
    <s v="26826.0483516483516483516483516483516484"/>
    <n v="30514.629999999997"/>
    <s v="1.1375"/>
    <s v="USD"/>
    <x v="13"/>
    <s v="INTEREST_AND_FEES"/>
    <n v="0"/>
    <s v="NONE"/>
    <n v="0"/>
    <n v="0"/>
    <s v="IGNORED"/>
    <s v="957277SA"/>
    <s v="SUMMIT"/>
    <m/>
    <d v="2026-12-3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30345.1"/>
    <s v="26677.010989010989010989010989010989011"/>
    <n v="30345.1"/>
    <s v="1.1375"/>
    <s v="USD"/>
    <x v="19"/>
    <s v="INTEREST_AND_FEES"/>
    <n v="1"/>
    <s v="NONE"/>
    <n v="0"/>
    <n v="0"/>
    <s v="IGNORED"/>
    <s v="957277SA"/>
    <s v="SUMMIT"/>
    <m/>
    <d v="2026-12-3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2"/>
    <x v="0"/>
    <x v="0"/>
    <x v="2"/>
    <x v="2"/>
    <s v="6M_San Sabia Capital Corporation"/>
    <n v="0"/>
    <n v="0"/>
    <n v="0"/>
    <s v="1.1375"/>
    <s v="USD"/>
    <x v="5"/>
    <s v="INTEREST_AND_FEES"/>
    <n v="0"/>
    <s v="NONE"/>
    <n v="0"/>
    <n v="0"/>
    <s v="IGNORED"/>
    <s v="957519SA"/>
    <s v="SUMMIT"/>
    <m/>
    <d v="1999-12-31T00:00:00"/>
    <s v="LN_RC_GEN_U"/>
    <s v="TL_COLL_L"/>
    <s v="INTRA_SUB_ENTITY"/>
    <s v="COLLATERAL"/>
    <s v="Depfa Bank Plc"/>
    <n v="4101000279"/>
    <s v="Money Market"/>
    <s v="Collateral"/>
    <s v="SANSABIA"/>
    <s v="DEPFA"/>
    <s v="US3133XN4B26"/>
    <m/>
    <s v="Not GIC"/>
  </r>
  <r>
    <x v="6"/>
    <x v="0"/>
    <x v="0"/>
    <x v="15"/>
    <x v="7"/>
    <m/>
    <s v="-16406.25"/>
    <s v="-14423.076923076923076923076923076923077"/>
    <n v="-16406.25"/>
    <s v="1.1375"/>
    <s v="USD"/>
    <x v="43"/>
    <s v="INTEREST_AND_FEES"/>
    <n v="0"/>
    <s v="NONE"/>
    <n v="0"/>
    <n v="0"/>
    <s v="INFLOW_SEC_SALES_IN_MFIS"/>
    <n v="194068"/>
    <s v="SUMMIT"/>
    <m/>
    <d v="2029-05-15T00:00:00"/>
    <s v="LN_RC_GEN_U"/>
    <s v="AM_GICS_F"/>
    <s v="NONE"/>
    <s v="BONDS"/>
    <s v="Depfa Bank Plc"/>
    <n v="4101000279"/>
    <s v="Bond"/>
    <s v="Bond"/>
    <s v="DEPFAPLC_NY"/>
    <s v="DEPFA"/>
    <s v="US31359MEU36"/>
    <m/>
    <s v="Not GIC"/>
  </r>
  <r>
    <x v="3"/>
    <x v="0"/>
    <x v="0"/>
    <x v="3"/>
    <x v="3"/>
    <m/>
    <s v="-16406.25"/>
    <s v="-14423.076923076923076923076923076923077"/>
    <n v="-16406.25"/>
    <s v="1.1375"/>
    <s v="USD"/>
    <x v="44"/>
    <s v="INTEREST_AND_FEES"/>
    <n v="0"/>
    <s v="NONE"/>
    <n v="0"/>
    <n v="0"/>
    <s v="INFLOW_SEC_SALES_IN_MFIS"/>
    <n v="194068"/>
    <s v="SUMMIT"/>
    <m/>
    <d v="2029-05-15T00:00:00"/>
    <s v="LN_RC_GEN_U"/>
    <s v="AM_GICS_F"/>
    <s v="NONE"/>
    <s v="BONDS"/>
    <s v="Depfa Bank Plc"/>
    <n v="4101000279"/>
    <s v="Bond"/>
    <s v="Bond"/>
    <s v="DEPFAPLC_NY"/>
    <s v="DEPFA"/>
    <s v="US31359MEU36"/>
    <m/>
    <s v="Not GIC"/>
  </r>
  <r>
    <x v="4"/>
    <x v="0"/>
    <x v="0"/>
    <x v="4"/>
    <x v="4"/>
    <m/>
    <s v="-16406.25"/>
    <s v="-14423.076923076923076923076923076923077"/>
    <n v="-16406.25"/>
    <s v="1.1375"/>
    <s v="USD"/>
    <x v="45"/>
    <s v="INTEREST_AND_FEES"/>
    <n v="0"/>
    <s v="NONE"/>
    <n v="0"/>
    <n v="0"/>
    <s v="INFLOW_SEC_SALES_IN_MFIS"/>
    <n v="194068"/>
    <s v="SUMMIT"/>
    <m/>
    <d v="2029-05-15T00:00:00"/>
    <s v="LN_RC_GEN_U"/>
    <s v="AM_GICS_F"/>
    <s v="NONE"/>
    <s v="BONDS"/>
    <s v="Depfa Bank Plc"/>
    <n v="4101000279"/>
    <s v="Bond"/>
    <s v="Bond"/>
    <s v="DEPFAPLC_NY"/>
    <s v="DEPFA"/>
    <s v="US31359MEU36"/>
    <m/>
    <s v="Not GIC"/>
  </r>
  <r>
    <x v="5"/>
    <x v="0"/>
    <x v="0"/>
    <x v="5"/>
    <x v="5"/>
    <m/>
    <s v="-16406.25"/>
    <s v="-14423.076923076923076923076923076923077"/>
    <n v="-16406.25"/>
    <s v="1.1375"/>
    <s v="USD"/>
    <x v="46"/>
    <s v="INTEREST_AND_FEES"/>
    <n v="0"/>
    <s v="NONE"/>
    <n v="0"/>
    <n v="0"/>
    <s v="INFLOW_SEC_SALES_IN_MFIS"/>
    <n v="194068"/>
    <s v="SUMMIT"/>
    <m/>
    <d v="2029-05-15T00:00:00"/>
    <s v="LN_RC_GEN_U"/>
    <s v="AM_GICS_F"/>
    <s v="NONE"/>
    <s v="BONDS"/>
    <s v="Depfa Bank Plc"/>
    <n v="4101000279"/>
    <s v="Bond"/>
    <s v="Bond"/>
    <s v="DEPFAPLC_NY"/>
    <s v="DEPFA"/>
    <s v="US31359MEU36"/>
    <m/>
    <s v="Not GIC"/>
  </r>
  <r>
    <x v="7"/>
    <x v="0"/>
    <x v="0"/>
    <x v="16"/>
    <x v="8"/>
    <m/>
    <s v="-221938.89"/>
    <s v="-195111.11208791208791208791208791208791"/>
    <n v="-221938.89"/>
    <s v="1.1375"/>
    <s v="USD"/>
    <x v="47"/>
    <s v="INTEREST_AND_FEES"/>
    <n v="0"/>
    <s v="NONE"/>
    <n v="0"/>
    <n v="0"/>
    <s v="IGNORED"/>
    <s v="955880PN"/>
    <s v="SUMMIT"/>
    <m/>
    <d v="2016-05-12T00:00:00"/>
    <s v="LIAB_GEN_U"/>
    <s v="TL_LIQSIR_L"/>
    <s v="INTRA_ENTITY"/>
    <s v="MM_DEPOSIT"/>
    <s v="Depfa Bank Plc"/>
    <n v="4101000279"/>
    <s v="Money Market"/>
    <s v="Short Term Paper"/>
    <s v="DEPFAPLC_NY"/>
    <s v="DEPFA"/>
    <m/>
    <m/>
    <s v="Not GIC"/>
  </r>
  <r>
    <x v="7"/>
    <x v="0"/>
    <x v="3"/>
    <x v="17"/>
    <x v="8"/>
    <m/>
    <n v="-100000000"/>
    <s v="-87912087.912087912087912087912087912088"/>
    <n v="-100000000"/>
    <s v="1.1375"/>
    <s v="USD"/>
    <x v="47"/>
    <s v="PRINCIPAL_FLOW"/>
    <n v="0"/>
    <s v="NONE"/>
    <n v="0"/>
    <n v="0"/>
    <s v="IGNORED"/>
    <s v="955880PN"/>
    <s v="SUMMIT"/>
    <m/>
    <d v="2016-05-12T00:00:00"/>
    <s v="LIAB_GEN_U"/>
    <s v="TL_LIQSIR_L"/>
    <s v="INTRA_ENTITY"/>
    <s v="MM_DEPOSIT"/>
    <s v="Depfa Bank Plc"/>
    <n v="4101000279"/>
    <s v="Money Market"/>
    <s v="Short Term Paper"/>
    <s v="DEPFAPLC_NY"/>
    <s v="DEPFA"/>
    <m/>
    <m/>
    <s v="Not GIC"/>
  </r>
  <r>
    <x v="6"/>
    <x v="0"/>
    <x v="0"/>
    <x v="15"/>
    <x v="7"/>
    <m/>
    <s v="-856718.75"/>
    <s v="-753159.34065934065934065934065934065934"/>
    <n v="-856718.74999999988"/>
    <s v="1.1375"/>
    <s v="USD"/>
    <x v="43"/>
    <s v="INTEREST_AND_FEES"/>
    <n v="0"/>
    <s v="NONE"/>
    <n v="0"/>
    <n v="0"/>
    <s v="INFLOW_SEC_SALES_IN_MFIS"/>
    <n v="193990"/>
    <s v="SUMMIT"/>
    <m/>
    <d v="2029-05-15T00:00:00"/>
    <s v="LN_RC_GEN_U"/>
    <s v="AM_GICS_F"/>
    <s v="NONE"/>
    <s v="BONDS"/>
    <s v="Depfa Bank Plc"/>
    <n v="4101000279"/>
    <s v="Bond"/>
    <s v="Bond"/>
    <s v="DEPFAPLC_NY"/>
    <s v="DEPFA"/>
    <s v="US31359MEU36"/>
    <m/>
    <s v="Not GIC"/>
  </r>
  <r>
    <x v="3"/>
    <x v="0"/>
    <x v="0"/>
    <x v="3"/>
    <x v="3"/>
    <m/>
    <s v="-856718.75"/>
    <s v="-753159.34065934065934065934065934065934"/>
    <n v="-856718.74999999988"/>
    <s v="1.1375"/>
    <s v="USD"/>
    <x v="44"/>
    <s v="INTEREST_AND_FEES"/>
    <n v="0"/>
    <s v="NONE"/>
    <n v="0"/>
    <n v="0"/>
    <s v="INFLOW_SEC_SALES_IN_MFIS"/>
    <n v="193990"/>
    <s v="SUMMIT"/>
    <m/>
    <d v="2029-05-15T00:00:00"/>
    <s v="LN_RC_GEN_U"/>
    <s v="AM_GICS_F"/>
    <s v="NONE"/>
    <s v="BONDS"/>
    <s v="Depfa Bank Plc"/>
    <n v="4101000279"/>
    <s v="Bond"/>
    <s v="Bond"/>
    <s v="DEPFAPLC_NY"/>
    <s v="DEPFA"/>
    <s v="US31359MEU36"/>
    <m/>
    <s v="Not GIC"/>
  </r>
  <r>
    <x v="4"/>
    <x v="0"/>
    <x v="0"/>
    <x v="4"/>
    <x v="4"/>
    <m/>
    <s v="-856718.75"/>
    <s v="-753159.34065934065934065934065934065934"/>
    <n v="-856718.74999999988"/>
    <s v="1.1375"/>
    <s v="USD"/>
    <x v="45"/>
    <s v="INTEREST_AND_FEES"/>
    <n v="0"/>
    <s v="NONE"/>
    <n v="0"/>
    <n v="0"/>
    <s v="INFLOW_SEC_SALES_IN_MFIS"/>
    <n v="193990"/>
    <s v="SUMMIT"/>
    <m/>
    <d v="2029-05-15T00:00:00"/>
    <s v="LN_RC_GEN_U"/>
    <s v="AM_GICS_F"/>
    <s v="NONE"/>
    <s v="BONDS"/>
    <s v="Depfa Bank Plc"/>
    <n v="4101000279"/>
    <s v="Bond"/>
    <s v="Bond"/>
    <s v="DEPFAPLC_NY"/>
    <s v="DEPFA"/>
    <s v="US31359MEU36"/>
    <m/>
    <s v="Not GIC"/>
  </r>
  <r>
    <x v="5"/>
    <x v="0"/>
    <x v="0"/>
    <x v="5"/>
    <x v="5"/>
    <m/>
    <s v="-856718.75"/>
    <s v="-753159.34065934065934065934065934065934"/>
    <n v="-856718.74999999988"/>
    <s v="1.1375"/>
    <s v="USD"/>
    <x v="46"/>
    <s v="INTEREST_AND_FEES"/>
    <n v="0"/>
    <s v="NONE"/>
    <n v="0"/>
    <n v="0"/>
    <s v="INFLOW_SEC_SALES_IN_MFIS"/>
    <n v="193990"/>
    <s v="SUMMIT"/>
    <m/>
    <d v="2029-05-15T00:00:00"/>
    <s v="LN_RC_GEN_U"/>
    <s v="AM_GICS_F"/>
    <s v="NONE"/>
    <s v="BONDS"/>
    <s v="Depfa Bank Plc"/>
    <n v="4101000279"/>
    <s v="Bond"/>
    <s v="Bond"/>
    <s v="DEPFAPLC_NY"/>
    <s v="DEPFA"/>
    <s v="US31359MEU36"/>
    <m/>
    <s v="Not GIC"/>
  </r>
  <r>
    <x v="1"/>
    <x v="1"/>
    <x v="0"/>
    <x v="13"/>
    <x v="6"/>
    <s v="3M_San Sabia Capital Corporation"/>
    <n v="-9375"/>
    <s v="-8241.7582417582417582417582417582417582"/>
    <n v="-9375"/>
    <s v="1.1375"/>
    <s v="USD"/>
    <x v="48"/>
    <s v="INTEREST_AND_FEES"/>
    <n v="0"/>
    <s v="NONE"/>
    <n v="0"/>
    <n v="0"/>
    <s v="IGNORED"/>
    <s v="953111SA"/>
    <s v="SUMMIT"/>
    <m/>
    <d v="2016-06-28T00:00:00"/>
    <s v="LIAB_GEN_U"/>
    <s v="AM_GICS_T"/>
    <s v="INTRA_SUB_ENTITY"/>
    <s v="MM_DEPOSIT"/>
    <s v="Depfa Bank Plc, New York"/>
    <n v="5101000018"/>
    <s v="Money Market"/>
    <s v="Short Term Paper"/>
    <s v="SANSABIA"/>
    <s v="DEPFA"/>
    <m/>
    <m/>
    <s v="Not GIC"/>
  </r>
  <r>
    <x v="1"/>
    <x v="0"/>
    <x v="0"/>
    <x v="1"/>
    <x v="1"/>
    <s v="3M_San Sabia Capital Corporation"/>
    <s v="1251.7"/>
    <s v="1100.3956043956043956043956043956043956"/>
    <n v="1251.6999999999998"/>
    <s v="1.1375"/>
    <s v="USD"/>
    <x v="1"/>
    <s v="INTEREST_AND_FEES"/>
    <n v="0"/>
    <s v="NONE"/>
    <n v="0"/>
    <n v="0"/>
    <s v="IGNORED"/>
    <s v="957276SA"/>
    <s v="SUMMIT"/>
    <m/>
    <d v="1938-01-04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1"/>
    <x v="0"/>
    <x v="0"/>
    <x v="1"/>
    <x v="1"/>
    <s v="3M_San Sabia Capital Corporation"/>
    <s v="10349.5"/>
    <s v="9098.46153846153846153846153846153846154"/>
    <n v="10349.5"/>
    <s v="1.1375"/>
    <s v="USD"/>
    <x v="1"/>
    <s v="INTEREST_AND_FEES"/>
    <n v="0"/>
    <s v="NONE"/>
    <n v="0"/>
    <n v="0"/>
    <s v="IGNORED"/>
    <s v="957276SA"/>
    <s v="SUMMIT"/>
    <m/>
    <d v="1938-01-04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1"/>
    <x v="0"/>
    <x v="0"/>
    <x v="1"/>
    <x v="1"/>
    <s v="3M_San Sabia Capital Corporation"/>
    <s v="9222.47"/>
    <s v="8107.66593406593406593406593406593406593"/>
    <n v="9222.4699999999993"/>
    <s v="1.1375"/>
    <s v="USD"/>
    <x v="1"/>
    <s v="INTEREST_AND_FEES"/>
    <n v="0"/>
    <s v="NONE"/>
    <n v="0"/>
    <n v="0"/>
    <s v="IGNORED"/>
    <s v="957276SA"/>
    <s v="SUMMIT"/>
    <m/>
    <d v="1938-01-04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n v="14700"/>
    <s v="12923.0769230769230769230769230769230769"/>
    <n v="14700"/>
    <s v="1.1375"/>
    <s v="USD"/>
    <x v="7"/>
    <s v="INTEREST_AND_FEES"/>
    <n v="0"/>
    <s v="NONE"/>
    <n v="0"/>
    <n v="0"/>
    <s v="IGNORED"/>
    <s v="957276SA"/>
    <s v="SUMMIT"/>
    <m/>
    <d v="1938-01-04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n v="14700"/>
    <s v="12923.0769230769230769230769230769230769"/>
    <n v="14700"/>
    <s v="1.1375"/>
    <s v="USD"/>
    <x v="13"/>
    <s v="INTEREST_AND_FEES"/>
    <n v="0"/>
    <s v="NONE"/>
    <n v="0"/>
    <n v="0"/>
    <s v="IGNORED"/>
    <s v="957276SA"/>
    <s v="SUMMIT"/>
    <m/>
    <d v="1938-01-04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n v="14700"/>
    <s v="12923.0769230769230769230769230769230769"/>
    <n v="14700"/>
    <s v="1.1375"/>
    <s v="USD"/>
    <x v="19"/>
    <s v="INTEREST_AND_FEES"/>
    <n v="0"/>
    <s v="NONE"/>
    <n v="0"/>
    <n v="0"/>
    <s v="IGNORED"/>
    <s v="957276SA"/>
    <s v="SUMMIT"/>
    <m/>
    <d v="1938-01-04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2"/>
    <x v="1"/>
    <x v="0"/>
    <x v="7"/>
    <x v="6"/>
    <s v="6M_San Sabia Capital Corporation"/>
    <n v="0"/>
    <n v="0"/>
    <n v="0"/>
    <s v="1.1375"/>
    <s v="USD"/>
    <x v="5"/>
    <s v="INTEREST_AND_FEES"/>
    <n v="0"/>
    <s v="NONE"/>
    <n v="0"/>
    <n v="0"/>
    <s v="IGNORED"/>
    <s v="951874SA"/>
    <s v="SUMMIT"/>
    <m/>
    <d v="1999-12-31T00:00:00"/>
    <s v="LN_RC_GEN_U"/>
    <s v="TL_COLL_L"/>
    <s v="INTRA_SUB_ENTITY"/>
    <s v="COLLATERAL"/>
    <s v="Depfa Bank Plc, New York"/>
    <n v="5101000018"/>
    <s v="Money Market"/>
    <s v="Collateral"/>
    <s v="SANSABIA"/>
    <s v="DEPFA"/>
    <s v="US3133XN4B26"/>
    <m/>
    <s v="Not GIC"/>
  </r>
  <r>
    <x v="3"/>
    <x v="1"/>
    <x v="0"/>
    <x v="9"/>
    <x v="6"/>
    <m/>
    <s v="-175.72"/>
    <s v="-154.47912087912087912087912087912087912"/>
    <n v="-175.71999999999997"/>
    <s v="1.1375"/>
    <s v="USD"/>
    <x v="27"/>
    <s v="INTEREST_AND_FEES"/>
    <n v="0"/>
    <s v="NONE"/>
    <n v="0"/>
    <n v="0"/>
    <s v="OUTFLOW_GENERAL_GOV_FIX_PERIOD_DEPOSITS"/>
    <s v="D_617259PN"/>
    <s v="SUMMIT"/>
    <s v="617259PN"/>
    <d v="2025-01-01T00:00:00"/>
    <s v="FV_SHORT_TM"/>
    <s v="AM_GICS_T"/>
    <s v="NONE"/>
    <s v="LOAN"/>
    <s v="Midwest Consortium Municipal Utilities (Minnesota Municipal Utilties)"/>
    <n v="101000141"/>
    <s v="Lending"/>
    <s v="Loan"/>
    <s v="DEPFAPLC_NY"/>
    <s v="DEPFA"/>
    <m/>
    <m/>
    <s v="GICS Deposit Collateralized"/>
  </r>
  <r>
    <x v="4"/>
    <x v="1"/>
    <x v="0"/>
    <x v="10"/>
    <x v="6"/>
    <m/>
    <s v="-195.14"/>
    <s v="-171.55164835164835164835164835164835165"/>
    <n v="-195.14"/>
    <s v="1.1375"/>
    <s v="USD"/>
    <x v="40"/>
    <s v="INTEREST_AND_FEES"/>
    <n v="0"/>
    <s v="NONE"/>
    <n v="0"/>
    <n v="0"/>
    <s v="OUTFLOW_GENERAL_GOV_FIX_PERIOD_DEPOSITS"/>
    <s v="D_617259PN"/>
    <s v="SUMMIT"/>
    <s v="617259PN"/>
    <d v="2025-01-01T00:00:00"/>
    <s v="FV_SHORT_TM"/>
    <s v="AM_GICS_T"/>
    <s v="NONE"/>
    <s v="LOAN"/>
    <s v="Midwest Consortium Municipal Utilities (Minnesota Municipal Utilties)"/>
    <n v="101000141"/>
    <s v="Lending"/>
    <s v="Loan"/>
    <s v="DEPFAPLC_NY"/>
    <s v="DEPFA"/>
    <m/>
    <m/>
    <s v="GICS Deposit Collateralized"/>
  </r>
  <r>
    <x v="4"/>
    <x v="1"/>
    <x v="0"/>
    <x v="10"/>
    <x v="6"/>
    <m/>
    <s v="-203.52"/>
    <s v="-178.91868131868131868131868131868131868"/>
    <n v="-203.51999999999998"/>
    <s v="1.1375"/>
    <s v="USD"/>
    <x v="41"/>
    <s v="INTEREST_AND_FEES"/>
    <n v="0"/>
    <s v="NONE"/>
    <n v="0"/>
    <n v="0"/>
    <s v="OUTFLOW_GENERAL_GOV_FIX_PERIOD_DEPOSITS"/>
    <s v="D_617259PN"/>
    <s v="SUMMIT"/>
    <s v="617259PN"/>
    <d v="2025-01-01T00:00:00"/>
    <s v="FV_SHORT_TM"/>
    <s v="AM_GICS_T"/>
    <s v="NONE"/>
    <s v="LOAN"/>
    <s v="Midwest Consortium Municipal Utilities (Minnesota Municipal Utilties)"/>
    <n v="101000141"/>
    <s v="Lending"/>
    <s v="Loan"/>
    <s v="DEPFAPLC_NY"/>
    <s v="DEPFA"/>
    <m/>
    <m/>
    <s v="GICS Deposit Collateralized"/>
  </r>
  <r>
    <x v="4"/>
    <x v="1"/>
    <x v="0"/>
    <x v="10"/>
    <x v="6"/>
    <m/>
    <s v="-185.31"/>
    <s v="-162.90989010989010989010989010989010989"/>
    <n v="-185.31"/>
    <s v="1.1375"/>
    <s v="USD"/>
    <x v="49"/>
    <s v="INTEREST_AND_FEES"/>
    <n v="0"/>
    <s v="NONE"/>
    <n v="0"/>
    <n v="0"/>
    <s v="OUTFLOW_GENERAL_GOV_FIX_PERIOD_DEPOSITS"/>
    <s v="D_617259PN"/>
    <s v="SUMMIT"/>
    <s v="617259PN"/>
    <d v="2025-01-01T00:00:00"/>
    <s v="FV_SHORT_TM"/>
    <s v="AM_GICS_T"/>
    <s v="NONE"/>
    <s v="LOAN"/>
    <s v="Midwest Consortium Municipal Utilities (Minnesota Municipal Utilties)"/>
    <n v="101000141"/>
    <s v="Lending"/>
    <s v="Loan"/>
    <s v="DEPFAPLC_NY"/>
    <s v="DEPFA"/>
    <m/>
    <m/>
    <s v="GICS Deposit Collateralized"/>
  </r>
  <r>
    <x v="4"/>
    <x v="1"/>
    <x v="0"/>
    <x v="10"/>
    <x v="6"/>
    <m/>
    <s v="-202.56"/>
    <s v="-178.07472527472527472527472527472527473"/>
    <n v="-202.55999999999997"/>
    <s v="1.1375"/>
    <s v="USD"/>
    <x v="50"/>
    <s v="INTEREST_AND_FEES"/>
    <n v="0"/>
    <s v="NONE"/>
    <n v="0"/>
    <n v="0"/>
    <s v="OUTFLOW_GENERAL_GOV_FIX_PERIOD_DEPOSITS"/>
    <s v="D_617259PN"/>
    <s v="SUMMIT"/>
    <s v="617259PN"/>
    <d v="2025-01-01T00:00:00"/>
    <s v="FV_SHORT_TM"/>
    <s v="AM_GICS_T"/>
    <s v="NONE"/>
    <s v="LOAN"/>
    <s v="Midwest Consortium Municipal Utilities (Minnesota Municipal Utilties)"/>
    <n v="101000141"/>
    <s v="Lending"/>
    <s v="Loan"/>
    <s v="DEPFAPLC_NY"/>
    <s v="DEPFA"/>
    <m/>
    <m/>
    <s v="GICS Deposit Collateralized"/>
  </r>
  <r>
    <x v="4"/>
    <x v="1"/>
    <x v="0"/>
    <x v="10"/>
    <x v="6"/>
    <m/>
    <s v="-203.95"/>
    <s v="-179.2967032967032967032967032967032967"/>
    <n v="-203.95"/>
    <s v="1.1375"/>
    <s v="USD"/>
    <x v="51"/>
    <s v="INTEREST_AND_FEES"/>
    <n v="0"/>
    <s v="NONE"/>
    <n v="0"/>
    <n v="0"/>
    <s v="OUTFLOW_GENERAL_GOV_FIX_PERIOD_DEPOSITS"/>
    <s v="D_617259PN"/>
    <s v="SUMMIT"/>
    <s v="617259PN"/>
    <d v="2025-01-01T00:00:00"/>
    <s v="FV_SHORT_TM"/>
    <s v="AM_GICS_T"/>
    <s v="NONE"/>
    <s v="LOAN"/>
    <s v="Midwest Consortium Municipal Utilities (Minnesota Municipal Utilties)"/>
    <n v="101000141"/>
    <s v="Lending"/>
    <s v="Loan"/>
    <s v="DEPFAPLC_NY"/>
    <s v="DEPFA"/>
    <m/>
    <m/>
    <s v="GICS Deposit Collateralized"/>
  </r>
  <r>
    <x v="4"/>
    <x v="1"/>
    <x v="0"/>
    <x v="10"/>
    <x v="6"/>
    <m/>
    <s v="-206.4"/>
    <s v="-181.45054945054945054945054945054945055"/>
    <n v="-206.4"/>
    <s v="1.1375"/>
    <s v="USD"/>
    <x v="28"/>
    <s v="INTEREST_AND_FEES"/>
    <n v="0"/>
    <s v="NONE"/>
    <n v="0"/>
    <n v="0"/>
    <s v="OUTFLOW_GENERAL_GOV_FIX_PERIOD_DEPOSITS"/>
    <s v="D_617259PN"/>
    <s v="SUMMIT"/>
    <s v="617259PN"/>
    <d v="2025-01-01T00:00:00"/>
    <s v="FV_SHORT_TM"/>
    <s v="AM_GICS_T"/>
    <s v="NONE"/>
    <s v="LOAN"/>
    <s v="Midwest Consortium Municipal Utilities (Minnesota Municipal Utilties)"/>
    <n v="101000141"/>
    <s v="Lending"/>
    <s v="Loan"/>
    <s v="DEPFAPLC_NY"/>
    <s v="DEPFA"/>
    <m/>
    <m/>
    <s v="GICS Deposit Collateralized"/>
  </r>
  <r>
    <x v="5"/>
    <x v="1"/>
    <x v="0"/>
    <x v="11"/>
    <x v="6"/>
    <m/>
    <s v="-207.8"/>
    <s v="-182.68131868131868131868131868131868132"/>
    <n v="-207.8"/>
    <s v="1.1375"/>
    <s v="USD"/>
    <x v="52"/>
    <s v="INTEREST_AND_FEES"/>
    <n v="0"/>
    <s v="NONE"/>
    <n v="0"/>
    <n v="0"/>
    <s v="OUTFLOW_GENERAL_GOV_FIX_PERIOD_DEPOSITS"/>
    <s v="D_617259PN"/>
    <s v="SUMMIT"/>
    <s v="617259PN"/>
    <d v="2025-01-01T00:00:00"/>
    <s v="FV_SHORT_TM"/>
    <s v="AM_GICS_T"/>
    <s v="NONE"/>
    <s v="LOAN"/>
    <s v="Midwest Consortium Municipal Utilities (Minnesota Municipal Utilties)"/>
    <n v="101000141"/>
    <s v="Lending"/>
    <s v="Loan"/>
    <s v="DEPFAPLC_NY"/>
    <s v="DEPFA"/>
    <m/>
    <m/>
    <s v="GICS Deposit Collateralized"/>
  </r>
  <r>
    <x v="5"/>
    <x v="1"/>
    <x v="0"/>
    <x v="11"/>
    <x v="6"/>
    <m/>
    <s v="-244.03"/>
    <s v="-214.53186813186813186813186813186813187"/>
    <n v="-244.02999999999997"/>
    <s v="1.1375"/>
    <s v="USD"/>
    <x v="53"/>
    <s v="INTEREST_AND_FEES"/>
    <n v="0"/>
    <s v="NONE"/>
    <n v="0"/>
    <n v="0"/>
    <s v="OUTFLOW_GENERAL_GOV_FIX_PERIOD_DEPOSITS"/>
    <s v="D_617259PN"/>
    <s v="SUMMIT"/>
    <s v="617259PN"/>
    <d v="2025-01-01T00:00:00"/>
    <s v="FV_SHORT_TM"/>
    <s v="AM_GICS_T"/>
    <s v="NONE"/>
    <s v="LOAN"/>
    <s v="Midwest Consortium Municipal Utilities (Minnesota Municipal Utilties)"/>
    <n v="101000141"/>
    <s v="Lending"/>
    <s v="Loan"/>
    <s v="DEPFAPLC_NY"/>
    <s v="DEPFA"/>
    <m/>
    <m/>
    <s v="GICS Deposit Collateralized"/>
  </r>
  <r>
    <x v="5"/>
    <x v="1"/>
    <x v="0"/>
    <x v="11"/>
    <x v="6"/>
    <m/>
    <s v="-228.77"/>
    <s v="-201.11648351648351648351648351648351648"/>
    <n v="-228.77"/>
    <s v="1.1375"/>
    <s v="USD"/>
    <x v="54"/>
    <s v="INTEREST_AND_FEES"/>
    <n v="0"/>
    <s v="NONE"/>
    <n v="0"/>
    <n v="0"/>
    <s v="OUTFLOW_GENERAL_GOV_FIX_PERIOD_DEPOSITS"/>
    <s v="D_617259PN"/>
    <s v="SUMMIT"/>
    <s v="617259PN"/>
    <d v="2025-01-01T00:00:00"/>
    <s v="FV_SHORT_TM"/>
    <s v="AM_GICS_T"/>
    <s v="NONE"/>
    <s v="LOAN"/>
    <s v="Midwest Consortium Municipal Utilities (Minnesota Municipal Utilties)"/>
    <n v="101000141"/>
    <s v="Lending"/>
    <s v="Loan"/>
    <s v="DEPFAPLC_NY"/>
    <s v="DEPFA"/>
    <m/>
    <m/>
    <s v="GICS Deposit Collateralized"/>
  </r>
  <r>
    <x v="5"/>
    <x v="1"/>
    <x v="0"/>
    <x v="11"/>
    <x v="6"/>
    <m/>
    <s v="-213.52"/>
    <s v="-187.70989010989010989010989010989010989"/>
    <n v="-213.51999999999998"/>
    <s v="1.1375"/>
    <s v="USD"/>
    <x v="55"/>
    <s v="INTEREST_AND_FEES"/>
    <n v="0"/>
    <s v="NONE"/>
    <n v="0"/>
    <n v="0"/>
    <s v="OUTFLOW_GENERAL_GOV_FIX_PERIOD_DEPOSITS"/>
    <s v="D_617259PN"/>
    <s v="SUMMIT"/>
    <s v="617259PN"/>
    <d v="2025-01-01T00:00:00"/>
    <s v="FV_SHORT_TM"/>
    <s v="AM_GICS_T"/>
    <s v="NONE"/>
    <s v="LOAN"/>
    <s v="Midwest Consortium Municipal Utilities (Minnesota Municipal Utilties)"/>
    <n v="101000141"/>
    <s v="Lending"/>
    <s v="Loan"/>
    <s v="DEPFAPLC_NY"/>
    <s v="DEPFA"/>
    <m/>
    <m/>
    <s v="GICS Deposit Collateralized"/>
  </r>
  <r>
    <x v="5"/>
    <x v="1"/>
    <x v="0"/>
    <x v="11"/>
    <x v="6"/>
    <m/>
    <s v="-244.02"/>
    <s v="-214.52307692307692307692307692307692308"/>
    <n v="-244.02"/>
    <s v="1.1375"/>
    <s v="USD"/>
    <x v="56"/>
    <s v="INTEREST_AND_FEES"/>
    <n v="0"/>
    <s v="NONE"/>
    <n v="0"/>
    <n v="0"/>
    <s v="OUTFLOW_GENERAL_GOV_FIX_PERIOD_DEPOSITS"/>
    <s v="D_617259PN"/>
    <s v="SUMMIT"/>
    <s v="617259PN"/>
    <d v="2025-01-01T00:00:00"/>
    <s v="FV_SHORT_TM"/>
    <s v="AM_GICS_T"/>
    <s v="NONE"/>
    <s v="LOAN"/>
    <s v="Midwest Consortium Municipal Utilities (Minnesota Municipal Utilties)"/>
    <n v="101000141"/>
    <s v="Lending"/>
    <s v="Loan"/>
    <s v="DEPFAPLC_NY"/>
    <s v="DEPFA"/>
    <m/>
    <m/>
    <s v="GICS Deposit Collateralized"/>
  </r>
  <r>
    <x v="5"/>
    <x v="1"/>
    <x v="0"/>
    <x v="11"/>
    <x v="6"/>
    <m/>
    <s v="-229.58"/>
    <s v="-201.82857142857142857142857142857142857"/>
    <n v="-229.57999999999998"/>
    <s v="1.1375"/>
    <s v="USD"/>
    <x v="29"/>
    <s v="INTEREST_AND_FEES"/>
    <n v="0"/>
    <s v="NONE"/>
    <n v="0"/>
    <n v="0"/>
    <s v="OUTFLOW_GENERAL_GOV_FIX_PERIOD_DEPOSITS"/>
    <s v="D_617259PN"/>
    <s v="SUMMIT"/>
    <s v="617259PN"/>
    <d v="2025-01-01T00:00:00"/>
    <s v="FV_SHORT_TM"/>
    <s v="AM_GICS_T"/>
    <s v="NONE"/>
    <s v="LOAN"/>
    <s v="Midwest Consortium Municipal Utilities (Minnesota Municipal Utilties)"/>
    <n v="101000141"/>
    <s v="Lending"/>
    <s v="Loan"/>
    <s v="DEPFAPLC_NY"/>
    <s v="DEPFA"/>
    <m/>
    <m/>
    <s v="GICS Deposit Collateralized"/>
  </r>
  <r>
    <x v="0"/>
    <x v="1"/>
    <x v="0"/>
    <x v="12"/>
    <x v="6"/>
    <m/>
    <s v="-159.17"/>
    <s v="-139.92967032967032967032967032967032967"/>
    <n v="-159.16999999999999"/>
    <s v="1.1375"/>
    <s v="USD"/>
    <x v="30"/>
    <s v="INTEREST_AND_FEES"/>
    <n v="0"/>
    <s v="NONE"/>
    <n v="0"/>
    <n v="0"/>
    <s v="OUTFLOW_GENERAL_GOV_FIX_PERIOD_DEPOSITS"/>
    <s v="D_617259PN"/>
    <s v="SUMMIT"/>
    <s v="617259PN"/>
    <d v="2025-01-01T00:00:00"/>
    <s v="FV_SHORT_TM"/>
    <s v="AM_GICS_T"/>
    <s v="NONE"/>
    <s v="LOAN"/>
    <s v="Midwest Consortium Municipal Utilities (Minnesota Municipal Utilties)"/>
    <n v="101000141"/>
    <s v="Lending"/>
    <s v="Loan"/>
    <s v="DEPFAPLC_NY"/>
    <s v="DEPFA"/>
    <m/>
    <m/>
    <s v="GICS Deposit Collateralized"/>
  </r>
  <r>
    <x v="1"/>
    <x v="1"/>
    <x v="0"/>
    <x v="13"/>
    <x v="6"/>
    <m/>
    <s v="-148.2"/>
    <s v="-130.28571428571428571428571428571428571"/>
    <n v="-148.19999999999999"/>
    <s v="1.1375"/>
    <s v="USD"/>
    <x v="31"/>
    <s v="INTEREST_AND_FEES"/>
    <n v="0"/>
    <s v="NONE"/>
    <n v="0"/>
    <n v="0"/>
    <s v="OUTFLOW_GENERAL_GOV_FIX_PERIOD_DEPOSITS"/>
    <s v="D_617259PN"/>
    <s v="SUMMIT"/>
    <s v="617259PN"/>
    <d v="2025-01-01T00:00:00"/>
    <s v="FV_SHORT_TM"/>
    <s v="AM_GICS_T"/>
    <s v="NONE"/>
    <s v="LOAN"/>
    <s v="Midwest Consortium Municipal Utilities (Minnesota Municipal Utilties)"/>
    <n v="101000141"/>
    <s v="Lending"/>
    <s v="Loan"/>
    <s v="DEPFAPLC_NY"/>
    <s v="DEPFA"/>
    <m/>
    <m/>
    <s v="GICS Deposit Collateralized"/>
  </r>
  <r>
    <x v="1"/>
    <x v="1"/>
    <x v="0"/>
    <x v="13"/>
    <x v="6"/>
    <m/>
    <s v="-153.52"/>
    <s v="-134.96263736263736263736263736263736264"/>
    <n v="-153.52000000000001"/>
    <s v="1.1375"/>
    <s v="USD"/>
    <x v="32"/>
    <s v="INTEREST_AND_FEES"/>
    <n v="0"/>
    <s v="NONE"/>
    <n v="0"/>
    <n v="0"/>
    <s v="OUTFLOW_GENERAL_GOV_FIX_PERIOD_DEPOSITS"/>
    <s v="D_617259PN"/>
    <s v="SUMMIT"/>
    <s v="617259PN"/>
    <d v="2025-01-01T00:00:00"/>
    <s v="FV_SHORT_TM"/>
    <s v="AM_GICS_T"/>
    <s v="NONE"/>
    <s v="LOAN"/>
    <s v="Midwest Consortium Municipal Utilities (Minnesota Municipal Utilties)"/>
    <n v="101000141"/>
    <s v="Lending"/>
    <s v="Loan"/>
    <s v="DEPFAPLC_NY"/>
    <s v="DEPFA"/>
    <m/>
    <m/>
    <s v="GICS Deposit Collateralized"/>
  </r>
  <r>
    <x v="2"/>
    <x v="1"/>
    <x v="0"/>
    <x v="7"/>
    <x v="6"/>
    <m/>
    <s v="-153.8"/>
    <s v="-135.20879120879120879120879120879120879"/>
    <n v="-153.80000000000001"/>
    <s v="1.1375"/>
    <s v="USD"/>
    <x v="33"/>
    <s v="INTEREST_AND_FEES"/>
    <n v="0"/>
    <s v="NONE"/>
    <n v="0"/>
    <n v="0"/>
    <s v="OUTFLOW_GENERAL_GOV_FIX_PERIOD_DEPOSITS"/>
    <s v="D_617259PN"/>
    <s v="SUMMIT"/>
    <s v="617259PN"/>
    <d v="2025-01-01T00:00:00"/>
    <s v="FV_SHORT_TM"/>
    <s v="AM_GICS_T"/>
    <s v="NONE"/>
    <s v="LOAN"/>
    <s v="Midwest Consortium Municipal Utilities (Minnesota Municipal Utilties)"/>
    <n v="101000141"/>
    <s v="Lending"/>
    <s v="Loan"/>
    <s v="DEPFAPLC_NY"/>
    <s v="DEPFA"/>
    <m/>
    <m/>
    <s v="GICS Deposit Collateralized"/>
  </r>
  <r>
    <x v="2"/>
    <x v="1"/>
    <x v="0"/>
    <x v="7"/>
    <x v="6"/>
    <m/>
    <s v="-170.1"/>
    <s v="-149.53846153846153846153846153846153846"/>
    <n v="-170.1"/>
    <s v="1.1375"/>
    <s v="USD"/>
    <x v="34"/>
    <s v="INTEREST_AND_FEES"/>
    <n v="0"/>
    <s v="NONE"/>
    <n v="0"/>
    <n v="0"/>
    <s v="OUTFLOW_GENERAL_GOV_FIX_PERIOD_DEPOSITS"/>
    <s v="D_617259PN"/>
    <s v="SUMMIT"/>
    <s v="617259PN"/>
    <d v="2025-01-01T00:00:00"/>
    <s v="FV_SHORT_TM"/>
    <s v="AM_GICS_T"/>
    <s v="NONE"/>
    <s v="LOAN"/>
    <s v="Midwest Consortium Municipal Utilities (Minnesota Municipal Utilties)"/>
    <n v="101000141"/>
    <s v="Lending"/>
    <s v="Loan"/>
    <s v="DEPFAPLC_NY"/>
    <s v="DEPFA"/>
    <m/>
    <m/>
    <s v="GICS Deposit Collateralized"/>
  </r>
  <r>
    <x v="2"/>
    <x v="1"/>
    <x v="0"/>
    <x v="7"/>
    <x v="6"/>
    <m/>
    <s v="-162.15"/>
    <s v="-142.54945054945054945054945054945054945"/>
    <n v="-162.14999999999998"/>
    <s v="1.1375"/>
    <s v="USD"/>
    <x v="25"/>
    <s v="INTEREST_AND_FEES"/>
    <n v="0"/>
    <s v="NONE"/>
    <n v="0"/>
    <n v="0"/>
    <s v="OUTFLOW_GENERAL_GOV_FIX_PERIOD_DEPOSITS"/>
    <s v="D_617259PN"/>
    <s v="SUMMIT"/>
    <s v="617259PN"/>
    <d v="2025-01-01T00:00:00"/>
    <s v="FV_SHORT_TM"/>
    <s v="AM_GICS_T"/>
    <s v="NONE"/>
    <s v="LOAN"/>
    <s v="Midwest Consortium Municipal Utilities (Minnesota Municipal Utilties)"/>
    <n v="101000141"/>
    <s v="Lending"/>
    <s v="Loan"/>
    <s v="DEPFAPLC_NY"/>
    <s v="DEPFA"/>
    <m/>
    <m/>
    <s v="GICS Deposit Collateralized"/>
  </r>
  <r>
    <x v="3"/>
    <x v="1"/>
    <x v="0"/>
    <x v="9"/>
    <x v="6"/>
    <m/>
    <s v="-183.82"/>
    <s v="-161.6"/>
    <n v="-183.82"/>
    <s v="1.1375"/>
    <s v="USD"/>
    <x v="35"/>
    <s v="INTEREST_AND_FEES"/>
    <n v="0"/>
    <s v="NONE"/>
    <n v="0"/>
    <n v="0"/>
    <s v="OUTFLOW_GENERAL_GOV_FIX_PERIOD_DEPOSITS"/>
    <s v="D_617259PN"/>
    <s v="SUMMIT"/>
    <s v="617259PN"/>
    <d v="2025-01-01T00:00:00"/>
    <s v="FV_SHORT_TM"/>
    <s v="AM_GICS_T"/>
    <s v="NONE"/>
    <s v="LOAN"/>
    <s v="Midwest Consortium Municipal Utilities (Minnesota Municipal Utilties)"/>
    <n v="101000141"/>
    <s v="Lending"/>
    <s v="Loan"/>
    <s v="DEPFAPLC_NY"/>
    <s v="DEPFA"/>
    <m/>
    <m/>
    <s v="GICS Deposit Collateralized"/>
  </r>
  <r>
    <x v="3"/>
    <x v="1"/>
    <x v="0"/>
    <x v="9"/>
    <x v="6"/>
    <m/>
    <s v="-222.43"/>
    <s v="-195.54285714285714285714285714285714286"/>
    <n v="-222.43"/>
    <s v="1.1375"/>
    <s v="USD"/>
    <x v="36"/>
    <s v="INTEREST_AND_FEES"/>
    <n v="0"/>
    <s v="NONE"/>
    <n v="0"/>
    <n v="0"/>
    <s v="OUTFLOW_GENERAL_GOV_FIX_PERIOD_DEPOSITS"/>
    <s v="D_617259PN"/>
    <s v="SUMMIT"/>
    <s v="617259PN"/>
    <d v="2025-01-01T00:00:00"/>
    <s v="FV_SHORT_TM"/>
    <s v="AM_GICS_T"/>
    <s v="NONE"/>
    <s v="LOAN"/>
    <s v="Midwest Consortium Municipal Utilities (Minnesota Municipal Utilties)"/>
    <n v="101000141"/>
    <s v="Lending"/>
    <s v="Loan"/>
    <s v="DEPFAPLC_NY"/>
    <s v="DEPFA"/>
    <m/>
    <m/>
    <s v="GICS Deposit Collateralized"/>
  </r>
  <r>
    <x v="3"/>
    <x v="1"/>
    <x v="0"/>
    <x v="9"/>
    <x v="6"/>
    <m/>
    <s v="-190.9"/>
    <s v="-167.82417582417582417582417582417582418"/>
    <n v="-190.9"/>
    <s v="1.1375"/>
    <s v="USD"/>
    <x v="37"/>
    <s v="INTEREST_AND_FEES"/>
    <n v="0"/>
    <s v="NONE"/>
    <n v="0"/>
    <n v="0"/>
    <s v="OUTFLOW_GENERAL_GOV_FIX_PERIOD_DEPOSITS"/>
    <s v="D_617259PN"/>
    <s v="SUMMIT"/>
    <s v="617259PN"/>
    <d v="2025-01-01T00:00:00"/>
    <s v="FV_SHORT_TM"/>
    <s v="AM_GICS_T"/>
    <s v="NONE"/>
    <s v="LOAN"/>
    <s v="Midwest Consortium Municipal Utilities (Minnesota Municipal Utilties)"/>
    <n v="101000141"/>
    <s v="Lending"/>
    <s v="Loan"/>
    <s v="DEPFAPLC_NY"/>
    <s v="DEPFA"/>
    <m/>
    <m/>
    <s v="GICS Deposit Collateralized"/>
  </r>
  <r>
    <x v="3"/>
    <x v="1"/>
    <x v="0"/>
    <x v="9"/>
    <x v="6"/>
    <m/>
    <s v="-178.64"/>
    <s v="-157.04615384615384615384615384615384615"/>
    <n v="-178.64000000000001"/>
    <s v="1.1375"/>
    <s v="USD"/>
    <x v="38"/>
    <s v="INTEREST_AND_FEES"/>
    <n v="0"/>
    <s v="NONE"/>
    <n v="0"/>
    <n v="0"/>
    <s v="OUTFLOW_GENERAL_GOV_FIX_PERIOD_DEPOSITS"/>
    <s v="D_617259PN"/>
    <s v="SUMMIT"/>
    <s v="617259PN"/>
    <d v="2025-01-01T00:00:00"/>
    <s v="FV_SHORT_TM"/>
    <s v="AM_GICS_T"/>
    <s v="NONE"/>
    <s v="LOAN"/>
    <s v="Midwest Consortium Municipal Utilities (Minnesota Municipal Utilties)"/>
    <n v="101000141"/>
    <s v="Lending"/>
    <s v="Loan"/>
    <s v="DEPFAPLC_NY"/>
    <s v="DEPFA"/>
    <m/>
    <m/>
    <s v="GICS Deposit Collateralized"/>
  </r>
  <r>
    <x v="3"/>
    <x v="1"/>
    <x v="0"/>
    <x v="9"/>
    <x v="6"/>
    <m/>
    <s v="-209.39"/>
    <s v="-184.07912087912087912087912087912087912"/>
    <n v="-209.39000000000001"/>
    <s v="1.1375"/>
    <s v="USD"/>
    <x v="39"/>
    <s v="INTEREST_AND_FEES"/>
    <n v="0"/>
    <s v="NONE"/>
    <n v="0"/>
    <n v="0"/>
    <s v="OUTFLOW_GENERAL_GOV_FIX_PERIOD_DEPOSITS"/>
    <s v="D_617259PN"/>
    <s v="SUMMIT"/>
    <s v="617259PN"/>
    <d v="2025-01-01T00:00:00"/>
    <s v="FV_SHORT_TM"/>
    <s v="AM_GICS_T"/>
    <s v="NONE"/>
    <s v="LOAN"/>
    <s v="Midwest Consortium Municipal Utilities (Minnesota Municipal Utilties)"/>
    <n v="101000141"/>
    <s v="Lending"/>
    <s v="Loan"/>
    <s v="DEPFAPLC_NY"/>
    <s v="DEPFA"/>
    <m/>
    <m/>
    <s v="GICS Deposit Collateralized"/>
  </r>
  <r>
    <x v="1"/>
    <x v="1"/>
    <x v="0"/>
    <x v="13"/>
    <x v="6"/>
    <s v="3M_San Sabia Capital Corporation"/>
    <s v="-30514.63"/>
    <s v="-26826.048351648351648351648351648351648"/>
    <n v="-30514.629999999997"/>
    <s v="1.1375"/>
    <s v="USD"/>
    <x v="1"/>
    <s v="INTEREST_AND_FEES"/>
    <n v="0"/>
    <s v="NONE"/>
    <n v="0"/>
    <n v="0"/>
    <s v="OUTFLOW_GENERAL_GOV_FIX_PERIOD_DEPOSITS"/>
    <s v="D_644386SA"/>
    <s v="SUMMIT"/>
    <s v="644386SA"/>
    <d v="2026-12-31T00:00:00"/>
    <s v="FV_SHORT_TM"/>
    <s v="AM_GICS_T"/>
    <s v="NONE"/>
    <s v="LOAN"/>
    <s v="Hawaiian Paradise Park  Owners  Association"/>
    <n v="101000580"/>
    <s v="Lending"/>
    <s v="Loan"/>
    <s v="SANSABIA"/>
    <s v="DEPFA"/>
    <m/>
    <m/>
    <s v="GICS Deposit"/>
  </r>
  <r>
    <x v="3"/>
    <x v="1"/>
    <x v="0"/>
    <x v="9"/>
    <x v="6"/>
    <s v="12M_San Sabia Capital Corporation"/>
    <s v="-30514.63"/>
    <s v="-26826.048351648351648351648351648351648"/>
    <n v="-30514.629999999997"/>
    <s v="1.1375"/>
    <s v="USD"/>
    <x v="7"/>
    <s v="INTEREST_AND_FEES"/>
    <n v="0"/>
    <s v="NONE"/>
    <n v="0"/>
    <n v="0"/>
    <s v="OUTFLOW_GENERAL_GOV_FIX_PERIOD_DEPOSITS"/>
    <s v="D_644386SA"/>
    <s v="SUMMIT"/>
    <s v="644386SA"/>
    <d v="2026-12-31T00:00:00"/>
    <s v="FV_SHORT_TM"/>
    <s v="AM_GICS_T"/>
    <s v="NONE"/>
    <s v="LOAN"/>
    <s v="Hawaiian Paradise Park  Owners  Association"/>
    <n v="101000580"/>
    <s v="Lending"/>
    <s v="Loan"/>
    <s v="SANSABIA"/>
    <s v="DEPFA"/>
    <m/>
    <m/>
    <s v="GICS Deposit"/>
  </r>
  <r>
    <x v="4"/>
    <x v="1"/>
    <x v="0"/>
    <x v="10"/>
    <x v="6"/>
    <s v="18M_San Sabia Capital Corporation"/>
    <s v="-30514.63"/>
    <s v="-26826.048351648351648351648351648351648"/>
    <n v="-30514.629999999997"/>
    <s v="1.1375"/>
    <s v="USD"/>
    <x v="13"/>
    <s v="INTEREST_AND_FEES"/>
    <n v="0"/>
    <s v="NONE"/>
    <n v="0"/>
    <n v="0"/>
    <s v="OUTFLOW_GENERAL_GOV_FIX_PERIOD_DEPOSITS"/>
    <s v="D_644386SA"/>
    <s v="SUMMIT"/>
    <s v="644386SA"/>
    <d v="2026-12-31T00:00:00"/>
    <s v="FV_SHORT_TM"/>
    <s v="AM_GICS_T"/>
    <s v="NONE"/>
    <s v="LOAN"/>
    <s v="Hawaiian Paradise Park  Owners  Association"/>
    <n v="101000580"/>
    <s v="Lending"/>
    <s v="Loan"/>
    <s v="SANSABIA"/>
    <s v="DEPFA"/>
    <m/>
    <m/>
    <s v="GICS Deposit"/>
  </r>
  <r>
    <x v="5"/>
    <x v="1"/>
    <x v="0"/>
    <x v="11"/>
    <x v="6"/>
    <s v="2Y_San Sabia Capital Corporation"/>
    <s v="-30345.1"/>
    <s v="-26677.010989010989010989010989010989011"/>
    <n v="-30345.1"/>
    <s v="1.1375"/>
    <s v="USD"/>
    <x v="19"/>
    <s v="INTEREST_AND_FEES"/>
    <n v="1"/>
    <s v="NONE"/>
    <n v="0"/>
    <n v="0"/>
    <s v="OUTFLOW_GENERAL_GOV_FIX_PERIOD_DEPOSITS"/>
    <s v="D_644386SA"/>
    <s v="SUMMIT"/>
    <s v="644386SA"/>
    <d v="2026-12-31T00:00:00"/>
    <s v="FV_SHORT_TM"/>
    <s v="AM_GICS_T"/>
    <s v="NONE"/>
    <s v="LOAN"/>
    <s v="Hawaiian Paradise Park  Owners  Association"/>
    <n v="101000580"/>
    <s v="Lending"/>
    <s v="Loan"/>
    <s v="SANSABIA"/>
    <s v="DEPFA"/>
    <m/>
    <m/>
    <s v="GICS Deposit"/>
  </r>
  <r>
    <x v="1"/>
    <x v="1"/>
    <x v="0"/>
    <x v="13"/>
    <x v="6"/>
    <m/>
    <n v="12500"/>
    <s v="10989.010989010989010989010989010989011"/>
    <n v="12500"/>
    <s v="1.1375"/>
    <s v="USD"/>
    <x v="57"/>
    <s v="INTEREST_AND_FEES"/>
    <n v="0"/>
    <s v="NONE"/>
    <n v="0"/>
    <n v="0"/>
    <s v="INFLOW_CENTRAL_GOV_INVESTMENTS"/>
    <n v="193061"/>
    <s v="SUMMIT"/>
    <m/>
    <d v="2016-06-15T00:00:00"/>
    <s v="AFS_GEN_U"/>
    <s v="AM_GICS_F"/>
    <s v="NONE"/>
    <s v="BONDS"/>
    <s v="RBC CAPTIAL MARKETS, LLC"/>
    <n v="3101053435"/>
    <s v="Bond"/>
    <s v="Bond"/>
    <s v="DEPFAPLC_NY"/>
    <s v="DEPFA"/>
    <s v="US912828VG29"/>
    <m/>
    <s v="Not GIC"/>
  </r>
  <r>
    <x v="1"/>
    <x v="1"/>
    <x v="2"/>
    <x v="18"/>
    <x v="6"/>
    <m/>
    <n v="5000000"/>
    <s v="4395604.3956043956043956043956043956044"/>
    <n v="4999999.9999999991"/>
    <s v="1.1375"/>
    <s v="USD"/>
    <x v="57"/>
    <s v="PRINCIPAL_FLOW"/>
    <n v="0"/>
    <s v="NONE"/>
    <n v="0"/>
    <n v="0"/>
    <s v="INFLOW_CENTRAL_GOV_INVESTMENTS"/>
    <n v="193061"/>
    <s v="SUMMIT"/>
    <m/>
    <d v="2016-06-15T00:00:00"/>
    <s v="AFS_GEN_U"/>
    <s v="AM_GICS_F"/>
    <s v="NONE"/>
    <s v="BONDS"/>
    <s v="RBC CAPTIAL MARKETS, LLC"/>
    <n v="3101053435"/>
    <s v="Bond"/>
    <s v="Bond"/>
    <s v="DEPFAPLC_NY"/>
    <s v="DEPFA"/>
    <s v="US912828VG29"/>
    <m/>
    <s v="Not GIC"/>
  </r>
  <r>
    <x v="5"/>
    <x v="1"/>
    <x v="0"/>
    <x v="11"/>
    <x v="6"/>
    <s v="2Y_San Sabia Capital Corporation"/>
    <n v="-8234"/>
    <s v="-7238.6813186813186813186813186813186813"/>
    <n v="-8234"/>
    <s v="1.1375"/>
    <s v="USD"/>
    <x v="19"/>
    <s v="INTEREST_AND_FEES"/>
    <n v="0"/>
    <s v="NONE"/>
    <n v="0"/>
    <n v="0"/>
    <s v="OUTFLOW_DEPOSITS_LOANS"/>
    <s v="D_644384SA"/>
    <s v="SUMMIT"/>
    <s v="644384SA"/>
    <d v="1939-06-30T00:00:00"/>
    <s v="FV_SHORT_TM"/>
    <s v="AM_GICS_T"/>
    <s v="NONE"/>
    <s v="LOAN"/>
    <s v="New Mexico Mortgage Finance Authority"/>
    <n v="101000512"/>
    <s v="Lending"/>
    <s v="Loan"/>
    <s v="SANSABIA"/>
    <s v="DEPFA"/>
    <m/>
    <m/>
    <s v="GICS Deposit"/>
  </r>
  <r>
    <x v="1"/>
    <x v="1"/>
    <x v="0"/>
    <x v="13"/>
    <x v="6"/>
    <s v="3M_San Sabia Capital Corporation"/>
    <s v="-9344.86"/>
    <s v="-8215.2615384615384615384615384615384615"/>
    <n v="-9344.8599999999988"/>
    <s v="1.1375"/>
    <s v="USD"/>
    <x v="1"/>
    <s v="INTEREST_AND_FEES"/>
    <n v="0"/>
    <s v="NONE"/>
    <n v="0"/>
    <n v="0"/>
    <s v="OUTFLOW_DEPOSITS_LOANS"/>
    <s v="D_644384SA"/>
    <s v="SUMMIT"/>
    <s v="644384SA"/>
    <d v="1939-06-30T00:00:00"/>
    <s v="FV_SHORT_TM"/>
    <s v="AM_GICS_T"/>
    <s v="NONE"/>
    <s v="LOAN"/>
    <s v="New Mexico Mortgage Finance Authority"/>
    <n v="101000512"/>
    <s v="Lending"/>
    <s v="Loan"/>
    <s v="SANSABIA"/>
    <s v="DEPFA"/>
    <m/>
    <m/>
    <s v="GICS Deposit"/>
  </r>
  <r>
    <x v="1"/>
    <x v="1"/>
    <x v="1"/>
    <x v="19"/>
    <x v="6"/>
    <s v="3M_San Sabia Capital Corporation"/>
    <s v="1260075.73"/>
    <s v="1107758.88351648351648351648351648351648"/>
    <n v="1260075.73"/>
    <s v="1.1375"/>
    <s v="USD"/>
    <x v="1"/>
    <s v="PRINCIPAL_FLOW"/>
    <n v="0"/>
    <s v="NONE"/>
    <n v="0"/>
    <n v="0"/>
    <s v="INFLOW_NON_GOV_LOANS"/>
    <s v="D_644384SA"/>
    <s v="SUMMIT"/>
    <s v="644384SA"/>
    <d v="1939-06-30T00:00:00"/>
    <s v="FV_SHORT_TM"/>
    <s v="AM_GICS_T"/>
    <s v="NONE"/>
    <s v="LOAN"/>
    <s v="New Mexico Mortgage Finance Authority"/>
    <n v="101000512"/>
    <s v="Lending"/>
    <s v="Loan"/>
    <s v="SANSABIA"/>
    <s v="DEPFA"/>
    <m/>
    <m/>
    <s v="GICS Deposit"/>
  </r>
  <r>
    <x v="3"/>
    <x v="1"/>
    <x v="0"/>
    <x v="9"/>
    <x v="6"/>
    <s v="12M_San Sabia Capital Corporation"/>
    <n v="-41400"/>
    <s v="-36395.604395604395604395604395604395604"/>
    <n v="-41400"/>
    <s v="1.1375"/>
    <s v="USD"/>
    <x v="7"/>
    <s v="INTEREST_AND_FEES"/>
    <n v="0"/>
    <s v="NONE"/>
    <n v="0"/>
    <n v="0"/>
    <s v="OUTFLOW_DEPOSITS_LOANS"/>
    <s v="D_644384SA"/>
    <s v="SUMMIT"/>
    <s v="644384SA"/>
    <d v="1939-06-30T00:00:00"/>
    <s v="FV_SHORT_TM"/>
    <s v="AM_GICS_T"/>
    <s v="NONE"/>
    <s v="LOAN"/>
    <s v="New Mexico Mortgage Finance Authority"/>
    <n v="101000512"/>
    <s v="Lending"/>
    <s v="Loan"/>
    <s v="SANSABIA"/>
    <s v="DEPFA"/>
    <m/>
    <m/>
    <s v="GICS Deposit"/>
  </r>
  <r>
    <x v="3"/>
    <x v="1"/>
    <x v="1"/>
    <x v="8"/>
    <x v="6"/>
    <s v="12M_San Sabia Capital Corporation"/>
    <n v="-1600000"/>
    <s v="-1406593.4065934065934065934065934065934"/>
    <n v="-1600000"/>
    <s v="1.1375"/>
    <s v="USD"/>
    <x v="7"/>
    <s v="PRINCIPAL_FLOW"/>
    <n v="0"/>
    <s v="NONE"/>
    <n v="0"/>
    <n v="0"/>
    <s v="OUTFLOW_DEPOSITS_LOANS"/>
    <s v="D_644384SA"/>
    <s v="SUMMIT"/>
    <s v="644384SA"/>
    <d v="1939-06-30T00:00:00"/>
    <s v="FV_SHORT_TM"/>
    <s v="AM_GICS_T"/>
    <s v="NONE"/>
    <s v="LOAN"/>
    <s v="New Mexico Mortgage Finance Authority"/>
    <n v="101000512"/>
    <s v="Lending"/>
    <s v="Loan"/>
    <s v="SANSABIA"/>
    <s v="DEPFA"/>
    <m/>
    <m/>
    <s v="GICS Deposit"/>
  </r>
  <r>
    <x v="4"/>
    <x v="1"/>
    <x v="0"/>
    <x v="10"/>
    <x v="6"/>
    <s v="18M_San Sabia Capital Corporation"/>
    <n v="-8280"/>
    <s v="-7279.1208791208791208791208791208791209"/>
    <n v="-8280"/>
    <s v="1.1375"/>
    <s v="USD"/>
    <x v="13"/>
    <s v="INTEREST_AND_FEES"/>
    <n v="0"/>
    <s v="NONE"/>
    <n v="0"/>
    <n v="0"/>
    <s v="OUTFLOW_DEPOSITS_LOANS"/>
    <s v="D_644384SA"/>
    <s v="SUMMIT"/>
    <s v="644384SA"/>
    <d v="1939-06-30T00:00:00"/>
    <s v="FV_SHORT_TM"/>
    <s v="AM_GICS_T"/>
    <s v="NONE"/>
    <s v="LOAN"/>
    <s v="New Mexico Mortgage Finance Authority"/>
    <n v="101000512"/>
    <s v="Lending"/>
    <s v="Loan"/>
    <s v="SANSABIA"/>
    <s v="DEPFA"/>
    <m/>
    <m/>
    <s v="GICS Deposit"/>
  </r>
  <r>
    <x v="8"/>
    <x v="2"/>
    <x v="0"/>
    <x v="20"/>
    <x v="9"/>
    <m/>
    <n v="-21000"/>
    <s v="-18461.538461538461538461538461538461539"/>
    <n v="-21000"/>
    <s v="1.1375"/>
    <s v="USD"/>
    <x v="58"/>
    <s v="INTEREST_AND_FEES"/>
    <n v="0"/>
    <s v="NONE"/>
    <n v="0"/>
    <n v="0"/>
    <s v="IGNORED"/>
    <s v="957099PN"/>
    <s v="SUMMIT"/>
    <m/>
    <d v="2016-05-13T00:00:00"/>
    <s v="LIAB_GEN_U"/>
    <s v="AM_GICS_F"/>
    <s v="INTRA_SUB_ENTITY"/>
    <s v="REPO"/>
    <s v="SAN SABIA CAPITAL CORPORATION"/>
    <n v="3101005792"/>
    <s v="Money Market"/>
    <s v="Repo"/>
    <s v="DEPFAPLC_NY"/>
    <s v="DEPFA"/>
    <s v="US31359MEU36"/>
    <m/>
    <s v="Not GIC"/>
  </r>
  <r>
    <x v="8"/>
    <x v="2"/>
    <x v="4"/>
    <x v="21"/>
    <x v="9"/>
    <m/>
    <n v="-9000000"/>
    <s v="-7912087.9120879120879120879120879120879"/>
    <n v="-9000000"/>
    <s v="1.1375"/>
    <s v="USD"/>
    <x v="58"/>
    <s v="PRINCIPAL_FLOW"/>
    <n v="0"/>
    <s v="NONE"/>
    <n v="0"/>
    <n v="0"/>
    <s v="IGNORED"/>
    <s v="957099PN"/>
    <s v="SUMMIT"/>
    <m/>
    <d v="2016-05-13T00:00:00"/>
    <s v="LIAB_GEN_U"/>
    <s v="AM_GICS_F"/>
    <s v="INTRA_SUB_ENTITY"/>
    <s v="REPO"/>
    <s v="SAN SABIA CAPITAL CORPORATION"/>
    <n v="3101005792"/>
    <s v="Money Market"/>
    <s v="Repo"/>
    <s v="DEPFAPLC_NY"/>
    <s v="DEPFA"/>
    <s v="US31359MEU36"/>
    <m/>
    <s v="Not GIC"/>
  </r>
  <r>
    <x v="9"/>
    <x v="1"/>
    <x v="0"/>
    <x v="22"/>
    <x v="6"/>
    <m/>
    <n v="43125"/>
    <s v="37912.0879120879120879120879120879120879"/>
    <n v="43125"/>
    <s v="1.1375"/>
    <s v="USD"/>
    <x v="59"/>
    <s v="INTEREST_AND_FEES"/>
    <n v="0"/>
    <s v="NONE"/>
    <n v="0"/>
    <n v="0"/>
    <s v="INFLOW_SEC_SALES_IN_MFIS"/>
    <n v="190709"/>
    <s v="SUMMIT"/>
    <m/>
    <d v="2022-06-10T00:00:00"/>
    <s v="LN_DES_TR_U"/>
    <s v="AM_GICS_F"/>
    <s v="NONE"/>
    <s v="BONDS"/>
    <s v="Depfa Bank Plc, New York"/>
    <n v="5101000018"/>
    <s v="Bond"/>
    <s v="Bond"/>
    <s v="DEPFAPLC_NY"/>
    <s v="DEPFA"/>
    <s v="US3133XLPP20"/>
    <m/>
    <s v="Not GIC"/>
  </r>
  <r>
    <x v="3"/>
    <x v="1"/>
    <x v="0"/>
    <x v="9"/>
    <x v="6"/>
    <m/>
    <n v="43125"/>
    <s v="37912.0879120879120879120879120879120879"/>
    <n v="43125"/>
    <s v="1.1375"/>
    <s v="USD"/>
    <x v="60"/>
    <s v="INTEREST_AND_FEES"/>
    <n v="0"/>
    <s v="NONE"/>
    <n v="0"/>
    <n v="0"/>
    <s v="INFLOW_SEC_SALES_IN_MFIS"/>
    <n v="190709"/>
    <s v="SUMMIT"/>
    <m/>
    <d v="2022-06-10T00:00:00"/>
    <s v="LN_DES_TR_U"/>
    <s v="AM_GICS_F"/>
    <s v="NONE"/>
    <s v="BONDS"/>
    <s v="Depfa Bank Plc, New York"/>
    <n v="5101000018"/>
    <s v="Bond"/>
    <s v="Bond"/>
    <s v="DEPFAPLC_NY"/>
    <s v="DEPFA"/>
    <s v="US3133XLPP20"/>
    <m/>
    <s v="Not GIC"/>
  </r>
  <r>
    <x v="4"/>
    <x v="1"/>
    <x v="0"/>
    <x v="10"/>
    <x v="6"/>
    <m/>
    <n v="43125"/>
    <s v="37912.0879120879120879120879120879120879"/>
    <n v="43125"/>
    <s v="1.1375"/>
    <s v="USD"/>
    <x v="61"/>
    <s v="INTEREST_AND_FEES"/>
    <n v="0"/>
    <s v="NONE"/>
    <n v="0"/>
    <n v="0"/>
    <s v="INFLOW_SEC_SALES_IN_MFIS"/>
    <n v="190709"/>
    <s v="SUMMIT"/>
    <m/>
    <d v="2022-06-10T00:00:00"/>
    <s v="LN_DES_TR_U"/>
    <s v="AM_GICS_F"/>
    <s v="NONE"/>
    <s v="BONDS"/>
    <s v="Depfa Bank Plc, New York"/>
    <n v="5101000018"/>
    <s v="Bond"/>
    <s v="Bond"/>
    <s v="DEPFAPLC_NY"/>
    <s v="DEPFA"/>
    <s v="US3133XLPP20"/>
    <m/>
    <s v="Not GIC"/>
  </r>
  <r>
    <x v="5"/>
    <x v="1"/>
    <x v="0"/>
    <x v="11"/>
    <x v="6"/>
    <m/>
    <n v="43125"/>
    <s v="37912.0879120879120879120879120879120879"/>
    <n v="43125"/>
    <s v="1.1375"/>
    <s v="USD"/>
    <x v="62"/>
    <s v="INTEREST_AND_FEES"/>
    <n v="0"/>
    <s v="NONE"/>
    <n v="0"/>
    <n v="0"/>
    <s v="INFLOW_SEC_SALES_IN_MFIS"/>
    <n v="190709"/>
    <s v="SUMMIT"/>
    <m/>
    <d v="2022-06-10T00:00:00"/>
    <s v="LN_DES_TR_U"/>
    <s v="AM_GICS_F"/>
    <s v="NONE"/>
    <s v="BONDS"/>
    <s v="Depfa Bank Plc, New York"/>
    <n v="5101000018"/>
    <s v="Bond"/>
    <s v="Bond"/>
    <s v="DEPFAPLC_NY"/>
    <s v="DEPFA"/>
    <s v="US3133XLPP20"/>
    <m/>
    <s v="Not GIC"/>
  </r>
  <r>
    <x v="1"/>
    <x v="1"/>
    <x v="0"/>
    <x v="13"/>
    <x v="6"/>
    <m/>
    <s v="-133391.66"/>
    <s v="-117267.39340659340659340659340659340659"/>
    <n v="-133391.65999999997"/>
    <s v="1.1375"/>
    <s v="USD"/>
    <x v="63"/>
    <s v="INTEREST_AND_FEES"/>
    <n v="0"/>
    <s v="NONE"/>
    <n v="0"/>
    <n v="0"/>
    <s v="OUTFLOW_DEPOSITS_LOANS"/>
    <s v="D_322229PN"/>
    <s v="SUMMIT"/>
    <s v="322229PN"/>
    <d v="1937-08-01T00:00:00"/>
    <s v="LIAB_GEN_H"/>
    <s v="AM_GICS_F"/>
    <s v="NONE"/>
    <s v="LOAN"/>
    <s v="Washington Unified School District"/>
    <n v="3101054097"/>
    <s v="Lending"/>
    <s v="Loan"/>
    <s v="DEPFAPLC_NY"/>
    <s v="DEPFA"/>
    <m/>
    <m/>
    <s v="GICS Deposit Collateralized"/>
  </r>
  <r>
    <x v="3"/>
    <x v="1"/>
    <x v="0"/>
    <x v="9"/>
    <x v="6"/>
    <m/>
    <s v="-133391.66"/>
    <s v="-117267.39340659340659340659340659340659"/>
    <n v="-133391.65999999997"/>
    <s v="1.1375"/>
    <s v="USD"/>
    <x v="64"/>
    <s v="INTEREST_AND_FEES"/>
    <n v="0"/>
    <s v="NONE"/>
    <n v="0"/>
    <n v="0"/>
    <s v="OUTFLOW_DEPOSITS_LOANS"/>
    <s v="D_322229PN"/>
    <s v="SUMMIT"/>
    <s v="322229PN"/>
    <d v="1937-08-01T00:00:00"/>
    <s v="LIAB_GEN_H"/>
    <s v="AM_GICS_F"/>
    <s v="NONE"/>
    <s v="LOAN"/>
    <s v="Washington Unified School District"/>
    <n v="3101054097"/>
    <s v="Lending"/>
    <s v="Loan"/>
    <s v="DEPFAPLC_NY"/>
    <s v="DEPFA"/>
    <m/>
    <m/>
    <s v="GICS Deposit Collateralized"/>
  </r>
  <r>
    <x v="4"/>
    <x v="1"/>
    <x v="0"/>
    <x v="10"/>
    <x v="6"/>
    <m/>
    <s v="-133391.66"/>
    <s v="-117267.39340659340659340659340659340659"/>
    <n v="-133391.65999999997"/>
    <s v="1.1375"/>
    <s v="USD"/>
    <x v="65"/>
    <s v="INTEREST_AND_FEES"/>
    <n v="0"/>
    <s v="NONE"/>
    <n v="0"/>
    <n v="0"/>
    <s v="OUTFLOW_DEPOSITS_LOANS"/>
    <s v="D_322229PN"/>
    <s v="SUMMIT"/>
    <s v="322229PN"/>
    <d v="1937-08-01T00:00:00"/>
    <s v="LIAB_GEN_H"/>
    <s v="AM_GICS_F"/>
    <s v="NONE"/>
    <s v="LOAN"/>
    <s v="Washington Unified School District"/>
    <n v="3101054097"/>
    <s v="Lending"/>
    <s v="Loan"/>
    <s v="DEPFAPLC_NY"/>
    <s v="DEPFA"/>
    <m/>
    <m/>
    <s v="GICS Deposit Collateralized"/>
  </r>
  <r>
    <x v="5"/>
    <x v="1"/>
    <x v="0"/>
    <x v="11"/>
    <x v="6"/>
    <m/>
    <s v="-133391.66"/>
    <s v="-117267.39340659340659340659340659340659"/>
    <n v="-133391.65999999997"/>
    <s v="1.1375"/>
    <s v="USD"/>
    <x v="66"/>
    <s v="INTEREST_AND_FEES"/>
    <n v="0"/>
    <s v="NONE"/>
    <n v="0"/>
    <n v="0"/>
    <s v="OUTFLOW_DEPOSITS_LOANS"/>
    <s v="D_322229PN"/>
    <s v="SUMMIT"/>
    <s v="322229PN"/>
    <d v="1937-08-01T00:00:00"/>
    <s v="LIAB_GEN_H"/>
    <s v="AM_GICS_F"/>
    <s v="NONE"/>
    <s v="LOAN"/>
    <s v="Washington Unified School District"/>
    <n v="3101054097"/>
    <s v="Lending"/>
    <s v="Loan"/>
    <s v="DEPFAPLC_NY"/>
    <s v="DEPFA"/>
    <m/>
    <m/>
    <s v="GICS Deposit Collateralized"/>
  </r>
  <r>
    <x v="1"/>
    <x v="1"/>
    <x v="0"/>
    <x v="13"/>
    <x v="6"/>
    <m/>
    <n v="167500"/>
    <s v="147252.747252747252747252747252747252747"/>
    <n v="167499.99999999997"/>
    <s v="1.1375"/>
    <s v="USD"/>
    <x v="57"/>
    <s v="INTEREST_AND_FEES"/>
    <n v="0"/>
    <s v="NONE"/>
    <n v="0"/>
    <n v="0"/>
    <s v="INFLOW_CENTRAL_GOV_INVESTMENTS"/>
    <n v="193021"/>
    <s v="SUMMIT"/>
    <m/>
    <d v="2016-06-15T00:00:00"/>
    <s v="AFS_GEN_U"/>
    <s v="AM_GICS_F"/>
    <s v="NONE"/>
    <s v="BONDS"/>
    <s v="RBC CAPTIAL MARKETS, LLC"/>
    <n v="3101053435"/>
    <s v="Bond"/>
    <s v="Bond"/>
    <s v="DEPFAPLC_NY"/>
    <s v="DEPFA"/>
    <s v="US912828VG29"/>
    <m/>
    <s v="Not GIC"/>
  </r>
  <r>
    <x v="1"/>
    <x v="1"/>
    <x v="2"/>
    <x v="18"/>
    <x v="6"/>
    <m/>
    <n v="67000000"/>
    <s v="58901098.9010989010989010989010989010989"/>
    <n v="66999999.999999993"/>
    <s v="1.1375"/>
    <s v="USD"/>
    <x v="57"/>
    <s v="PRINCIPAL_FLOW"/>
    <n v="0"/>
    <s v="NONE"/>
    <n v="0"/>
    <n v="0"/>
    <s v="INFLOW_CENTRAL_GOV_INVESTMENTS"/>
    <n v="193021"/>
    <s v="SUMMIT"/>
    <m/>
    <d v="2016-06-15T00:00:00"/>
    <s v="AFS_GEN_U"/>
    <s v="AM_GICS_F"/>
    <s v="NONE"/>
    <s v="BONDS"/>
    <s v="RBC CAPTIAL MARKETS, LLC"/>
    <n v="3101053435"/>
    <s v="Bond"/>
    <s v="Bond"/>
    <s v="DEPFAPLC_NY"/>
    <s v="DEPFA"/>
    <s v="US912828VG29"/>
    <m/>
    <s v="Not GIC"/>
  </r>
  <r>
    <x v="6"/>
    <x v="1"/>
    <x v="0"/>
    <x v="23"/>
    <x v="6"/>
    <m/>
    <n v="2187500"/>
    <s v="1923076.92307692307692307692307692307692"/>
    <n v="2187500"/>
    <s v="1.1375"/>
    <s v="USD"/>
    <x v="43"/>
    <s v="INTEREST_AND_FEES"/>
    <n v="0"/>
    <s v="NONE"/>
    <n v="0"/>
    <n v="0"/>
    <s v="INFLOW_SEC_SALES_IN_MFIS"/>
    <n v="148891"/>
    <s v="SUMMIT"/>
    <m/>
    <d v="2029-05-15T00:00:00"/>
    <s v="LN_RC_GEN_U"/>
    <s v="AM_GICS_F"/>
    <s v="NONE"/>
    <s v="BONDS"/>
    <s v="Depfa Bank Plc, New York"/>
    <n v="5101000018"/>
    <s v="Bond"/>
    <s v="Bond"/>
    <s v="DEPFAPLC_NY"/>
    <s v="DEPFA"/>
    <s v="US31359MEU36"/>
    <m/>
    <s v="Not GIC"/>
  </r>
  <r>
    <x v="3"/>
    <x v="1"/>
    <x v="0"/>
    <x v="9"/>
    <x v="6"/>
    <m/>
    <n v="2187500"/>
    <s v="1923076.92307692307692307692307692307692"/>
    <n v="2187500"/>
    <s v="1.1375"/>
    <s v="USD"/>
    <x v="44"/>
    <s v="INTEREST_AND_FEES"/>
    <n v="0"/>
    <s v="NONE"/>
    <n v="0"/>
    <n v="0"/>
    <s v="INFLOW_SEC_SALES_IN_MFIS"/>
    <n v="148891"/>
    <s v="SUMMIT"/>
    <m/>
    <d v="2029-05-15T00:00:00"/>
    <s v="LN_RC_GEN_U"/>
    <s v="AM_GICS_F"/>
    <s v="NONE"/>
    <s v="BONDS"/>
    <s v="Depfa Bank Plc, New York"/>
    <n v="5101000018"/>
    <s v="Bond"/>
    <s v="Bond"/>
    <s v="DEPFAPLC_NY"/>
    <s v="DEPFA"/>
    <s v="US31359MEU36"/>
    <m/>
    <s v="Not GIC"/>
  </r>
  <r>
    <x v="4"/>
    <x v="1"/>
    <x v="0"/>
    <x v="10"/>
    <x v="6"/>
    <m/>
    <n v="2187500"/>
    <s v="1923076.92307692307692307692307692307692"/>
    <n v="2187500"/>
    <s v="1.1375"/>
    <s v="USD"/>
    <x v="45"/>
    <s v="INTEREST_AND_FEES"/>
    <n v="0"/>
    <s v="NONE"/>
    <n v="0"/>
    <n v="0"/>
    <s v="INFLOW_SEC_SALES_IN_MFIS"/>
    <n v="148891"/>
    <s v="SUMMIT"/>
    <m/>
    <d v="2029-05-15T00:00:00"/>
    <s v="LN_RC_GEN_U"/>
    <s v="AM_GICS_F"/>
    <s v="NONE"/>
    <s v="BONDS"/>
    <s v="Depfa Bank Plc, New York"/>
    <n v="5101000018"/>
    <s v="Bond"/>
    <s v="Bond"/>
    <s v="DEPFAPLC_NY"/>
    <s v="DEPFA"/>
    <s v="US31359MEU36"/>
    <m/>
    <s v="Not GIC"/>
  </r>
  <r>
    <x v="5"/>
    <x v="1"/>
    <x v="0"/>
    <x v="11"/>
    <x v="6"/>
    <m/>
    <n v="2187500"/>
    <s v="1923076.92307692307692307692307692307692"/>
    <n v="2187500"/>
    <s v="1.1375"/>
    <s v="USD"/>
    <x v="46"/>
    <s v="INTEREST_AND_FEES"/>
    <n v="0"/>
    <s v="NONE"/>
    <n v="0"/>
    <n v="0"/>
    <s v="INFLOW_SEC_SALES_IN_MFIS"/>
    <n v="148891"/>
    <s v="SUMMIT"/>
    <m/>
    <d v="2029-05-15T00:00:00"/>
    <s v="LN_RC_GEN_U"/>
    <s v="AM_GICS_F"/>
    <s v="NONE"/>
    <s v="BONDS"/>
    <s v="Depfa Bank Plc, New York"/>
    <n v="5101000018"/>
    <s v="Bond"/>
    <s v="Bond"/>
    <s v="DEPFAPLC_NY"/>
    <s v="DEPFA"/>
    <s v="US31359MEU36"/>
    <m/>
    <s v="Not GIC"/>
  </r>
  <r>
    <x v="6"/>
    <x v="0"/>
    <x v="0"/>
    <x v="15"/>
    <x v="7"/>
    <m/>
    <n v="-34375"/>
    <s v="-30219.78021978021978021978021978021978"/>
    <n v="-34375"/>
    <s v="1.1375"/>
    <s v="USD"/>
    <x v="43"/>
    <s v="INTEREST_AND_FEES"/>
    <n v="0"/>
    <s v="NONE"/>
    <n v="0"/>
    <n v="0"/>
    <s v="INFLOW_SEC_SALES_IN_MFIS"/>
    <n v="194030"/>
    <s v="SUMMIT"/>
    <m/>
    <d v="2029-05-15T00:00:00"/>
    <s v="LN_RC_GEN_U"/>
    <s v="AM_GICS_F"/>
    <s v="NONE"/>
    <s v="BONDS"/>
    <s v="Depfa Bank Plc"/>
    <n v="4101000279"/>
    <s v="Bond"/>
    <s v="Bond"/>
    <s v="DEPFAPLC_NY"/>
    <s v="DEPFA"/>
    <s v="US31359MEU36"/>
    <m/>
    <s v="Not GIC"/>
  </r>
  <r>
    <x v="3"/>
    <x v="0"/>
    <x v="0"/>
    <x v="3"/>
    <x v="3"/>
    <m/>
    <n v="-34375"/>
    <s v="-30219.78021978021978021978021978021978"/>
    <n v="-34375"/>
    <s v="1.1375"/>
    <s v="USD"/>
    <x v="44"/>
    <s v="INTEREST_AND_FEES"/>
    <n v="0"/>
    <s v="NONE"/>
    <n v="0"/>
    <n v="0"/>
    <s v="INFLOW_SEC_SALES_IN_MFIS"/>
    <n v="194030"/>
    <s v="SUMMIT"/>
    <m/>
    <d v="2029-05-15T00:00:00"/>
    <s v="LN_RC_GEN_U"/>
    <s v="AM_GICS_F"/>
    <s v="NONE"/>
    <s v="BONDS"/>
    <s v="Depfa Bank Plc"/>
    <n v="4101000279"/>
    <s v="Bond"/>
    <s v="Bond"/>
    <s v="DEPFAPLC_NY"/>
    <s v="DEPFA"/>
    <s v="US31359MEU36"/>
    <m/>
    <s v="Not GIC"/>
  </r>
  <r>
    <x v="4"/>
    <x v="0"/>
    <x v="0"/>
    <x v="4"/>
    <x v="4"/>
    <m/>
    <n v="-34375"/>
    <s v="-30219.78021978021978021978021978021978"/>
    <n v="-34375"/>
    <s v="1.1375"/>
    <s v="USD"/>
    <x v="45"/>
    <s v="INTEREST_AND_FEES"/>
    <n v="0"/>
    <s v="NONE"/>
    <n v="0"/>
    <n v="0"/>
    <s v="INFLOW_SEC_SALES_IN_MFIS"/>
    <n v="194030"/>
    <s v="SUMMIT"/>
    <m/>
    <d v="2029-05-15T00:00:00"/>
    <s v="LN_RC_GEN_U"/>
    <s v="AM_GICS_F"/>
    <s v="NONE"/>
    <s v="BONDS"/>
    <s v="Depfa Bank Plc"/>
    <n v="4101000279"/>
    <s v="Bond"/>
    <s v="Bond"/>
    <s v="DEPFAPLC_NY"/>
    <s v="DEPFA"/>
    <s v="US31359MEU36"/>
    <m/>
    <s v="Not GIC"/>
  </r>
  <r>
    <x v="5"/>
    <x v="0"/>
    <x v="0"/>
    <x v="5"/>
    <x v="5"/>
    <m/>
    <n v="-34375"/>
    <s v="-30219.78021978021978021978021978021978"/>
    <n v="-34375"/>
    <s v="1.1375"/>
    <s v="USD"/>
    <x v="46"/>
    <s v="INTEREST_AND_FEES"/>
    <n v="0"/>
    <s v="NONE"/>
    <n v="0"/>
    <n v="0"/>
    <s v="INFLOW_SEC_SALES_IN_MFIS"/>
    <n v="194030"/>
    <s v="SUMMIT"/>
    <m/>
    <d v="2029-05-15T00:00:00"/>
    <s v="LN_RC_GEN_U"/>
    <s v="AM_GICS_F"/>
    <s v="NONE"/>
    <s v="BONDS"/>
    <s v="Depfa Bank Plc"/>
    <n v="4101000279"/>
    <s v="Bond"/>
    <s v="Bond"/>
    <s v="DEPFAPLC_NY"/>
    <s v="DEPFA"/>
    <s v="US31359MEU36"/>
    <m/>
    <s v="Not GIC"/>
  </r>
  <r>
    <x v="2"/>
    <x v="1"/>
    <x v="1"/>
    <x v="6"/>
    <x v="6"/>
    <m/>
    <s v="35948.2"/>
    <s v="31602.8131868131868131868131868131868132"/>
    <n v="35948.199999999997"/>
    <s v="1.1375"/>
    <s v="USD"/>
    <x v="67"/>
    <s v="PRINCIPAL_FLOW"/>
    <n v="0"/>
    <s v="NONE"/>
    <n v="0"/>
    <n v="0"/>
    <s v="INFLOW_GENERAL_GOV_LENDINGS"/>
    <s v="D_645313PN"/>
    <s v="SUMMIT"/>
    <s v="645313PN"/>
    <d v="1940-08-31T00:00:00"/>
    <s v="FV_SHORT_TM"/>
    <s v="AM_GICS_T"/>
    <s v="NONE"/>
    <s v="LOAN"/>
    <s v="Housing Finance Author. of Manatee County Florida"/>
    <n v="101000310"/>
    <s v="Lending"/>
    <s v="Loan"/>
    <s v="DEPFAPLC_NY"/>
    <s v="DEPFA"/>
    <m/>
    <m/>
    <s v="GICS Deposit"/>
  </r>
  <r>
    <x v="2"/>
    <x v="1"/>
    <x v="0"/>
    <x v="7"/>
    <x v="6"/>
    <m/>
    <s v="-4333.94"/>
    <s v="-3810.0571428571428571428571428571428571"/>
    <n v="-4333.9399999999996"/>
    <s v="1.1375"/>
    <s v="USD"/>
    <x v="33"/>
    <s v="INTEREST_AND_FEES"/>
    <n v="0"/>
    <s v="NONE"/>
    <n v="0"/>
    <n v="0"/>
    <s v="OUTFLOW_GENERAL_GOV_FIX_PERIOD_DEPOSITS"/>
    <s v="D_645313PN"/>
    <s v="SUMMIT"/>
    <s v="645313PN"/>
    <d v="1940-08-31T00:00:00"/>
    <s v="FV_SHORT_TM"/>
    <s v="AM_GICS_T"/>
    <s v="NONE"/>
    <s v="LOAN"/>
    <s v="Housing Finance Author. of Manatee County Florida"/>
    <n v="101000310"/>
    <s v="Lending"/>
    <s v="Loan"/>
    <s v="DEPFAPLC_NY"/>
    <s v="DEPFA"/>
    <m/>
    <m/>
    <s v="GICS Deposit"/>
  </r>
  <r>
    <x v="3"/>
    <x v="1"/>
    <x v="0"/>
    <x v="9"/>
    <x v="6"/>
    <m/>
    <s v="-4404.33"/>
    <s v="-3871.9384615384615384615384615384615385"/>
    <n v="-4404.33"/>
    <s v="1.1375"/>
    <s v="USD"/>
    <x v="38"/>
    <s v="INTEREST_AND_FEES"/>
    <n v="0"/>
    <s v="NONE"/>
    <n v="0"/>
    <n v="0"/>
    <s v="OUTFLOW_GENERAL_GOV_FIX_PERIOD_DEPOSITS"/>
    <s v="D_645313PN"/>
    <s v="SUMMIT"/>
    <s v="645313PN"/>
    <d v="1940-08-31T00:00:00"/>
    <s v="FV_SHORT_TM"/>
    <s v="AM_GICS_T"/>
    <s v="NONE"/>
    <s v="LOAN"/>
    <s v="Housing Finance Author. of Manatee County Florida"/>
    <n v="101000310"/>
    <s v="Lending"/>
    <s v="Loan"/>
    <s v="DEPFAPLC_NY"/>
    <s v="DEPFA"/>
    <m/>
    <m/>
    <s v="GICS Deposit"/>
  </r>
  <r>
    <x v="4"/>
    <x v="1"/>
    <x v="0"/>
    <x v="10"/>
    <x v="6"/>
    <m/>
    <s v="-4477.33"/>
    <s v="-3936.1142857142857142857142857142857143"/>
    <n v="-4477.33"/>
    <s v="1.1375"/>
    <s v="USD"/>
    <x v="50"/>
    <s v="INTEREST_AND_FEES"/>
    <n v="0"/>
    <s v="NONE"/>
    <n v="0"/>
    <n v="0"/>
    <s v="OUTFLOW_GENERAL_GOV_FIX_PERIOD_DEPOSITS"/>
    <s v="D_645313PN"/>
    <s v="SUMMIT"/>
    <s v="645313PN"/>
    <d v="1940-08-31T00:00:00"/>
    <s v="FV_SHORT_TM"/>
    <s v="AM_GICS_T"/>
    <s v="NONE"/>
    <s v="LOAN"/>
    <s v="Housing Finance Author. of Manatee County Florida"/>
    <n v="101000310"/>
    <s v="Lending"/>
    <s v="Loan"/>
    <s v="DEPFAPLC_NY"/>
    <s v="DEPFA"/>
    <m/>
    <m/>
    <s v="GICS Deposit"/>
  </r>
  <r>
    <x v="5"/>
    <x v="1"/>
    <x v="0"/>
    <x v="11"/>
    <x v="6"/>
    <m/>
    <s v="-4404.33"/>
    <s v="-3871.9384615384615384615384615384615385"/>
    <n v="-4404.33"/>
    <s v="1.1375"/>
    <s v="USD"/>
    <x v="55"/>
    <s v="INTEREST_AND_FEES"/>
    <n v="0"/>
    <s v="NONE"/>
    <n v="0"/>
    <n v="0"/>
    <s v="OUTFLOW_GENERAL_GOV_FIX_PERIOD_DEPOSITS"/>
    <s v="D_645313PN"/>
    <s v="SUMMIT"/>
    <s v="645313PN"/>
    <d v="1940-08-31T00:00:00"/>
    <s v="FV_SHORT_TM"/>
    <s v="AM_GICS_T"/>
    <s v="NONE"/>
    <s v="LOAN"/>
    <s v="Housing Finance Author. of Manatee County Florida"/>
    <n v="101000310"/>
    <s v="Lending"/>
    <s v="Loan"/>
    <s v="DEPFAPLC_NY"/>
    <s v="DEPFA"/>
    <m/>
    <m/>
    <s v="GICS Deposit"/>
  </r>
  <r>
    <x v="5"/>
    <x v="1"/>
    <x v="0"/>
    <x v="11"/>
    <x v="6"/>
    <s v="2Y_San Sabia Capital Corporation"/>
    <s v="-25.71"/>
    <s v="-22.602197802197802197802197802197802198"/>
    <n v="-25.71"/>
    <s v="1.1375"/>
    <s v="USD"/>
    <x v="19"/>
    <s v="INTEREST_AND_FEES"/>
    <n v="0"/>
    <s v="NONE"/>
    <n v="0"/>
    <n v="0"/>
    <s v="IGNORED"/>
    <s v="644550SA"/>
    <s v="SUMMIT"/>
    <m/>
    <d v="2026-12-31T00:00:00"/>
    <s v="FV_OPEN_DER"/>
    <s v="AM_GICS_T"/>
    <s v="NONE"/>
    <s v="IGNORED"/>
    <s v="Hawaiian Paradise Park  Owners  Association"/>
    <n v="101000580"/>
    <s v="Derivative"/>
    <s v="Option"/>
    <s v="SANSABIA"/>
    <s v="DEPFA"/>
    <m/>
    <m/>
    <s v="Not GIC"/>
  </r>
  <r>
    <x v="5"/>
    <x v="1"/>
    <x v="0"/>
    <x v="11"/>
    <x v="6"/>
    <s v="2Y_San Sabia Capital Corporation"/>
    <s v="-2317.27"/>
    <s v="-2037.1604395604395604395604395604395604"/>
    <n v="-2317.27"/>
    <s v="1.1375"/>
    <s v="USD"/>
    <x v="68"/>
    <s v="INTEREST_AND_FEES"/>
    <n v="0"/>
    <s v="NONE"/>
    <n v="0"/>
    <n v="0"/>
    <s v="IGNORED"/>
    <s v="644550SA"/>
    <s v="SUMMIT"/>
    <m/>
    <d v="2026-12-31T00:00:00"/>
    <s v="FV_OPEN_DER"/>
    <s v="AM_GICS_T"/>
    <s v="NONE"/>
    <s v="IGNORED"/>
    <s v="Hawaiian Paradise Park  Owners  Association"/>
    <n v="101000580"/>
    <s v="Derivative"/>
    <s v="Option"/>
    <s v="SANSABIA"/>
    <s v="DEPFA"/>
    <m/>
    <m/>
    <s v="Not GIC"/>
  </r>
  <r>
    <x v="5"/>
    <x v="1"/>
    <x v="0"/>
    <x v="11"/>
    <x v="6"/>
    <s v="2Y_San Sabia Capital Corporation"/>
    <s v="169.53"/>
    <s v="149.037362637362637362637362637362637363"/>
    <n v="169.53"/>
    <s v="1.1375"/>
    <s v="USD"/>
    <x v="19"/>
    <s v="INTEREST_AND_FEES"/>
    <n v="0"/>
    <s v="NONE"/>
    <n v="0"/>
    <n v="0"/>
    <s v="IGNORED"/>
    <s v="644550SA"/>
    <s v="SUMMIT"/>
    <m/>
    <d v="2026-12-31T00:00:00"/>
    <s v="FV_OPEN_DER"/>
    <s v="AM_GICS_T"/>
    <s v="NONE"/>
    <s v="IGNORED"/>
    <s v="Hawaiian Paradise Park  Owners  Association"/>
    <n v="101000580"/>
    <s v="Derivative"/>
    <s v="Option"/>
    <s v="SANSABIA"/>
    <s v="DEPFA"/>
    <m/>
    <m/>
    <s v="Not GIC"/>
  </r>
  <r>
    <x v="0"/>
    <x v="0"/>
    <x v="0"/>
    <x v="0"/>
    <x v="0"/>
    <s v="3W_San Sabia Capital Corporation"/>
    <s v="536.09"/>
    <s v="471.287912087912087912087912087912087912"/>
    <n v="536.09"/>
    <s v="1.1375"/>
    <s v="USD"/>
    <x v="0"/>
    <s v="INTEREST_AND_FEES"/>
    <n v="0"/>
    <s v="NONE"/>
    <n v="0"/>
    <n v="0"/>
    <s v="IGNORED"/>
    <s v="957274SA"/>
    <s v="SUMMIT"/>
    <m/>
    <d v="1939-01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1"/>
    <x v="0"/>
    <x v="0"/>
    <x v="1"/>
    <x v="1"/>
    <s v="3M_San Sabia Capital Corporation"/>
    <s v="480.94"/>
    <s v="422.804395604395604395604395604395604396"/>
    <n v="480.94"/>
    <s v="1.1375"/>
    <s v="USD"/>
    <x v="1"/>
    <s v="INTEREST_AND_FEES"/>
    <n v="0"/>
    <s v="NONE"/>
    <n v="0"/>
    <n v="0"/>
    <s v="IGNORED"/>
    <s v="957274SA"/>
    <s v="SUMMIT"/>
    <m/>
    <d v="1939-01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1"/>
    <x v="0"/>
    <x v="0"/>
    <x v="1"/>
    <x v="1"/>
    <s v="3M_San Sabia Capital Corporation"/>
    <s v="237.53"/>
    <s v="208.817582417582417582417582417582417582"/>
    <n v="237.53"/>
    <s v="1.1375"/>
    <s v="USD"/>
    <x v="2"/>
    <s v="INTEREST_AND_FEES"/>
    <n v="0"/>
    <s v="NONE"/>
    <n v="0"/>
    <n v="0"/>
    <s v="IGNORED"/>
    <s v="957274SA"/>
    <s v="SUMMIT"/>
    <m/>
    <d v="1939-01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2"/>
    <x v="0"/>
    <x v="0"/>
    <x v="2"/>
    <x v="2"/>
    <s v="6M_San Sabia Capital Corporation"/>
    <s v="214.16"/>
    <s v="188.272527472527472527472527472527472527"/>
    <n v="214.16"/>
    <s v="1.1375"/>
    <s v="USD"/>
    <x v="3"/>
    <s v="INTEREST_AND_FEES"/>
    <n v="0"/>
    <s v="NONE"/>
    <n v="0"/>
    <n v="0"/>
    <s v="IGNORED"/>
    <s v="957274SA"/>
    <s v="SUMMIT"/>
    <m/>
    <d v="1939-01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2"/>
    <x v="0"/>
    <x v="0"/>
    <x v="2"/>
    <x v="2"/>
    <s v="6M_San Sabia Capital Corporation"/>
    <n v="195"/>
    <s v="171.428571428571428571428571428571428571"/>
    <n v="194.99999999999997"/>
    <s v="1.1375"/>
    <s v="USD"/>
    <x v="4"/>
    <s v="INTEREST_AND_FEES"/>
    <n v="0"/>
    <s v="NONE"/>
    <n v="0"/>
    <n v="0"/>
    <s v="IGNORED"/>
    <s v="957274SA"/>
    <s v="SUMMIT"/>
    <m/>
    <d v="1939-01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2"/>
    <x v="0"/>
    <x v="0"/>
    <x v="2"/>
    <x v="2"/>
    <s v="6M_San Sabia Capital Corporation"/>
    <s v="201.5"/>
    <s v="177.142857142857142857142857142857142857"/>
    <n v="201.5"/>
    <s v="1.1375"/>
    <s v="USD"/>
    <x v="5"/>
    <s v="INTEREST_AND_FEES"/>
    <n v="0"/>
    <s v="NONE"/>
    <n v="0"/>
    <n v="0"/>
    <s v="IGNORED"/>
    <s v="957274SA"/>
    <s v="SUMMIT"/>
    <m/>
    <d v="1939-01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s v="171.02"/>
    <s v="150.347252747252747252747252747252747253"/>
    <n v="171.02"/>
    <s v="1.1375"/>
    <s v="USD"/>
    <x v="6"/>
    <s v="INTEREST_AND_FEES"/>
    <n v="0"/>
    <s v="NONE"/>
    <n v="0"/>
    <n v="0"/>
    <s v="IGNORED"/>
    <s v="957274SA"/>
    <s v="SUMMIT"/>
    <m/>
    <d v="1939-01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s v="157.76"/>
    <s v="138.69010989010989010989010989010989011"/>
    <n v="157.76"/>
    <s v="1.1375"/>
    <s v="USD"/>
    <x v="7"/>
    <s v="INTEREST_AND_FEES"/>
    <n v="0"/>
    <s v="NONE"/>
    <n v="0"/>
    <n v="0"/>
    <s v="IGNORED"/>
    <s v="957274SA"/>
    <s v="SUMMIT"/>
    <m/>
    <d v="1939-01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s v="157.76"/>
    <s v="138.69010989010989010989010989010989011"/>
    <n v="157.76"/>
    <s v="1.1375"/>
    <s v="USD"/>
    <x v="8"/>
    <s v="INTEREST_AND_FEES"/>
    <n v="0"/>
    <s v="NONE"/>
    <n v="0"/>
    <n v="0"/>
    <s v="IGNORED"/>
    <s v="957274SA"/>
    <s v="SUMMIT"/>
    <m/>
    <d v="1939-01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s v="116.17"/>
    <s v="102.127472527472527472527472527472527473"/>
    <n v="116.17"/>
    <s v="1.1375"/>
    <s v="USD"/>
    <x v="9"/>
    <s v="INTEREST_AND_FEES"/>
    <n v="0"/>
    <s v="NONE"/>
    <n v="0"/>
    <n v="0"/>
    <s v="IGNORED"/>
    <s v="957274SA"/>
    <s v="SUMMIT"/>
    <m/>
    <d v="1939-01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s v="106.74"/>
    <s v="93.8373626373626373626373626373626373626"/>
    <n v="106.74"/>
    <s v="1.1375"/>
    <s v="USD"/>
    <x v="10"/>
    <s v="INTEREST_AND_FEES"/>
    <n v="0"/>
    <s v="NONE"/>
    <n v="0"/>
    <n v="0"/>
    <s v="IGNORED"/>
    <s v="957274SA"/>
    <s v="SUMMIT"/>
    <m/>
    <d v="1939-01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s v="103.3"/>
    <s v="90.8131868131868131868131868131868131868"/>
    <n v="103.3"/>
    <s v="1.1375"/>
    <s v="USD"/>
    <x v="11"/>
    <s v="INTEREST_AND_FEES"/>
    <n v="0"/>
    <s v="NONE"/>
    <n v="0"/>
    <n v="0"/>
    <s v="IGNORED"/>
    <s v="957274SA"/>
    <s v="SUMMIT"/>
    <m/>
    <d v="1939-01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72.77"/>
    <s v="63.9736263736263736263736263736263736264"/>
    <n v="72.77"/>
    <s v="1.1375"/>
    <s v="USD"/>
    <x v="12"/>
    <s v="INTEREST_AND_FEES"/>
    <n v="0"/>
    <s v="NONE"/>
    <n v="0"/>
    <n v="0"/>
    <s v="IGNORED"/>
    <s v="957274SA"/>
    <s v="SUMMIT"/>
    <m/>
    <d v="1939-01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54.77"/>
    <s v="48.1494505494505494505494505494505494506"/>
    <n v="54.769999999999996"/>
    <s v="1.1375"/>
    <s v="USD"/>
    <x v="13"/>
    <s v="INTEREST_AND_FEES"/>
    <n v="0"/>
    <s v="NONE"/>
    <n v="0"/>
    <n v="0"/>
    <s v="IGNORED"/>
    <s v="957274SA"/>
    <s v="SUMMIT"/>
    <m/>
    <d v="1939-01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56.59"/>
    <s v="49.7494505494505494505494505494505494506"/>
    <n v="56.589999999999996"/>
    <s v="1.1375"/>
    <s v="USD"/>
    <x v="14"/>
    <s v="INTEREST_AND_FEES"/>
    <n v="0"/>
    <s v="NONE"/>
    <n v="0"/>
    <n v="0"/>
    <s v="IGNORED"/>
    <s v="957274SA"/>
    <s v="SUMMIT"/>
    <m/>
    <d v="1939-01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56.59"/>
    <s v="49.7494505494505494505494505494505494506"/>
    <n v="56.589999999999996"/>
    <s v="1.1375"/>
    <s v="USD"/>
    <x v="15"/>
    <s v="INTEREST_AND_FEES"/>
    <n v="0"/>
    <s v="NONE"/>
    <n v="0"/>
    <n v="0"/>
    <s v="IGNORED"/>
    <s v="957274SA"/>
    <s v="SUMMIT"/>
    <m/>
    <d v="1939-01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54.77"/>
    <s v="48.1494505494505494505494505494505494506"/>
    <n v="54.769999999999996"/>
    <s v="1.1375"/>
    <s v="USD"/>
    <x v="16"/>
    <s v="INTEREST_AND_FEES"/>
    <n v="0"/>
    <s v="NONE"/>
    <n v="0"/>
    <n v="0"/>
    <s v="IGNORED"/>
    <s v="957274SA"/>
    <s v="SUMMIT"/>
    <m/>
    <d v="1939-01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56.59"/>
    <s v="49.7494505494505494505494505494505494506"/>
    <n v="56.589999999999996"/>
    <s v="1.1375"/>
    <s v="USD"/>
    <x v="17"/>
    <s v="INTEREST_AND_FEES"/>
    <n v="0"/>
    <s v="NONE"/>
    <n v="0"/>
    <n v="0"/>
    <s v="IGNORED"/>
    <s v="957274SA"/>
    <s v="SUMMIT"/>
    <m/>
    <d v="1939-01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54.77"/>
    <s v="48.1494505494505494505494505494505494506"/>
    <n v="54.769999999999996"/>
    <s v="1.1375"/>
    <s v="USD"/>
    <x v="18"/>
    <s v="INTEREST_AND_FEES"/>
    <n v="0"/>
    <s v="NONE"/>
    <n v="0"/>
    <n v="0"/>
    <s v="IGNORED"/>
    <s v="957274SA"/>
    <s v="SUMMIT"/>
    <m/>
    <d v="1939-01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56.59"/>
    <s v="49.7494505494505494505494505494505494506"/>
    <n v="56.589999999999996"/>
    <s v="1.1375"/>
    <s v="USD"/>
    <x v="19"/>
    <s v="INTEREST_AND_FEES"/>
    <n v="0"/>
    <s v="NONE"/>
    <n v="0"/>
    <n v="0"/>
    <s v="IGNORED"/>
    <s v="957274SA"/>
    <s v="SUMMIT"/>
    <m/>
    <d v="1939-01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56.59"/>
    <s v="49.7494505494505494505494505494505494506"/>
    <n v="56.589999999999996"/>
    <s v="1.1375"/>
    <s v="USD"/>
    <x v="20"/>
    <s v="INTEREST_AND_FEES"/>
    <n v="0"/>
    <s v="NONE"/>
    <n v="0"/>
    <n v="0"/>
    <s v="IGNORED"/>
    <s v="957274SA"/>
    <s v="SUMMIT"/>
    <m/>
    <d v="1939-01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51.13"/>
    <s v="44.9494505494505494505494505494505494506"/>
    <n v="51.129999999999995"/>
    <s v="1.1375"/>
    <s v="USD"/>
    <x v="21"/>
    <s v="INTEREST_AND_FEES"/>
    <n v="0"/>
    <s v="NONE"/>
    <n v="0"/>
    <n v="0"/>
    <s v="IGNORED"/>
    <s v="957274SA"/>
    <s v="SUMMIT"/>
    <m/>
    <d v="1939-01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56.59"/>
    <s v="49.7494505494505494505494505494505494506"/>
    <n v="56.589999999999996"/>
    <s v="1.1375"/>
    <s v="USD"/>
    <x v="22"/>
    <s v="INTEREST_AND_FEES"/>
    <n v="0"/>
    <s v="NONE"/>
    <n v="0"/>
    <n v="0"/>
    <s v="IGNORED"/>
    <s v="957274SA"/>
    <s v="SUMMIT"/>
    <m/>
    <d v="1939-01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54.77"/>
    <s v="48.1494505494505494505494505494505494506"/>
    <n v="54.769999999999996"/>
    <s v="1.1375"/>
    <s v="USD"/>
    <x v="23"/>
    <s v="INTEREST_AND_FEES"/>
    <n v="0"/>
    <s v="NONE"/>
    <n v="0"/>
    <n v="0"/>
    <s v="IGNORED"/>
    <s v="957274SA"/>
    <s v="SUMMIT"/>
    <m/>
    <d v="1939-01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1"/>
    <x v="1"/>
    <x v="0"/>
    <x v="13"/>
    <x v="6"/>
    <m/>
    <n v="-96250"/>
    <s v="-84615.384615384615384615384615384615385"/>
    <n v="-96249.999999999985"/>
    <s v="1.1375"/>
    <s v="USD"/>
    <x v="69"/>
    <s v="INTEREST_AND_FEES"/>
    <n v="0"/>
    <s v="NONE"/>
    <n v="0"/>
    <n v="0"/>
    <s v="INFLOW_SEC_SALES_IN_MFIS"/>
    <n v="184300"/>
    <s v="SUMMIT"/>
    <m/>
    <d v="2016-07-18T00:00:00"/>
    <s v="AFS_GEN_U"/>
    <s v="AM_GICS_F"/>
    <s v="NONE"/>
    <s v="BONDS"/>
    <s v="J.P. Morgan Securities LLC"/>
    <n v="1101000297"/>
    <s v="Bond"/>
    <s v="Bond"/>
    <s v="DEPFAPLC_NY"/>
    <s v="DEPFA"/>
    <s v="US3137EAAG46"/>
    <m/>
    <s v="Not GIC"/>
  </r>
  <r>
    <x v="0"/>
    <x v="1"/>
    <x v="0"/>
    <x v="12"/>
    <x v="6"/>
    <m/>
    <n v="0"/>
    <n v="0"/>
    <n v="0"/>
    <s v="1.1375"/>
    <s v="USD"/>
    <x v="30"/>
    <s v="INTEREST_AND_FEES"/>
    <n v="0"/>
    <s v="NONE"/>
    <n v="0"/>
    <n v="0"/>
    <s v="INFLOW_NON_GOV_INVESTMENTS"/>
    <n v="148707"/>
    <s v="SUMMIT"/>
    <m/>
    <d v="2017-08-04T00:00:00"/>
    <s v="LN_RC_GEN_U"/>
    <s v="AM_BANKBND_L"/>
    <s v="NONE"/>
    <s v="BONDS"/>
    <s v="Depfa Bank Plc, New York"/>
    <n v="5101000018"/>
    <s v="Bond"/>
    <s v="Bond"/>
    <s v="DEPFAPLC_NY"/>
    <s v="DEPFA"/>
    <s v="US917546BN24_LF6"/>
    <m/>
    <s v="Not GIC"/>
  </r>
  <r>
    <x v="1"/>
    <x v="1"/>
    <x v="0"/>
    <x v="13"/>
    <x v="6"/>
    <m/>
    <n v="0"/>
    <n v="0"/>
    <n v="0"/>
    <s v="1.1375"/>
    <s v="USD"/>
    <x v="31"/>
    <s v="INTEREST_AND_FEES"/>
    <n v="0"/>
    <s v="NONE"/>
    <n v="0"/>
    <n v="0"/>
    <s v="INFLOW_NON_GOV_INVESTMENTS"/>
    <n v="148707"/>
    <s v="SUMMIT"/>
    <m/>
    <d v="2017-08-04T00:00:00"/>
    <s v="LN_RC_GEN_U"/>
    <s v="AM_BANKBND_L"/>
    <s v="NONE"/>
    <s v="BONDS"/>
    <s v="Depfa Bank Plc, New York"/>
    <n v="5101000018"/>
    <s v="Bond"/>
    <s v="Bond"/>
    <s v="DEPFAPLC_NY"/>
    <s v="DEPFA"/>
    <s v="US917546BN24_LF6"/>
    <m/>
    <s v="Not GIC"/>
  </r>
  <r>
    <x v="1"/>
    <x v="1"/>
    <x v="0"/>
    <x v="13"/>
    <x v="6"/>
    <m/>
    <n v="0"/>
    <n v="0"/>
    <n v="0"/>
    <s v="1.1375"/>
    <s v="USD"/>
    <x v="32"/>
    <s v="INTEREST_AND_FEES"/>
    <n v="0"/>
    <s v="NONE"/>
    <n v="0"/>
    <n v="0"/>
    <s v="INFLOW_NON_GOV_INVESTMENTS"/>
    <n v="148707"/>
    <s v="SUMMIT"/>
    <m/>
    <d v="2017-08-04T00:00:00"/>
    <s v="LN_RC_GEN_U"/>
    <s v="AM_BANKBND_L"/>
    <s v="NONE"/>
    <s v="BONDS"/>
    <s v="Depfa Bank Plc, New York"/>
    <n v="5101000018"/>
    <s v="Bond"/>
    <s v="Bond"/>
    <s v="DEPFAPLC_NY"/>
    <s v="DEPFA"/>
    <s v="US917546BN24_LF6"/>
    <m/>
    <s v="Not GIC"/>
  </r>
  <r>
    <x v="2"/>
    <x v="1"/>
    <x v="0"/>
    <x v="7"/>
    <x v="6"/>
    <m/>
    <n v="0"/>
    <n v="0"/>
    <n v="0"/>
    <s v="1.1375"/>
    <s v="USD"/>
    <x v="33"/>
    <s v="INTEREST_AND_FEES"/>
    <n v="0"/>
    <s v="NONE"/>
    <n v="0"/>
    <n v="0"/>
    <s v="INFLOW_NON_GOV_INVESTMENTS"/>
    <n v="148707"/>
    <s v="SUMMIT"/>
    <m/>
    <d v="2017-08-04T00:00:00"/>
    <s v="LN_RC_GEN_U"/>
    <s v="AM_BANKBND_L"/>
    <s v="NONE"/>
    <s v="BONDS"/>
    <s v="Depfa Bank Plc, New York"/>
    <n v="5101000018"/>
    <s v="Bond"/>
    <s v="Bond"/>
    <s v="DEPFAPLC_NY"/>
    <s v="DEPFA"/>
    <s v="US917546BN24_LF6"/>
    <m/>
    <s v="Not GIC"/>
  </r>
  <r>
    <x v="2"/>
    <x v="1"/>
    <x v="0"/>
    <x v="7"/>
    <x v="6"/>
    <m/>
    <n v="0"/>
    <n v="0"/>
    <n v="0"/>
    <s v="1.1375"/>
    <s v="USD"/>
    <x v="34"/>
    <s v="INTEREST_AND_FEES"/>
    <n v="0"/>
    <s v="NONE"/>
    <n v="0"/>
    <n v="0"/>
    <s v="INFLOW_NON_GOV_INVESTMENTS"/>
    <n v="148707"/>
    <s v="SUMMIT"/>
    <m/>
    <d v="2017-08-04T00:00:00"/>
    <s v="LN_RC_GEN_U"/>
    <s v="AM_BANKBND_L"/>
    <s v="NONE"/>
    <s v="BONDS"/>
    <s v="Depfa Bank Plc, New York"/>
    <n v="5101000018"/>
    <s v="Bond"/>
    <s v="Bond"/>
    <s v="DEPFAPLC_NY"/>
    <s v="DEPFA"/>
    <s v="US917546BN24_LF6"/>
    <m/>
    <s v="Not GIC"/>
  </r>
  <r>
    <x v="2"/>
    <x v="1"/>
    <x v="0"/>
    <x v="7"/>
    <x v="6"/>
    <m/>
    <n v="0"/>
    <n v="0"/>
    <n v="0"/>
    <s v="1.1375"/>
    <s v="USD"/>
    <x v="25"/>
    <s v="INTEREST_AND_FEES"/>
    <n v="0"/>
    <s v="NONE"/>
    <n v="0"/>
    <n v="0"/>
    <s v="INFLOW_NON_GOV_INVESTMENTS"/>
    <n v="148707"/>
    <s v="SUMMIT"/>
    <m/>
    <d v="2017-08-04T00:00:00"/>
    <s v="LN_RC_GEN_U"/>
    <s v="AM_BANKBND_L"/>
    <s v="NONE"/>
    <s v="BONDS"/>
    <s v="Depfa Bank Plc, New York"/>
    <n v="5101000018"/>
    <s v="Bond"/>
    <s v="Bond"/>
    <s v="DEPFAPLC_NY"/>
    <s v="DEPFA"/>
    <s v="US917546BN24_LF6"/>
    <m/>
    <s v="Not GIC"/>
  </r>
  <r>
    <x v="3"/>
    <x v="1"/>
    <x v="0"/>
    <x v="9"/>
    <x v="6"/>
    <m/>
    <n v="0"/>
    <n v="0"/>
    <n v="0"/>
    <s v="1.1375"/>
    <s v="USD"/>
    <x v="35"/>
    <s v="INTEREST_AND_FEES"/>
    <n v="0"/>
    <s v="NONE"/>
    <n v="0"/>
    <n v="0"/>
    <s v="INFLOW_NON_GOV_INVESTMENTS"/>
    <n v="148707"/>
    <s v="SUMMIT"/>
    <m/>
    <d v="2017-08-04T00:00:00"/>
    <s v="LN_RC_GEN_U"/>
    <s v="AM_BANKBND_L"/>
    <s v="NONE"/>
    <s v="BONDS"/>
    <s v="Depfa Bank Plc, New York"/>
    <n v="5101000018"/>
    <s v="Bond"/>
    <s v="Bond"/>
    <s v="DEPFAPLC_NY"/>
    <s v="DEPFA"/>
    <s v="US917546BN24_LF6"/>
    <m/>
    <s v="Not GIC"/>
  </r>
  <r>
    <x v="3"/>
    <x v="1"/>
    <x v="0"/>
    <x v="9"/>
    <x v="6"/>
    <m/>
    <n v="0"/>
    <n v="0"/>
    <n v="0"/>
    <s v="1.1375"/>
    <s v="USD"/>
    <x v="36"/>
    <s v="INTEREST_AND_FEES"/>
    <n v="0"/>
    <s v="NONE"/>
    <n v="0"/>
    <n v="0"/>
    <s v="INFLOW_NON_GOV_INVESTMENTS"/>
    <n v="148707"/>
    <s v="SUMMIT"/>
    <m/>
    <d v="2017-08-04T00:00:00"/>
    <s v="LN_RC_GEN_U"/>
    <s v="AM_BANKBND_L"/>
    <s v="NONE"/>
    <s v="BONDS"/>
    <s v="Depfa Bank Plc, New York"/>
    <n v="5101000018"/>
    <s v="Bond"/>
    <s v="Bond"/>
    <s v="DEPFAPLC_NY"/>
    <s v="DEPFA"/>
    <s v="US917546BN24_LF6"/>
    <m/>
    <s v="Not GIC"/>
  </r>
  <r>
    <x v="3"/>
    <x v="1"/>
    <x v="0"/>
    <x v="9"/>
    <x v="6"/>
    <m/>
    <n v="0"/>
    <n v="0"/>
    <n v="0"/>
    <s v="1.1375"/>
    <s v="USD"/>
    <x v="37"/>
    <s v="INTEREST_AND_FEES"/>
    <n v="0"/>
    <s v="NONE"/>
    <n v="0"/>
    <n v="0"/>
    <s v="INFLOW_NON_GOV_INVESTMENTS"/>
    <n v="148707"/>
    <s v="SUMMIT"/>
    <m/>
    <d v="2017-08-04T00:00:00"/>
    <s v="LN_RC_GEN_U"/>
    <s v="AM_BANKBND_L"/>
    <s v="NONE"/>
    <s v="BONDS"/>
    <s v="Depfa Bank Plc, New York"/>
    <n v="5101000018"/>
    <s v="Bond"/>
    <s v="Bond"/>
    <s v="DEPFAPLC_NY"/>
    <s v="DEPFA"/>
    <s v="US917546BN24_LF6"/>
    <m/>
    <s v="Not GIC"/>
  </r>
  <r>
    <x v="3"/>
    <x v="1"/>
    <x v="0"/>
    <x v="9"/>
    <x v="6"/>
    <m/>
    <n v="0"/>
    <n v="0"/>
    <n v="0"/>
    <s v="1.1375"/>
    <s v="USD"/>
    <x v="38"/>
    <s v="INTEREST_AND_FEES"/>
    <n v="0"/>
    <s v="NONE"/>
    <n v="0"/>
    <n v="0"/>
    <s v="INFLOW_NON_GOV_INVESTMENTS"/>
    <n v="148707"/>
    <s v="SUMMIT"/>
    <m/>
    <d v="2017-08-04T00:00:00"/>
    <s v="LN_RC_GEN_U"/>
    <s v="AM_BANKBND_L"/>
    <s v="NONE"/>
    <s v="BONDS"/>
    <s v="Depfa Bank Plc, New York"/>
    <n v="5101000018"/>
    <s v="Bond"/>
    <s v="Bond"/>
    <s v="DEPFAPLC_NY"/>
    <s v="DEPFA"/>
    <s v="US917546BN24_LF6"/>
    <m/>
    <s v="Not GIC"/>
  </r>
  <r>
    <x v="3"/>
    <x v="1"/>
    <x v="0"/>
    <x v="9"/>
    <x v="6"/>
    <m/>
    <n v="0"/>
    <n v="0"/>
    <n v="0"/>
    <s v="1.1375"/>
    <s v="USD"/>
    <x v="39"/>
    <s v="INTEREST_AND_FEES"/>
    <n v="0"/>
    <s v="NONE"/>
    <n v="0"/>
    <n v="0"/>
    <s v="INFLOW_NON_GOV_INVESTMENTS"/>
    <n v="148707"/>
    <s v="SUMMIT"/>
    <m/>
    <d v="2017-08-04T00:00:00"/>
    <s v="LN_RC_GEN_U"/>
    <s v="AM_BANKBND_L"/>
    <s v="NONE"/>
    <s v="BONDS"/>
    <s v="Depfa Bank Plc, New York"/>
    <n v="5101000018"/>
    <s v="Bond"/>
    <s v="Bond"/>
    <s v="DEPFAPLC_NY"/>
    <s v="DEPFA"/>
    <s v="US917546BN24_LF6"/>
    <m/>
    <s v="Not GIC"/>
  </r>
  <r>
    <x v="3"/>
    <x v="1"/>
    <x v="0"/>
    <x v="9"/>
    <x v="6"/>
    <m/>
    <n v="0"/>
    <n v="0"/>
    <n v="0"/>
    <s v="1.1375"/>
    <s v="USD"/>
    <x v="27"/>
    <s v="INTEREST_AND_FEES"/>
    <n v="0"/>
    <s v="NONE"/>
    <n v="0"/>
    <n v="0"/>
    <s v="INFLOW_NON_GOV_INVESTMENTS"/>
    <n v="148707"/>
    <s v="SUMMIT"/>
    <m/>
    <d v="2017-08-04T00:00:00"/>
    <s v="LN_RC_GEN_U"/>
    <s v="AM_BANKBND_L"/>
    <s v="NONE"/>
    <s v="BONDS"/>
    <s v="Depfa Bank Plc, New York"/>
    <n v="5101000018"/>
    <s v="Bond"/>
    <s v="Bond"/>
    <s v="DEPFAPLC_NY"/>
    <s v="DEPFA"/>
    <s v="US917546BN24_LF6"/>
    <m/>
    <s v="Not GIC"/>
  </r>
  <r>
    <x v="4"/>
    <x v="1"/>
    <x v="0"/>
    <x v="10"/>
    <x v="6"/>
    <m/>
    <n v="0"/>
    <n v="0"/>
    <n v="0"/>
    <s v="1.1375"/>
    <s v="USD"/>
    <x v="40"/>
    <s v="INTEREST_AND_FEES"/>
    <n v="0"/>
    <s v="NONE"/>
    <n v="0"/>
    <n v="0"/>
    <s v="INFLOW_NON_GOV_INVESTMENTS"/>
    <n v="148707"/>
    <s v="SUMMIT"/>
    <m/>
    <d v="2017-08-04T00:00:00"/>
    <s v="LN_RC_GEN_U"/>
    <s v="AM_BANKBND_L"/>
    <s v="NONE"/>
    <s v="BONDS"/>
    <s v="Depfa Bank Plc, New York"/>
    <n v="5101000018"/>
    <s v="Bond"/>
    <s v="Bond"/>
    <s v="DEPFAPLC_NY"/>
    <s v="DEPFA"/>
    <s v="US917546BN24_LF6"/>
    <m/>
    <s v="Not GIC"/>
  </r>
  <r>
    <x v="4"/>
    <x v="1"/>
    <x v="0"/>
    <x v="10"/>
    <x v="6"/>
    <m/>
    <n v="0"/>
    <n v="0"/>
    <n v="0"/>
    <s v="1.1375"/>
    <s v="USD"/>
    <x v="41"/>
    <s v="INTEREST_AND_FEES"/>
    <n v="0"/>
    <s v="NONE"/>
    <n v="0"/>
    <n v="0"/>
    <s v="INFLOW_NON_GOV_INVESTMENTS"/>
    <n v="148707"/>
    <s v="SUMMIT"/>
    <m/>
    <d v="2017-08-04T00:00:00"/>
    <s v="LN_RC_GEN_U"/>
    <s v="AM_BANKBND_L"/>
    <s v="NONE"/>
    <s v="BONDS"/>
    <s v="Depfa Bank Plc, New York"/>
    <n v="5101000018"/>
    <s v="Bond"/>
    <s v="Bond"/>
    <s v="DEPFAPLC_NY"/>
    <s v="DEPFA"/>
    <s v="US917546BN24_LF6"/>
    <m/>
    <s v="Not GIC"/>
  </r>
  <r>
    <x v="4"/>
    <x v="1"/>
    <x v="0"/>
    <x v="10"/>
    <x v="6"/>
    <m/>
    <n v="0"/>
    <n v="0"/>
    <n v="0"/>
    <s v="1.1375"/>
    <s v="USD"/>
    <x v="42"/>
    <s v="INTEREST_AND_FEES"/>
    <n v="0"/>
    <s v="NONE"/>
    <n v="0"/>
    <n v="0"/>
    <s v="INFLOW_NON_GOV_INVESTMENTS"/>
    <n v="148707"/>
    <s v="SUMMIT"/>
    <m/>
    <d v="2017-08-04T00:00:00"/>
    <s v="LN_RC_GEN_U"/>
    <s v="AM_BANKBND_L"/>
    <s v="NONE"/>
    <s v="BONDS"/>
    <s v="Depfa Bank Plc, New York"/>
    <n v="5101000018"/>
    <s v="Bond"/>
    <s v="Bond"/>
    <s v="DEPFAPLC_NY"/>
    <s v="DEPFA"/>
    <s v="US917546BN24_LF6"/>
    <m/>
    <s v="Not GIC"/>
  </r>
  <r>
    <x v="4"/>
    <x v="1"/>
    <x v="2"/>
    <x v="14"/>
    <x v="6"/>
    <m/>
    <n v="0"/>
    <n v="0"/>
    <n v="0"/>
    <s v="1.1375"/>
    <s v="USD"/>
    <x v="42"/>
    <s v="PRINCIPAL_FLOW"/>
    <n v="0"/>
    <s v="NONE"/>
    <n v="0"/>
    <n v="0"/>
    <s v="INFLOW_NON_GOV_INVESTMENTS"/>
    <n v="148707"/>
    <s v="SUMMIT"/>
    <m/>
    <d v="2017-08-04T00:00:00"/>
    <s v="LN_RC_GEN_U"/>
    <s v="AM_BANKBND_L"/>
    <s v="NONE"/>
    <s v="BONDS"/>
    <s v="Depfa Bank Plc, New York"/>
    <n v="5101000018"/>
    <s v="Bond"/>
    <s v="Bond"/>
    <s v="DEPFAPLC_NY"/>
    <s v="DEPFA"/>
    <s v="US917546BN24_LF6"/>
    <m/>
    <s v="Not GIC"/>
  </r>
  <r>
    <x v="2"/>
    <x v="1"/>
    <x v="0"/>
    <x v="7"/>
    <x v="6"/>
    <m/>
    <n v="1100000"/>
    <s v="967032.967032967032967032967032967032967"/>
    <n v="1100000"/>
    <s v="1.1375"/>
    <s v="USD"/>
    <x v="70"/>
    <s v="INTEREST_AND_FEES"/>
    <n v="0"/>
    <s v="NONE"/>
    <n v="0"/>
    <n v="0"/>
    <s v="INFLOW_CENTRAL_GOV_INVESTMENTS"/>
    <n v="162333"/>
    <s v="SUMMIT"/>
    <m/>
    <d v="2028-08-15T00:00:00"/>
    <s v="FV_SHORT_TM"/>
    <s v="AM_GICS_T"/>
    <s v="NONE"/>
    <s v="BONDS"/>
    <s v="Prime System New York Branch"/>
    <n v="1101005009"/>
    <s v="Bond"/>
    <s v="Bond"/>
    <s v="DEPFAPLC_NY"/>
    <s v="DEPFA"/>
    <s v="US912810FE39"/>
    <m/>
    <s v="Not GIC"/>
  </r>
  <r>
    <x v="3"/>
    <x v="1"/>
    <x v="0"/>
    <x v="9"/>
    <x v="6"/>
    <m/>
    <n v="1100000"/>
    <s v="967032.967032967032967032967032967032967"/>
    <n v="1100000"/>
    <s v="1.1375"/>
    <s v="USD"/>
    <x v="71"/>
    <s v="INTEREST_AND_FEES"/>
    <n v="0"/>
    <s v="NONE"/>
    <n v="0"/>
    <n v="0"/>
    <s v="INFLOW_CENTRAL_GOV_INVESTMENTS"/>
    <n v="162333"/>
    <s v="SUMMIT"/>
    <m/>
    <d v="2028-08-15T00:00:00"/>
    <s v="FV_SHORT_TM"/>
    <s v="AM_GICS_T"/>
    <s v="NONE"/>
    <s v="BONDS"/>
    <s v="Prime System New York Branch"/>
    <n v="1101005009"/>
    <s v="Bond"/>
    <s v="Bond"/>
    <s v="DEPFAPLC_NY"/>
    <s v="DEPFA"/>
    <s v="US912810FE39"/>
    <m/>
    <s v="Not GIC"/>
  </r>
  <r>
    <x v="4"/>
    <x v="1"/>
    <x v="0"/>
    <x v="10"/>
    <x v="6"/>
    <m/>
    <n v="1100000"/>
    <s v="967032.967032967032967032967032967032967"/>
    <n v="1100000"/>
    <s v="1.1375"/>
    <s v="USD"/>
    <x v="72"/>
    <s v="INTEREST_AND_FEES"/>
    <n v="0"/>
    <s v="NONE"/>
    <n v="0"/>
    <n v="0"/>
    <s v="INFLOW_CENTRAL_GOV_INVESTMENTS"/>
    <n v="162333"/>
    <s v="SUMMIT"/>
    <m/>
    <d v="2028-08-15T00:00:00"/>
    <s v="FV_SHORT_TM"/>
    <s v="AM_GICS_T"/>
    <s v="NONE"/>
    <s v="BONDS"/>
    <s v="Prime System New York Branch"/>
    <n v="1101005009"/>
    <s v="Bond"/>
    <s v="Bond"/>
    <s v="DEPFAPLC_NY"/>
    <s v="DEPFA"/>
    <s v="US912810FE39"/>
    <m/>
    <s v="Not GIC"/>
  </r>
  <r>
    <x v="5"/>
    <x v="1"/>
    <x v="0"/>
    <x v="11"/>
    <x v="6"/>
    <m/>
    <n v="1100000"/>
    <s v="967032.967032967032967032967032967032967"/>
    <n v="1100000"/>
    <s v="1.1375"/>
    <s v="USD"/>
    <x v="73"/>
    <s v="INTEREST_AND_FEES"/>
    <n v="0"/>
    <s v="NONE"/>
    <n v="0"/>
    <n v="0"/>
    <s v="INFLOW_CENTRAL_GOV_INVESTMENTS"/>
    <n v="162333"/>
    <s v="SUMMIT"/>
    <m/>
    <d v="2028-08-15T00:00:00"/>
    <s v="FV_SHORT_TM"/>
    <s v="AM_GICS_T"/>
    <s v="NONE"/>
    <s v="BONDS"/>
    <s v="Prime System New York Branch"/>
    <n v="1101005009"/>
    <s v="Bond"/>
    <s v="Bond"/>
    <s v="DEPFAPLC_NY"/>
    <s v="DEPFA"/>
    <s v="US912810FE39"/>
    <m/>
    <s v="Not GIC"/>
  </r>
  <r>
    <x v="1"/>
    <x v="0"/>
    <x v="0"/>
    <x v="1"/>
    <x v="1"/>
    <s v="3M_San Sabia Capital Corporation"/>
    <s v="3002.85"/>
    <s v="2639.86813186813186813186813186813186813"/>
    <n v="3002.85"/>
    <s v="1.1375"/>
    <s v="USD"/>
    <x v="1"/>
    <s v="INTEREST_AND_FEES"/>
    <n v="0"/>
    <s v="NONE"/>
    <n v="0"/>
    <n v="0"/>
    <s v="IGNORED"/>
    <s v="957274SA"/>
    <s v="SUMMIT"/>
    <m/>
    <d v="1939-01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1"/>
    <x v="0"/>
    <x v="0"/>
    <x v="1"/>
    <x v="1"/>
    <s v="3M_San Sabia Capital Corporation"/>
    <s v="541.88"/>
    <s v="476.378021978021978021978021978021978022"/>
    <n v="541.88"/>
    <s v="1.1375"/>
    <s v="USD"/>
    <x v="1"/>
    <s v="INTEREST_AND_FEES"/>
    <n v="0"/>
    <s v="NONE"/>
    <n v="0"/>
    <n v="0"/>
    <s v="IGNORED"/>
    <s v="957274SA"/>
    <s v="SUMMIT"/>
    <m/>
    <d v="1939-01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1"/>
    <x v="0"/>
    <x v="0"/>
    <x v="1"/>
    <x v="1"/>
    <s v="3M_San Sabia Capital Corporation"/>
    <s v="10110.45"/>
    <s v="8888.30769230769230769230769230769230769"/>
    <n v="10110.449999999999"/>
    <s v="1.1375"/>
    <s v="USD"/>
    <x v="1"/>
    <s v="INTEREST_AND_FEES"/>
    <n v="0"/>
    <s v="NONE"/>
    <n v="0"/>
    <n v="0"/>
    <s v="IGNORED"/>
    <s v="957274SA"/>
    <s v="SUMMIT"/>
    <m/>
    <d v="1939-01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1"/>
    <x v="0"/>
    <x v="0"/>
    <x v="1"/>
    <x v="1"/>
    <s v="3M_San Sabia Capital Corporation"/>
    <s v="5538.58"/>
    <s v="4869.08131868131868131868131868131868132"/>
    <n v="5538.579999999999"/>
    <s v="1.1375"/>
    <s v="USD"/>
    <x v="1"/>
    <s v="INTEREST_AND_FEES"/>
    <n v="0"/>
    <s v="NONE"/>
    <n v="0"/>
    <n v="0"/>
    <s v="IGNORED"/>
    <s v="957274SA"/>
    <s v="SUMMIT"/>
    <m/>
    <d v="1939-01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n v="14190"/>
    <s v="12474.7252747252747252747252747252747253"/>
    <n v="14190"/>
    <s v="1.1375"/>
    <s v="USD"/>
    <x v="7"/>
    <s v="INTEREST_AND_FEES"/>
    <n v="0"/>
    <s v="NONE"/>
    <n v="0"/>
    <n v="0"/>
    <s v="IGNORED"/>
    <s v="957274SA"/>
    <s v="SUMMIT"/>
    <m/>
    <d v="1939-01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n v="14190"/>
    <s v="12474.7252747252747252747252747252747253"/>
    <n v="14190"/>
    <s v="1.1375"/>
    <s v="USD"/>
    <x v="13"/>
    <s v="INTEREST_AND_FEES"/>
    <n v="0"/>
    <s v="NONE"/>
    <n v="0"/>
    <n v="0"/>
    <s v="IGNORED"/>
    <s v="957274SA"/>
    <s v="SUMMIT"/>
    <m/>
    <d v="1939-01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n v="14190"/>
    <s v="12474.7252747252747252747252747252747253"/>
    <n v="14190"/>
    <s v="1.1375"/>
    <s v="USD"/>
    <x v="19"/>
    <s v="INTEREST_AND_FEES"/>
    <n v="0"/>
    <s v="NONE"/>
    <n v="0"/>
    <n v="0"/>
    <s v="IGNORED"/>
    <s v="957274SA"/>
    <s v="SUMMIT"/>
    <m/>
    <d v="1939-01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1"/>
    <x v="1"/>
    <x v="2"/>
    <x v="18"/>
    <x v="6"/>
    <m/>
    <n v="-3500000"/>
    <s v="-3076923.0769230769230769230769230769231"/>
    <n v="-3500000"/>
    <s v="1.1375"/>
    <s v="USD"/>
    <x v="69"/>
    <s v="PRINCIPAL_FLOW"/>
    <n v="0"/>
    <s v="NONE"/>
    <n v="0"/>
    <n v="0"/>
    <s v="INFLOW_SEC_SALES_IN_MFIS"/>
    <n v="184300"/>
    <s v="SUMMIT"/>
    <m/>
    <d v="2016-07-18T00:00:00"/>
    <s v="AFS_GEN_U"/>
    <s v="AM_GICS_F"/>
    <s v="NONE"/>
    <s v="BONDS"/>
    <s v="J.P. Morgan Securities LLC"/>
    <n v="1101000297"/>
    <s v="Bond"/>
    <s v="Bond"/>
    <s v="DEPFAPLC_NY"/>
    <s v="DEPFA"/>
    <s v="US3137EAAG46"/>
    <m/>
    <s v="Not GIC"/>
  </r>
  <r>
    <x v="5"/>
    <x v="0"/>
    <x v="0"/>
    <x v="5"/>
    <x v="5"/>
    <s v="2Y_San Sabia Capital Corporation"/>
    <s v="169.53"/>
    <s v="149.037362637362637362637362637362637363"/>
    <n v="169.53"/>
    <s v="1.1375"/>
    <s v="USD"/>
    <x v="19"/>
    <s v="INTEREST_AND_FEES"/>
    <n v="0"/>
    <s v="NONE"/>
    <n v="0"/>
    <n v="0"/>
    <s v="IGNORED"/>
    <s v="957279SA"/>
    <s v="SUMMIT"/>
    <m/>
    <d v="2026-12-31T00:00:00"/>
    <s v="FV_OPEN_DER"/>
    <s v="AM_GICSAB_T"/>
    <s v="INTRA_SUB_ENTITY"/>
    <s v="IGNORED"/>
    <s v="Depfa Bank Plc"/>
    <n v="4101000279"/>
    <s v="Derivative"/>
    <s v="Option"/>
    <s v="SANSABIA"/>
    <s v="DEPFA"/>
    <m/>
    <m/>
    <s v="Not GIC"/>
  </r>
  <r>
    <x v="4"/>
    <x v="1"/>
    <x v="0"/>
    <x v="10"/>
    <x v="6"/>
    <m/>
    <n v="0"/>
    <n v="0"/>
    <n v="0"/>
    <s v="1.1375"/>
    <s v="USD"/>
    <x v="50"/>
    <s v="INTEREST_AND_FEES"/>
    <n v="0"/>
    <s v="NONE"/>
    <n v="0"/>
    <n v="0"/>
    <s v="INFLOW_NON_GOV_INVESTMENTS"/>
    <n v="148670"/>
    <s v="SUMMIT"/>
    <m/>
    <d v="2018-11-29T00:00:00"/>
    <s v="LN_RC_GEN_U"/>
    <s v="AM_BANKBND_L"/>
    <s v="NONE"/>
    <s v="BONDS"/>
    <s v="Depfa Bank Plc, New York"/>
    <n v="5101000018"/>
    <s v="Bond"/>
    <s v="Bond"/>
    <s v="DEPFAPLC_NY"/>
    <s v="DEPFA"/>
    <s v="US662826DC77_LF3"/>
    <m/>
    <s v="Not GIC"/>
  </r>
  <r>
    <x v="4"/>
    <x v="1"/>
    <x v="0"/>
    <x v="10"/>
    <x v="6"/>
    <m/>
    <n v="0"/>
    <n v="0"/>
    <n v="0"/>
    <s v="1.1375"/>
    <s v="USD"/>
    <x v="51"/>
    <s v="INTEREST_AND_FEES"/>
    <n v="0"/>
    <s v="NONE"/>
    <n v="0"/>
    <n v="0"/>
    <s v="INFLOW_NON_GOV_INVESTMENTS"/>
    <n v="148670"/>
    <s v="SUMMIT"/>
    <m/>
    <d v="2018-11-29T00:00:00"/>
    <s v="LN_RC_GEN_U"/>
    <s v="AM_BANKBND_L"/>
    <s v="NONE"/>
    <s v="BONDS"/>
    <s v="Depfa Bank Plc, New York"/>
    <n v="5101000018"/>
    <s v="Bond"/>
    <s v="Bond"/>
    <s v="DEPFAPLC_NY"/>
    <s v="DEPFA"/>
    <s v="US662826DC77_LF3"/>
    <m/>
    <s v="Not GIC"/>
  </r>
  <r>
    <x v="4"/>
    <x v="1"/>
    <x v="0"/>
    <x v="10"/>
    <x v="6"/>
    <m/>
    <n v="0"/>
    <n v="0"/>
    <n v="0"/>
    <s v="1.1375"/>
    <s v="USD"/>
    <x v="28"/>
    <s v="INTEREST_AND_FEES"/>
    <n v="0"/>
    <s v="NONE"/>
    <n v="0"/>
    <n v="0"/>
    <s v="INFLOW_NON_GOV_INVESTMENTS"/>
    <n v="148670"/>
    <s v="SUMMIT"/>
    <m/>
    <d v="2018-11-29T00:00:00"/>
    <s v="LN_RC_GEN_U"/>
    <s v="AM_BANKBND_L"/>
    <s v="NONE"/>
    <s v="BONDS"/>
    <s v="Depfa Bank Plc, New York"/>
    <n v="5101000018"/>
    <s v="Bond"/>
    <s v="Bond"/>
    <s v="DEPFAPLC_NY"/>
    <s v="DEPFA"/>
    <s v="US662826DC77_LF3"/>
    <m/>
    <s v="Not GIC"/>
  </r>
  <r>
    <x v="5"/>
    <x v="1"/>
    <x v="0"/>
    <x v="11"/>
    <x v="6"/>
    <m/>
    <n v="0"/>
    <n v="0"/>
    <n v="0"/>
    <s v="1.1375"/>
    <s v="USD"/>
    <x v="52"/>
    <s v="INTEREST_AND_FEES"/>
    <n v="0"/>
    <s v="NONE"/>
    <n v="0"/>
    <n v="0"/>
    <s v="INFLOW_NON_GOV_INVESTMENTS"/>
    <n v="148670"/>
    <s v="SUMMIT"/>
    <m/>
    <d v="2018-11-29T00:00:00"/>
    <s v="LN_RC_GEN_U"/>
    <s v="AM_BANKBND_L"/>
    <s v="NONE"/>
    <s v="BONDS"/>
    <s v="Depfa Bank Plc, New York"/>
    <n v="5101000018"/>
    <s v="Bond"/>
    <s v="Bond"/>
    <s v="DEPFAPLC_NY"/>
    <s v="DEPFA"/>
    <s v="US662826DC77_LF3"/>
    <m/>
    <s v="Not GIC"/>
  </r>
  <r>
    <x v="5"/>
    <x v="1"/>
    <x v="0"/>
    <x v="11"/>
    <x v="6"/>
    <m/>
    <n v="0"/>
    <n v="0"/>
    <n v="0"/>
    <s v="1.1375"/>
    <s v="USD"/>
    <x v="53"/>
    <s v="INTEREST_AND_FEES"/>
    <n v="0"/>
    <s v="NONE"/>
    <n v="0"/>
    <n v="0"/>
    <s v="INFLOW_NON_GOV_INVESTMENTS"/>
    <n v="148670"/>
    <s v="SUMMIT"/>
    <m/>
    <d v="2018-11-29T00:00:00"/>
    <s v="LN_RC_GEN_U"/>
    <s v="AM_BANKBND_L"/>
    <s v="NONE"/>
    <s v="BONDS"/>
    <s v="Depfa Bank Plc, New York"/>
    <n v="5101000018"/>
    <s v="Bond"/>
    <s v="Bond"/>
    <s v="DEPFAPLC_NY"/>
    <s v="DEPFA"/>
    <s v="US662826DC77_LF3"/>
    <m/>
    <s v="Not GIC"/>
  </r>
  <r>
    <x v="5"/>
    <x v="1"/>
    <x v="0"/>
    <x v="11"/>
    <x v="6"/>
    <m/>
    <n v="0"/>
    <n v="0"/>
    <n v="0"/>
    <s v="1.1375"/>
    <s v="USD"/>
    <x v="54"/>
    <s v="INTEREST_AND_FEES"/>
    <n v="0"/>
    <s v="NONE"/>
    <n v="0"/>
    <n v="0"/>
    <s v="INFLOW_NON_GOV_INVESTMENTS"/>
    <n v="148670"/>
    <s v="SUMMIT"/>
    <m/>
    <d v="2018-11-29T00:00:00"/>
    <s v="LN_RC_GEN_U"/>
    <s v="AM_BANKBND_L"/>
    <s v="NONE"/>
    <s v="BONDS"/>
    <s v="Depfa Bank Plc, New York"/>
    <n v="5101000018"/>
    <s v="Bond"/>
    <s v="Bond"/>
    <s v="DEPFAPLC_NY"/>
    <s v="DEPFA"/>
    <s v="US662826DC77_LF3"/>
    <m/>
    <s v="Not GIC"/>
  </r>
  <r>
    <x v="5"/>
    <x v="1"/>
    <x v="0"/>
    <x v="11"/>
    <x v="6"/>
    <m/>
    <n v="0"/>
    <n v="0"/>
    <n v="0"/>
    <s v="1.1375"/>
    <s v="USD"/>
    <x v="55"/>
    <s v="INTEREST_AND_FEES"/>
    <n v="0"/>
    <s v="NONE"/>
    <n v="0"/>
    <n v="0"/>
    <s v="INFLOW_NON_GOV_INVESTMENTS"/>
    <n v="148670"/>
    <s v="SUMMIT"/>
    <m/>
    <d v="2018-11-29T00:00:00"/>
    <s v="LN_RC_GEN_U"/>
    <s v="AM_BANKBND_L"/>
    <s v="NONE"/>
    <s v="BONDS"/>
    <s v="Depfa Bank Plc, New York"/>
    <n v="5101000018"/>
    <s v="Bond"/>
    <s v="Bond"/>
    <s v="DEPFAPLC_NY"/>
    <s v="DEPFA"/>
    <s v="US662826DC77_LF3"/>
    <m/>
    <s v="Not GIC"/>
  </r>
  <r>
    <x v="5"/>
    <x v="1"/>
    <x v="0"/>
    <x v="11"/>
    <x v="6"/>
    <m/>
    <n v="0"/>
    <n v="0"/>
    <n v="0"/>
    <s v="1.1375"/>
    <s v="USD"/>
    <x v="74"/>
    <s v="INTEREST_AND_FEES"/>
    <n v="0"/>
    <s v="NONE"/>
    <n v="0"/>
    <n v="0"/>
    <s v="INFLOW_NON_GOV_INVESTMENTS"/>
    <n v="148670"/>
    <s v="SUMMIT"/>
    <m/>
    <d v="2018-11-29T00:00:00"/>
    <s v="LN_RC_GEN_U"/>
    <s v="AM_BANKBND_L"/>
    <s v="NONE"/>
    <s v="BONDS"/>
    <s v="Depfa Bank Plc, New York"/>
    <n v="5101000018"/>
    <s v="Bond"/>
    <s v="Bond"/>
    <s v="DEPFAPLC_NY"/>
    <s v="DEPFA"/>
    <s v="US662826DC77_LF3"/>
    <m/>
    <s v="Not GIC"/>
  </r>
  <r>
    <x v="5"/>
    <x v="1"/>
    <x v="0"/>
    <x v="11"/>
    <x v="6"/>
    <m/>
    <n v="0"/>
    <n v="0"/>
    <n v="0"/>
    <s v="1.1375"/>
    <s v="USD"/>
    <x v="29"/>
    <s v="INTEREST_AND_FEES"/>
    <n v="0"/>
    <s v="NONE"/>
    <n v="0"/>
    <n v="0"/>
    <s v="INFLOW_NON_GOV_INVESTMENTS"/>
    <n v="148670"/>
    <s v="SUMMIT"/>
    <m/>
    <d v="2018-11-29T00:00:00"/>
    <s v="LN_RC_GEN_U"/>
    <s v="AM_BANKBND_L"/>
    <s v="NONE"/>
    <s v="BONDS"/>
    <s v="Depfa Bank Plc, New York"/>
    <n v="5101000018"/>
    <s v="Bond"/>
    <s v="Bond"/>
    <s v="DEPFAPLC_NY"/>
    <s v="DEPFA"/>
    <s v="US662826DC77_LF3"/>
    <m/>
    <s v="Not GIC"/>
  </r>
  <r>
    <x v="1"/>
    <x v="1"/>
    <x v="0"/>
    <x v="13"/>
    <x v="6"/>
    <m/>
    <n v="62500"/>
    <s v="54945.0549450549450549450549450549450549"/>
    <n v="62500"/>
    <s v="1.1375"/>
    <s v="USD"/>
    <x v="57"/>
    <s v="INTEREST_AND_FEES"/>
    <n v="0"/>
    <s v="NONE"/>
    <n v="0"/>
    <n v="0"/>
    <s v="INFLOW_CENTRAL_GOV_INVESTMENTS"/>
    <n v="193109"/>
    <s v="SUMMIT"/>
    <m/>
    <d v="2016-06-15T00:00:00"/>
    <s v="AFS_GEN_U"/>
    <s v="AM_GICS_F"/>
    <s v="NONE"/>
    <s v="BONDS"/>
    <s v="RBC CAPTIAL MARKETS, LLC"/>
    <n v="3101053435"/>
    <s v="Bond"/>
    <s v="Bond"/>
    <s v="DEPFAPLC_NY"/>
    <s v="DEPFA"/>
    <s v="US912828VG29"/>
    <m/>
    <s v="Not GIC"/>
  </r>
  <r>
    <x v="1"/>
    <x v="1"/>
    <x v="2"/>
    <x v="18"/>
    <x v="6"/>
    <m/>
    <n v="25000000"/>
    <s v="21978021.978021978021978021978021978022"/>
    <n v="25000000"/>
    <s v="1.1375"/>
    <s v="USD"/>
    <x v="57"/>
    <s v="PRINCIPAL_FLOW"/>
    <n v="0"/>
    <s v="NONE"/>
    <n v="0"/>
    <n v="0"/>
    <s v="INFLOW_CENTRAL_GOV_INVESTMENTS"/>
    <n v="193109"/>
    <s v="SUMMIT"/>
    <m/>
    <d v="2016-06-15T00:00:00"/>
    <s v="AFS_GEN_U"/>
    <s v="AM_GICS_F"/>
    <s v="NONE"/>
    <s v="BONDS"/>
    <s v="RBC CAPTIAL MARKETS, LLC"/>
    <n v="3101053435"/>
    <s v="Bond"/>
    <s v="Bond"/>
    <s v="DEPFAPLC_NY"/>
    <s v="DEPFA"/>
    <s v="US912828VG29"/>
    <m/>
    <s v="Not GIC"/>
  </r>
  <r>
    <x v="1"/>
    <x v="1"/>
    <x v="0"/>
    <x v="13"/>
    <x v="6"/>
    <s v="3M_San Sabia Capital Corporation"/>
    <s v="-22099.25"/>
    <s v="-19427.912087912087912087912087912087912"/>
    <n v="-22099.25"/>
    <s v="1.1375"/>
    <s v="USD"/>
    <x v="31"/>
    <s v="INTEREST_AND_FEES"/>
    <n v="0"/>
    <s v="NONE"/>
    <n v="0"/>
    <n v="0"/>
    <s v="OUTFLOW_GENERAL_GOV_FIX_PERIOD_DEPOSITS"/>
    <s v="D_644385SA"/>
    <s v="SUMMIT"/>
    <s v="644385SA"/>
    <d v="1938-04-01T00:00:00"/>
    <s v="FV_SHORT_TM"/>
    <s v="AM_GICS_T"/>
    <s v="NONE"/>
    <s v="LOAN"/>
    <s v="ARKANSAS DEVELOPMENT FINANCE AUTHORITY"/>
    <n v="101000527"/>
    <s v="Lending"/>
    <s v="Loan"/>
    <s v="SANSABIA"/>
    <s v="DEPFA"/>
    <m/>
    <m/>
    <s v="GICS Deposit"/>
  </r>
  <r>
    <x v="1"/>
    <x v="1"/>
    <x v="1"/>
    <x v="19"/>
    <x v="6"/>
    <s v="3M_San Sabia Capital Corporation"/>
    <s v="-569802.15"/>
    <s v="-500924.96703296703296703296703296703297"/>
    <n v="-569802.14999999991"/>
    <s v="1.1375"/>
    <s v="USD"/>
    <x v="31"/>
    <s v="PRINCIPAL_FLOW"/>
    <n v="0"/>
    <s v="NONE"/>
    <n v="0"/>
    <n v="0"/>
    <s v="OUTFLOW_GENERAL_GOV_FIX_PERIOD_DEPOSITS"/>
    <s v="D_644385SA"/>
    <s v="SUMMIT"/>
    <s v="644385SA"/>
    <d v="1938-04-01T00:00:00"/>
    <s v="FV_SHORT_TM"/>
    <s v="AM_GICS_T"/>
    <s v="NONE"/>
    <s v="LOAN"/>
    <s v="ARKANSAS DEVELOPMENT FINANCE AUTHORITY"/>
    <n v="101000527"/>
    <s v="Lending"/>
    <s v="Loan"/>
    <s v="SANSABIA"/>
    <s v="DEPFA"/>
    <m/>
    <m/>
    <s v="GICS Deposit"/>
  </r>
  <r>
    <x v="3"/>
    <x v="1"/>
    <x v="0"/>
    <x v="9"/>
    <x v="6"/>
    <s v="12M_San Sabia Capital Corporation"/>
    <s v="-14618.33"/>
    <s v="-12851.279120879120879120879120879120879"/>
    <n v="-14618.329999999998"/>
    <s v="1.1375"/>
    <s v="USD"/>
    <x v="7"/>
    <s v="INTEREST_AND_FEES"/>
    <n v="0"/>
    <s v="NONE"/>
    <n v="0"/>
    <n v="0"/>
    <s v="OUTFLOW_GENERAL_GOV_FIX_PERIOD_DEPOSITS"/>
    <s v="D_644385SA"/>
    <s v="SUMMIT"/>
    <s v="644385SA"/>
    <d v="1938-04-01T00:00:00"/>
    <s v="FV_SHORT_TM"/>
    <s v="AM_GICS_T"/>
    <s v="NONE"/>
    <s v="LOAN"/>
    <s v="ARKANSAS DEVELOPMENT FINANCE AUTHORITY"/>
    <n v="101000527"/>
    <s v="Lending"/>
    <s v="Loan"/>
    <s v="SANSABIA"/>
    <s v="DEPFA"/>
    <m/>
    <m/>
    <s v="GICS Deposit"/>
  </r>
  <r>
    <x v="4"/>
    <x v="1"/>
    <x v="0"/>
    <x v="10"/>
    <x v="6"/>
    <s v="18M_San Sabia Capital Corporation"/>
    <n v="-14700"/>
    <s v="-12923.076923076923076923076923076923077"/>
    <n v="-14700"/>
    <s v="1.1375"/>
    <s v="USD"/>
    <x v="13"/>
    <s v="INTEREST_AND_FEES"/>
    <n v="0"/>
    <s v="NONE"/>
    <n v="0"/>
    <n v="0"/>
    <s v="OUTFLOW_GENERAL_GOV_FIX_PERIOD_DEPOSITS"/>
    <s v="D_644385SA"/>
    <s v="SUMMIT"/>
    <s v="644385SA"/>
    <d v="1938-04-01T00:00:00"/>
    <s v="FV_SHORT_TM"/>
    <s v="AM_GICS_T"/>
    <s v="NONE"/>
    <s v="LOAN"/>
    <s v="ARKANSAS DEVELOPMENT FINANCE AUTHORITY"/>
    <n v="101000527"/>
    <s v="Lending"/>
    <s v="Loan"/>
    <s v="SANSABIA"/>
    <s v="DEPFA"/>
    <m/>
    <m/>
    <s v="GICS Deposit"/>
  </r>
  <r>
    <x v="5"/>
    <x v="1"/>
    <x v="0"/>
    <x v="11"/>
    <x v="6"/>
    <s v="2Y_San Sabia Capital Corporation"/>
    <s v="-14618.33"/>
    <s v="-12851.279120879120879120879120879120879"/>
    <n v="-14618.329999999998"/>
    <s v="1.1375"/>
    <s v="USD"/>
    <x v="19"/>
    <s v="INTEREST_AND_FEES"/>
    <n v="0"/>
    <s v="NONE"/>
    <n v="0"/>
    <n v="0"/>
    <s v="OUTFLOW_GENERAL_GOV_FIX_PERIOD_DEPOSITS"/>
    <s v="D_644385SA"/>
    <s v="SUMMIT"/>
    <s v="644385SA"/>
    <d v="1938-04-01T00:00:00"/>
    <s v="FV_SHORT_TM"/>
    <s v="AM_GICS_T"/>
    <s v="NONE"/>
    <s v="LOAN"/>
    <s v="ARKANSAS DEVELOPMENT FINANCE AUTHORITY"/>
    <n v="101000527"/>
    <s v="Lending"/>
    <s v="Loan"/>
    <s v="SANSABIA"/>
    <s v="DEPFA"/>
    <m/>
    <m/>
    <s v="GICS Deposit"/>
  </r>
  <r>
    <x v="0"/>
    <x v="0"/>
    <x v="0"/>
    <x v="0"/>
    <x v="0"/>
    <s v="3W_San Sabia Capital Corporation"/>
    <s v="108.39"/>
    <s v="95.2879120879120879120879120879120879121"/>
    <n v="108.39"/>
    <s v="1.1375"/>
    <s v="USD"/>
    <x v="0"/>
    <s v="INTEREST_AND_FEES"/>
    <n v="0"/>
    <s v="NONE"/>
    <n v="0"/>
    <n v="0"/>
    <s v="IGNORED"/>
    <s v="957275SA"/>
    <s v="SUMMIT"/>
    <m/>
    <d v="1939-06-30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1"/>
    <x v="0"/>
    <x v="0"/>
    <x v="1"/>
    <x v="1"/>
    <s v="3M_San Sabia Capital Corporation"/>
    <s v="95.78"/>
    <s v="84.2021978021978021978021978021978021978"/>
    <n v="95.78"/>
    <s v="1.1375"/>
    <s v="USD"/>
    <x v="1"/>
    <s v="INTEREST_AND_FEES"/>
    <n v="0"/>
    <s v="NONE"/>
    <n v="0"/>
    <n v="0"/>
    <s v="IGNORED"/>
    <s v="957275SA"/>
    <s v="SUMMIT"/>
    <m/>
    <d v="1939-06-30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1"/>
    <x v="0"/>
    <x v="0"/>
    <x v="1"/>
    <x v="1"/>
    <s v="3M_San Sabia Capital Corporation"/>
    <s v="241.45"/>
    <s v="212.263736263736263736263736263736263736"/>
    <n v="241.45"/>
    <s v="1.1375"/>
    <s v="USD"/>
    <x v="2"/>
    <s v="INTEREST_AND_FEES"/>
    <n v="0"/>
    <s v="NONE"/>
    <n v="0"/>
    <n v="0"/>
    <s v="IGNORED"/>
    <s v="957275SA"/>
    <s v="SUMMIT"/>
    <m/>
    <d v="1939-06-30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2"/>
    <x v="0"/>
    <x v="0"/>
    <x v="2"/>
    <x v="2"/>
    <s v="6M_San Sabia Capital Corporation"/>
    <s v="200.36"/>
    <s v="176.140659340659340659340659340659340659"/>
    <n v="200.35999999999999"/>
    <s v="1.1375"/>
    <s v="USD"/>
    <x v="3"/>
    <s v="INTEREST_AND_FEES"/>
    <n v="0"/>
    <s v="NONE"/>
    <n v="0"/>
    <n v="0"/>
    <s v="IGNORED"/>
    <s v="957275SA"/>
    <s v="SUMMIT"/>
    <m/>
    <d v="1939-06-30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2"/>
    <x v="0"/>
    <x v="0"/>
    <x v="2"/>
    <x v="2"/>
    <s v="6M_San Sabia Capital Corporation"/>
    <s v="133.34"/>
    <s v="117.221978021978021978021978021978021978"/>
    <n v="133.34"/>
    <s v="1.1375"/>
    <s v="USD"/>
    <x v="4"/>
    <s v="INTEREST_AND_FEES"/>
    <n v="0"/>
    <s v="NONE"/>
    <n v="0"/>
    <n v="0"/>
    <s v="IGNORED"/>
    <s v="957275SA"/>
    <s v="SUMMIT"/>
    <m/>
    <d v="1939-06-30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2"/>
    <x v="0"/>
    <x v="0"/>
    <x v="2"/>
    <x v="2"/>
    <s v="6M_San Sabia Capital Corporation"/>
    <s v="137.78"/>
    <s v="121.125274725274725274725274725274725275"/>
    <n v="137.78"/>
    <s v="1.1375"/>
    <s v="USD"/>
    <x v="5"/>
    <s v="INTEREST_AND_FEES"/>
    <n v="0"/>
    <s v="NONE"/>
    <n v="0"/>
    <n v="0"/>
    <s v="IGNORED"/>
    <s v="957275SA"/>
    <s v="SUMMIT"/>
    <m/>
    <d v="1939-06-30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s v="58.1"/>
    <s v="51.0769230769230769230769230769230769231"/>
    <n v="58.1"/>
    <s v="1.1375"/>
    <s v="USD"/>
    <x v="6"/>
    <s v="INTEREST_AND_FEES"/>
    <n v="0"/>
    <s v="NONE"/>
    <n v="0"/>
    <n v="0"/>
    <s v="IGNORED"/>
    <s v="957275SA"/>
    <s v="SUMMIT"/>
    <m/>
    <d v="1939-06-30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s v="-7.74"/>
    <s v="-6.8043956043956043956043956043956043956"/>
    <n v="-7.7399999999999993"/>
    <s v="1.1375"/>
    <s v="USD"/>
    <x v="7"/>
    <s v="INTEREST_AND_FEES"/>
    <n v="0"/>
    <s v="NONE"/>
    <n v="0"/>
    <n v="0"/>
    <s v="IGNORED"/>
    <s v="957275SA"/>
    <s v="SUMMIT"/>
    <m/>
    <d v="1939-06-30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s v="-1.66"/>
    <s v="-1.4593406593406593406593406593406593407"/>
    <n v="-1.66"/>
    <s v="1.1375"/>
    <s v="USD"/>
    <x v="8"/>
    <s v="INTEREST_AND_FEES"/>
    <n v="0"/>
    <s v="NONE"/>
    <n v="0"/>
    <n v="0"/>
    <s v="IGNORED"/>
    <s v="957275SA"/>
    <s v="SUMMIT"/>
    <m/>
    <d v="1939-06-30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s v="-17.9"/>
    <s v="-15.736263736263736263736263736263736264"/>
    <n v="-17.899999999999999"/>
    <s v="1.1375"/>
    <s v="USD"/>
    <x v="9"/>
    <s v="INTEREST_AND_FEES"/>
    <n v="0"/>
    <s v="NONE"/>
    <n v="0"/>
    <n v="0"/>
    <s v="IGNORED"/>
    <s v="957275SA"/>
    <s v="SUMMIT"/>
    <m/>
    <d v="1939-06-30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s v="-35.62"/>
    <s v="-31.314285714285714285714285714285714286"/>
    <n v="-35.619999999999997"/>
    <s v="1.1375"/>
    <s v="USD"/>
    <x v="10"/>
    <s v="INTEREST_AND_FEES"/>
    <n v="0"/>
    <s v="NONE"/>
    <n v="0"/>
    <n v="0"/>
    <s v="IGNORED"/>
    <s v="957275SA"/>
    <s v="SUMMIT"/>
    <m/>
    <d v="1939-06-30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s v="-32.17"/>
    <s v="-28.281318681318681318681318681318681319"/>
    <n v="-32.169999999999995"/>
    <s v="1.1375"/>
    <s v="USD"/>
    <x v="11"/>
    <s v="INTEREST_AND_FEES"/>
    <n v="0"/>
    <s v="NONE"/>
    <n v="0"/>
    <n v="0"/>
    <s v="IGNORED"/>
    <s v="957275SA"/>
    <s v="SUMMIT"/>
    <m/>
    <d v="1939-06-30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-58.41"/>
    <s v="-51.349450549450549450549450549450549451"/>
    <n v="-58.410000000000004"/>
    <s v="1.1375"/>
    <s v="USD"/>
    <x v="12"/>
    <s v="INTEREST_AND_FEES"/>
    <n v="0"/>
    <s v="NONE"/>
    <n v="0"/>
    <n v="0"/>
    <s v="IGNORED"/>
    <s v="957275SA"/>
    <s v="SUMMIT"/>
    <m/>
    <d v="1939-06-30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-66.82"/>
    <s v="-58.742857142857142857142857142857142857"/>
    <n v="-66.819999999999993"/>
    <s v="1.1375"/>
    <s v="USD"/>
    <x v="13"/>
    <s v="INTEREST_AND_FEES"/>
    <n v="0"/>
    <s v="NONE"/>
    <n v="0"/>
    <n v="0"/>
    <s v="IGNORED"/>
    <s v="957275SA"/>
    <s v="SUMMIT"/>
    <m/>
    <d v="1939-06-30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-69.05"/>
    <s v="-60.703296703296703296703296703296703297"/>
    <n v="-69.05"/>
    <s v="1.1375"/>
    <s v="USD"/>
    <x v="14"/>
    <s v="INTEREST_AND_FEES"/>
    <n v="0"/>
    <s v="NONE"/>
    <n v="0"/>
    <n v="0"/>
    <s v="IGNORED"/>
    <s v="957275SA"/>
    <s v="SUMMIT"/>
    <m/>
    <d v="1939-06-30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-69.05"/>
    <s v="-60.703296703296703296703296703296703297"/>
    <n v="-69.05"/>
    <s v="1.1375"/>
    <s v="USD"/>
    <x v="15"/>
    <s v="INTEREST_AND_FEES"/>
    <n v="0"/>
    <s v="NONE"/>
    <n v="0"/>
    <n v="0"/>
    <s v="IGNORED"/>
    <s v="957275SA"/>
    <s v="SUMMIT"/>
    <m/>
    <d v="1939-06-30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-64.59"/>
    <s v="-56.782417582417582417582417582417582418"/>
    <n v="-64.589999999999989"/>
    <s v="1.1375"/>
    <s v="USD"/>
    <x v="16"/>
    <s v="INTEREST_AND_FEES"/>
    <n v="0"/>
    <s v="NONE"/>
    <n v="0"/>
    <n v="0"/>
    <s v="IGNORED"/>
    <s v="957275SA"/>
    <s v="SUMMIT"/>
    <m/>
    <d v="1939-06-30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-71.28"/>
    <s v="-62.663736263736263736263736263736263736"/>
    <n v="-71.28"/>
    <s v="1.1375"/>
    <s v="USD"/>
    <x v="17"/>
    <s v="INTEREST_AND_FEES"/>
    <n v="0"/>
    <s v="NONE"/>
    <n v="0"/>
    <n v="0"/>
    <s v="IGNORED"/>
    <s v="957275SA"/>
    <s v="SUMMIT"/>
    <m/>
    <d v="1939-06-30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-66.82"/>
    <s v="-58.742857142857142857142857142857142857"/>
    <n v="-66.819999999999993"/>
    <s v="1.1375"/>
    <s v="USD"/>
    <x v="18"/>
    <s v="INTEREST_AND_FEES"/>
    <n v="0"/>
    <s v="NONE"/>
    <n v="0"/>
    <n v="0"/>
    <s v="IGNORED"/>
    <s v="957275SA"/>
    <s v="SUMMIT"/>
    <m/>
    <d v="1939-06-30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-64.59"/>
    <s v="-56.782417582417582417582417582417582418"/>
    <n v="-64.589999999999989"/>
    <s v="1.1375"/>
    <s v="USD"/>
    <x v="19"/>
    <s v="INTEREST_AND_FEES"/>
    <n v="0"/>
    <s v="NONE"/>
    <n v="0"/>
    <n v="0"/>
    <s v="IGNORED"/>
    <s v="957275SA"/>
    <s v="SUMMIT"/>
    <m/>
    <d v="1939-06-30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-73.51"/>
    <s v="-64.624175824175824175824175824175824176"/>
    <n v="-73.509999999999991"/>
    <s v="1.1375"/>
    <s v="USD"/>
    <x v="20"/>
    <s v="INTEREST_AND_FEES"/>
    <n v="0"/>
    <s v="NONE"/>
    <n v="0"/>
    <n v="0"/>
    <s v="IGNORED"/>
    <s v="957275SA"/>
    <s v="SUMMIT"/>
    <m/>
    <d v="1939-06-30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-62.36"/>
    <s v="-54.821978021978021978021978021978021978"/>
    <n v="-62.359999999999992"/>
    <s v="1.1375"/>
    <s v="USD"/>
    <x v="21"/>
    <s v="INTEREST_AND_FEES"/>
    <n v="0"/>
    <s v="NONE"/>
    <n v="0"/>
    <n v="0"/>
    <s v="IGNORED"/>
    <s v="957275SA"/>
    <s v="SUMMIT"/>
    <m/>
    <d v="1939-06-30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-66.82"/>
    <s v="-58.742857142857142857142857142857142857"/>
    <n v="-66.819999999999993"/>
    <s v="1.1375"/>
    <s v="USD"/>
    <x v="22"/>
    <s v="INTEREST_AND_FEES"/>
    <n v="0"/>
    <s v="NONE"/>
    <n v="0"/>
    <n v="0"/>
    <s v="IGNORED"/>
    <s v="957275SA"/>
    <s v="SUMMIT"/>
    <m/>
    <d v="1939-06-30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-69.05"/>
    <s v="-60.703296703296703296703296703296703297"/>
    <n v="-69.05"/>
    <s v="1.1375"/>
    <s v="USD"/>
    <x v="23"/>
    <s v="INTEREST_AND_FEES"/>
    <n v="0"/>
    <s v="NONE"/>
    <n v="0"/>
    <n v="0"/>
    <s v="IGNORED"/>
    <s v="957275SA"/>
    <s v="SUMMIT"/>
    <m/>
    <d v="1939-06-30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1"/>
    <x v="0"/>
    <x v="0"/>
    <x v="1"/>
    <x v="1"/>
    <s v="3M_San Sabia Capital Corporation"/>
    <s v="1323.16"/>
    <s v="1163.21758241758241758241758241758241758"/>
    <n v="1323.1599999999999"/>
    <s v="1.1375"/>
    <s v="USD"/>
    <x v="1"/>
    <s v="INTEREST_AND_FEES"/>
    <n v="0"/>
    <s v="NONE"/>
    <n v="0"/>
    <n v="0"/>
    <s v="IGNORED"/>
    <s v="957275SA"/>
    <s v="SUMMIT"/>
    <m/>
    <d v="1939-06-30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1"/>
    <x v="0"/>
    <x v="0"/>
    <x v="1"/>
    <x v="1"/>
    <s v="3M_San Sabia Capital Corporation"/>
    <s v="277.94"/>
    <s v="244.342857142857142857142857142857142857"/>
    <n v="277.94"/>
    <s v="1.1375"/>
    <s v="USD"/>
    <x v="1"/>
    <s v="INTEREST_AND_FEES"/>
    <n v="0"/>
    <s v="NONE"/>
    <n v="0"/>
    <n v="0"/>
    <s v="IGNORED"/>
    <s v="957275SA"/>
    <s v="SUMMIT"/>
    <m/>
    <d v="1939-06-30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1"/>
    <x v="0"/>
    <x v="0"/>
    <x v="1"/>
    <x v="1"/>
    <s v="3M_San Sabia Capital Corporation"/>
    <s v="5190.57"/>
    <s v="4563.13846153846153846153846153846153846"/>
    <n v="5190.57"/>
    <s v="1.1375"/>
    <s v="USD"/>
    <x v="1"/>
    <s v="INTEREST_AND_FEES"/>
    <n v="0"/>
    <s v="NONE"/>
    <n v="0"/>
    <n v="0"/>
    <s v="IGNORED"/>
    <s v="957275SA"/>
    <s v="SUMMIT"/>
    <m/>
    <d v="1939-06-30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1"/>
    <x v="0"/>
    <x v="0"/>
    <x v="1"/>
    <x v="1"/>
    <s v="3M_San Sabia Capital Corporation"/>
    <s v="2441.56"/>
    <s v="2146.42637362637362637362637362637362637"/>
    <n v="2441.56"/>
    <s v="1.1375"/>
    <s v="USD"/>
    <x v="1"/>
    <s v="INTEREST_AND_FEES"/>
    <n v="0"/>
    <s v="NONE"/>
    <n v="0"/>
    <n v="0"/>
    <s v="IGNORED"/>
    <s v="957275SA"/>
    <s v="SUMMIT"/>
    <m/>
    <d v="1939-06-30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n v="41400"/>
    <s v="36395.6043956043956043956043956043956044"/>
    <n v="41400"/>
    <s v="1.1375"/>
    <s v="USD"/>
    <x v="7"/>
    <s v="INTEREST_AND_FEES"/>
    <n v="0"/>
    <s v="NONE"/>
    <n v="0"/>
    <n v="0"/>
    <s v="IGNORED"/>
    <s v="957275SA"/>
    <s v="SUMMIT"/>
    <m/>
    <d v="1939-06-30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n v="8280"/>
    <s v="7279.12087912087912087912087912087912088"/>
    <n v="8280"/>
    <s v="1.1375"/>
    <s v="USD"/>
    <x v="13"/>
    <s v="INTEREST_AND_FEES"/>
    <n v="0"/>
    <s v="NONE"/>
    <n v="0"/>
    <n v="0"/>
    <s v="IGNORED"/>
    <s v="957275SA"/>
    <s v="SUMMIT"/>
    <m/>
    <d v="1939-06-30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n v="8234"/>
    <s v="7238.68131868131868131868131868131868132"/>
    <n v="8234"/>
    <s v="1.1375"/>
    <s v="USD"/>
    <x v="19"/>
    <s v="INTEREST_AND_FEES"/>
    <n v="0"/>
    <s v="NONE"/>
    <n v="0"/>
    <n v="0"/>
    <s v="IGNORED"/>
    <s v="957275SA"/>
    <s v="SUMMIT"/>
    <m/>
    <d v="1939-06-30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0"/>
    <x v="1"/>
    <x v="0"/>
    <x v="12"/>
    <x v="6"/>
    <m/>
    <n v="0"/>
    <n v="0"/>
    <n v="0"/>
    <s v="1.1375"/>
    <s v="USD"/>
    <x v="30"/>
    <s v="INTEREST_AND_FEES"/>
    <n v="0"/>
    <s v="NONE"/>
    <n v="0"/>
    <n v="0"/>
    <s v="INFLOW_NON_GOV_INVESTMENTS"/>
    <n v="148706"/>
    <s v="SUMMIT"/>
    <m/>
    <d v="2017-07-16T00:00:00"/>
    <s v="LN_RC_GEN_U"/>
    <s v="AM_BANKBND_L"/>
    <s v="NONE"/>
    <s v="BONDS"/>
    <s v="Depfa Bank Plc, New York"/>
    <n v="5101000018"/>
    <s v="Bond"/>
    <s v="Bond"/>
    <s v="DEPFAPLC_NY"/>
    <s v="DEPFA"/>
    <s v="US917546BN24_LF5"/>
    <m/>
    <s v="Not GIC"/>
  </r>
  <r>
    <x v="1"/>
    <x v="1"/>
    <x v="0"/>
    <x v="13"/>
    <x v="6"/>
    <m/>
    <n v="0"/>
    <n v="0"/>
    <n v="0"/>
    <s v="1.1375"/>
    <s v="USD"/>
    <x v="31"/>
    <s v="INTEREST_AND_FEES"/>
    <n v="0"/>
    <s v="NONE"/>
    <n v="0"/>
    <n v="0"/>
    <s v="INFLOW_NON_GOV_INVESTMENTS"/>
    <n v="148706"/>
    <s v="SUMMIT"/>
    <m/>
    <d v="2017-07-16T00:00:00"/>
    <s v="LN_RC_GEN_U"/>
    <s v="AM_BANKBND_L"/>
    <s v="NONE"/>
    <s v="BONDS"/>
    <s v="Depfa Bank Plc, New York"/>
    <n v="5101000018"/>
    <s v="Bond"/>
    <s v="Bond"/>
    <s v="DEPFAPLC_NY"/>
    <s v="DEPFA"/>
    <s v="US917546BN24_LF5"/>
    <m/>
    <s v="Not GIC"/>
  </r>
  <r>
    <x v="1"/>
    <x v="1"/>
    <x v="0"/>
    <x v="13"/>
    <x v="6"/>
    <m/>
    <n v="0"/>
    <n v="0"/>
    <n v="0"/>
    <s v="1.1375"/>
    <s v="USD"/>
    <x v="32"/>
    <s v="INTEREST_AND_FEES"/>
    <n v="0"/>
    <s v="NONE"/>
    <n v="0"/>
    <n v="0"/>
    <s v="INFLOW_NON_GOV_INVESTMENTS"/>
    <n v="148706"/>
    <s v="SUMMIT"/>
    <m/>
    <d v="2017-07-16T00:00:00"/>
    <s v="LN_RC_GEN_U"/>
    <s v="AM_BANKBND_L"/>
    <s v="NONE"/>
    <s v="BONDS"/>
    <s v="Depfa Bank Plc, New York"/>
    <n v="5101000018"/>
    <s v="Bond"/>
    <s v="Bond"/>
    <s v="DEPFAPLC_NY"/>
    <s v="DEPFA"/>
    <s v="US917546BN24_LF5"/>
    <m/>
    <s v="Not GIC"/>
  </r>
  <r>
    <x v="2"/>
    <x v="1"/>
    <x v="0"/>
    <x v="7"/>
    <x v="6"/>
    <m/>
    <n v="0"/>
    <n v="0"/>
    <n v="0"/>
    <s v="1.1375"/>
    <s v="USD"/>
    <x v="33"/>
    <s v="INTEREST_AND_FEES"/>
    <n v="0"/>
    <s v="NONE"/>
    <n v="0"/>
    <n v="0"/>
    <s v="INFLOW_NON_GOV_INVESTMENTS"/>
    <n v="148706"/>
    <s v="SUMMIT"/>
    <m/>
    <d v="2017-07-16T00:00:00"/>
    <s v="LN_RC_GEN_U"/>
    <s v="AM_BANKBND_L"/>
    <s v="NONE"/>
    <s v="BONDS"/>
    <s v="Depfa Bank Plc, New York"/>
    <n v="5101000018"/>
    <s v="Bond"/>
    <s v="Bond"/>
    <s v="DEPFAPLC_NY"/>
    <s v="DEPFA"/>
    <s v="US917546BN24_LF5"/>
    <m/>
    <s v="Not GIC"/>
  </r>
  <r>
    <x v="2"/>
    <x v="1"/>
    <x v="0"/>
    <x v="7"/>
    <x v="6"/>
    <m/>
    <n v="0"/>
    <n v="0"/>
    <n v="0"/>
    <s v="1.1375"/>
    <s v="USD"/>
    <x v="34"/>
    <s v="INTEREST_AND_FEES"/>
    <n v="0"/>
    <s v="NONE"/>
    <n v="0"/>
    <n v="0"/>
    <s v="INFLOW_NON_GOV_INVESTMENTS"/>
    <n v="148706"/>
    <s v="SUMMIT"/>
    <m/>
    <d v="2017-07-16T00:00:00"/>
    <s v="LN_RC_GEN_U"/>
    <s v="AM_BANKBND_L"/>
    <s v="NONE"/>
    <s v="BONDS"/>
    <s v="Depfa Bank Plc, New York"/>
    <n v="5101000018"/>
    <s v="Bond"/>
    <s v="Bond"/>
    <s v="DEPFAPLC_NY"/>
    <s v="DEPFA"/>
    <s v="US917546BN24_LF5"/>
    <m/>
    <s v="Not GIC"/>
  </r>
  <r>
    <x v="2"/>
    <x v="1"/>
    <x v="0"/>
    <x v="7"/>
    <x v="6"/>
    <m/>
    <n v="0"/>
    <n v="0"/>
    <n v="0"/>
    <s v="1.1375"/>
    <s v="USD"/>
    <x v="25"/>
    <s v="INTEREST_AND_FEES"/>
    <n v="0"/>
    <s v="NONE"/>
    <n v="0"/>
    <n v="0"/>
    <s v="INFLOW_NON_GOV_INVESTMENTS"/>
    <n v="148706"/>
    <s v="SUMMIT"/>
    <m/>
    <d v="2017-07-16T00:00:00"/>
    <s v="LN_RC_GEN_U"/>
    <s v="AM_BANKBND_L"/>
    <s v="NONE"/>
    <s v="BONDS"/>
    <s v="Depfa Bank Plc, New York"/>
    <n v="5101000018"/>
    <s v="Bond"/>
    <s v="Bond"/>
    <s v="DEPFAPLC_NY"/>
    <s v="DEPFA"/>
    <s v="US917546BN24_LF5"/>
    <m/>
    <s v="Not GIC"/>
  </r>
  <r>
    <x v="3"/>
    <x v="1"/>
    <x v="0"/>
    <x v="9"/>
    <x v="6"/>
    <m/>
    <n v="0"/>
    <n v="0"/>
    <n v="0"/>
    <s v="1.1375"/>
    <s v="USD"/>
    <x v="35"/>
    <s v="INTEREST_AND_FEES"/>
    <n v="0"/>
    <s v="NONE"/>
    <n v="0"/>
    <n v="0"/>
    <s v="INFLOW_NON_GOV_INVESTMENTS"/>
    <n v="148706"/>
    <s v="SUMMIT"/>
    <m/>
    <d v="2017-07-16T00:00:00"/>
    <s v="LN_RC_GEN_U"/>
    <s v="AM_BANKBND_L"/>
    <s v="NONE"/>
    <s v="BONDS"/>
    <s v="Depfa Bank Plc, New York"/>
    <n v="5101000018"/>
    <s v="Bond"/>
    <s v="Bond"/>
    <s v="DEPFAPLC_NY"/>
    <s v="DEPFA"/>
    <s v="US917546BN24_LF5"/>
    <m/>
    <s v="Not GIC"/>
  </r>
  <r>
    <x v="3"/>
    <x v="1"/>
    <x v="0"/>
    <x v="9"/>
    <x v="6"/>
    <m/>
    <n v="0"/>
    <n v="0"/>
    <n v="0"/>
    <s v="1.1375"/>
    <s v="USD"/>
    <x v="36"/>
    <s v="INTEREST_AND_FEES"/>
    <n v="0"/>
    <s v="NONE"/>
    <n v="0"/>
    <n v="0"/>
    <s v="INFLOW_NON_GOV_INVESTMENTS"/>
    <n v="148706"/>
    <s v="SUMMIT"/>
    <m/>
    <d v="2017-07-16T00:00:00"/>
    <s v="LN_RC_GEN_U"/>
    <s v="AM_BANKBND_L"/>
    <s v="NONE"/>
    <s v="BONDS"/>
    <s v="Depfa Bank Plc, New York"/>
    <n v="5101000018"/>
    <s v="Bond"/>
    <s v="Bond"/>
    <s v="DEPFAPLC_NY"/>
    <s v="DEPFA"/>
    <s v="US917546BN24_LF5"/>
    <m/>
    <s v="Not GIC"/>
  </r>
  <r>
    <x v="3"/>
    <x v="1"/>
    <x v="0"/>
    <x v="9"/>
    <x v="6"/>
    <m/>
    <n v="0"/>
    <n v="0"/>
    <n v="0"/>
    <s v="1.1375"/>
    <s v="USD"/>
    <x v="37"/>
    <s v="INTEREST_AND_FEES"/>
    <n v="0"/>
    <s v="NONE"/>
    <n v="0"/>
    <n v="0"/>
    <s v="INFLOW_NON_GOV_INVESTMENTS"/>
    <n v="148706"/>
    <s v="SUMMIT"/>
    <m/>
    <d v="2017-07-16T00:00:00"/>
    <s v="LN_RC_GEN_U"/>
    <s v="AM_BANKBND_L"/>
    <s v="NONE"/>
    <s v="BONDS"/>
    <s v="Depfa Bank Plc, New York"/>
    <n v="5101000018"/>
    <s v="Bond"/>
    <s v="Bond"/>
    <s v="DEPFAPLC_NY"/>
    <s v="DEPFA"/>
    <s v="US917546BN24_LF5"/>
    <m/>
    <s v="Not GIC"/>
  </r>
  <r>
    <x v="3"/>
    <x v="1"/>
    <x v="0"/>
    <x v="9"/>
    <x v="6"/>
    <m/>
    <n v="0"/>
    <n v="0"/>
    <n v="0"/>
    <s v="1.1375"/>
    <s v="USD"/>
    <x v="38"/>
    <s v="INTEREST_AND_FEES"/>
    <n v="0"/>
    <s v="NONE"/>
    <n v="0"/>
    <n v="0"/>
    <s v="INFLOW_NON_GOV_INVESTMENTS"/>
    <n v="148706"/>
    <s v="SUMMIT"/>
    <m/>
    <d v="2017-07-16T00:00:00"/>
    <s v="LN_RC_GEN_U"/>
    <s v="AM_BANKBND_L"/>
    <s v="NONE"/>
    <s v="BONDS"/>
    <s v="Depfa Bank Plc, New York"/>
    <n v="5101000018"/>
    <s v="Bond"/>
    <s v="Bond"/>
    <s v="DEPFAPLC_NY"/>
    <s v="DEPFA"/>
    <s v="US917546BN24_LF5"/>
    <m/>
    <s v="Not GIC"/>
  </r>
  <r>
    <x v="3"/>
    <x v="1"/>
    <x v="0"/>
    <x v="9"/>
    <x v="6"/>
    <m/>
    <n v="0"/>
    <n v="0"/>
    <n v="0"/>
    <s v="1.1375"/>
    <s v="USD"/>
    <x v="39"/>
    <s v="INTEREST_AND_FEES"/>
    <n v="0"/>
    <s v="NONE"/>
    <n v="0"/>
    <n v="0"/>
    <s v="INFLOW_NON_GOV_INVESTMENTS"/>
    <n v="148706"/>
    <s v="SUMMIT"/>
    <m/>
    <d v="2017-07-16T00:00:00"/>
    <s v="LN_RC_GEN_U"/>
    <s v="AM_BANKBND_L"/>
    <s v="NONE"/>
    <s v="BONDS"/>
    <s v="Depfa Bank Plc, New York"/>
    <n v="5101000018"/>
    <s v="Bond"/>
    <s v="Bond"/>
    <s v="DEPFAPLC_NY"/>
    <s v="DEPFA"/>
    <s v="US917546BN24_LF5"/>
    <m/>
    <s v="Not GIC"/>
  </r>
  <r>
    <x v="3"/>
    <x v="1"/>
    <x v="0"/>
    <x v="9"/>
    <x v="6"/>
    <m/>
    <n v="0"/>
    <n v="0"/>
    <n v="0"/>
    <s v="1.1375"/>
    <s v="USD"/>
    <x v="27"/>
    <s v="INTEREST_AND_FEES"/>
    <n v="0"/>
    <s v="NONE"/>
    <n v="0"/>
    <n v="0"/>
    <s v="INFLOW_NON_GOV_INVESTMENTS"/>
    <n v="148706"/>
    <s v="SUMMIT"/>
    <m/>
    <d v="2017-07-16T00:00:00"/>
    <s v="LN_RC_GEN_U"/>
    <s v="AM_BANKBND_L"/>
    <s v="NONE"/>
    <s v="BONDS"/>
    <s v="Depfa Bank Plc, New York"/>
    <n v="5101000018"/>
    <s v="Bond"/>
    <s v="Bond"/>
    <s v="DEPFAPLC_NY"/>
    <s v="DEPFA"/>
    <s v="US917546BN24_LF5"/>
    <m/>
    <s v="Not GIC"/>
  </r>
  <r>
    <x v="4"/>
    <x v="1"/>
    <x v="0"/>
    <x v="10"/>
    <x v="6"/>
    <m/>
    <n v="0"/>
    <n v="0"/>
    <n v="0"/>
    <s v="1.1375"/>
    <s v="USD"/>
    <x v="40"/>
    <s v="INTEREST_AND_FEES"/>
    <n v="0"/>
    <s v="NONE"/>
    <n v="0"/>
    <n v="0"/>
    <s v="INFLOW_NON_GOV_INVESTMENTS"/>
    <n v="148706"/>
    <s v="SUMMIT"/>
    <m/>
    <d v="2017-07-16T00:00:00"/>
    <s v="LN_RC_GEN_U"/>
    <s v="AM_BANKBND_L"/>
    <s v="NONE"/>
    <s v="BONDS"/>
    <s v="Depfa Bank Plc, New York"/>
    <n v="5101000018"/>
    <s v="Bond"/>
    <s v="Bond"/>
    <s v="DEPFAPLC_NY"/>
    <s v="DEPFA"/>
    <s v="US917546BN24_LF5"/>
    <m/>
    <s v="Not GIC"/>
  </r>
  <r>
    <x v="4"/>
    <x v="1"/>
    <x v="0"/>
    <x v="10"/>
    <x v="6"/>
    <m/>
    <n v="0"/>
    <n v="0"/>
    <n v="0"/>
    <s v="1.1375"/>
    <s v="USD"/>
    <x v="75"/>
    <s v="INTEREST_AND_FEES"/>
    <n v="0"/>
    <s v="NONE"/>
    <n v="0"/>
    <n v="0"/>
    <s v="INFLOW_NON_GOV_INVESTMENTS"/>
    <n v="148706"/>
    <s v="SUMMIT"/>
    <m/>
    <d v="2017-07-16T00:00:00"/>
    <s v="LN_RC_GEN_U"/>
    <s v="AM_BANKBND_L"/>
    <s v="NONE"/>
    <s v="BONDS"/>
    <s v="Depfa Bank Plc, New York"/>
    <n v="5101000018"/>
    <s v="Bond"/>
    <s v="Bond"/>
    <s v="DEPFAPLC_NY"/>
    <s v="DEPFA"/>
    <s v="US917546BN24_LF5"/>
    <m/>
    <s v="Not GIC"/>
  </r>
  <r>
    <x v="4"/>
    <x v="1"/>
    <x v="2"/>
    <x v="14"/>
    <x v="6"/>
    <m/>
    <n v="0"/>
    <n v="0"/>
    <n v="0"/>
    <s v="1.1375"/>
    <s v="USD"/>
    <x v="75"/>
    <s v="PRINCIPAL_FLOW"/>
    <n v="0"/>
    <s v="NONE"/>
    <n v="0"/>
    <n v="0"/>
    <s v="INFLOW_NON_GOV_INVESTMENTS"/>
    <n v="148706"/>
    <s v="SUMMIT"/>
    <m/>
    <d v="2017-07-16T00:00:00"/>
    <s v="LN_RC_GEN_U"/>
    <s v="AM_BANKBND_L"/>
    <s v="NONE"/>
    <s v="BONDS"/>
    <s v="Depfa Bank Plc, New York"/>
    <n v="5101000018"/>
    <s v="Bond"/>
    <s v="Bond"/>
    <s v="DEPFAPLC_NY"/>
    <s v="DEPFA"/>
    <s v="US917546BN24_LF5"/>
    <m/>
    <s v="Not GIC"/>
  </r>
  <r>
    <x v="1"/>
    <x v="1"/>
    <x v="0"/>
    <x v="13"/>
    <x v="6"/>
    <m/>
    <n v="25000"/>
    <s v="21978.021978021978021978021978021978022"/>
    <n v="25000"/>
    <s v="1.1375"/>
    <s v="USD"/>
    <x v="57"/>
    <s v="INTEREST_AND_FEES"/>
    <n v="0"/>
    <s v="NONE"/>
    <n v="0"/>
    <n v="0"/>
    <s v="INFLOW_CENTRAL_GOV_INVESTMENTS"/>
    <n v="193068"/>
    <s v="SUMMIT"/>
    <m/>
    <d v="2016-06-15T00:00:00"/>
    <s v="AFS_GEN_U"/>
    <s v="AM_GICS_F"/>
    <s v="NONE"/>
    <s v="BONDS"/>
    <s v="RBC CAPTIAL MARKETS, LLC"/>
    <n v="3101053435"/>
    <s v="Bond"/>
    <s v="Bond"/>
    <s v="DEPFAPLC_NY"/>
    <s v="DEPFA"/>
    <s v="US912828VG29"/>
    <m/>
    <s v="Not GIC"/>
  </r>
  <r>
    <x v="1"/>
    <x v="1"/>
    <x v="2"/>
    <x v="18"/>
    <x v="6"/>
    <m/>
    <n v="10000000"/>
    <s v="8791208.79120879120879120879120879120879"/>
    <n v="9999999.9999999981"/>
    <s v="1.1375"/>
    <s v="USD"/>
    <x v="57"/>
    <s v="PRINCIPAL_FLOW"/>
    <n v="0"/>
    <s v="NONE"/>
    <n v="0"/>
    <n v="0"/>
    <s v="INFLOW_CENTRAL_GOV_INVESTMENTS"/>
    <n v="193068"/>
    <s v="SUMMIT"/>
    <m/>
    <d v="2016-06-15T00:00:00"/>
    <s v="AFS_GEN_U"/>
    <s v="AM_GICS_F"/>
    <s v="NONE"/>
    <s v="BONDS"/>
    <s v="RBC CAPTIAL MARKETS, LLC"/>
    <n v="3101053435"/>
    <s v="Bond"/>
    <s v="Bond"/>
    <s v="DEPFAPLC_NY"/>
    <s v="DEPFA"/>
    <s v="US912828VG29"/>
    <m/>
    <s v="Not GIC"/>
  </r>
  <r>
    <x v="0"/>
    <x v="1"/>
    <x v="0"/>
    <x v="12"/>
    <x v="6"/>
    <m/>
    <s v="-54233.88"/>
    <s v="-47678.136263736263736263736263736263736"/>
    <n v="-54233.88"/>
    <s v="1.1375"/>
    <s v="USD"/>
    <x v="0"/>
    <s v="INTEREST_AND_FEES"/>
    <n v="0"/>
    <s v="NONE"/>
    <n v="0"/>
    <n v="0"/>
    <s v="OUTFLOW_DEPOSITS_LOANS"/>
    <s v="D_293550PN"/>
    <s v="SUMMIT"/>
    <s v="293550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0"/>
    <x v="1"/>
    <x v="5"/>
    <x v="24"/>
    <x v="6"/>
    <m/>
    <s v="1736494.11"/>
    <s v="1526588.22857142857142857142857142857143"/>
    <n v="1736494.11"/>
    <s v="1.1375"/>
    <s v="USD"/>
    <x v="0"/>
    <s v="PRINCIPAL_FLOW"/>
    <n v="0"/>
    <s v="NONE"/>
    <n v="0"/>
    <n v="0"/>
    <s v="INFLOW_NON_GOV_LOANS"/>
    <s v="D_293550PN"/>
    <s v="SUMMIT"/>
    <s v="293550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1"/>
    <x v="1"/>
    <x v="0"/>
    <x v="13"/>
    <x v="6"/>
    <m/>
    <s v="-59218.3"/>
    <s v="-52060.043956043956043956043956043956044"/>
    <n v="-59218.299999999996"/>
    <s v="1.1375"/>
    <s v="USD"/>
    <x v="1"/>
    <s v="INTEREST_AND_FEES"/>
    <n v="0"/>
    <s v="NONE"/>
    <n v="0"/>
    <n v="0"/>
    <s v="OUTFLOW_DEPOSITS_LOANS"/>
    <s v="D_293550PN"/>
    <s v="SUMMIT"/>
    <s v="293550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1"/>
    <x v="1"/>
    <x v="5"/>
    <x v="25"/>
    <x v="6"/>
    <m/>
    <s v="1478225.86"/>
    <s v="1299539.21758241758241758241758241758242"/>
    <n v="1478225.86"/>
    <s v="1.1375"/>
    <s v="USD"/>
    <x v="1"/>
    <s v="PRINCIPAL_FLOW"/>
    <n v="0"/>
    <s v="NONE"/>
    <n v="0"/>
    <n v="0"/>
    <s v="INFLOW_NON_GOV_LOANS"/>
    <s v="D_293550PN"/>
    <s v="SUMMIT"/>
    <s v="293550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1"/>
    <x v="1"/>
    <x v="5"/>
    <x v="25"/>
    <x v="6"/>
    <m/>
    <s v="1468053.51"/>
    <s v="1290596.49230769230769230769230769230769"/>
    <n v="1468053.51"/>
    <s v="1.1375"/>
    <s v="USD"/>
    <x v="2"/>
    <s v="PRINCIPAL_FLOW"/>
    <n v="0"/>
    <s v="NONE"/>
    <n v="0"/>
    <n v="0"/>
    <s v="INFLOW_NON_GOV_LOANS"/>
    <s v="D_293550PN"/>
    <s v="SUMMIT"/>
    <s v="293550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1"/>
    <x v="1"/>
    <x v="0"/>
    <x v="13"/>
    <x v="6"/>
    <m/>
    <s v="-67495.21"/>
    <s v="-59336.448351648351648351648351648351648"/>
    <n v="-67495.209999999992"/>
    <s v="1.1375"/>
    <s v="USD"/>
    <x v="2"/>
    <s v="INTEREST_AND_FEES"/>
    <n v="0"/>
    <s v="NONE"/>
    <n v="0"/>
    <n v="0"/>
    <s v="OUTFLOW_DEPOSITS_LOANS"/>
    <s v="D_293550PN"/>
    <s v="SUMMIT"/>
    <s v="293550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2"/>
    <x v="1"/>
    <x v="0"/>
    <x v="7"/>
    <x v="6"/>
    <m/>
    <s v="-72998.37"/>
    <s v="-64174.391208791208791208791208791208791"/>
    <n v="-72998.37"/>
    <s v="1.1375"/>
    <s v="USD"/>
    <x v="3"/>
    <s v="INTEREST_AND_FEES"/>
    <n v="0"/>
    <s v="NONE"/>
    <n v="0"/>
    <n v="0"/>
    <s v="OUTFLOW_DEPOSITS_LOANS"/>
    <s v="D_293550PN"/>
    <s v="SUMMIT"/>
    <s v="293550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2"/>
    <x v="1"/>
    <x v="5"/>
    <x v="26"/>
    <x v="6"/>
    <m/>
    <s v="1578406.68"/>
    <s v="1387610.26813186813186813186813186813187"/>
    <n v="1578406.68"/>
    <s v="1.1375"/>
    <s v="USD"/>
    <x v="3"/>
    <s v="PRINCIPAL_FLOW"/>
    <n v="0"/>
    <s v="NONE"/>
    <n v="0"/>
    <n v="0"/>
    <s v="INFLOW_NON_GOV_LOANS"/>
    <s v="D_293550PN"/>
    <s v="SUMMIT"/>
    <s v="293550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2"/>
    <x v="1"/>
    <x v="0"/>
    <x v="7"/>
    <x v="6"/>
    <m/>
    <s v="-76764.44"/>
    <s v="-67485.221978021978021978021978021978022"/>
    <n v="-76764.439999999988"/>
    <s v="1.1375"/>
    <s v="USD"/>
    <x v="4"/>
    <s v="INTEREST_AND_FEES"/>
    <n v="0"/>
    <s v="NONE"/>
    <n v="0"/>
    <n v="0"/>
    <s v="OUTFLOW_DEPOSITS_LOANS"/>
    <s v="D_293550PN"/>
    <s v="SUMMIT"/>
    <s v="293550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2"/>
    <x v="1"/>
    <x v="5"/>
    <x v="26"/>
    <x v="6"/>
    <m/>
    <s v="1713544.35"/>
    <s v="1506412.61538461538461538461538461538462"/>
    <n v="1713544.35"/>
    <s v="1.1375"/>
    <s v="USD"/>
    <x v="4"/>
    <s v="PRINCIPAL_FLOW"/>
    <n v="0"/>
    <s v="NONE"/>
    <n v="0"/>
    <n v="0"/>
    <s v="INFLOW_NON_GOV_LOANS"/>
    <s v="D_293550PN"/>
    <s v="SUMMIT"/>
    <s v="293550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2"/>
    <x v="1"/>
    <x v="0"/>
    <x v="7"/>
    <x v="6"/>
    <m/>
    <s v="-86189.65"/>
    <s v="-75771.120879120879120879120879120879121"/>
    <n v="-86189.65"/>
    <s v="1.1375"/>
    <s v="USD"/>
    <x v="5"/>
    <s v="INTEREST_AND_FEES"/>
    <n v="0"/>
    <s v="NONE"/>
    <n v="0"/>
    <n v="0"/>
    <s v="OUTFLOW_DEPOSITS_LOANS"/>
    <s v="D_293550PN"/>
    <s v="SUMMIT"/>
    <s v="293550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2"/>
    <x v="1"/>
    <x v="5"/>
    <x v="26"/>
    <x v="6"/>
    <m/>
    <s v="1694771.84"/>
    <s v="1489909.30989010989010989010989010989011"/>
    <n v="1694771.8399999999"/>
    <s v="1.1375"/>
    <s v="USD"/>
    <x v="5"/>
    <s v="PRINCIPAL_FLOW"/>
    <n v="0"/>
    <s v="NONE"/>
    <n v="0"/>
    <n v="0"/>
    <s v="INFLOW_NON_GOV_LOANS"/>
    <s v="D_293550PN"/>
    <s v="SUMMIT"/>
    <s v="293550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3"/>
    <x v="1"/>
    <x v="0"/>
    <x v="9"/>
    <x v="6"/>
    <m/>
    <s v="-89981.44"/>
    <s v="-79104.562637362637362637362637362637363"/>
    <n v="-89981.440000000002"/>
    <s v="1.1375"/>
    <s v="USD"/>
    <x v="6"/>
    <s v="INTEREST_AND_FEES"/>
    <n v="0"/>
    <s v="NONE"/>
    <n v="0"/>
    <n v="0"/>
    <s v="OUTFLOW_DEPOSITS_LOANS"/>
    <s v="D_293550PN"/>
    <s v="SUMMIT"/>
    <s v="293550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3"/>
    <x v="1"/>
    <x v="5"/>
    <x v="27"/>
    <x v="6"/>
    <m/>
    <s v="1796160.89"/>
    <s v="1579042.54065934065934065934065934065934"/>
    <n v="1796160.89"/>
    <s v="1.1375"/>
    <s v="USD"/>
    <x v="6"/>
    <s v="PRINCIPAL_FLOW"/>
    <n v="0"/>
    <s v="NONE"/>
    <n v="0"/>
    <n v="0"/>
    <s v="INFLOW_NON_GOV_LOANS"/>
    <s v="D_293550PN"/>
    <s v="SUMMIT"/>
    <s v="293550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3"/>
    <x v="1"/>
    <x v="5"/>
    <x v="27"/>
    <x v="6"/>
    <m/>
    <n v="-25000000"/>
    <s v="-21978021.978021978021978021978021978022"/>
    <n v="-25000000"/>
    <s v="1.1375"/>
    <s v="USD"/>
    <x v="76"/>
    <s v="PRINCIPAL_FLOW"/>
    <n v="0"/>
    <s v="NONE"/>
    <n v="0"/>
    <n v="0"/>
    <s v="OUTFLOW_DEPOSITS_LOANS"/>
    <s v="D_293550PN"/>
    <s v="SUMMIT"/>
    <s v="293550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3"/>
    <x v="1"/>
    <x v="5"/>
    <x v="27"/>
    <x v="6"/>
    <m/>
    <s v="2765156.81"/>
    <s v="2430907.08571428571428571428571428571429"/>
    <n v="2765156.81"/>
    <s v="1.1375"/>
    <s v="USD"/>
    <x v="7"/>
    <s v="PRINCIPAL_FLOW"/>
    <n v="0"/>
    <s v="NONE"/>
    <n v="0"/>
    <n v="0"/>
    <s v="INFLOW_NON_GOV_LOANS"/>
    <s v="D_293550PN"/>
    <s v="SUMMIT"/>
    <s v="293550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3"/>
    <x v="1"/>
    <x v="0"/>
    <x v="9"/>
    <x v="6"/>
    <m/>
    <s v="-45599.23"/>
    <s v="-40087.235164835164835164835164835164835"/>
    <n v="-45599.229999999996"/>
    <s v="1.1375"/>
    <s v="USD"/>
    <x v="7"/>
    <s v="INTEREST_AND_FEES"/>
    <n v="0"/>
    <s v="NONE"/>
    <n v="0"/>
    <n v="0"/>
    <s v="OUTFLOW_DEPOSITS_LOANS"/>
    <s v="D_293550PN"/>
    <s v="SUMMIT"/>
    <s v="293550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3"/>
    <x v="1"/>
    <x v="0"/>
    <x v="9"/>
    <x v="6"/>
    <m/>
    <s v="-11109.73"/>
    <s v="-9766.7956043956043956043956043956043956"/>
    <n v="-11109.73"/>
    <s v="1.1375"/>
    <s v="USD"/>
    <x v="8"/>
    <s v="INTEREST_AND_FEES"/>
    <n v="0"/>
    <s v="NONE"/>
    <n v="0"/>
    <n v="0"/>
    <s v="OUTFLOW_DEPOSITS_LOANS"/>
    <s v="D_293550PN"/>
    <s v="SUMMIT"/>
    <s v="293550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3"/>
    <x v="1"/>
    <x v="5"/>
    <x v="27"/>
    <x v="6"/>
    <m/>
    <s v="3370203.37"/>
    <s v="2962816.14945054945054945054945054945055"/>
    <n v="3370203.3699999996"/>
    <s v="1.1375"/>
    <s v="USD"/>
    <x v="8"/>
    <s v="PRINCIPAL_FLOW"/>
    <n v="0"/>
    <s v="NONE"/>
    <n v="0"/>
    <n v="0"/>
    <s v="INFLOW_NON_GOV_LOANS"/>
    <s v="D_293550PN"/>
    <s v="SUMMIT"/>
    <s v="293550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3"/>
    <x v="1"/>
    <x v="0"/>
    <x v="9"/>
    <x v="6"/>
    <m/>
    <s v="-22266.82"/>
    <s v="-19575.226373626373626373626373626373626"/>
    <n v="-22266.82"/>
    <s v="1.1375"/>
    <s v="USD"/>
    <x v="9"/>
    <s v="INTEREST_AND_FEES"/>
    <n v="0"/>
    <s v="NONE"/>
    <n v="0"/>
    <n v="0"/>
    <s v="OUTFLOW_DEPOSITS_LOANS"/>
    <s v="D_293550PN"/>
    <s v="SUMMIT"/>
    <s v="293550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3"/>
    <x v="1"/>
    <x v="5"/>
    <x v="27"/>
    <x v="6"/>
    <m/>
    <s v="3577744.06"/>
    <s v="3145269.5032967032967032967032967032967"/>
    <n v="3577744.0599999996"/>
    <s v="1.1375"/>
    <s v="USD"/>
    <x v="9"/>
    <s v="PRINCIPAL_FLOW"/>
    <n v="0"/>
    <s v="NONE"/>
    <n v="0"/>
    <n v="0"/>
    <s v="INFLOW_NON_GOV_LOANS"/>
    <s v="D_293550PN"/>
    <s v="SUMMIT"/>
    <s v="293550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3"/>
    <x v="1"/>
    <x v="0"/>
    <x v="9"/>
    <x v="6"/>
    <m/>
    <s v="-39028.32"/>
    <s v="-34310.610989010989010989010989010989011"/>
    <n v="-39028.32"/>
    <s v="1.1375"/>
    <s v="USD"/>
    <x v="10"/>
    <s v="INTEREST_AND_FEES"/>
    <n v="0"/>
    <s v="NONE"/>
    <n v="0"/>
    <n v="0"/>
    <s v="OUTFLOW_DEPOSITS_LOANS"/>
    <s v="D_293550PN"/>
    <s v="SUMMIT"/>
    <s v="293550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3"/>
    <x v="1"/>
    <x v="5"/>
    <x v="27"/>
    <x v="6"/>
    <m/>
    <s v="3048014.81"/>
    <s v="2679573.45934065934065934065934065934066"/>
    <n v="3048014.81"/>
    <s v="1.1375"/>
    <s v="USD"/>
    <x v="10"/>
    <s v="PRINCIPAL_FLOW"/>
    <n v="0"/>
    <s v="NONE"/>
    <n v="0"/>
    <n v="0"/>
    <s v="INFLOW_NON_GOV_LOANS"/>
    <s v="D_293550PN"/>
    <s v="SUMMIT"/>
    <s v="293550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3"/>
    <x v="1"/>
    <x v="5"/>
    <x v="27"/>
    <x v="6"/>
    <m/>
    <s v="3174993.93"/>
    <s v="2791203.45494505494505494505494505494505"/>
    <n v="3174993.9299999997"/>
    <s v="1.1375"/>
    <s v="USD"/>
    <x v="11"/>
    <s v="PRINCIPAL_FLOW"/>
    <n v="0"/>
    <s v="NONE"/>
    <n v="0"/>
    <n v="0"/>
    <s v="INFLOW_NON_GOV_LOANS"/>
    <s v="D_293550PN"/>
    <s v="SUMMIT"/>
    <s v="293550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0"/>
    <x v="1"/>
    <x v="0"/>
    <x v="12"/>
    <x v="6"/>
    <m/>
    <n v="0"/>
    <n v="0"/>
    <n v="0"/>
    <s v="1.1375"/>
    <s v="USD"/>
    <x v="30"/>
    <s v="INTEREST_AND_FEES"/>
    <n v="0"/>
    <s v="NONE"/>
    <n v="0"/>
    <n v="0"/>
    <s v="INFLOW_NON_GOV_INVESTMENTS"/>
    <n v="148670"/>
    <s v="SUMMIT"/>
    <m/>
    <d v="2018-11-29T00:00:00"/>
    <s v="LN_RC_GEN_U"/>
    <s v="AM_BANKBND_L"/>
    <s v="NONE"/>
    <s v="BONDS"/>
    <s v="Depfa Bank Plc, New York"/>
    <n v="5101000018"/>
    <s v="Bond"/>
    <s v="Bond"/>
    <s v="DEPFAPLC_NY"/>
    <s v="DEPFA"/>
    <s v="US662826DC77_LF3"/>
    <m/>
    <s v="Not GIC"/>
  </r>
  <r>
    <x v="1"/>
    <x v="1"/>
    <x v="0"/>
    <x v="13"/>
    <x v="6"/>
    <m/>
    <n v="0"/>
    <n v="0"/>
    <n v="0"/>
    <s v="1.1375"/>
    <s v="USD"/>
    <x v="31"/>
    <s v="INTEREST_AND_FEES"/>
    <n v="0"/>
    <s v="NONE"/>
    <n v="0"/>
    <n v="0"/>
    <s v="INFLOW_NON_GOV_INVESTMENTS"/>
    <n v="148670"/>
    <s v="SUMMIT"/>
    <m/>
    <d v="2018-11-29T00:00:00"/>
    <s v="LN_RC_GEN_U"/>
    <s v="AM_BANKBND_L"/>
    <s v="NONE"/>
    <s v="BONDS"/>
    <s v="Depfa Bank Plc, New York"/>
    <n v="5101000018"/>
    <s v="Bond"/>
    <s v="Bond"/>
    <s v="DEPFAPLC_NY"/>
    <s v="DEPFA"/>
    <s v="US662826DC77_LF3"/>
    <m/>
    <s v="Not GIC"/>
  </r>
  <r>
    <x v="1"/>
    <x v="1"/>
    <x v="0"/>
    <x v="13"/>
    <x v="6"/>
    <m/>
    <n v="0"/>
    <n v="0"/>
    <n v="0"/>
    <s v="1.1375"/>
    <s v="USD"/>
    <x v="32"/>
    <s v="INTEREST_AND_FEES"/>
    <n v="0"/>
    <s v="NONE"/>
    <n v="0"/>
    <n v="0"/>
    <s v="INFLOW_NON_GOV_INVESTMENTS"/>
    <n v="148670"/>
    <s v="SUMMIT"/>
    <m/>
    <d v="2018-11-29T00:00:00"/>
    <s v="LN_RC_GEN_U"/>
    <s v="AM_BANKBND_L"/>
    <s v="NONE"/>
    <s v="BONDS"/>
    <s v="Depfa Bank Plc, New York"/>
    <n v="5101000018"/>
    <s v="Bond"/>
    <s v="Bond"/>
    <s v="DEPFAPLC_NY"/>
    <s v="DEPFA"/>
    <s v="US662826DC77_LF3"/>
    <m/>
    <s v="Not GIC"/>
  </r>
  <r>
    <x v="2"/>
    <x v="1"/>
    <x v="0"/>
    <x v="7"/>
    <x v="6"/>
    <m/>
    <n v="0"/>
    <n v="0"/>
    <n v="0"/>
    <s v="1.1375"/>
    <s v="USD"/>
    <x v="33"/>
    <s v="INTEREST_AND_FEES"/>
    <n v="0"/>
    <s v="NONE"/>
    <n v="0"/>
    <n v="0"/>
    <s v="INFLOW_NON_GOV_INVESTMENTS"/>
    <n v="148670"/>
    <s v="SUMMIT"/>
    <m/>
    <d v="2018-11-29T00:00:00"/>
    <s v="LN_RC_GEN_U"/>
    <s v="AM_BANKBND_L"/>
    <s v="NONE"/>
    <s v="BONDS"/>
    <s v="Depfa Bank Plc, New York"/>
    <n v="5101000018"/>
    <s v="Bond"/>
    <s v="Bond"/>
    <s v="DEPFAPLC_NY"/>
    <s v="DEPFA"/>
    <s v="US662826DC77_LF3"/>
    <m/>
    <s v="Not GIC"/>
  </r>
  <r>
    <x v="2"/>
    <x v="1"/>
    <x v="0"/>
    <x v="7"/>
    <x v="6"/>
    <m/>
    <n v="0"/>
    <n v="0"/>
    <n v="0"/>
    <s v="1.1375"/>
    <s v="USD"/>
    <x v="34"/>
    <s v="INTEREST_AND_FEES"/>
    <n v="0"/>
    <s v="NONE"/>
    <n v="0"/>
    <n v="0"/>
    <s v="INFLOW_NON_GOV_INVESTMENTS"/>
    <n v="148670"/>
    <s v="SUMMIT"/>
    <m/>
    <d v="2018-11-29T00:00:00"/>
    <s v="LN_RC_GEN_U"/>
    <s v="AM_BANKBND_L"/>
    <s v="NONE"/>
    <s v="BONDS"/>
    <s v="Depfa Bank Plc, New York"/>
    <n v="5101000018"/>
    <s v="Bond"/>
    <s v="Bond"/>
    <s v="DEPFAPLC_NY"/>
    <s v="DEPFA"/>
    <s v="US662826DC77_LF3"/>
    <m/>
    <s v="Not GIC"/>
  </r>
  <r>
    <x v="2"/>
    <x v="1"/>
    <x v="0"/>
    <x v="7"/>
    <x v="6"/>
    <m/>
    <n v="0"/>
    <n v="0"/>
    <n v="0"/>
    <s v="1.1375"/>
    <s v="USD"/>
    <x v="25"/>
    <s v="INTEREST_AND_FEES"/>
    <n v="0"/>
    <s v="NONE"/>
    <n v="0"/>
    <n v="0"/>
    <s v="INFLOW_NON_GOV_INVESTMENTS"/>
    <n v="148670"/>
    <s v="SUMMIT"/>
    <m/>
    <d v="2018-11-29T00:00:00"/>
    <s v="LN_RC_GEN_U"/>
    <s v="AM_BANKBND_L"/>
    <s v="NONE"/>
    <s v="BONDS"/>
    <s v="Depfa Bank Plc, New York"/>
    <n v="5101000018"/>
    <s v="Bond"/>
    <s v="Bond"/>
    <s v="DEPFAPLC_NY"/>
    <s v="DEPFA"/>
    <s v="US662826DC77_LF3"/>
    <m/>
    <s v="Not GIC"/>
  </r>
  <r>
    <x v="3"/>
    <x v="1"/>
    <x v="0"/>
    <x v="9"/>
    <x v="6"/>
    <m/>
    <n v="0"/>
    <n v="0"/>
    <n v="0"/>
    <s v="1.1375"/>
    <s v="USD"/>
    <x v="35"/>
    <s v="INTEREST_AND_FEES"/>
    <n v="0"/>
    <s v="NONE"/>
    <n v="0"/>
    <n v="0"/>
    <s v="INFLOW_NON_GOV_INVESTMENTS"/>
    <n v="148670"/>
    <s v="SUMMIT"/>
    <m/>
    <d v="2018-11-29T00:00:00"/>
    <s v="LN_RC_GEN_U"/>
    <s v="AM_BANKBND_L"/>
    <s v="NONE"/>
    <s v="BONDS"/>
    <s v="Depfa Bank Plc, New York"/>
    <n v="5101000018"/>
    <s v="Bond"/>
    <s v="Bond"/>
    <s v="DEPFAPLC_NY"/>
    <s v="DEPFA"/>
    <s v="US662826DC77_LF3"/>
    <m/>
    <s v="Not GIC"/>
  </r>
  <r>
    <x v="3"/>
    <x v="1"/>
    <x v="0"/>
    <x v="9"/>
    <x v="6"/>
    <m/>
    <n v="0"/>
    <n v="0"/>
    <n v="0"/>
    <s v="1.1375"/>
    <s v="USD"/>
    <x v="36"/>
    <s v="INTEREST_AND_FEES"/>
    <n v="0"/>
    <s v="NONE"/>
    <n v="0"/>
    <n v="0"/>
    <s v="INFLOW_NON_GOV_INVESTMENTS"/>
    <n v="148670"/>
    <s v="SUMMIT"/>
    <m/>
    <d v="2018-11-29T00:00:00"/>
    <s v="LN_RC_GEN_U"/>
    <s v="AM_BANKBND_L"/>
    <s v="NONE"/>
    <s v="BONDS"/>
    <s v="Depfa Bank Plc, New York"/>
    <n v="5101000018"/>
    <s v="Bond"/>
    <s v="Bond"/>
    <s v="DEPFAPLC_NY"/>
    <s v="DEPFA"/>
    <s v="US662826DC77_LF3"/>
    <m/>
    <s v="Not GIC"/>
  </r>
  <r>
    <x v="3"/>
    <x v="1"/>
    <x v="0"/>
    <x v="9"/>
    <x v="6"/>
    <m/>
    <n v="0"/>
    <n v="0"/>
    <n v="0"/>
    <s v="1.1375"/>
    <s v="USD"/>
    <x v="37"/>
    <s v="INTEREST_AND_FEES"/>
    <n v="0"/>
    <s v="NONE"/>
    <n v="0"/>
    <n v="0"/>
    <s v="INFLOW_NON_GOV_INVESTMENTS"/>
    <n v="148670"/>
    <s v="SUMMIT"/>
    <m/>
    <d v="2018-11-29T00:00:00"/>
    <s v="LN_RC_GEN_U"/>
    <s v="AM_BANKBND_L"/>
    <s v="NONE"/>
    <s v="BONDS"/>
    <s v="Depfa Bank Plc, New York"/>
    <n v="5101000018"/>
    <s v="Bond"/>
    <s v="Bond"/>
    <s v="DEPFAPLC_NY"/>
    <s v="DEPFA"/>
    <s v="US662826DC77_LF3"/>
    <m/>
    <s v="Not GIC"/>
  </r>
  <r>
    <x v="3"/>
    <x v="1"/>
    <x v="0"/>
    <x v="9"/>
    <x v="6"/>
    <m/>
    <n v="0"/>
    <n v="0"/>
    <n v="0"/>
    <s v="1.1375"/>
    <s v="USD"/>
    <x v="38"/>
    <s v="INTEREST_AND_FEES"/>
    <n v="0"/>
    <s v="NONE"/>
    <n v="0"/>
    <n v="0"/>
    <s v="INFLOW_NON_GOV_INVESTMENTS"/>
    <n v="148670"/>
    <s v="SUMMIT"/>
    <m/>
    <d v="2018-11-29T00:00:00"/>
    <s v="LN_RC_GEN_U"/>
    <s v="AM_BANKBND_L"/>
    <s v="NONE"/>
    <s v="BONDS"/>
    <s v="Depfa Bank Plc, New York"/>
    <n v="5101000018"/>
    <s v="Bond"/>
    <s v="Bond"/>
    <s v="DEPFAPLC_NY"/>
    <s v="DEPFA"/>
    <s v="US662826DC77_LF3"/>
    <m/>
    <s v="Not GIC"/>
  </r>
  <r>
    <x v="3"/>
    <x v="1"/>
    <x v="0"/>
    <x v="9"/>
    <x v="6"/>
    <m/>
    <n v="0"/>
    <n v="0"/>
    <n v="0"/>
    <s v="1.1375"/>
    <s v="USD"/>
    <x v="39"/>
    <s v="INTEREST_AND_FEES"/>
    <n v="0"/>
    <s v="NONE"/>
    <n v="0"/>
    <n v="0"/>
    <s v="INFLOW_NON_GOV_INVESTMENTS"/>
    <n v="148670"/>
    <s v="SUMMIT"/>
    <m/>
    <d v="2018-11-29T00:00:00"/>
    <s v="LN_RC_GEN_U"/>
    <s v="AM_BANKBND_L"/>
    <s v="NONE"/>
    <s v="BONDS"/>
    <s v="Depfa Bank Plc, New York"/>
    <n v="5101000018"/>
    <s v="Bond"/>
    <s v="Bond"/>
    <s v="DEPFAPLC_NY"/>
    <s v="DEPFA"/>
    <s v="US662826DC77_LF3"/>
    <m/>
    <s v="Not GIC"/>
  </r>
  <r>
    <x v="3"/>
    <x v="1"/>
    <x v="0"/>
    <x v="9"/>
    <x v="6"/>
    <m/>
    <n v="0"/>
    <n v="0"/>
    <n v="0"/>
    <s v="1.1375"/>
    <s v="USD"/>
    <x v="77"/>
    <s v="INTEREST_AND_FEES"/>
    <n v="0"/>
    <s v="NONE"/>
    <n v="0"/>
    <n v="0"/>
    <s v="INFLOW_NON_GOV_INVESTMENTS"/>
    <n v="148670"/>
    <s v="SUMMIT"/>
    <m/>
    <d v="2018-11-29T00:00:00"/>
    <s v="LN_RC_GEN_U"/>
    <s v="AM_BANKBND_L"/>
    <s v="NONE"/>
    <s v="BONDS"/>
    <s v="Depfa Bank Plc, New York"/>
    <n v="5101000018"/>
    <s v="Bond"/>
    <s v="Bond"/>
    <s v="DEPFAPLC_NY"/>
    <s v="DEPFA"/>
    <s v="US662826DC77_LF3"/>
    <m/>
    <s v="Not GIC"/>
  </r>
  <r>
    <x v="4"/>
    <x v="1"/>
    <x v="0"/>
    <x v="10"/>
    <x v="6"/>
    <m/>
    <n v="0"/>
    <n v="0"/>
    <n v="0"/>
    <s v="1.1375"/>
    <s v="USD"/>
    <x v="40"/>
    <s v="INTEREST_AND_FEES"/>
    <n v="0"/>
    <s v="NONE"/>
    <n v="0"/>
    <n v="0"/>
    <s v="INFLOW_NON_GOV_INVESTMENTS"/>
    <n v="148670"/>
    <s v="SUMMIT"/>
    <m/>
    <d v="2018-11-29T00:00:00"/>
    <s v="LN_RC_GEN_U"/>
    <s v="AM_BANKBND_L"/>
    <s v="NONE"/>
    <s v="BONDS"/>
    <s v="Depfa Bank Plc, New York"/>
    <n v="5101000018"/>
    <s v="Bond"/>
    <s v="Bond"/>
    <s v="DEPFAPLC_NY"/>
    <s v="DEPFA"/>
    <s v="US662826DC77_LF3"/>
    <m/>
    <s v="Not GIC"/>
  </r>
  <r>
    <x v="4"/>
    <x v="1"/>
    <x v="0"/>
    <x v="10"/>
    <x v="6"/>
    <m/>
    <n v="0"/>
    <n v="0"/>
    <n v="0"/>
    <s v="1.1375"/>
    <s v="USD"/>
    <x v="41"/>
    <s v="INTEREST_AND_FEES"/>
    <n v="0"/>
    <s v="NONE"/>
    <n v="0"/>
    <n v="0"/>
    <s v="INFLOW_NON_GOV_INVESTMENTS"/>
    <n v="148670"/>
    <s v="SUMMIT"/>
    <m/>
    <d v="2018-11-29T00:00:00"/>
    <s v="LN_RC_GEN_U"/>
    <s v="AM_BANKBND_L"/>
    <s v="NONE"/>
    <s v="BONDS"/>
    <s v="Depfa Bank Plc, New York"/>
    <n v="5101000018"/>
    <s v="Bond"/>
    <s v="Bond"/>
    <s v="DEPFAPLC_NY"/>
    <s v="DEPFA"/>
    <s v="US662826DC77_LF3"/>
    <m/>
    <s v="Not GIC"/>
  </r>
  <r>
    <x v="4"/>
    <x v="1"/>
    <x v="0"/>
    <x v="10"/>
    <x v="6"/>
    <m/>
    <n v="0"/>
    <n v="0"/>
    <n v="0"/>
    <s v="1.1375"/>
    <s v="USD"/>
    <x v="49"/>
    <s v="INTEREST_AND_FEES"/>
    <n v="0"/>
    <s v="NONE"/>
    <n v="0"/>
    <n v="0"/>
    <s v="INFLOW_NON_GOV_INVESTMENTS"/>
    <n v="148670"/>
    <s v="SUMMIT"/>
    <m/>
    <d v="2018-11-29T00:00:00"/>
    <s v="LN_RC_GEN_U"/>
    <s v="AM_BANKBND_L"/>
    <s v="NONE"/>
    <s v="BONDS"/>
    <s v="Depfa Bank Plc, New York"/>
    <n v="5101000018"/>
    <s v="Bond"/>
    <s v="Bond"/>
    <s v="DEPFAPLC_NY"/>
    <s v="DEPFA"/>
    <s v="US662826DC77_LF3"/>
    <m/>
    <s v="Not GIC"/>
  </r>
  <r>
    <x v="1"/>
    <x v="0"/>
    <x v="0"/>
    <x v="1"/>
    <x v="1"/>
    <m/>
    <s v="-4805.17"/>
    <s v="-4224.3252747252747252747252747252747253"/>
    <n v="-4805.1699999999992"/>
    <s v="1.1375"/>
    <s v="USD"/>
    <x v="31"/>
    <s v="INTEREST_AND_FEES"/>
    <n v="0"/>
    <s v="NONE"/>
    <n v="0"/>
    <n v="0"/>
    <s v="IGNORED"/>
    <s v="957019PN"/>
    <s v="SUMMIT"/>
    <m/>
    <d v="1937-07-01T00:00:00"/>
    <s v="FV_HEDGE"/>
    <s v="AM_GICMI_F"/>
    <s v="INTRA_ENTITY"/>
    <s v="DERIVATES"/>
    <s v="Depfa Bank Plc"/>
    <n v="4101000279"/>
    <s v="Derivative"/>
    <s v="Swap"/>
    <s v="DEPFAPLC_NY"/>
    <s v="DEPFA"/>
    <m/>
    <m/>
    <s v="Not GIC"/>
  </r>
  <r>
    <x v="2"/>
    <x v="0"/>
    <x v="0"/>
    <x v="2"/>
    <x v="2"/>
    <m/>
    <s v="-6481.54"/>
    <s v="-5698.0571428571428571428571428571428571"/>
    <n v="-6481.54"/>
    <s v="1.1375"/>
    <s v="USD"/>
    <x v="34"/>
    <s v="INTEREST_AND_FEES"/>
    <n v="0"/>
    <s v="NONE"/>
    <n v="0"/>
    <n v="0"/>
    <s v="IGNORED"/>
    <s v="957019PN"/>
    <s v="SUMMIT"/>
    <m/>
    <d v="1937-07-01T00:00:00"/>
    <s v="FV_HEDGE"/>
    <s v="AM_GICMI_F"/>
    <s v="INTRA_ENTITY"/>
    <s v="DERIVATES"/>
    <s v="Depfa Bank Plc"/>
    <n v="4101000279"/>
    <s v="Derivative"/>
    <s v="Swap"/>
    <s v="DEPFAPLC_NY"/>
    <s v="DEPFA"/>
    <m/>
    <m/>
    <s v="Not GIC"/>
  </r>
  <r>
    <x v="3"/>
    <x v="0"/>
    <x v="0"/>
    <x v="3"/>
    <x v="3"/>
    <m/>
    <s v="-6375.39"/>
    <s v="-5604.7384615384615384615384615384615385"/>
    <n v="-6375.39"/>
    <s v="1.1375"/>
    <s v="USD"/>
    <x v="36"/>
    <s v="INTEREST_AND_FEES"/>
    <n v="0"/>
    <s v="NONE"/>
    <n v="0"/>
    <n v="0"/>
    <s v="IGNORED"/>
    <s v="957019PN"/>
    <s v="SUMMIT"/>
    <m/>
    <d v="1937-07-01T00:00:00"/>
    <s v="FV_HEDGE"/>
    <s v="AM_GICMI_F"/>
    <s v="INTRA_ENTITY"/>
    <s v="DERIVATES"/>
    <s v="Depfa Bank Plc"/>
    <n v="4101000279"/>
    <s v="Derivative"/>
    <s v="Swap"/>
    <s v="DEPFAPLC_NY"/>
    <s v="DEPFA"/>
    <m/>
    <m/>
    <s v="Not GIC"/>
  </r>
  <r>
    <x v="3"/>
    <x v="0"/>
    <x v="0"/>
    <x v="3"/>
    <x v="3"/>
    <m/>
    <s v="-6730.26"/>
    <s v="-5916.7120879120879120879120879120879121"/>
    <n v="-6730.2599999999993"/>
    <s v="1.1375"/>
    <s v="USD"/>
    <x v="39"/>
    <s v="INTEREST_AND_FEES"/>
    <n v="0"/>
    <s v="NONE"/>
    <n v="0"/>
    <n v="0"/>
    <s v="IGNORED"/>
    <s v="957019PN"/>
    <s v="SUMMIT"/>
    <m/>
    <d v="1937-07-01T00:00:00"/>
    <s v="FV_HEDGE"/>
    <s v="AM_GICMI_F"/>
    <s v="INTRA_ENTITY"/>
    <s v="DERIVATES"/>
    <s v="Depfa Bank Plc"/>
    <n v="4101000279"/>
    <s v="Derivative"/>
    <s v="Swap"/>
    <s v="DEPFAPLC_NY"/>
    <s v="DEPFA"/>
    <m/>
    <m/>
    <s v="Not GIC"/>
  </r>
  <r>
    <x v="4"/>
    <x v="0"/>
    <x v="0"/>
    <x v="4"/>
    <x v="4"/>
    <m/>
    <s v="-7943.66"/>
    <s v="-6983.4373626373626373626373626373626374"/>
    <n v="-7943.66"/>
    <s v="1.1375"/>
    <s v="USD"/>
    <x v="41"/>
    <s v="INTEREST_AND_FEES"/>
    <n v="0"/>
    <s v="NONE"/>
    <n v="0"/>
    <n v="0"/>
    <s v="IGNORED"/>
    <s v="957019PN"/>
    <s v="SUMMIT"/>
    <m/>
    <d v="1937-07-01T00:00:00"/>
    <s v="FV_HEDGE"/>
    <s v="AM_GICMI_F"/>
    <s v="INTRA_ENTITY"/>
    <s v="DERIVATES"/>
    <s v="Depfa Bank Plc"/>
    <n v="4101000279"/>
    <s v="Derivative"/>
    <s v="Swap"/>
    <s v="DEPFAPLC_NY"/>
    <s v="DEPFA"/>
    <m/>
    <m/>
    <s v="Not GIC"/>
  </r>
  <r>
    <x v="4"/>
    <x v="0"/>
    <x v="0"/>
    <x v="4"/>
    <x v="4"/>
    <m/>
    <s v="-8739.32"/>
    <s v="-7682.9186813186813186813186813186813187"/>
    <n v="-8739.32"/>
    <s v="1.1375"/>
    <s v="USD"/>
    <x v="51"/>
    <s v="INTEREST_AND_FEES"/>
    <n v="0"/>
    <s v="NONE"/>
    <n v="0"/>
    <n v="0"/>
    <s v="IGNORED"/>
    <s v="957019PN"/>
    <s v="SUMMIT"/>
    <m/>
    <d v="1937-07-01T00:00:00"/>
    <s v="FV_HEDGE"/>
    <s v="AM_GICMI_F"/>
    <s v="INTRA_ENTITY"/>
    <s v="DERIVATES"/>
    <s v="Depfa Bank Plc"/>
    <n v="4101000279"/>
    <s v="Derivative"/>
    <s v="Swap"/>
    <s v="DEPFAPLC_NY"/>
    <s v="DEPFA"/>
    <m/>
    <m/>
    <s v="Not GIC"/>
  </r>
  <r>
    <x v="5"/>
    <x v="0"/>
    <x v="0"/>
    <x v="5"/>
    <x v="5"/>
    <m/>
    <s v="-8835.51"/>
    <s v="-7767.4813186813186813186813186813186813"/>
    <n v="-8835.51"/>
    <s v="1.1375"/>
    <s v="USD"/>
    <x v="53"/>
    <s v="INTEREST_AND_FEES"/>
    <n v="0"/>
    <s v="NONE"/>
    <n v="0"/>
    <n v="0"/>
    <s v="IGNORED"/>
    <s v="957019PN"/>
    <s v="SUMMIT"/>
    <m/>
    <d v="1937-07-01T00:00:00"/>
    <s v="FV_HEDGE"/>
    <s v="AM_GICMI_F"/>
    <s v="INTRA_ENTITY"/>
    <s v="DERIVATES"/>
    <s v="Depfa Bank Plc"/>
    <n v="4101000279"/>
    <s v="Derivative"/>
    <s v="Swap"/>
    <s v="DEPFAPLC_NY"/>
    <s v="DEPFA"/>
    <m/>
    <m/>
    <s v="Not GIC"/>
  </r>
  <r>
    <x v="5"/>
    <x v="0"/>
    <x v="0"/>
    <x v="5"/>
    <x v="5"/>
    <m/>
    <s v="-8643.13"/>
    <s v="-7598.356043956043956043956043956043956"/>
    <n v="-8643.1299999999992"/>
    <s v="1.1375"/>
    <s v="USD"/>
    <x v="56"/>
    <s v="INTEREST_AND_FEES"/>
    <n v="0"/>
    <s v="NONE"/>
    <n v="0"/>
    <n v="0"/>
    <s v="IGNORED"/>
    <s v="957019PN"/>
    <s v="SUMMIT"/>
    <m/>
    <d v="1937-07-01T00:00:00"/>
    <s v="FV_HEDGE"/>
    <s v="AM_GICMI_F"/>
    <s v="INTRA_ENTITY"/>
    <s v="DERIVATES"/>
    <s v="Depfa Bank Plc"/>
    <n v="4101000279"/>
    <s v="Derivative"/>
    <s v="Swap"/>
    <s v="DEPFAPLC_NY"/>
    <s v="DEPFA"/>
    <m/>
    <m/>
    <s v="Not GIC"/>
  </r>
  <r>
    <x v="1"/>
    <x v="0"/>
    <x v="0"/>
    <x v="1"/>
    <x v="1"/>
    <m/>
    <s v="114313.98"/>
    <s v="100495.806593406593406593406593406593407"/>
    <n v="114313.98"/>
    <s v="1.1375"/>
    <s v="USD"/>
    <x v="31"/>
    <s v="INTEREST_AND_FEES"/>
    <n v="0"/>
    <s v="NONE"/>
    <n v="0"/>
    <n v="0"/>
    <s v="IGNORED"/>
    <s v="957019PN"/>
    <s v="SUMMIT"/>
    <m/>
    <d v="1937-07-01T00:00:00"/>
    <s v="FV_HEDGE"/>
    <s v="AM_GICMI_F"/>
    <s v="INTRA_ENTITY"/>
    <s v="DERIVATES"/>
    <s v="Depfa Bank Plc"/>
    <n v="4101000279"/>
    <s v="Derivative"/>
    <s v="Swap"/>
    <s v="DEPFAPLC_NY"/>
    <s v="DEPFA"/>
    <m/>
    <m/>
    <s v="Not GIC"/>
  </r>
  <r>
    <x v="3"/>
    <x v="0"/>
    <x v="0"/>
    <x v="3"/>
    <x v="3"/>
    <m/>
    <s v="114313.98"/>
    <s v="100495.806593406593406593406593406593407"/>
    <n v="114313.98"/>
    <s v="1.1375"/>
    <s v="USD"/>
    <x v="36"/>
    <s v="INTEREST_AND_FEES"/>
    <n v="0"/>
    <s v="NONE"/>
    <n v="0"/>
    <n v="0"/>
    <s v="IGNORED"/>
    <s v="957019PN"/>
    <s v="SUMMIT"/>
    <m/>
    <d v="1937-07-01T00:00:00"/>
    <s v="FV_HEDGE"/>
    <s v="AM_GICMI_F"/>
    <s v="INTRA_ENTITY"/>
    <s v="DERIVATES"/>
    <s v="Depfa Bank Plc"/>
    <n v="4101000279"/>
    <s v="Derivative"/>
    <s v="Swap"/>
    <s v="DEPFAPLC_NY"/>
    <s v="DEPFA"/>
    <m/>
    <m/>
    <s v="Not GIC"/>
  </r>
  <r>
    <x v="4"/>
    <x v="0"/>
    <x v="0"/>
    <x v="4"/>
    <x v="4"/>
    <m/>
    <s v="114313.98"/>
    <s v="100495.806593406593406593406593406593407"/>
    <n v="114313.98"/>
    <s v="1.1375"/>
    <s v="USD"/>
    <x v="41"/>
    <s v="INTEREST_AND_FEES"/>
    <n v="0"/>
    <s v="NONE"/>
    <n v="0"/>
    <n v="0"/>
    <s v="IGNORED"/>
    <s v="957019PN"/>
    <s v="SUMMIT"/>
    <m/>
    <d v="1937-07-01T00:00:00"/>
    <s v="FV_HEDGE"/>
    <s v="AM_GICMI_F"/>
    <s v="INTRA_ENTITY"/>
    <s v="DERIVATES"/>
    <s v="Depfa Bank Plc"/>
    <n v="4101000279"/>
    <s v="Derivative"/>
    <s v="Swap"/>
    <s v="DEPFAPLC_NY"/>
    <s v="DEPFA"/>
    <m/>
    <m/>
    <s v="Not GIC"/>
  </r>
  <r>
    <x v="5"/>
    <x v="0"/>
    <x v="0"/>
    <x v="5"/>
    <x v="5"/>
    <m/>
    <s v="114313.98"/>
    <s v="100495.806593406593406593406593406593407"/>
    <n v="114313.98"/>
    <s v="1.1375"/>
    <s v="USD"/>
    <x v="53"/>
    <s v="INTEREST_AND_FEES"/>
    <n v="0"/>
    <s v="NONE"/>
    <n v="0"/>
    <n v="0"/>
    <s v="IGNORED"/>
    <s v="957019PN"/>
    <s v="SUMMIT"/>
    <m/>
    <d v="1937-07-01T00:00:00"/>
    <s v="FV_HEDGE"/>
    <s v="AM_GICMI_F"/>
    <s v="INTRA_ENTITY"/>
    <s v="DERIVATES"/>
    <s v="Depfa Bank Plc"/>
    <n v="4101000279"/>
    <s v="Derivative"/>
    <s v="Swap"/>
    <s v="DEPFAPLC_NY"/>
    <s v="DEPFA"/>
    <m/>
    <m/>
    <s v="Not GIC"/>
  </r>
  <r>
    <x v="5"/>
    <x v="0"/>
    <x v="0"/>
    <x v="5"/>
    <x v="5"/>
    <s v="2Y_San Sabia Capital Corporation"/>
    <s v="-25.71"/>
    <s v="-22.602197802197802197802197802197802198"/>
    <n v="-25.71"/>
    <s v="1.1375"/>
    <s v="USD"/>
    <x v="19"/>
    <s v="INTEREST_AND_FEES"/>
    <n v="0"/>
    <s v="NONE"/>
    <n v="0"/>
    <n v="0"/>
    <s v="IGNORED"/>
    <s v="957279SA"/>
    <s v="SUMMIT"/>
    <m/>
    <d v="2026-12-31T00:00:00"/>
    <s v="FV_OPEN_DER"/>
    <s v="AM_GICSAB_T"/>
    <s v="INTRA_SUB_ENTITY"/>
    <s v="IGNORED"/>
    <s v="Depfa Bank Plc"/>
    <n v="4101000279"/>
    <s v="Derivative"/>
    <s v="Option"/>
    <s v="SANSABIA"/>
    <s v="DEPFA"/>
    <m/>
    <m/>
    <s v="Not GIC"/>
  </r>
  <r>
    <x v="5"/>
    <x v="0"/>
    <x v="0"/>
    <x v="5"/>
    <x v="5"/>
    <s v="2Y_San Sabia Capital Corporation"/>
    <s v="-2317.27"/>
    <s v="-2037.1604395604395604395604395604395604"/>
    <n v="-2317.27"/>
    <s v="1.1375"/>
    <s v="USD"/>
    <x v="68"/>
    <s v="INTEREST_AND_FEES"/>
    <n v="0"/>
    <s v="NONE"/>
    <n v="0"/>
    <n v="0"/>
    <s v="IGNORED"/>
    <s v="957279SA"/>
    <s v="SUMMIT"/>
    <m/>
    <d v="2026-12-31T00:00:00"/>
    <s v="FV_OPEN_DER"/>
    <s v="AM_GICSAB_T"/>
    <s v="INTRA_SUB_ENTITY"/>
    <s v="IGNORED"/>
    <s v="Depfa Bank Plc"/>
    <n v="4101000279"/>
    <s v="Derivative"/>
    <s v="Option"/>
    <s v="SANSABIA"/>
    <s v="DEPFA"/>
    <m/>
    <m/>
    <s v="Not GIC"/>
  </r>
  <r>
    <x v="0"/>
    <x v="1"/>
    <x v="0"/>
    <x v="12"/>
    <x v="6"/>
    <m/>
    <s v="-63631.04"/>
    <s v="-55939.375824175824175824175824175824176"/>
    <n v="-63631.040000000001"/>
    <s v="1.1375"/>
    <s v="USD"/>
    <x v="30"/>
    <s v="INTEREST_AND_FEES"/>
    <n v="0"/>
    <s v="NONE"/>
    <n v="0"/>
    <n v="0"/>
    <s v="OUTFLOW_GENERAL_GOV_FIX_PERIOD_DEPOSITS"/>
    <s v="D_318264PN"/>
    <s v="SUMMIT"/>
    <s v="318264PN"/>
    <d v="1947-06-01T00:00:00"/>
    <s v="LIAB_GEN_H"/>
    <s v="AM_GICS_F"/>
    <s v="NONE"/>
    <s v="LOAN"/>
    <s v="Marin County Board Supervisors"/>
    <n v="101002516"/>
    <s v="Lending"/>
    <s v="Loan"/>
    <s v="DEPFAPLC_NY"/>
    <s v="DEPFA"/>
    <m/>
    <m/>
    <s v="GICS Deposit Collateralized"/>
  </r>
  <r>
    <x v="3"/>
    <x v="1"/>
    <x v="0"/>
    <x v="9"/>
    <x v="6"/>
    <m/>
    <s v="-63631.04"/>
    <s v="-55939.375824175824175824175824175824176"/>
    <n v="-63631.040000000001"/>
    <s v="1.1375"/>
    <s v="USD"/>
    <x v="35"/>
    <s v="INTEREST_AND_FEES"/>
    <n v="0"/>
    <s v="NONE"/>
    <n v="0"/>
    <n v="0"/>
    <s v="OUTFLOW_GENERAL_GOV_FIX_PERIOD_DEPOSITS"/>
    <s v="D_318264PN"/>
    <s v="SUMMIT"/>
    <s v="318264PN"/>
    <d v="1947-06-01T00:00:00"/>
    <s v="LIAB_GEN_H"/>
    <s v="AM_GICS_F"/>
    <s v="NONE"/>
    <s v="LOAN"/>
    <s v="Marin County Board Supervisors"/>
    <n v="101002516"/>
    <s v="Lending"/>
    <s v="Loan"/>
    <s v="DEPFAPLC_NY"/>
    <s v="DEPFA"/>
    <m/>
    <m/>
    <s v="GICS Deposit Collateralized"/>
  </r>
  <r>
    <x v="4"/>
    <x v="1"/>
    <x v="0"/>
    <x v="10"/>
    <x v="6"/>
    <m/>
    <s v="-63631.04"/>
    <s v="-55939.375824175824175824175824175824176"/>
    <n v="-63631.040000000001"/>
    <s v="1.1375"/>
    <s v="USD"/>
    <x v="40"/>
    <s v="INTEREST_AND_FEES"/>
    <n v="0"/>
    <s v="NONE"/>
    <n v="0"/>
    <n v="0"/>
    <s v="OUTFLOW_GENERAL_GOV_FIX_PERIOD_DEPOSITS"/>
    <s v="D_318264PN"/>
    <s v="SUMMIT"/>
    <s v="318264PN"/>
    <d v="1947-06-01T00:00:00"/>
    <s v="LIAB_GEN_H"/>
    <s v="AM_GICS_F"/>
    <s v="NONE"/>
    <s v="LOAN"/>
    <s v="Marin County Board Supervisors"/>
    <n v="101002516"/>
    <s v="Lending"/>
    <s v="Loan"/>
    <s v="DEPFAPLC_NY"/>
    <s v="DEPFA"/>
    <m/>
    <m/>
    <s v="GICS Deposit Collateralized"/>
  </r>
  <r>
    <x v="5"/>
    <x v="1"/>
    <x v="0"/>
    <x v="11"/>
    <x v="6"/>
    <m/>
    <s v="-63631.04"/>
    <s v="-55939.375824175824175824175824175824176"/>
    <n v="-63631.040000000001"/>
    <s v="1.1375"/>
    <s v="USD"/>
    <x v="52"/>
    <s v="INTEREST_AND_FEES"/>
    <n v="0"/>
    <s v="NONE"/>
    <n v="0"/>
    <n v="0"/>
    <s v="OUTFLOW_GENERAL_GOV_FIX_PERIOD_DEPOSITS"/>
    <s v="D_318264PN"/>
    <s v="SUMMIT"/>
    <s v="318264PN"/>
    <d v="1947-06-01T00:00:00"/>
    <s v="LIAB_GEN_H"/>
    <s v="AM_GICS_F"/>
    <s v="NONE"/>
    <s v="LOAN"/>
    <s v="Marin County Board Supervisors"/>
    <n v="101002516"/>
    <s v="Lending"/>
    <s v="Loan"/>
    <s v="DEPFAPLC_NY"/>
    <s v="DEPFA"/>
    <m/>
    <m/>
    <s v="GICS Deposit Collateralized"/>
  </r>
  <r>
    <x v="0"/>
    <x v="1"/>
    <x v="0"/>
    <x v="12"/>
    <x v="6"/>
    <m/>
    <n v="0"/>
    <n v="0"/>
    <n v="0"/>
    <s v="1.1375"/>
    <s v="USD"/>
    <x v="30"/>
    <s v="INTEREST_AND_FEES"/>
    <n v="0"/>
    <s v="NONE"/>
    <n v="0"/>
    <n v="0"/>
    <s v="INFLOW_NON_GOV_INVESTMENTS"/>
    <n v="148669"/>
    <s v="SUMMIT"/>
    <m/>
    <d v="2018-11-29T00:00:00"/>
    <s v="LN_RC_GEN_U"/>
    <s v="AM_BANKBND_L"/>
    <s v="NONE"/>
    <s v="BONDS"/>
    <s v="Depfa Bank Plc, New York"/>
    <n v="5101000018"/>
    <s v="Bond"/>
    <s v="Bond"/>
    <s v="DEPFAPLC_NY"/>
    <s v="DEPFA"/>
    <s v="US662826DC77_LF2"/>
    <m/>
    <s v="Not GIC"/>
  </r>
  <r>
    <x v="1"/>
    <x v="1"/>
    <x v="0"/>
    <x v="13"/>
    <x v="6"/>
    <m/>
    <n v="0"/>
    <n v="0"/>
    <n v="0"/>
    <s v="1.1375"/>
    <s v="USD"/>
    <x v="31"/>
    <s v="INTEREST_AND_FEES"/>
    <n v="0"/>
    <s v="NONE"/>
    <n v="0"/>
    <n v="0"/>
    <s v="INFLOW_NON_GOV_INVESTMENTS"/>
    <n v="148669"/>
    <s v="SUMMIT"/>
    <m/>
    <d v="2018-11-29T00:00:00"/>
    <s v="LN_RC_GEN_U"/>
    <s v="AM_BANKBND_L"/>
    <s v="NONE"/>
    <s v="BONDS"/>
    <s v="Depfa Bank Plc, New York"/>
    <n v="5101000018"/>
    <s v="Bond"/>
    <s v="Bond"/>
    <s v="DEPFAPLC_NY"/>
    <s v="DEPFA"/>
    <s v="US662826DC77_LF2"/>
    <m/>
    <s v="Not GIC"/>
  </r>
  <r>
    <x v="1"/>
    <x v="1"/>
    <x v="0"/>
    <x v="13"/>
    <x v="6"/>
    <m/>
    <n v="0"/>
    <n v="0"/>
    <n v="0"/>
    <s v="1.1375"/>
    <s v="USD"/>
    <x v="32"/>
    <s v="INTEREST_AND_FEES"/>
    <n v="0"/>
    <s v="NONE"/>
    <n v="0"/>
    <n v="0"/>
    <s v="INFLOW_NON_GOV_INVESTMENTS"/>
    <n v="148669"/>
    <s v="SUMMIT"/>
    <m/>
    <d v="2018-11-29T00:00:00"/>
    <s v="LN_RC_GEN_U"/>
    <s v="AM_BANKBND_L"/>
    <s v="NONE"/>
    <s v="BONDS"/>
    <s v="Depfa Bank Plc, New York"/>
    <n v="5101000018"/>
    <s v="Bond"/>
    <s v="Bond"/>
    <s v="DEPFAPLC_NY"/>
    <s v="DEPFA"/>
    <s v="US662826DC77_LF2"/>
    <m/>
    <s v="Not GIC"/>
  </r>
  <r>
    <x v="2"/>
    <x v="1"/>
    <x v="0"/>
    <x v="7"/>
    <x v="6"/>
    <m/>
    <n v="0"/>
    <n v="0"/>
    <n v="0"/>
    <s v="1.1375"/>
    <s v="USD"/>
    <x v="33"/>
    <s v="INTEREST_AND_FEES"/>
    <n v="0"/>
    <s v="NONE"/>
    <n v="0"/>
    <n v="0"/>
    <s v="INFLOW_NON_GOV_INVESTMENTS"/>
    <n v="148669"/>
    <s v="SUMMIT"/>
    <m/>
    <d v="2018-11-29T00:00:00"/>
    <s v="LN_RC_GEN_U"/>
    <s v="AM_BANKBND_L"/>
    <s v="NONE"/>
    <s v="BONDS"/>
    <s v="Depfa Bank Plc, New York"/>
    <n v="5101000018"/>
    <s v="Bond"/>
    <s v="Bond"/>
    <s v="DEPFAPLC_NY"/>
    <s v="DEPFA"/>
    <s v="US662826DC77_LF2"/>
    <m/>
    <s v="Not GIC"/>
  </r>
  <r>
    <x v="2"/>
    <x v="1"/>
    <x v="0"/>
    <x v="7"/>
    <x v="6"/>
    <m/>
    <n v="0"/>
    <n v="0"/>
    <n v="0"/>
    <s v="1.1375"/>
    <s v="USD"/>
    <x v="34"/>
    <s v="INTEREST_AND_FEES"/>
    <n v="0"/>
    <s v="NONE"/>
    <n v="0"/>
    <n v="0"/>
    <s v="INFLOW_NON_GOV_INVESTMENTS"/>
    <n v="148669"/>
    <s v="SUMMIT"/>
    <m/>
    <d v="2018-11-29T00:00:00"/>
    <s v="LN_RC_GEN_U"/>
    <s v="AM_BANKBND_L"/>
    <s v="NONE"/>
    <s v="BONDS"/>
    <s v="Depfa Bank Plc, New York"/>
    <n v="5101000018"/>
    <s v="Bond"/>
    <s v="Bond"/>
    <s v="DEPFAPLC_NY"/>
    <s v="DEPFA"/>
    <s v="US662826DC77_LF2"/>
    <m/>
    <s v="Not GIC"/>
  </r>
  <r>
    <x v="2"/>
    <x v="1"/>
    <x v="0"/>
    <x v="7"/>
    <x v="6"/>
    <m/>
    <n v="0"/>
    <n v="0"/>
    <n v="0"/>
    <s v="1.1375"/>
    <s v="USD"/>
    <x v="25"/>
    <s v="INTEREST_AND_FEES"/>
    <n v="0"/>
    <s v="NONE"/>
    <n v="0"/>
    <n v="0"/>
    <s v="INFLOW_NON_GOV_INVESTMENTS"/>
    <n v="148669"/>
    <s v="SUMMIT"/>
    <m/>
    <d v="2018-11-29T00:00:00"/>
    <s v="LN_RC_GEN_U"/>
    <s v="AM_BANKBND_L"/>
    <s v="NONE"/>
    <s v="BONDS"/>
    <s v="Depfa Bank Plc, New York"/>
    <n v="5101000018"/>
    <s v="Bond"/>
    <s v="Bond"/>
    <s v="DEPFAPLC_NY"/>
    <s v="DEPFA"/>
    <s v="US662826DC77_LF2"/>
    <m/>
    <s v="Not GIC"/>
  </r>
  <r>
    <x v="3"/>
    <x v="1"/>
    <x v="0"/>
    <x v="9"/>
    <x v="6"/>
    <m/>
    <n v="0"/>
    <n v="0"/>
    <n v="0"/>
    <s v="1.1375"/>
    <s v="USD"/>
    <x v="35"/>
    <s v="INTEREST_AND_FEES"/>
    <n v="0"/>
    <s v="NONE"/>
    <n v="0"/>
    <n v="0"/>
    <s v="INFLOW_NON_GOV_INVESTMENTS"/>
    <n v="148669"/>
    <s v="SUMMIT"/>
    <m/>
    <d v="2018-11-29T00:00:00"/>
    <s v="LN_RC_GEN_U"/>
    <s v="AM_BANKBND_L"/>
    <s v="NONE"/>
    <s v="BONDS"/>
    <s v="Depfa Bank Plc, New York"/>
    <n v="5101000018"/>
    <s v="Bond"/>
    <s v="Bond"/>
    <s v="DEPFAPLC_NY"/>
    <s v="DEPFA"/>
    <s v="US662826DC77_LF2"/>
    <m/>
    <s v="Not GIC"/>
  </r>
  <r>
    <x v="2"/>
    <x v="1"/>
    <x v="5"/>
    <x v="26"/>
    <x v="6"/>
    <m/>
    <s v="7426564.86"/>
    <s v="6528848.22857142857142857142857142857143"/>
    <n v="7426564.8600000003"/>
    <s v="1.1375"/>
    <s v="USD"/>
    <x v="3"/>
    <s v="PRINCIPAL_FLOW"/>
    <n v="0"/>
    <s v="NONE"/>
    <n v="0"/>
    <n v="0"/>
    <s v="INFLOW_NON_GOV_LOANS"/>
    <s v="D_293335PN"/>
    <s v="SUMMIT"/>
    <s v="293335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2"/>
    <x v="1"/>
    <x v="5"/>
    <x v="26"/>
    <x v="6"/>
    <m/>
    <s v="-1756615.13"/>
    <s v="-1544277.0373626373626373626373626373626"/>
    <n v="-1756615.1300000001"/>
    <s v="1.1375"/>
    <s v="USD"/>
    <x v="78"/>
    <s v="PRINCIPAL_FLOW"/>
    <n v="0"/>
    <s v="NONE"/>
    <n v="0"/>
    <n v="0"/>
    <s v="OUTFLOW_DEPOSITS_LOANS"/>
    <s v="D_293335PN"/>
    <s v="SUMMIT"/>
    <s v="293335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2"/>
    <x v="1"/>
    <x v="0"/>
    <x v="7"/>
    <x v="6"/>
    <m/>
    <s v="-77588.78"/>
    <s v="-68209.916483516483516483516483516483517"/>
    <n v="-77588.78"/>
    <s v="1.1375"/>
    <s v="USD"/>
    <x v="4"/>
    <s v="INTEREST_AND_FEES"/>
    <n v="0"/>
    <s v="NONE"/>
    <n v="0"/>
    <n v="0"/>
    <s v="OUTFLOW_DEPOSITS_LOANS"/>
    <s v="D_293335PN"/>
    <s v="SUMMIT"/>
    <s v="293335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2"/>
    <x v="1"/>
    <x v="5"/>
    <x v="26"/>
    <x v="6"/>
    <m/>
    <s v="7539625.59"/>
    <s v="6628242.27692307692307692307692307692308"/>
    <n v="7539625.5899999999"/>
    <s v="1.1375"/>
    <s v="USD"/>
    <x v="4"/>
    <s v="PRINCIPAL_FLOW"/>
    <n v="0"/>
    <s v="NONE"/>
    <n v="0"/>
    <n v="0"/>
    <s v="INFLOW_NON_GOV_LOANS"/>
    <s v="D_293335PN"/>
    <s v="SUMMIT"/>
    <s v="293335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2"/>
    <x v="1"/>
    <x v="0"/>
    <x v="7"/>
    <x v="6"/>
    <m/>
    <s v="-106647.15"/>
    <s v="-93755.736263736263736263736263736263736"/>
    <n v="-106647.15"/>
    <s v="1.1375"/>
    <s v="USD"/>
    <x v="5"/>
    <s v="INTEREST_AND_FEES"/>
    <n v="0"/>
    <s v="NONE"/>
    <n v="0"/>
    <n v="0"/>
    <s v="OUTFLOW_DEPOSITS_LOANS"/>
    <s v="D_293335PN"/>
    <s v="SUMMIT"/>
    <s v="293335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2"/>
    <x v="1"/>
    <x v="5"/>
    <x v="26"/>
    <x v="6"/>
    <m/>
    <s v="7457026.22"/>
    <s v="6555627.44615384615384615384615384615385"/>
    <n v="7457026.2199999997"/>
    <s v="1.1375"/>
    <s v="USD"/>
    <x v="5"/>
    <s v="PRINCIPAL_FLOW"/>
    <n v="0"/>
    <s v="NONE"/>
    <n v="0"/>
    <n v="0"/>
    <s v="INFLOW_NON_GOV_LOANS"/>
    <s v="D_293335PN"/>
    <s v="SUMMIT"/>
    <s v="293335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3"/>
    <x v="1"/>
    <x v="0"/>
    <x v="9"/>
    <x v="6"/>
    <m/>
    <s v="-131635.3"/>
    <s v="-115723.34065934065934065934065934065934"/>
    <n v="-131635.29999999999"/>
    <s v="1.1375"/>
    <s v="USD"/>
    <x v="6"/>
    <s v="INTEREST_AND_FEES"/>
    <n v="0"/>
    <s v="NONE"/>
    <n v="0"/>
    <n v="0"/>
    <s v="OUTFLOW_DEPOSITS_LOANS"/>
    <s v="D_293335PN"/>
    <s v="SUMMIT"/>
    <s v="293335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3"/>
    <x v="1"/>
    <x v="5"/>
    <x v="27"/>
    <x v="6"/>
    <m/>
    <s v="7903139.84"/>
    <s v="6947815.24395604395604395604395604395604"/>
    <n v="7903139.8399999999"/>
    <s v="1.1375"/>
    <s v="USD"/>
    <x v="6"/>
    <s v="PRINCIPAL_FLOW"/>
    <n v="0"/>
    <s v="NONE"/>
    <n v="0"/>
    <n v="0"/>
    <s v="INFLOW_NON_GOV_LOANS"/>
    <s v="D_293335PN"/>
    <s v="SUMMIT"/>
    <s v="293335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3"/>
    <x v="1"/>
    <x v="5"/>
    <x v="27"/>
    <x v="6"/>
    <m/>
    <s v="-42432287.11"/>
    <s v="-37303109.547252747252747252747252747253"/>
    <n v="-42432287.109999992"/>
    <s v="1.1375"/>
    <s v="USD"/>
    <x v="76"/>
    <s v="PRINCIPAL_FLOW"/>
    <n v="0"/>
    <s v="NONE"/>
    <n v="0"/>
    <n v="0"/>
    <s v="OUTFLOW_DEPOSITS_LOANS"/>
    <s v="D_293335PN"/>
    <s v="SUMMIT"/>
    <s v="293335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3"/>
    <x v="1"/>
    <x v="5"/>
    <x v="27"/>
    <x v="6"/>
    <m/>
    <s v="6223607.15"/>
    <s v="5471302.98901098901098901098901098901099"/>
    <n v="6223607.1499999994"/>
    <s v="1.1375"/>
    <s v="USD"/>
    <x v="7"/>
    <s v="PRINCIPAL_FLOW"/>
    <n v="0"/>
    <s v="NONE"/>
    <n v="0"/>
    <n v="0"/>
    <s v="INFLOW_NON_GOV_LOANS"/>
    <s v="D_293335PN"/>
    <s v="SUMMIT"/>
    <s v="293335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3"/>
    <x v="1"/>
    <x v="0"/>
    <x v="9"/>
    <x v="6"/>
    <m/>
    <s v="-76280.92"/>
    <s v="-67060.14945054945054945054945054945055"/>
    <n v="-76280.92"/>
    <s v="1.1375"/>
    <s v="USD"/>
    <x v="7"/>
    <s v="INTEREST_AND_FEES"/>
    <n v="0"/>
    <s v="NONE"/>
    <n v="0"/>
    <n v="0"/>
    <s v="OUTFLOW_DEPOSITS_LOANS"/>
    <s v="D_293335PN"/>
    <s v="SUMMIT"/>
    <s v="293335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3"/>
    <x v="1"/>
    <x v="0"/>
    <x v="9"/>
    <x v="6"/>
    <m/>
    <s v="-24582.11"/>
    <s v="-21610.646153846153846153846153846153846"/>
    <n v="-24582.11"/>
    <s v="1.1375"/>
    <s v="USD"/>
    <x v="8"/>
    <s v="INTEREST_AND_FEES"/>
    <n v="0"/>
    <s v="NONE"/>
    <n v="0"/>
    <n v="0"/>
    <s v="OUTFLOW_DEPOSITS_LOANS"/>
    <s v="D_293335PN"/>
    <s v="SUMMIT"/>
    <s v="293335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3"/>
    <x v="1"/>
    <x v="5"/>
    <x v="27"/>
    <x v="6"/>
    <m/>
    <s v="7585400.52"/>
    <s v="6668483.97362637362637362637362637362637"/>
    <n v="7585400.5199999996"/>
    <s v="1.1375"/>
    <s v="USD"/>
    <x v="8"/>
    <s v="PRINCIPAL_FLOW"/>
    <n v="0"/>
    <s v="NONE"/>
    <n v="0"/>
    <n v="0"/>
    <s v="INFLOW_NON_GOV_LOANS"/>
    <s v="D_293335PN"/>
    <s v="SUMMIT"/>
    <s v="293335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3"/>
    <x v="1"/>
    <x v="0"/>
    <x v="9"/>
    <x v="6"/>
    <m/>
    <s v="-49269.02"/>
    <s v="-43313.424175824175824175824175824175824"/>
    <n v="-49269.02"/>
    <s v="1.1375"/>
    <s v="USD"/>
    <x v="9"/>
    <s v="INTEREST_AND_FEES"/>
    <n v="0"/>
    <s v="NONE"/>
    <n v="0"/>
    <n v="0"/>
    <s v="OUTFLOW_DEPOSITS_LOANS"/>
    <s v="D_293335PN"/>
    <s v="SUMMIT"/>
    <s v="293335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3"/>
    <x v="1"/>
    <x v="5"/>
    <x v="27"/>
    <x v="6"/>
    <m/>
    <s v="8051645.87"/>
    <s v="7078369.9956043956043956043956043956044"/>
    <n v="8051645.8700000001"/>
    <s v="1.1375"/>
    <s v="USD"/>
    <x v="9"/>
    <s v="PRINCIPAL_FLOW"/>
    <n v="0"/>
    <s v="NONE"/>
    <n v="0"/>
    <n v="0"/>
    <s v="INFLOW_NON_GOV_LOANS"/>
    <s v="D_293335PN"/>
    <s v="SUMMIT"/>
    <s v="293335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3"/>
    <x v="1"/>
    <x v="5"/>
    <x v="27"/>
    <x v="6"/>
    <m/>
    <s v="-1688027.85"/>
    <s v="-1483980.5274725274725274725274725274725"/>
    <n v="-1688027.8499999999"/>
    <s v="1.1375"/>
    <s v="USD"/>
    <x v="79"/>
    <s v="PRINCIPAL_FLOW"/>
    <n v="0"/>
    <s v="NONE"/>
    <n v="0"/>
    <n v="0"/>
    <s v="OUTFLOW_DEPOSITS_LOANS"/>
    <s v="D_293335PN"/>
    <s v="SUMMIT"/>
    <s v="293335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3"/>
    <x v="1"/>
    <x v="0"/>
    <x v="9"/>
    <x v="6"/>
    <m/>
    <s v="-82696.54"/>
    <s v="-72700.254945054945054945054945054945055"/>
    <n v="-82696.539999999994"/>
    <s v="1.1375"/>
    <s v="USD"/>
    <x v="10"/>
    <s v="INTEREST_AND_FEES"/>
    <n v="0"/>
    <s v="NONE"/>
    <n v="0"/>
    <n v="0"/>
    <s v="OUTFLOW_DEPOSITS_LOANS"/>
    <s v="D_293335PN"/>
    <s v="SUMMIT"/>
    <s v="293335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3"/>
    <x v="1"/>
    <x v="5"/>
    <x v="27"/>
    <x v="6"/>
    <m/>
    <s v="7280725.25"/>
    <s v="6400637.58241758241758241758241758241758"/>
    <n v="7280725.2499999991"/>
    <s v="1.1375"/>
    <s v="USD"/>
    <x v="10"/>
    <s v="PRINCIPAL_FLOW"/>
    <n v="0"/>
    <s v="NONE"/>
    <n v="0"/>
    <n v="0"/>
    <s v="INFLOW_NON_GOV_LOANS"/>
    <s v="D_293335PN"/>
    <s v="SUMMIT"/>
    <s v="293335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3"/>
    <x v="1"/>
    <x v="5"/>
    <x v="27"/>
    <x v="6"/>
    <m/>
    <s v="7584037.44"/>
    <s v="6667285.66153846153846153846153846153846"/>
    <n v="7584037.4399999995"/>
    <s v="1.1375"/>
    <s v="USD"/>
    <x v="11"/>
    <s v="PRINCIPAL_FLOW"/>
    <n v="0"/>
    <s v="NONE"/>
    <n v="0"/>
    <n v="0"/>
    <s v="INFLOW_NON_GOV_LOANS"/>
    <s v="D_293335PN"/>
    <s v="SUMMIT"/>
    <s v="293335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3"/>
    <x v="1"/>
    <x v="0"/>
    <x v="9"/>
    <x v="6"/>
    <m/>
    <s v="-106879.8"/>
    <s v="-93960.263736263736263736263736263736264"/>
    <n v="-106879.79999999999"/>
    <s v="1.1375"/>
    <s v="USD"/>
    <x v="11"/>
    <s v="INTEREST_AND_FEES"/>
    <n v="0"/>
    <s v="NONE"/>
    <n v="0"/>
    <n v="0"/>
    <s v="OUTFLOW_DEPOSITS_LOANS"/>
    <s v="D_293335PN"/>
    <s v="SUMMIT"/>
    <s v="293335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4"/>
    <x v="1"/>
    <x v="0"/>
    <x v="10"/>
    <x v="6"/>
    <m/>
    <s v="-138403.45"/>
    <s v="-121673.36263736263736263736263736263736"/>
    <n v="-138403.44999999998"/>
    <s v="1.1375"/>
    <s v="USD"/>
    <x v="12"/>
    <s v="INTEREST_AND_FEES"/>
    <n v="0"/>
    <s v="NONE"/>
    <n v="0"/>
    <n v="0"/>
    <s v="OUTFLOW_DEPOSITS_LOANS"/>
    <s v="D_293335PN"/>
    <s v="SUMMIT"/>
    <s v="293335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4"/>
    <x v="1"/>
    <x v="5"/>
    <x v="28"/>
    <x v="6"/>
    <m/>
    <s v="4979339.08"/>
    <s v="4377440.94945054945054945054945054945055"/>
    <n v="4979339.08"/>
    <s v="1.1375"/>
    <s v="USD"/>
    <x v="12"/>
    <s v="PRINCIPAL_FLOW"/>
    <n v="0"/>
    <s v="NONE"/>
    <n v="0"/>
    <n v="0"/>
    <s v="INFLOW_NON_GOV_LOANS"/>
    <s v="D_293335PN"/>
    <s v="SUMMIT"/>
    <s v="293335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4"/>
    <x v="1"/>
    <x v="5"/>
    <x v="28"/>
    <x v="6"/>
    <m/>
    <s v="-40016727.46"/>
    <s v="-35179540.624175824175824175824175824176"/>
    <n v="-40016727.460000001"/>
    <s v="1.1375"/>
    <s v="USD"/>
    <x v="80"/>
    <s v="PRINCIPAL_FLOW"/>
    <n v="0"/>
    <s v="NONE"/>
    <n v="0"/>
    <n v="0"/>
    <s v="OUTFLOW_DEPOSITS_LOANS"/>
    <s v="D_293335PN"/>
    <s v="SUMMIT"/>
    <s v="293335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4"/>
    <x v="1"/>
    <x v="0"/>
    <x v="10"/>
    <x v="6"/>
    <m/>
    <s v="-71387.65"/>
    <s v="-62758.373626373626373626373626373626374"/>
    <n v="-71387.649999999994"/>
    <s v="1.1375"/>
    <s v="USD"/>
    <x v="13"/>
    <s v="INTEREST_AND_FEES"/>
    <n v="0"/>
    <s v="NONE"/>
    <n v="0"/>
    <n v="0"/>
    <s v="OUTFLOW_DEPOSITS_LOANS"/>
    <s v="D_293335PN"/>
    <s v="SUMMIT"/>
    <s v="293335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4"/>
    <x v="1"/>
    <x v="5"/>
    <x v="28"/>
    <x v="6"/>
    <m/>
    <s v="6583425.15"/>
    <s v="5787626.50549450549450549450549450549451"/>
    <n v="6583425.1499999994"/>
    <s v="1.1375"/>
    <s v="USD"/>
    <x v="13"/>
    <s v="PRINCIPAL_FLOW"/>
    <n v="0"/>
    <s v="NONE"/>
    <n v="0"/>
    <n v="0"/>
    <s v="INFLOW_NON_GOV_LOANS"/>
    <s v="D_293335PN"/>
    <s v="SUMMIT"/>
    <s v="293335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4"/>
    <x v="1"/>
    <x v="0"/>
    <x v="10"/>
    <x v="6"/>
    <m/>
    <s v="-26005.61"/>
    <s v="-22862.074725274725274725274725274725275"/>
    <n v="-26005.609999999997"/>
    <s v="1.1375"/>
    <s v="USD"/>
    <x v="14"/>
    <s v="INTEREST_AND_FEES"/>
    <n v="0"/>
    <s v="NONE"/>
    <n v="0"/>
    <n v="0"/>
    <s v="OUTFLOW_DEPOSITS_LOANS"/>
    <s v="D_293335PN"/>
    <s v="SUMMIT"/>
    <s v="293335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4"/>
    <x v="1"/>
    <x v="5"/>
    <x v="28"/>
    <x v="6"/>
    <m/>
    <s v="6528504.88"/>
    <s v="5739344.94945054945054945054945054945055"/>
    <n v="6528504.8799999999"/>
    <s v="1.1375"/>
    <s v="USD"/>
    <x v="14"/>
    <s v="PRINCIPAL_FLOW"/>
    <n v="0"/>
    <s v="NONE"/>
    <n v="0"/>
    <n v="0"/>
    <s v="INFLOW_NON_GOV_LOANS"/>
    <s v="D_293335PN"/>
    <s v="SUMMIT"/>
    <s v="293335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4"/>
    <x v="1"/>
    <x v="0"/>
    <x v="10"/>
    <x v="6"/>
    <m/>
    <s v="-51794.28"/>
    <s v="-45533.432967032967032967032967032967033"/>
    <n v="-51794.28"/>
    <s v="1.1375"/>
    <s v="USD"/>
    <x v="15"/>
    <s v="INTEREST_AND_FEES"/>
    <n v="0"/>
    <s v="NONE"/>
    <n v="0"/>
    <n v="0"/>
    <s v="OUTFLOW_DEPOSITS_LOANS"/>
    <s v="D_293335PN"/>
    <s v="SUMMIT"/>
    <s v="293335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4"/>
    <x v="1"/>
    <x v="5"/>
    <x v="28"/>
    <x v="6"/>
    <m/>
    <s v="7014418.6"/>
    <s v="6166521.84615384615384615384615384615385"/>
    <n v="7014418.5999999996"/>
    <s v="1.1375"/>
    <s v="USD"/>
    <x v="15"/>
    <s v="PRINCIPAL_FLOW"/>
    <n v="0"/>
    <s v="NONE"/>
    <n v="0"/>
    <n v="0"/>
    <s v="INFLOW_NON_GOV_LOANS"/>
    <s v="D_293335PN"/>
    <s v="SUMMIT"/>
    <s v="293335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4"/>
    <x v="1"/>
    <x v="5"/>
    <x v="28"/>
    <x v="6"/>
    <m/>
    <s v="-1726430.58"/>
    <s v="-1517741.1692307692307692307692307692308"/>
    <n v="-1726430.5799999998"/>
    <s v="1.1375"/>
    <s v="USD"/>
    <x v="81"/>
    <s v="PRINCIPAL_FLOW"/>
    <n v="0"/>
    <s v="NONE"/>
    <n v="0"/>
    <n v="0"/>
    <s v="OUTFLOW_DEPOSITS_LOANS"/>
    <s v="D_293335PN"/>
    <s v="SUMMIT"/>
    <s v="293335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4"/>
    <x v="1"/>
    <x v="5"/>
    <x v="28"/>
    <x v="6"/>
    <m/>
    <s v="7113396.57"/>
    <s v="6253535.44615384615384615384615384615385"/>
    <n v="7113396.5700000003"/>
    <s v="1.1375"/>
    <s v="USD"/>
    <x v="16"/>
    <s v="PRINCIPAL_FLOW"/>
    <n v="0"/>
    <s v="NONE"/>
    <n v="0"/>
    <n v="0"/>
    <s v="INFLOW_NON_GOV_LOANS"/>
    <s v="D_293335PN"/>
    <s v="SUMMIT"/>
    <s v="293335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4"/>
    <x v="1"/>
    <x v="0"/>
    <x v="10"/>
    <x v="6"/>
    <m/>
    <s v="-74324.38"/>
    <s v="-65340.114285714285714285714285714285714"/>
    <n v="-74324.37999999999"/>
    <s v="1.1375"/>
    <s v="USD"/>
    <x v="16"/>
    <s v="INTEREST_AND_FEES"/>
    <n v="0"/>
    <s v="NONE"/>
    <n v="0"/>
    <n v="0"/>
    <s v="OUTFLOW_DEPOSITS_LOANS"/>
    <s v="D_293335PN"/>
    <s v="SUMMIT"/>
    <s v="293335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4"/>
    <x v="1"/>
    <x v="0"/>
    <x v="10"/>
    <x v="6"/>
    <m/>
    <s v="-100781.79"/>
    <s v="-88599.375824175824175824175824175824176"/>
    <n v="-100781.79"/>
    <s v="1.1375"/>
    <s v="USD"/>
    <x v="17"/>
    <s v="INTEREST_AND_FEES"/>
    <n v="0"/>
    <s v="NONE"/>
    <n v="0"/>
    <n v="0"/>
    <s v="OUTFLOW_DEPOSITS_LOANS"/>
    <s v="D_293335PN"/>
    <s v="SUMMIT"/>
    <s v="293335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4"/>
    <x v="1"/>
    <x v="5"/>
    <x v="28"/>
    <x v="6"/>
    <m/>
    <s v="7037348.57"/>
    <s v="6186680.06153846153846153846153846153846"/>
    <n v="7037348.5699999994"/>
    <s v="1.1375"/>
    <s v="USD"/>
    <x v="17"/>
    <s v="PRINCIPAL_FLOW"/>
    <n v="0"/>
    <s v="NONE"/>
    <n v="0"/>
    <n v="0"/>
    <s v="INFLOW_NON_GOV_LOANS"/>
    <s v="D_293335PN"/>
    <s v="SUMMIT"/>
    <s v="293335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5"/>
    <x v="1"/>
    <x v="0"/>
    <x v="11"/>
    <x v="6"/>
    <m/>
    <s v="-124432.72"/>
    <s v="-109391.4021978021978021978021978021978"/>
    <n v="-124432.71999999999"/>
    <s v="1.1375"/>
    <s v="USD"/>
    <x v="18"/>
    <s v="INTEREST_AND_FEES"/>
    <n v="0"/>
    <s v="NONE"/>
    <n v="0"/>
    <n v="0"/>
    <s v="OUTFLOW_DEPOSITS_LOANS"/>
    <s v="D_293335PN"/>
    <s v="SUMMIT"/>
    <s v="293335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5"/>
    <x v="1"/>
    <x v="5"/>
    <x v="29"/>
    <x v="6"/>
    <m/>
    <s v="7447298.73"/>
    <s v="6547075.80659340659340659340659340659341"/>
    <n v="7447298.7300000004"/>
    <s v="1.1375"/>
    <s v="USD"/>
    <x v="18"/>
    <s v="PRINCIPAL_FLOW"/>
    <n v="0"/>
    <s v="NONE"/>
    <n v="0"/>
    <n v="0"/>
    <s v="INFLOW_NON_GOV_LOANS"/>
    <s v="D_293335PN"/>
    <s v="SUMMIT"/>
    <s v="293335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5"/>
    <x v="1"/>
    <x v="5"/>
    <x v="29"/>
    <x v="6"/>
    <m/>
    <s v="-39997961.92"/>
    <s v="-35163043.446153846153846153846153846154"/>
    <n v="-39997961.920000002"/>
    <s v="1.1375"/>
    <s v="USD"/>
    <x v="82"/>
    <s v="PRINCIPAL_FLOW"/>
    <n v="0"/>
    <s v="NONE"/>
    <n v="0"/>
    <n v="0"/>
    <s v="OUTFLOW_DEPOSITS_LOANS"/>
    <s v="D_293335PN"/>
    <s v="SUMMIT"/>
    <s v="293335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5"/>
    <x v="1"/>
    <x v="5"/>
    <x v="29"/>
    <x v="6"/>
    <m/>
    <s v="5823360.25"/>
    <s v="5119437.58241758241758241758241758241758"/>
    <n v="5823360.2499999991"/>
    <s v="1.1375"/>
    <s v="USD"/>
    <x v="19"/>
    <s v="PRINCIPAL_FLOW"/>
    <n v="0"/>
    <s v="NONE"/>
    <n v="0"/>
    <n v="0"/>
    <s v="INFLOW_NON_GOV_LOANS"/>
    <s v="D_293335PN"/>
    <s v="SUMMIT"/>
    <s v="293335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5"/>
    <x v="1"/>
    <x v="0"/>
    <x v="11"/>
    <x v="6"/>
    <m/>
    <s v="-72838.25"/>
    <s v="-64033.626373626373626373626373626373626"/>
    <n v="-72838.25"/>
    <s v="1.1375"/>
    <s v="USD"/>
    <x v="19"/>
    <s v="INTEREST_AND_FEES"/>
    <n v="0"/>
    <s v="NONE"/>
    <n v="0"/>
    <n v="0"/>
    <s v="OUTFLOW_DEPOSITS_LOANS"/>
    <s v="D_293335PN"/>
    <s v="SUMMIT"/>
    <s v="293335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5"/>
    <x v="1"/>
    <x v="0"/>
    <x v="11"/>
    <x v="6"/>
    <m/>
    <s v="-23003.23"/>
    <s v="-20222.61978021978021978021978021978022"/>
    <n v="-23003.229999999996"/>
    <s v="1.1375"/>
    <s v="USD"/>
    <x v="20"/>
    <s v="INTEREST_AND_FEES"/>
    <n v="0"/>
    <s v="NONE"/>
    <n v="0"/>
    <n v="0"/>
    <s v="OUTFLOW_DEPOSITS_LOANS"/>
    <s v="D_293335PN"/>
    <s v="SUMMIT"/>
    <s v="293335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5"/>
    <x v="1"/>
    <x v="5"/>
    <x v="29"/>
    <x v="6"/>
    <m/>
    <s v="7084240.74"/>
    <s v="6227903.94725274725274725274725274725275"/>
    <n v="7084240.7400000002"/>
    <s v="1.1375"/>
    <s v="USD"/>
    <x v="20"/>
    <s v="PRINCIPAL_FLOW"/>
    <n v="0"/>
    <s v="NONE"/>
    <n v="0"/>
    <n v="0"/>
    <s v="INFLOW_NON_GOV_LOANS"/>
    <s v="D_293335PN"/>
    <s v="SUMMIT"/>
    <s v="293335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5"/>
    <x v="1"/>
    <x v="0"/>
    <x v="11"/>
    <x v="6"/>
    <m/>
    <s v="-46052.91"/>
    <s v="-40486.074725274725274725274725274725275"/>
    <n v="-46052.909999999996"/>
    <s v="1.1375"/>
    <s v="USD"/>
    <x v="21"/>
    <s v="INTEREST_AND_FEES"/>
    <n v="0"/>
    <s v="NONE"/>
    <n v="0"/>
    <n v="0"/>
    <s v="OUTFLOW_DEPOSITS_LOANS"/>
    <s v="D_293335PN"/>
    <s v="SUMMIT"/>
    <s v="293335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5"/>
    <x v="1"/>
    <x v="5"/>
    <x v="29"/>
    <x v="6"/>
    <m/>
    <s v="7535970.66"/>
    <s v="6625029.15164835164835164835164835164835"/>
    <n v="7535970.6600000001"/>
    <s v="1.1375"/>
    <s v="USD"/>
    <x v="21"/>
    <s v="PRINCIPAL_FLOW"/>
    <n v="0"/>
    <s v="NONE"/>
    <n v="0"/>
    <n v="0"/>
    <s v="INFLOW_NON_GOV_LOANS"/>
    <s v="D_293335PN"/>
    <s v="SUMMIT"/>
    <s v="293335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5"/>
    <x v="1"/>
    <x v="5"/>
    <x v="29"/>
    <x v="6"/>
    <m/>
    <s v="-1654050.08"/>
    <s v="-1454109.9604395604395604395604395604396"/>
    <n v="-1654050.08"/>
    <s v="1.1375"/>
    <s v="USD"/>
    <x v="83"/>
    <s v="PRINCIPAL_FLOW"/>
    <n v="0"/>
    <s v="NONE"/>
    <n v="0"/>
    <n v="0"/>
    <s v="OUTFLOW_DEPOSITS_LOANS"/>
    <s v="D_293335PN"/>
    <s v="SUMMIT"/>
    <s v="293335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5"/>
    <x v="1"/>
    <x v="5"/>
    <x v="29"/>
    <x v="6"/>
    <m/>
    <s v="6807742.54"/>
    <s v="5984828.60659340659340659340659340659341"/>
    <n v="6807742.54"/>
    <s v="1.1375"/>
    <s v="USD"/>
    <x v="22"/>
    <s v="PRINCIPAL_FLOW"/>
    <n v="0"/>
    <s v="NONE"/>
    <n v="0"/>
    <n v="0"/>
    <s v="INFLOW_NON_GOV_LOANS"/>
    <s v="D_293335PN"/>
    <s v="SUMMIT"/>
    <s v="293335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5"/>
    <x v="1"/>
    <x v="0"/>
    <x v="11"/>
    <x v="6"/>
    <m/>
    <s v="-78039.91"/>
    <s v="-68606.514285714285714285714285714285714"/>
    <n v="-78039.91"/>
    <s v="1.1375"/>
    <s v="USD"/>
    <x v="22"/>
    <s v="INTEREST_AND_FEES"/>
    <n v="0"/>
    <s v="NONE"/>
    <n v="0"/>
    <n v="0"/>
    <s v="OUTFLOW_DEPOSITS_LOANS"/>
    <s v="D_293335PN"/>
    <s v="SUMMIT"/>
    <s v="293335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5"/>
    <x v="1"/>
    <x v="0"/>
    <x v="11"/>
    <x v="6"/>
    <m/>
    <s v="-97851.68"/>
    <s v="-86023.454945054945054945054945054945055"/>
    <n v="-97851.68"/>
    <s v="1.1375"/>
    <s v="USD"/>
    <x v="23"/>
    <s v="INTEREST_AND_FEES"/>
    <n v="0"/>
    <s v="NONE"/>
    <n v="0"/>
    <n v="0"/>
    <s v="OUTFLOW_DEPOSITS_LOANS"/>
    <s v="D_293335PN"/>
    <s v="SUMMIT"/>
    <s v="293335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5"/>
    <x v="1"/>
    <x v="5"/>
    <x v="29"/>
    <x v="6"/>
    <m/>
    <s v="7093136.07"/>
    <s v="6235724.01758241758241758241758241758242"/>
    <n v="7093136.0699999994"/>
    <s v="1.1375"/>
    <s v="USD"/>
    <x v="23"/>
    <s v="PRINCIPAL_FLOW"/>
    <n v="0"/>
    <s v="NONE"/>
    <n v="0"/>
    <n v="0"/>
    <s v="INFLOW_NON_GOV_LOANS"/>
    <s v="D_293335PN"/>
    <s v="SUMMIT"/>
    <s v="293335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3"/>
    <x v="0"/>
    <x v="0"/>
    <x v="3"/>
    <x v="3"/>
    <s v="12M_San Sabia Capital Corporation"/>
    <s v="14327.52"/>
    <s v="12595.621978021978021978021978021978022"/>
    <n v="14327.519999999999"/>
    <s v="1.1375"/>
    <s v="USD"/>
    <x v="9"/>
    <s v="INTEREST_AND_FEES"/>
    <n v="0"/>
    <s v="NONE"/>
    <n v="0"/>
    <n v="0"/>
    <s v="IGNORED"/>
    <s v="957272SA"/>
    <s v="SUMMIT"/>
    <m/>
    <d v="1938-09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14729.98"/>
    <s v="12949.432967032967032967032967032967033"/>
    <n v="14729.979999999998"/>
    <s v="1.1375"/>
    <s v="USD"/>
    <x v="15"/>
    <s v="INTEREST_AND_FEES"/>
    <n v="0"/>
    <s v="NONE"/>
    <n v="0"/>
    <n v="0"/>
    <s v="IGNORED"/>
    <s v="957272SA"/>
    <s v="SUMMIT"/>
    <m/>
    <d v="1938-09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20692.5"/>
    <s v="18191.2087912087912087912087912087912088"/>
    <n v="20692.5"/>
    <s v="1.1375"/>
    <s v="USD"/>
    <x v="21"/>
    <s v="INTEREST_AND_FEES"/>
    <n v="0"/>
    <s v="NONE"/>
    <n v="0"/>
    <n v="0"/>
    <s v="IGNORED"/>
    <s v="957272SA"/>
    <s v="SUMMIT"/>
    <m/>
    <d v="1938-09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0"/>
    <x v="0"/>
    <x v="0"/>
    <x v="0"/>
    <x v="0"/>
    <s v="3W_San Sabia Capital Corporation"/>
    <s v="41.43"/>
    <s v="36.421978021978021978021978021978021978"/>
    <n v="41.43"/>
    <s v="1.1375"/>
    <s v="USD"/>
    <x v="0"/>
    <s v="INTEREST_AND_FEES"/>
    <n v="0"/>
    <s v="NONE"/>
    <n v="0"/>
    <n v="0"/>
    <s v="IGNORED"/>
    <s v="957272SA"/>
    <s v="SUMMIT"/>
    <m/>
    <d v="1938-09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1"/>
    <x v="0"/>
    <x v="0"/>
    <x v="1"/>
    <x v="1"/>
    <s v="3M_San Sabia Capital Corporation"/>
    <s v="33.93"/>
    <s v="29.8285714285714285714285714285714285714"/>
    <n v="33.93"/>
    <s v="1.1375"/>
    <s v="USD"/>
    <x v="1"/>
    <s v="INTEREST_AND_FEES"/>
    <n v="0"/>
    <s v="NONE"/>
    <n v="0"/>
    <n v="0"/>
    <s v="IGNORED"/>
    <s v="957272SA"/>
    <s v="SUMMIT"/>
    <m/>
    <d v="1938-09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1"/>
    <x v="0"/>
    <x v="0"/>
    <x v="1"/>
    <x v="1"/>
    <s v="3M_San Sabia Capital Corporation"/>
    <s v="30.05"/>
    <s v="26.4175824175824175824175824175824175824"/>
    <n v="30.049999999999997"/>
    <s v="1.1375"/>
    <s v="USD"/>
    <x v="2"/>
    <s v="INTEREST_AND_FEES"/>
    <n v="0"/>
    <s v="NONE"/>
    <n v="0"/>
    <n v="0"/>
    <s v="IGNORED"/>
    <s v="957272SA"/>
    <s v="SUMMIT"/>
    <m/>
    <d v="1938-09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2"/>
    <x v="0"/>
    <x v="0"/>
    <x v="2"/>
    <x v="2"/>
    <s v="6M_San Sabia Capital Corporation"/>
    <s v="11.02"/>
    <s v="9.68791208791208791208791208791208791209"/>
    <n v="11.02"/>
    <s v="1.1375"/>
    <s v="USD"/>
    <x v="3"/>
    <s v="INTEREST_AND_FEES"/>
    <n v="0"/>
    <s v="NONE"/>
    <n v="0"/>
    <n v="0"/>
    <s v="IGNORED"/>
    <s v="957272SA"/>
    <s v="SUMMIT"/>
    <m/>
    <d v="1938-09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2"/>
    <x v="0"/>
    <x v="0"/>
    <x v="2"/>
    <x v="2"/>
    <s v="6M_San Sabia Capital Corporation"/>
    <s v="-7.5"/>
    <s v="-6.5934065934065934065934065934065934066"/>
    <n v="-7.4999999999999991"/>
    <s v="1.1375"/>
    <s v="USD"/>
    <x v="4"/>
    <s v="INTEREST_AND_FEES"/>
    <n v="0"/>
    <s v="NONE"/>
    <n v="0"/>
    <n v="0"/>
    <s v="IGNORED"/>
    <s v="957272SA"/>
    <s v="SUMMIT"/>
    <m/>
    <d v="1938-09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2"/>
    <x v="0"/>
    <x v="0"/>
    <x v="2"/>
    <x v="2"/>
    <s v="6M_San Sabia Capital Corporation"/>
    <s v="-7.75"/>
    <s v="-6.8131868131868131868131868131868131868"/>
    <n v="-7.7499999999999991"/>
    <s v="1.1375"/>
    <s v="USD"/>
    <x v="5"/>
    <s v="INTEREST_AND_FEES"/>
    <n v="0"/>
    <s v="NONE"/>
    <n v="0"/>
    <n v="0"/>
    <s v="IGNORED"/>
    <s v="957272SA"/>
    <s v="SUMMIT"/>
    <m/>
    <d v="1938-09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s v="-41.36"/>
    <s v="-36.36043956043956043956043956043956044"/>
    <n v="-41.36"/>
    <s v="1.1375"/>
    <s v="USD"/>
    <x v="6"/>
    <s v="INTEREST_AND_FEES"/>
    <n v="0"/>
    <s v="NONE"/>
    <n v="0"/>
    <n v="0"/>
    <s v="IGNORED"/>
    <s v="957272SA"/>
    <s v="SUMMIT"/>
    <m/>
    <d v="1938-09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s v="-70.98"/>
    <s v="-62.4"/>
    <n v="-70.97999999999999"/>
    <s v="1.1375"/>
    <s v="USD"/>
    <x v="7"/>
    <s v="INTEREST_AND_FEES"/>
    <n v="0"/>
    <s v="NONE"/>
    <n v="0"/>
    <n v="0"/>
    <s v="IGNORED"/>
    <s v="957272SA"/>
    <s v="SUMMIT"/>
    <m/>
    <d v="1938-09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s v="-75.73"/>
    <s v="-66.575824175824175824175824175824175824"/>
    <n v="-75.73"/>
    <s v="1.1375"/>
    <s v="USD"/>
    <x v="8"/>
    <s v="INTEREST_AND_FEES"/>
    <n v="0"/>
    <s v="NONE"/>
    <n v="0"/>
    <n v="0"/>
    <s v="IGNORED"/>
    <s v="957272SA"/>
    <s v="SUMMIT"/>
    <m/>
    <d v="1938-09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s v="-103.28"/>
    <s v="-90.795604395604395604395604395604395604"/>
    <n v="-103.28"/>
    <s v="1.1375"/>
    <s v="USD"/>
    <x v="9"/>
    <s v="INTEREST_AND_FEES"/>
    <n v="0"/>
    <s v="NONE"/>
    <n v="0"/>
    <n v="0"/>
    <s v="IGNORED"/>
    <s v="957272SA"/>
    <s v="SUMMIT"/>
    <m/>
    <d v="1938-09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s v="-149.9"/>
    <s v="-131.78021978021978021978021978021978022"/>
    <n v="-149.89999999999998"/>
    <s v="1.1375"/>
    <s v="USD"/>
    <x v="10"/>
    <s v="INTEREST_AND_FEES"/>
    <n v="0"/>
    <s v="NONE"/>
    <n v="0"/>
    <n v="0"/>
    <s v="IGNORED"/>
    <s v="957272SA"/>
    <s v="SUMMIT"/>
    <m/>
    <d v="1938-09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s v="-135.38"/>
    <s v="-119.01538461538461538461538461538461539"/>
    <n v="-135.38"/>
    <s v="1.1375"/>
    <s v="USD"/>
    <x v="11"/>
    <s v="INTEREST_AND_FEES"/>
    <n v="0"/>
    <s v="NONE"/>
    <n v="0"/>
    <n v="0"/>
    <s v="IGNORED"/>
    <s v="957272SA"/>
    <s v="SUMMIT"/>
    <m/>
    <d v="1938-09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-205.68"/>
    <s v="-180.81758241758241758241758241758241758"/>
    <n v="-205.68"/>
    <s v="1.1375"/>
    <s v="USD"/>
    <x v="12"/>
    <s v="INTEREST_AND_FEES"/>
    <n v="0"/>
    <s v="NONE"/>
    <n v="0"/>
    <n v="0"/>
    <s v="IGNORED"/>
    <s v="957272SA"/>
    <s v="SUMMIT"/>
    <m/>
    <d v="1938-09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-217.84"/>
    <s v="-191.50769230769230769230769230769230769"/>
    <n v="-217.84"/>
    <s v="1.1375"/>
    <s v="USD"/>
    <x v="13"/>
    <s v="INTEREST_AND_FEES"/>
    <n v="0"/>
    <s v="NONE"/>
    <n v="0"/>
    <n v="0"/>
    <s v="IGNORED"/>
    <s v="957272SA"/>
    <s v="SUMMIT"/>
    <m/>
    <d v="1938-09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-225.11"/>
    <s v="-197.8989010989010989010989010989010989"/>
    <n v="-225.10999999999999"/>
    <s v="1.1375"/>
    <s v="USD"/>
    <x v="14"/>
    <s v="INTEREST_AND_FEES"/>
    <n v="0"/>
    <s v="NONE"/>
    <n v="0"/>
    <n v="0"/>
    <s v="IGNORED"/>
    <s v="957272SA"/>
    <s v="SUMMIT"/>
    <m/>
    <d v="1938-09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-225.11"/>
    <s v="-197.8989010989010989010989010989010989"/>
    <n v="-225.10999999999999"/>
    <s v="1.1375"/>
    <s v="USD"/>
    <x v="15"/>
    <s v="INTEREST_AND_FEES"/>
    <n v="0"/>
    <s v="NONE"/>
    <n v="0"/>
    <n v="0"/>
    <s v="IGNORED"/>
    <s v="957272SA"/>
    <s v="SUMMIT"/>
    <m/>
    <d v="1938-09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-210.58"/>
    <s v="-185.12527472527472527472527472527472528"/>
    <n v="-210.57999999999998"/>
    <s v="1.1375"/>
    <s v="USD"/>
    <x v="16"/>
    <s v="INTEREST_AND_FEES"/>
    <n v="0"/>
    <s v="NONE"/>
    <n v="0"/>
    <n v="0"/>
    <s v="IGNORED"/>
    <s v="957272SA"/>
    <s v="SUMMIT"/>
    <m/>
    <d v="1938-09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-232.38"/>
    <s v="-204.29010989010989010989010989010989011"/>
    <n v="-232.38"/>
    <s v="1.1375"/>
    <s v="USD"/>
    <x v="17"/>
    <s v="INTEREST_AND_FEES"/>
    <n v="0"/>
    <s v="NONE"/>
    <n v="0"/>
    <n v="0"/>
    <s v="IGNORED"/>
    <s v="957272SA"/>
    <s v="SUMMIT"/>
    <m/>
    <d v="1938-09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-217.84"/>
    <s v="-191.50769230769230769230769230769230769"/>
    <n v="-217.84"/>
    <s v="1.1375"/>
    <s v="USD"/>
    <x v="18"/>
    <s v="INTEREST_AND_FEES"/>
    <n v="0"/>
    <s v="NONE"/>
    <n v="0"/>
    <n v="0"/>
    <s v="IGNORED"/>
    <s v="957272SA"/>
    <s v="SUMMIT"/>
    <m/>
    <d v="1938-09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-210.58"/>
    <s v="-185.12527472527472527472527472527472528"/>
    <n v="-210.57999999999998"/>
    <s v="1.1375"/>
    <s v="USD"/>
    <x v="19"/>
    <s v="INTEREST_AND_FEES"/>
    <n v="0"/>
    <s v="NONE"/>
    <n v="0"/>
    <n v="0"/>
    <s v="IGNORED"/>
    <s v="957272SA"/>
    <s v="SUMMIT"/>
    <m/>
    <d v="1938-09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-239.65"/>
    <s v="-210.68131868131868131868131868131868132"/>
    <n v="-239.65"/>
    <s v="1.1375"/>
    <s v="USD"/>
    <x v="20"/>
    <s v="INTEREST_AND_FEES"/>
    <n v="0"/>
    <s v="NONE"/>
    <n v="0"/>
    <n v="0"/>
    <s v="IGNORED"/>
    <s v="957272SA"/>
    <s v="SUMMIT"/>
    <m/>
    <d v="1938-09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-203.31"/>
    <s v="-178.73406593406593406593406593406593407"/>
    <n v="-203.31"/>
    <s v="1.1375"/>
    <s v="USD"/>
    <x v="21"/>
    <s v="INTEREST_AND_FEES"/>
    <n v="0"/>
    <s v="NONE"/>
    <n v="0"/>
    <n v="0"/>
    <s v="IGNORED"/>
    <s v="957272SA"/>
    <s v="SUMMIT"/>
    <m/>
    <d v="1938-09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-210.58"/>
    <s v="-185.12527472527472527472527472527472528"/>
    <n v="-210.57999999999998"/>
    <s v="1.1375"/>
    <s v="USD"/>
    <x v="68"/>
    <s v="INTEREST_AND_FEES"/>
    <n v="0"/>
    <s v="NONE"/>
    <n v="0"/>
    <n v="0"/>
    <s v="IGNORED"/>
    <s v="957272SA"/>
    <s v="SUMMIT"/>
    <m/>
    <d v="1938-09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-232.38"/>
    <s v="-204.29010989010989010989010989010989011"/>
    <n v="-232.38"/>
    <s v="1.1375"/>
    <s v="USD"/>
    <x v="23"/>
    <s v="INTEREST_AND_FEES"/>
    <n v="0"/>
    <s v="NONE"/>
    <n v="0"/>
    <n v="0"/>
    <s v="IGNORED"/>
    <s v="957272SA"/>
    <s v="SUMMIT"/>
    <m/>
    <d v="1938-09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1"/>
    <x v="1"/>
    <x v="0"/>
    <x v="13"/>
    <x v="6"/>
    <m/>
    <n v="0"/>
    <n v="0"/>
    <n v="0"/>
    <s v="1.1375"/>
    <s v="USD"/>
    <x v="32"/>
    <s v="INTEREST_AND_FEES"/>
    <n v="0"/>
    <s v="NONE"/>
    <n v="0"/>
    <n v="0"/>
    <s v="INFLOW_GENERAL_GOV_INVESTMENTS"/>
    <n v="190369"/>
    <s v="SUMMIT"/>
    <m/>
    <d v="2023-10-28T00:00:00"/>
    <s v="LN_RCS_GEN_U"/>
    <s v="AM_BANKBND_L"/>
    <s v="NONE"/>
    <s v="BONDS"/>
    <s v="FMS Wertmanagement A├╢R"/>
    <n v="3101055606"/>
    <s v="Bond"/>
    <s v="Bond"/>
    <s v="DEPFAPLC_NY"/>
    <s v="DEPFA"/>
    <s v="US452151MZ39_LF53"/>
    <m/>
    <s v="Not GIC"/>
  </r>
  <r>
    <x v="2"/>
    <x v="1"/>
    <x v="0"/>
    <x v="7"/>
    <x v="6"/>
    <m/>
    <n v="0"/>
    <n v="0"/>
    <n v="0"/>
    <s v="1.1375"/>
    <s v="USD"/>
    <x v="25"/>
    <s v="INTEREST_AND_FEES"/>
    <n v="0"/>
    <s v="NONE"/>
    <n v="0"/>
    <n v="0"/>
    <s v="INFLOW_GENERAL_GOV_INVESTMENTS"/>
    <n v="190369"/>
    <s v="SUMMIT"/>
    <m/>
    <d v="2023-10-28T00:00:00"/>
    <s v="LN_RCS_GEN_U"/>
    <s v="AM_BANKBND_L"/>
    <s v="NONE"/>
    <s v="BONDS"/>
    <s v="FMS Wertmanagement A├╢R"/>
    <n v="3101055606"/>
    <s v="Bond"/>
    <s v="Bond"/>
    <s v="DEPFAPLC_NY"/>
    <s v="DEPFA"/>
    <s v="US452151MZ39_LF53"/>
    <m/>
    <s v="Not GIC"/>
  </r>
  <r>
    <x v="3"/>
    <x v="1"/>
    <x v="0"/>
    <x v="9"/>
    <x v="6"/>
    <m/>
    <n v="0"/>
    <n v="0"/>
    <n v="0"/>
    <s v="1.1375"/>
    <s v="USD"/>
    <x v="37"/>
    <s v="INTEREST_AND_FEES"/>
    <n v="0"/>
    <s v="NONE"/>
    <n v="0"/>
    <n v="0"/>
    <s v="INFLOW_GENERAL_GOV_INVESTMENTS"/>
    <n v="190369"/>
    <s v="SUMMIT"/>
    <m/>
    <d v="2023-10-28T00:00:00"/>
    <s v="LN_RCS_GEN_U"/>
    <s v="AM_BANKBND_L"/>
    <s v="NONE"/>
    <s v="BONDS"/>
    <s v="FMS Wertmanagement A├╢R"/>
    <n v="3101055606"/>
    <s v="Bond"/>
    <s v="Bond"/>
    <s v="DEPFAPLC_NY"/>
    <s v="DEPFA"/>
    <s v="US452151MZ39_LF53"/>
    <m/>
    <s v="Not GIC"/>
  </r>
  <r>
    <x v="3"/>
    <x v="1"/>
    <x v="0"/>
    <x v="9"/>
    <x v="6"/>
    <m/>
    <n v="0"/>
    <n v="0"/>
    <n v="0"/>
    <s v="1.1375"/>
    <s v="USD"/>
    <x v="27"/>
    <s v="INTEREST_AND_FEES"/>
    <n v="0"/>
    <s v="NONE"/>
    <n v="0"/>
    <n v="0"/>
    <s v="INFLOW_GENERAL_GOV_INVESTMENTS"/>
    <n v="190369"/>
    <s v="SUMMIT"/>
    <m/>
    <d v="2023-10-28T00:00:00"/>
    <s v="LN_RCS_GEN_U"/>
    <s v="AM_BANKBND_L"/>
    <s v="NONE"/>
    <s v="BONDS"/>
    <s v="FMS Wertmanagement A├╢R"/>
    <n v="3101055606"/>
    <s v="Bond"/>
    <s v="Bond"/>
    <s v="DEPFAPLC_NY"/>
    <s v="DEPFA"/>
    <s v="US452151MZ39_LF53"/>
    <m/>
    <s v="Not GIC"/>
  </r>
  <r>
    <x v="4"/>
    <x v="1"/>
    <x v="0"/>
    <x v="10"/>
    <x v="6"/>
    <m/>
    <n v="0"/>
    <n v="0"/>
    <n v="0"/>
    <s v="1.1375"/>
    <s v="USD"/>
    <x v="49"/>
    <s v="INTEREST_AND_FEES"/>
    <n v="0"/>
    <s v="NONE"/>
    <n v="0"/>
    <n v="0"/>
    <s v="INFLOW_GENERAL_GOV_INVESTMENTS"/>
    <n v="190369"/>
    <s v="SUMMIT"/>
    <m/>
    <d v="2023-10-28T00:00:00"/>
    <s v="LN_RCS_GEN_U"/>
    <s v="AM_BANKBND_L"/>
    <s v="NONE"/>
    <s v="BONDS"/>
    <s v="FMS Wertmanagement A├╢R"/>
    <n v="3101055606"/>
    <s v="Bond"/>
    <s v="Bond"/>
    <s v="DEPFAPLC_NY"/>
    <s v="DEPFA"/>
    <s v="US452151MZ39_LF53"/>
    <m/>
    <s v="Not GIC"/>
  </r>
  <r>
    <x v="4"/>
    <x v="1"/>
    <x v="0"/>
    <x v="10"/>
    <x v="6"/>
    <m/>
    <n v="0"/>
    <n v="0"/>
    <n v="0"/>
    <s v="1.1375"/>
    <s v="USD"/>
    <x v="28"/>
    <s v="INTEREST_AND_FEES"/>
    <n v="0"/>
    <s v="NONE"/>
    <n v="0"/>
    <n v="0"/>
    <s v="INFLOW_GENERAL_GOV_INVESTMENTS"/>
    <n v="190369"/>
    <s v="SUMMIT"/>
    <m/>
    <d v="2023-10-28T00:00:00"/>
    <s v="LN_RCS_GEN_U"/>
    <s v="AM_BANKBND_L"/>
    <s v="NONE"/>
    <s v="BONDS"/>
    <s v="FMS Wertmanagement A├╢R"/>
    <n v="3101055606"/>
    <s v="Bond"/>
    <s v="Bond"/>
    <s v="DEPFAPLC_NY"/>
    <s v="DEPFA"/>
    <s v="US452151MZ39_LF53"/>
    <m/>
    <s v="Not GIC"/>
  </r>
  <r>
    <x v="5"/>
    <x v="1"/>
    <x v="0"/>
    <x v="11"/>
    <x v="6"/>
    <m/>
    <n v="0"/>
    <n v="0"/>
    <n v="0"/>
    <s v="1.1375"/>
    <s v="USD"/>
    <x v="54"/>
    <s v="INTEREST_AND_FEES"/>
    <n v="0"/>
    <s v="NONE"/>
    <n v="0"/>
    <n v="0"/>
    <s v="INFLOW_GENERAL_GOV_INVESTMENTS"/>
    <n v="190369"/>
    <s v="SUMMIT"/>
    <m/>
    <d v="2023-10-28T00:00:00"/>
    <s v="LN_RCS_GEN_U"/>
    <s v="AM_BANKBND_L"/>
    <s v="NONE"/>
    <s v="BONDS"/>
    <s v="FMS Wertmanagement A├╢R"/>
    <n v="3101055606"/>
    <s v="Bond"/>
    <s v="Bond"/>
    <s v="DEPFAPLC_NY"/>
    <s v="DEPFA"/>
    <s v="US452151MZ39_LF53"/>
    <m/>
    <s v="Not GIC"/>
  </r>
  <r>
    <x v="5"/>
    <x v="1"/>
    <x v="0"/>
    <x v="11"/>
    <x v="6"/>
    <m/>
    <n v="0"/>
    <n v="0"/>
    <n v="0"/>
    <s v="1.1375"/>
    <s v="USD"/>
    <x v="29"/>
    <s v="INTEREST_AND_FEES"/>
    <n v="0"/>
    <s v="NONE"/>
    <n v="0"/>
    <n v="0"/>
    <s v="INFLOW_GENERAL_GOV_INVESTMENTS"/>
    <n v="190369"/>
    <s v="SUMMIT"/>
    <m/>
    <d v="2023-10-28T00:00:00"/>
    <s v="LN_RCS_GEN_U"/>
    <s v="AM_BANKBND_L"/>
    <s v="NONE"/>
    <s v="BONDS"/>
    <s v="FMS Wertmanagement A├╢R"/>
    <n v="3101055606"/>
    <s v="Bond"/>
    <s v="Bond"/>
    <s v="DEPFAPLC_NY"/>
    <s v="DEPFA"/>
    <s v="US452151MZ39_LF53"/>
    <m/>
    <s v="Not GIC"/>
  </r>
  <r>
    <x v="6"/>
    <x v="0"/>
    <x v="0"/>
    <x v="15"/>
    <x v="7"/>
    <m/>
    <s v="-662031.25"/>
    <s v="-582005.49450549450549450549450549450549"/>
    <n v="-662031.25"/>
    <s v="1.1375"/>
    <s v="USD"/>
    <x v="43"/>
    <s v="INTEREST_AND_FEES"/>
    <n v="0"/>
    <s v="NONE"/>
    <n v="0"/>
    <n v="0"/>
    <s v="INFLOW_SEC_SALES_IN_MFIS"/>
    <n v="194042"/>
    <s v="SUMMIT"/>
    <m/>
    <d v="2029-05-15T00:00:00"/>
    <s v="LN_RC_GEN_U"/>
    <s v="AM_GICS_F"/>
    <s v="NONE"/>
    <s v="BONDS"/>
    <s v="Depfa Bank Plc"/>
    <n v="4101000279"/>
    <s v="Bond"/>
    <s v="Bond"/>
    <s v="DEPFAPLC_NY"/>
    <s v="DEPFA"/>
    <s v="US31359MEU36"/>
    <m/>
    <s v="Not GIC"/>
  </r>
  <r>
    <x v="3"/>
    <x v="0"/>
    <x v="0"/>
    <x v="3"/>
    <x v="3"/>
    <m/>
    <s v="-662031.25"/>
    <s v="-582005.49450549450549450549450549450549"/>
    <n v="-662031.25"/>
    <s v="1.1375"/>
    <s v="USD"/>
    <x v="44"/>
    <s v="INTEREST_AND_FEES"/>
    <n v="0"/>
    <s v="NONE"/>
    <n v="0"/>
    <n v="0"/>
    <s v="INFLOW_SEC_SALES_IN_MFIS"/>
    <n v="194042"/>
    <s v="SUMMIT"/>
    <m/>
    <d v="2029-05-15T00:00:00"/>
    <s v="LN_RC_GEN_U"/>
    <s v="AM_GICS_F"/>
    <s v="NONE"/>
    <s v="BONDS"/>
    <s v="Depfa Bank Plc"/>
    <n v="4101000279"/>
    <s v="Bond"/>
    <s v="Bond"/>
    <s v="DEPFAPLC_NY"/>
    <s v="DEPFA"/>
    <s v="US31359MEU36"/>
    <m/>
    <s v="Not GIC"/>
  </r>
  <r>
    <x v="4"/>
    <x v="0"/>
    <x v="0"/>
    <x v="4"/>
    <x v="4"/>
    <m/>
    <s v="-662031.25"/>
    <s v="-582005.49450549450549450549450549450549"/>
    <n v="-662031.25"/>
    <s v="1.1375"/>
    <s v="USD"/>
    <x v="45"/>
    <s v="INTEREST_AND_FEES"/>
    <n v="0"/>
    <s v="NONE"/>
    <n v="0"/>
    <n v="0"/>
    <s v="INFLOW_SEC_SALES_IN_MFIS"/>
    <n v="194042"/>
    <s v="SUMMIT"/>
    <m/>
    <d v="2029-05-15T00:00:00"/>
    <s v="LN_RC_GEN_U"/>
    <s v="AM_GICS_F"/>
    <s v="NONE"/>
    <s v="BONDS"/>
    <s v="Depfa Bank Plc"/>
    <n v="4101000279"/>
    <s v="Bond"/>
    <s v="Bond"/>
    <s v="DEPFAPLC_NY"/>
    <s v="DEPFA"/>
    <s v="US31359MEU36"/>
    <m/>
    <s v="Not GIC"/>
  </r>
  <r>
    <x v="5"/>
    <x v="0"/>
    <x v="0"/>
    <x v="5"/>
    <x v="5"/>
    <m/>
    <s v="-662031.25"/>
    <s v="-582005.49450549450549450549450549450549"/>
    <n v="-662031.25"/>
    <s v="1.1375"/>
    <s v="USD"/>
    <x v="46"/>
    <s v="INTEREST_AND_FEES"/>
    <n v="0"/>
    <s v="NONE"/>
    <n v="0"/>
    <n v="0"/>
    <s v="INFLOW_SEC_SALES_IN_MFIS"/>
    <n v="194042"/>
    <s v="SUMMIT"/>
    <m/>
    <d v="2029-05-15T00:00:00"/>
    <s v="LN_RC_GEN_U"/>
    <s v="AM_GICS_F"/>
    <s v="NONE"/>
    <s v="BONDS"/>
    <s v="Depfa Bank Plc"/>
    <n v="4101000279"/>
    <s v="Bond"/>
    <s v="Bond"/>
    <s v="DEPFAPLC_NY"/>
    <s v="DEPFA"/>
    <s v="US31359MEU36"/>
    <m/>
    <s v="Not GIC"/>
  </r>
  <r>
    <x v="1"/>
    <x v="1"/>
    <x v="0"/>
    <x v="13"/>
    <x v="6"/>
    <m/>
    <n v="62500"/>
    <s v="54945.0549450549450549450549450549450549"/>
    <n v="62500"/>
    <s v="1.1375"/>
    <s v="USD"/>
    <x v="57"/>
    <s v="INTEREST_AND_FEES"/>
    <n v="0"/>
    <s v="NONE"/>
    <n v="0"/>
    <n v="0"/>
    <s v="INFLOW_CENTRAL_GOV_INVESTMENTS"/>
    <n v="194066"/>
    <s v="SUMMIT"/>
    <m/>
    <d v="2016-06-15T00:00:00"/>
    <s v="AFS_GEN_U"/>
    <s v="AM_GICS_F"/>
    <s v="NONE"/>
    <s v="BONDS"/>
    <s v="RBC CAPTIAL MARKETS, LLC"/>
    <n v="3101053435"/>
    <s v="Bond"/>
    <s v="Bond"/>
    <s v="DEPFAPLC_NY"/>
    <s v="DEPFA"/>
    <s v="US912828VG29"/>
    <m/>
    <s v="Not GIC"/>
  </r>
  <r>
    <x v="1"/>
    <x v="1"/>
    <x v="2"/>
    <x v="18"/>
    <x v="6"/>
    <m/>
    <n v="25000000"/>
    <s v="21978021.978021978021978021978021978022"/>
    <n v="25000000"/>
    <s v="1.1375"/>
    <s v="USD"/>
    <x v="57"/>
    <s v="PRINCIPAL_FLOW"/>
    <n v="0"/>
    <s v="NONE"/>
    <n v="0"/>
    <n v="0"/>
    <s v="INFLOW_CENTRAL_GOV_INVESTMENTS"/>
    <n v="194066"/>
    <s v="SUMMIT"/>
    <m/>
    <d v="2016-06-15T00:00:00"/>
    <s v="AFS_GEN_U"/>
    <s v="AM_GICS_F"/>
    <s v="NONE"/>
    <s v="BONDS"/>
    <s v="RBC CAPTIAL MARKETS, LLC"/>
    <n v="3101053435"/>
    <s v="Bond"/>
    <s v="Bond"/>
    <s v="DEPFAPLC_NY"/>
    <s v="DEPFA"/>
    <s v="US912828VG29"/>
    <m/>
    <s v="Not GIC"/>
  </r>
  <r>
    <x v="0"/>
    <x v="1"/>
    <x v="0"/>
    <x v="12"/>
    <x v="6"/>
    <m/>
    <s v="-146815.81"/>
    <s v="-129068.84395604395604395604395604395604"/>
    <n v="-146815.81"/>
    <s v="1.1375"/>
    <s v="USD"/>
    <x v="0"/>
    <s v="INTEREST_AND_FEES"/>
    <n v="0"/>
    <s v="NONE"/>
    <n v="0"/>
    <n v="0"/>
    <s v="OUTFLOW_DEPOSITS_LOANS"/>
    <s v="D_293335PN"/>
    <s v="SUMMIT"/>
    <s v="293335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0"/>
    <x v="1"/>
    <x v="5"/>
    <x v="24"/>
    <x v="6"/>
    <m/>
    <s v="5182540.81"/>
    <s v="4556079.83296703296703296703296703296703"/>
    <n v="5182540.8099999996"/>
    <s v="1.1375"/>
    <s v="USD"/>
    <x v="0"/>
    <s v="PRINCIPAL_FLOW"/>
    <n v="0"/>
    <s v="NONE"/>
    <n v="0"/>
    <n v="0"/>
    <s v="INFLOW_NON_GOV_LOANS"/>
    <s v="D_293335PN"/>
    <s v="SUMMIT"/>
    <s v="293335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1"/>
    <x v="1"/>
    <x v="5"/>
    <x v="25"/>
    <x v="6"/>
    <m/>
    <s v="-42451380.76"/>
    <s v="-37319895.173626373626373626373626373626"/>
    <n v="-42451380.759999998"/>
    <s v="1.1375"/>
    <s v="USD"/>
    <x v="84"/>
    <s v="PRINCIPAL_FLOW"/>
    <n v="0"/>
    <s v="NONE"/>
    <n v="0"/>
    <n v="0"/>
    <s v="OUTFLOW_DEPOSITS_LOANS"/>
    <s v="D_293335PN"/>
    <s v="SUMMIT"/>
    <s v="293335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1"/>
    <x v="1"/>
    <x v="0"/>
    <x v="13"/>
    <x v="6"/>
    <m/>
    <s v="-75524.02"/>
    <s v="-66394.742857142857142857142857142857143"/>
    <n v="-75524.02"/>
    <s v="1.1375"/>
    <s v="USD"/>
    <x v="1"/>
    <s v="INTEREST_AND_FEES"/>
    <n v="0"/>
    <s v="NONE"/>
    <n v="0"/>
    <n v="0"/>
    <s v="OUTFLOW_DEPOSITS_LOANS"/>
    <s v="D_293335PN"/>
    <s v="SUMMIT"/>
    <s v="293335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1"/>
    <x v="1"/>
    <x v="5"/>
    <x v="25"/>
    <x v="6"/>
    <m/>
    <s v="6955203.85"/>
    <s v="6114464.92307692307692307692307692307692"/>
    <n v="6955203.8499999996"/>
    <s v="1.1375"/>
    <s v="USD"/>
    <x v="1"/>
    <s v="PRINCIPAL_FLOW"/>
    <n v="0"/>
    <s v="NONE"/>
    <n v="0"/>
    <n v="0"/>
    <s v="INFLOW_NON_GOV_LOANS"/>
    <s v="D_293335PN"/>
    <s v="SUMMIT"/>
    <s v="293335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1"/>
    <x v="1"/>
    <x v="5"/>
    <x v="25"/>
    <x v="6"/>
    <m/>
    <s v="6907341.88"/>
    <s v="6072388.46593406593406593406593406593407"/>
    <n v="6907341.8799999999"/>
    <s v="1.1375"/>
    <s v="USD"/>
    <x v="2"/>
    <s v="PRINCIPAL_FLOW"/>
    <n v="0"/>
    <s v="NONE"/>
    <n v="0"/>
    <n v="0"/>
    <s v="INFLOW_NON_GOV_LOANS"/>
    <s v="D_293335PN"/>
    <s v="SUMMIT"/>
    <s v="293335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1"/>
    <x v="1"/>
    <x v="0"/>
    <x v="13"/>
    <x v="6"/>
    <m/>
    <s v="-29154.65"/>
    <s v="-25630.461538461538461538461538461538462"/>
    <n v="-29154.649999999998"/>
    <s v="1.1375"/>
    <s v="USD"/>
    <x v="2"/>
    <s v="INTEREST_AND_FEES"/>
    <n v="0"/>
    <s v="NONE"/>
    <n v="0"/>
    <n v="0"/>
    <s v="OUTFLOW_DEPOSITS_LOANS"/>
    <s v="D_293335PN"/>
    <s v="SUMMIT"/>
    <s v="293335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2"/>
    <x v="1"/>
    <x v="0"/>
    <x v="7"/>
    <x v="6"/>
    <m/>
    <s v="-54609.72"/>
    <s v="-48008.545054945054945054945054945054945"/>
    <n v="-54609.719999999994"/>
    <s v="1.1375"/>
    <s v="USD"/>
    <x v="3"/>
    <s v="INTEREST_AND_FEES"/>
    <n v="0"/>
    <s v="NONE"/>
    <n v="0"/>
    <n v="0"/>
    <s v="OUTFLOW_DEPOSITS_LOANS"/>
    <s v="D_293335PN"/>
    <s v="SUMMIT"/>
    <s v="293335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9"/>
    <x v="0"/>
    <x v="0"/>
    <x v="30"/>
    <x v="10"/>
    <m/>
    <s v="-106937.5"/>
    <s v="-94010.989010989010989010989010989010989"/>
    <n v="-106937.5"/>
    <s v="1.1375"/>
    <s v="USD"/>
    <x v="85"/>
    <s v="INTEREST_AND_FEES"/>
    <n v="0"/>
    <s v="NONE"/>
    <n v="0"/>
    <n v="0"/>
    <s v="IGNORED"/>
    <s v="957378PN"/>
    <s v="SUMMIT"/>
    <m/>
    <d v="2022-12-09T00:00:00"/>
    <s v="FV_HEDGE"/>
    <s v="AM_GICMAC_F"/>
    <s v="INTRA_ENTITY"/>
    <s v="DERIVATES"/>
    <s v="Depfa Bank Plc"/>
    <n v="4101000279"/>
    <s v="Derivative"/>
    <s v="Swap"/>
    <s v="DEPFAPLC_NY"/>
    <s v="DEPFA"/>
    <m/>
    <m/>
    <s v="Not GIC"/>
  </r>
  <r>
    <x v="3"/>
    <x v="0"/>
    <x v="0"/>
    <x v="3"/>
    <x v="3"/>
    <m/>
    <s v="-106937.5"/>
    <s v="-94010.989010989010989010989010989010989"/>
    <n v="-106937.5"/>
    <s v="1.1375"/>
    <s v="USD"/>
    <x v="86"/>
    <s v="INTEREST_AND_FEES"/>
    <n v="0"/>
    <s v="NONE"/>
    <n v="0"/>
    <n v="0"/>
    <s v="IGNORED"/>
    <s v="957378PN"/>
    <s v="SUMMIT"/>
    <m/>
    <d v="2022-12-09T00:00:00"/>
    <s v="FV_HEDGE"/>
    <s v="AM_GICMAC_F"/>
    <s v="INTRA_ENTITY"/>
    <s v="DERIVATES"/>
    <s v="Depfa Bank Plc"/>
    <n v="4101000279"/>
    <s v="Derivative"/>
    <s v="Swap"/>
    <s v="DEPFAPLC_NY"/>
    <s v="DEPFA"/>
    <m/>
    <m/>
    <s v="Not GIC"/>
  </r>
  <r>
    <x v="4"/>
    <x v="0"/>
    <x v="0"/>
    <x v="4"/>
    <x v="4"/>
    <m/>
    <s v="-106937.5"/>
    <s v="-94010.989010989010989010989010989010989"/>
    <n v="-106937.5"/>
    <s v="1.1375"/>
    <s v="USD"/>
    <x v="87"/>
    <s v="INTEREST_AND_FEES"/>
    <n v="0"/>
    <s v="NONE"/>
    <n v="0"/>
    <n v="0"/>
    <s v="IGNORED"/>
    <s v="957378PN"/>
    <s v="SUMMIT"/>
    <m/>
    <d v="2022-12-09T00:00:00"/>
    <s v="FV_HEDGE"/>
    <s v="AM_GICMAC_F"/>
    <s v="INTRA_ENTITY"/>
    <s v="DERIVATES"/>
    <s v="Depfa Bank Plc"/>
    <n v="4101000279"/>
    <s v="Derivative"/>
    <s v="Swap"/>
    <s v="DEPFAPLC_NY"/>
    <s v="DEPFA"/>
    <m/>
    <m/>
    <s v="Not GIC"/>
  </r>
  <r>
    <x v="5"/>
    <x v="0"/>
    <x v="0"/>
    <x v="5"/>
    <x v="5"/>
    <m/>
    <s v="-108125.69"/>
    <s v="-95055.551648351648351648351648351648352"/>
    <n v="-108125.69"/>
    <s v="1.1375"/>
    <s v="USD"/>
    <x v="62"/>
    <s v="INTEREST_AND_FEES"/>
    <n v="0"/>
    <s v="NONE"/>
    <n v="0"/>
    <n v="0"/>
    <s v="IGNORED"/>
    <s v="957378PN"/>
    <s v="SUMMIT"/>
    <m/>
    <d v="2022-12-09T00:00:00"/>
    <s v="FV_HEDGE"/>
    <s v="AM_GICMAC_F"/>
    <s v="INTRA_ENTITY"/>
    <s v="DERIVATES"/>
    <s v="Depfa Bank Plc"/>
    <n v="4101000279"/>
    <s v="Derivative"/>
    <s v="Swap"/>
    <s v="DEPFAPLC_NY"/>
    <s v="DEPFA"/>
    <m/>
    <m/>
    <s v="Not GIC"/>
  </r>
  <r>
    <x v="9"/>
    <x v="0"/>
    <x v="0"/>
    <x v="30"/>
    <x v="10"/>
    <m/>
    <s v="18100.48"/>
    <s v="15912.5098901098901098901098901098901099"/>
    <n v="18100.48"/>
    <s v="1.1375"/>
    <s v="USD"/>
    <x v="85"/>
    <s v="INTEREST_AND_FEES"/>
    <n v="0"/>
    <s v="NONE"/>
    <n v="0"/>
    <n v="0"/>
    <s v="IGNORED"/>
    <s v="957378PN"/>
    <s v="SUMMIT"/>
    <m/>
    <d v="2022-12-09T00:00:00"/>
    <s v="FV_HEDGE"/>
    <s v="AM_GICMAC_F"/>
    <s v="INTRA_ENTITY"/>
    <s v="DERIVATES"/>
    <s v="Depfa Bank Plc"/>
    <n v="4101000279"/>
    <s v="Derivative"/>
    <s v="Swap"/>
    <s v="DEPFAPLC_NY"/>
    <s v="DEPFA"/>
    <m/>
    <m/>
    <s v="Not GIC"/>
  </r>
  <r>
    <x v="3"/>
    <x v="0"/>
    <x v="0"/>
    <x v="3"/>
    <x v="3"/>
    <m/>
    <s v="25867.86"/>
    <s v="22740.9758241758241758241758241758241758"/>
    <n v="25867.86"/>
    <s v="1.1375"/>
    <s v="USD"/>
    <x v="86"/>
    <s v="INTEREST_AND_FEES"/>
    <n v="0"/>
    <s v="NONE"/>
    <n v="0"/>
    <n v="0"/>
    <s v="IGNORED"/>
    <s v="957378PN"/>
    <s v="SUMMIT"/>
    <m/>
    <d v="2022-12-09T00:00:00"/>
    <s v="FV_HEDGE"/>
    <s v="AM_GICMAC_F"/>
    <s v="INTRA_ENTITY"/>
    <s v="DERIVATES"/>
    <s v="Depfa Bank Plc"/>
    <n v="4101000279"/>
    <s v="Derivative"/>
    <s v="Swap"/>
    <s v="DEPFAPLC_NY"/>
    <s v="DEPFA"/>
    <m/>
    <m/>
    <s v="Not GIC"/>
  </r>
  <r>
    <x v="4"/>
    <x v="0"/>
    <x v="0"/>
    <x v="4"/>
    <x v="4"/>
    <m/>
    <s v="25290.03"/>
    <s v="22232.9934065934065934065934065934065934"/>
    <n v="25290.03"/>
    <s v="1.1375"/>
    <s v="USD"/>
    <x v="87"/>
    <s v="INTEREST_AND_FEES"/>
    <n v="0"/>
    <s v="NONE"/>
    <n v="0"/>
    <n v="0"/>
    <s v="IGNORED"/>
    <s v="957378PN"/>
    <s v="SUMMIT"/>
    <m/>
    <d v="2022-12-09T00:00:00"/>
    <s v="FV_HEDGE"/>
    <s v="AM_GICMAC_F"/>
    <s v="INTRA_ENTITY"/>
    <s v="DERIVATES"/>
    <s v="Depfa Bank Plc"/>
    <n v="4101000279"/>
    <s v="Derivative"/>
    <s v="Swap"/>
    <s v="DEPFAPLC_NY"/>
    <s v="DEPFA"/>
    <m/>
    <m/>
    <s v="Not GIC"/>
  </r>
  <r>
    <x v="5"/>
    <x v="0"/>
    <x v="0"/>
    <x v="5"/>
    <x v="5"/>
    <m/>
    <s v="29551.77"/>
    <s v="25979.578021978021978021978021978021978"/>
    <n v="29551.769999999997"/>
    <s v="1.1375"/>
    <s v="USD"/>
    <x v="62"/>
    <s v="INTEREST_AND_FEES"/>
    <n v="0"/>
    <s v="NONE"/>
    <n v="0"/>
    <n v="0"/>
    <s v="IGNORED"/>
    <s v="957378PN"/>
    <s v="SUMMIT"/>
    <m/>
    <d v="2022-12-09T00:00:00"/>
    <s v="FV_HEDGE"/>
    <s v="AM_GICMAC_F"/>
    <s v="INTRA_ENTITY"/>
    <s v="DERIVATES"/>
    <s v="Depfa Bank Plc"/>
    <n v="4101000279"/>
    <s v="Derivative"/>
    <s v="Swap"/>
    <s v="DEPFAPLC_NY"/>
    <s v="DEPFA"/>
    <m/>
    <m/>
    <s v="Not GIC"/>
  </r>
  <r>
    <x v="1"/>
    <x v="0"/>
    <x v="0"/>
    <x v="1"/>
    <x v="1"/>
    <s v="3M_San Sabia Capital Corporation"/>
    <s v="-1004.01"/>
    <s v="-882.64615384615384615384615384615384615"/>
    <n v="-1004.01"/>
    <s v="1.1375"/>
    <s v="USD"/>
    <x v="1"/>
    <s v="INTEREST_AND_FEES"/>
    <n v="0"/>
    <s v="NONE"/>
    <n v="0"/>
    <n v="0"/>
    <s v="IGNORED"/>
    <s v="953112SA"/>
    <s v="SUMMIT"/>
    <m/>
    <d v="2016-06-30T00:00:00"/>
    <s v="LIAB_GEN_U"/>
    <s v="AM_GICS_T"/>
    <s v="INTRA_SUB_ENTITY"/>
    <s v="MM_DEPOSIT"/>
    <s v="Depfa Bank Plc"/>
    <n v="4101000279"/>
    <s v="Money Market"/>
    <s v="Short Term Paper"/>
    <s v="SANSABIA"/>
    <s v="DEPFA"/>
    <m/>
    <m/>
    <s v="Not GIC"/>
  </r>
  <r>
    <x v="1"/>
    <x v="0"/>
    <x v="3"/>
    <x v="31"/>
    <x v="1"/>
    <s v="3M_San Sabia Capital Corporation"/>
    <n v="-625000"/>
    <s v="-549450.54945054945054945054945054945055"/>
    <n v="-624999.99999999988"/>
    <s v="1.1375"/>
    <s v="USD"/>
    <x v="1"/>
    <s v="PRINCIPAL_FLOW"/>
    <n v="0"/>
    <s v="NONE"/>
    <n v="0"/>
    <n v="0"/>
    <s v="IGNORED"/>
    <s v="953112SA"/>
    <s v="SUMMIT"/>
    <m/>
    <d v="2016-06-30T00:00:00"/>
    <s v="LIAB_GEN_U"/>
    <s v="AM_GICS_T"/>
    <s v="INTRA_SUB_ENTITY"/>
    <s v="MM_DEPOSIT"/>
    <s v="Depfa Bank Plc"/>
    <n v="4101000279"/>
    <s v="Money Market"/>
    <s v="Short Term Paper"/>
    <s v="SANSABIA"/>
    <s v="DEPFA"/>
    <m/>
    <m/>
    <s v="Not GIC"/>
  </r>
  <r>
    <x v="5"/>
    <x v="1"/>
    <x v="5"/>
    <x v="29"/>
    <x v="6"/>
    <m/>
    <s v="8259562.97"/>
    <s v="7261154.25934065934065934065934065934066"/>
    <n v="8259562.9699999997"/>
    <s v="1.1375"/>
    <s v="USD"/>
    <x v="22"/>
    <s v="PRINCIPAL_FLOW"/>
    <n v="0"/>
    <s v="NONE"/>
    <n v="0"/>
    <n v="0"/>
    <s v="INFLOW_NON_GOV_LOANS"/>
    <s v="D_293668PN"/>
    <s v="SUMMIT"/>
    <s v="293668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5"/>
    <x v="1"/>
    <x v="0"/>
    <x v="11"/>
    <x v="6"/>
    <m/>
    <s v="-102559.92"/>
    <s v="-90162.567032967032967032967032967032967"/>
    <n v="-102559.92"/>
    <s v="1.1375"/>
    <s v="USD"/>
    <x v="22"/>
    <s v="INTEREST_AND_FEES"/>
    <n v="0"/>
    <s v="NONE"/>
    <n v="0"/>
    <n v="0"/>
    <s v="OUTFLOW_DEPOSITS_LOANS"/>
    <s v="D_293668PN"/>
    <s v="SUMMIT"/>
    <s v="293668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5"/>
    <x v="1"/>
    <x v="0"/>
    <x v="11"/>
    <x v="6"/>
    <m/>
    <s v="-130726.94"/>
    <s v="-114924.78241758241758241758241758241758"/>
    <n v="-130726.94"/>
    <s v="1.1375"/>
    <s v="USD"/>
    <x v="23"/>
    <s v="INTEREST_AND_FEES"/>
    <n v="0"/>
    <s v="NONE"/>
    <n v="0"/>
    <n v="0"/>
    <s v="OUTFLOW_DEPOSITS_LOANS"/>
    <s v="D_293668PN"/>
    <s v="SUMMIT"/>
    <s v="293668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5"/>
    <x v="1"/>
    <x v="5"/>
    <x v="29"/>
    <x v="6"/>
    <m/>
    <s v="8605819.6"/>
    <s v="7565555.69230769230769230769230769230769"/>
    <n v="8605819.5999999996"/>
    <s v="1.1375"/>
    <s v="USD"/>
    <x v="23"/>
    <s v="PRINCIPAL_FLOW"/>
    <n v="0"/>
    <s v="NONE"/>
    <n v="0"/>
    <n v="0"/>
    <s v="INFLOW_NON_GOV_LOANS"/>
    <s v="D_293668PN"/>
    <s v="SUMMIT"/>
    <s v="293668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1"/>
    <x v="1"/>
    <x v="0"/>
    <x v="13"/>
    <x v="6"/>
    <s v="3M_San Sabia Capital Corporation"/>
    <s v="-19344.17"/>
    <s v="-17005.863736263736263736263736263736264"/>
    <n v="-19344.169999999998"/>
    <s v="1.1375"/>
    <s v="USD"/>
    <x v="1"/>
    <s v="INTEREST_AND_FEES"/>
    <n v="0"/>
    <s v="NONE"/>
    <n v="0"/>
    <n v="0"/>
    <s v="OUTFLOW_DEPOSITS_LOANS"/>
    <s v="D_644383SA"/>
    <s v="SUMMIT"/>
    <s v="644383SA"/>
    <d v="1939-01-03T00:00:00"/>
    <s v="FV_SHORT_TM"/>
    <s v="AM_GICS_T"/>
    <s v="NONE"/>
    <s v="LOAN"/>
    <s v="New Mexico Mortgage Finance Authority"/>
    <n v="101000512"/>
    <s v="Lending"/>
    <s v="Loan"/>
    <s v="SANSABIA"/>
    <s v="DEPFA"/>
    <m/>
    <m/>
    <s v="GICS Deposit"/>
  </r>
  <r>
    <x v="1"/>
    <x v="1"/>
    <x v="1"/>
    <x v="19"/>
    <x v="6"/>
    <s v="3M_San Sabia Capital Corporation"/>
    <s v="-641138.02"/>
    <s v="-563637.81978021978021978021978021978022"/>
    <n v="-641138.02"/>
    <s v="1.1375"/>
    <s v="USD"/>
    <x v="31"/>
    <s v="PRINCIPAL_FLOW"/>
    <n v="0"/>
    <s v="NONE"/>
    <n v="0"/>
    <n v="0"/>
    <s v="OUTFLOW_DEPOSITS_LOANS"/>
    <s v="D_644383SA"/>
    <s v="SUMMIT"/>
    <s v="644383SA"/>
    <d v="1939-01-03T00:00:00"/>
    <s v="FV_SHORT_TM"/>
    <s v="AM_GICS_T"/>
    <s v="NONE"/>
    <s v="LOAN"/>
    <s v="New Mexico Mortgage Finance Authority"/>
    <n v="101000512"/>
    <s v="Lending"/>
    <s v="Loan"/>
    <s v="SANSABIA"/>
    <s v="DEPFA"/>
    <m/>
    <m/>
    <s v="GICS Deposit"/>
  </r>
  <r>
    <x v="3"/>
    <x v="1"/>
    <x v="0"/>
    <x v="9"/>
    <x v="6"/>
    <s v="12M_San Sabia Capital Corporation"/>
    <s v="-14274.24"/>
    <s v="-12548.782417582417582417582417582417582"/>
    <n v="-14274.24"/>
    <s v="1.1375"/>
    <s v="USD"/>
    <x v="7"/>
    <s v="INTEREST_AND_FEES"/>
    <n v="0"/>
    <s v="NONE"/>
    <n v="0"/>
    <n v="0"/>
    <s v="OUTFLOW_DEPOSITS_LOANS"/>
    <s v="D_644383SA"/>
    <s v="SUMMIT"/>
    <s v="644383SA"/>
    <d v="1939-01-03T00:00:00"/>
    <s v="FV_SHORT_TM"/>
    <s v="AM_GICS_T"/>
    <s v="NONE"/>
    <s v="LOAN"/>
    <s v="New Mexico Mortgage Finance Authority"/>
    <n v="101000512"/>
    <s v="Lending"/>
    <s v="Loan"/>
    <s v="SANSABIA"/>
    <s v="DEPFA"/>
    <m/>
    <m/>
    <s v="GICS Deposit"/>
  </r>
  <r>
    <x v="4"/>
    <x v="1"/>
    <x v="0"/>
    <x v="10"/>
    <x v="6"/>
    <s v="18M_San Sabia Capital Corporation"/>
    <n v="-14190"/>
    <s v="-12474.725274725274725274725274725274725"/>
    <n v="-14190"/>
    <s v="1.1375"/>
    <s v="USD"/>
    <x v="13"/>
    <s v="INTEREST_AND_FEES"/>
    <n v="0"/>
    <s v="NONE"/>
    <n v="0"/>
    <n v="0"/>
    <s v="OUTFLOW_DEPOSITS_LOANS"/>
    <s v="D_644383SA"/>
    <s v="SUMMIT"/>
    <s v="644383SA"/>
    <d v="1939-01-03T00:00:00"/>
    <s v="FV_SHORT_TM"/>
    <s v="AM_GICS_T"/>
    <s v="NONE"/>
    <s v="LOAN"/>
    <s v="New Mexico Mortgage Finance Authority"/>
    <n v="101000512"/>
    <s v="Lending"/>
    <s v="Loan"/>
    <s v="SANSABIA"/>
    <s v="DEPFA"/>
    <m/>
    <m/>
    <s v="GICS Deposit"/>
  </r>
  <r>
    <x v="5"/>
    <x v="1"/>
    <x v="0"/>
    <x v="11"/>
    <x v="6"/>
    <s v="2Y_San Sabia Capital Corporation"/>
    <s v="-14111.17"/>
    <s v="-12405.424175824175824175824175824175824"/>
    <n v="-14111.169999999998"/>
    <s v="1.1375"/>
    <s v="USD"/>
    <x v="19"/>
    <s v="INTEREST_AND_FEES"/>
    <n v="0"/>
    <s v="NONE"/>
    <n v="0"/>
    <n v="0"/>
    <s v="OUTFLOW_DEPOSITS_LOANS"/>
    <s v="D_644383SA"/>
    <s v="SUMMIT"/>
    <s v="644383SA"/>
    <d v="1939-01-03T00:00:00"/>
    <s v="FV_SHORT_TM"/>
    <s v="AM_GICS_T"/>
    <s v="NONE"/>
    <s v="LOAN"/>
    <s v="New Mexico Mortgage Finance Authority"/>
    <n v="101000512"/>
    <s v="Lending"/>
    <s v="Loan"/>
    <s v="SANSABIA"/>
    <s v="DEPFA"/>
    <m/>
    <m/>
    <s v="GICS Deposit"/>
  </r>
  <r>
    <x v="2"/>
    <x v="0"/>
    <x v="0"/>
    <x v="2"/>
    <x v="2"/>
    <s v="6M_San Sabia Capital Corporation"/>
    <s v="340.28"/>
    <s v="299.147252747252747252747252747252747253"/>
    <n v="340.28000000000003"/>
    <s v="1.1375"/>
    <s v="USD"/>
    <x v="3"/>
    <s v="INTEREST_AND_FEES"/>
    <n v="0"/>
    <s v="NONE"/>
    <n v="0"/>
    <n v="0"/>
    <s v="IGNORED"/>
    <s v="957272SA"/>
    <s v="SUMMIT"/>
    <m/>
    <d v="1938-09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2"/>
    <x v="0"/>
    <x v="0"/>
    <x v="2"/>
    <x v="2"/>
    <s v="6M_San Sabia Capital Corporation"/>
    <s v="9980.97"/>
    <s v="8774.47912087912087912087912087912087912"/>
    <n v="9980.9699999999993"/>
    <s v="1.1375"/>
    <s v="USD"/>
    <x v="3"/>
    <s v="INTEREST_AND_FEES"/>
    <n v="0"/>
    <s v="NONE"/>
    <n v="0"/>
    <n v="0"/>
    <s v="IGNORED"/>
    <s v="957272SA"/>
    <s v="SUMMIT"/>
    <m/>
    <d v="1938-09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2"/>
    <x v="0"/>
    <x v="0"/>
    <x v="2"/>
    <x v="2"/>
    <s v="6M_San Sabia Capital Corporation"/>
    <s v="1725.19"/>
    <s v="1516.65054945054945054945054945054945055"/>
    <n v="1725.19"/>
    <s v="1.1375"/>
    <s v="USD"/>
    <x v="3"/>
    <s v="INTEREST_AND_FEES"/>
    <n v="0"/>
    <s v="NONE"/>
    <n v="0"/>
    <n v="0"/>
    <s v="IGNORED"/>
    <s v="957272SA"/>
    <s v="SUMMIT"/>
    <m/>
    <d v="1938-09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0"/>
    <x v="1"/>
    <x v="0"/>
    <x v="12"/>
    <x v="6"/>
    <m/>
    <s v="-153152.18"/>
    <s v="-134639.27912087912087912087912087912088"/>
    <n v="-153152.18"/>
    <s v="1.1375"/>
    <s v="USD"/>
    <x v="0"/>
    <s v="INTEREST_AND_FEES"/>
    <n v="0"/>
    <s v="NONE"/>
    <n v="0"/>
    <n v="0"/>
    <s v="OUTFLOW_DEPOSITS_LOANS"/>
    <s v="D_293668PN"/>
    <s v="SUMMIT"/>
    <s v="293668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0"/>
    <x v="1"/>
    <x v="5"/>
    <x v="24"/>
    <x v="6"/>
    <m/>
    <s v="5005786.69"/>
    <s v="4400691.5956043956043956043956043956044"/>
    <n v="5005786.6899999995"/>
    <s v="1.1375"/>
    <s v="USD"/>
    <x v="0"/>
    <s v="PRINCIPAL_FLOW"/>
    <n v="0"/>
    <s v="NONE"/>
    <n v="0"/>
    <n v="0"/>
    <s v="INFLOW_NON_GOV_LOANS"/>
    <s v="D_293668PN"/>
    <s v="SUMMIT"/>
    <s v="293668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1"/>
    <x v="1"/>
    <x v="0"/>
    <x v="13"/>
    <x v="6"/>
    <m/>
    <s v="-167869.76"/>
    <s v="-147577.81098901098901098901098901098901"/>
    <n v="-167869.76"/>
    <s v="1.1375"/>
    <s v="USD"/>
    <x v="1"/>
    <s v="INTEREST_AND_FEES"/>
    <n v="0"/>
    <s v="NONE"/>
    <n v="0"/>
    <n v="0"/>
    <s v="OUTFLOW_DEPOSITS_LOANS"/>
    <s v="D_293668PN"/>
    <s v="SUMMIT"/>
    <s v="293668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1"/>
    <x v="1"/>
    <x v="5"/>
    <x v="25"/>
    <x v="6"/>
    <m/>
    <n v="3804725"/>
    <s v="3344813.18681318681318681318681318681319"/>
    <n v="3804725"/>
    <s v="1.1375"/>
    <s v="USD"/>
    <x v="1"/>
    <s v="PRINCIPAL_FLOW"/>
    <n v="0"/>
    <s v="NONE"/>
    <n v="0"/>
    <n v="0"/>
    <s v="INFLOW_NON_GOV_LOANS"/>
    <s v="D_293668PN"/>
    <s v="SUMMIT"/>
    <s v="293668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1"/>
    <x v="1"/>
    <x v="5"/>
    <x v="25"/>
    <x v="6"/>
    <m/>
    <s v="3778542.94"/>
    <s v="3321795.99120879120879120879120879120879"/>
    <n v="3778542.94"/>
    <s v="1.1375"/>
    <s v="USD"/>
    <x v="2"/>
    <s v="PRINCIPAL_FLOW"/>
    <n v="0"/>
    <s v="NONE"/>
    <n v="0"/>
    <n v="0"/>
    <s v="INFLOW_NON_GOV_LOANS"/>
    <s v="D_293668PN"/>
    <s v="SUMMIT"/>
    <s v="293668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1"/>
    <x v="1"/>
    <x v="0"/>
    <x v="13"/>
    <x v="6"/>
    <m/>
    <s v="-189894.04"/>
    <s v="-166939.81538461538461538461538461538462"/>
    <n v="-189894.04"/>
    <s v="1.1375"/>
    <s v="USD"/>
    <x v="2"/>
    <s v="INTEREST_AND_FEES"/>
    <n v="0"/>
    <s v="NONE"/>
    <n v="0"/>
    <n v="0"/>
    <s v="OUTFLOW_DEPOSITS_LOANS"/>
    <s v="D_293668PN"/>
    <s v="SUMMIT"/>
    <s v="293668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2"/>
    <x v="1"/>
    <x v="0"/>
    <x v="7"/>
    <x v="6"/>
    <m/>
    <s v="-204237.94"/>
    <s v="-179549.83736263736263736263736263736264"/>
    <n v="-204237.94"/>
    <s v="1.1375"/>
    <s v="USD"/>
    <x v="3"/>
    <s v="INTEREST_AND_FEES"/>
    <n v="0"/>
    <s v="NONE"/>
    <n v="0"/>
    <n v="0"/>
    <s v="OUTFLOW_DEPOSITS_LOANS"/>
    <s v="D_293668PN"/>
    <s v="SUMMIT"/>
    <s v="293668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2"/>
    <x v="1"/>
    <x v="5"/>
    <x v="26"/>
    <x v="6"/>
    <m/>
    <s v="4062574.94"/>
    <s v="3571494.45274725274725274725274725274725"/>
    <n v="4062574.94"/>
    <s v="1.1375"/>
    <s v="USD"/>
    <x v="3"/>
    <s v="PRINCIPAL_FLOW"/>
    <n v="0"/>
    <s v="NONE"/>
    <n v="0"/>
    <n v="0"/>
    <s v="INFLOW_NON_GOV_LOANS"/>
    <s v="D_293668PN"/>
    <s v="SUMMIT"/>
    <s v="293668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2"/>
    <x v="1"/>
    <x v="0"/>
    <x v="7"/>
    <x v="6"/>
    <m/>
    <s v="-213603.56"/>
    <s v="-187783.34945054945054945054945054945055"/>
    <n v="-213603.56"/>
    <s v="1.1375"/>
    <s v="USD"/>
    <x v="4"/>
    <s v="INTEREST_AND_FEES"/>
    <n v="0"/>
    <s v="NONE"/>
    <n v="0"/>
    <n v="0"/>
    <s v="OUTFLOW_DEPOSITS_LOANS"/>
    <s v="D_293668PN"/>
    <s v="SUMMIT"/>
    <s v="293668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2"/>
    <x v="1"/>
    <x v="5"/>
    <x v="26"/>
    <x v="6"/>
    <m/>
    <s v="4118115.57"/>
    <s v="3620321.38021978021978021978021978021978"/>
    <n v="4118115.57"/>
    <s v="1.1375"/>
    <s v="USD"/>
    <x v="4"/>
    <s v="PRINCIPAL_FLOW"/>
    <n v="0"/>
    <s v="NONE"/>
    <n v="0"/>
    <n v="0"/>
    <s v="INFLOW_NON_GOV_LOANS"/>
    <s v="D_293668PN"/>
    <s v="SUMMIT"/>
    <s v="293668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7"/>
    <x v="1"/>
    <x v="0"/>
    <x v="32"/>
    <x v="6"/>
    <s v="1D_San Sabia Capital Corporation"/>
    <n v="0"/>
    <n v="0"/>
    <n v="0"/>
    <s v="1.1375"/>
    <s v="USD"/>
    <x v="88"/>
    <s v="INTEREST_AND_FEES"/>
    <n v="0"/>
    <s v="NONE"/>
    <n v="0"/>
    <n v="0"/>
    <s v="IGNORED"/>
    <s v="644409SA"/>
    <s v="SUMMIT"/>
    <m/>
    <d v="1999-12-31T00:00:00"/>
    <s v="LIAB_GEN_U"/>
    <s v="AM_GICS_T"/>
    <s v="INTRA_SUB_ENTITY"/>
    <s v="COLLATERAL"/>
    <s v="Depfa Bank Plc, New York"/>
    <n v="5101000018"/>
    <s v="Money Market"/>
    <s v="Collateral"/>
    <s v="SANSABIA"/>
    <s v="DEPFA"/>
    <s v="US912796FH75"/>
    <m/>
    <s v="Not GIC"/>
  </r>
  <r>
    <x v="7"/>
    <x v="1"/>
    <x v="0"/>
    <x v="32"/>
    <x v="6"/>
    <s v="1D_San Sabia Capital Corporation"/>
    <n v="0"/>
    <n v="0"/>
    <n v="0"/>
    <s v="1.1375"/>
    <s v="USD"/>
    <x v="88"/>
    <s v="INTEREST_AND_FEES"/>
    <n v="0"/>
    <s v="NONE"/>
    <n v="0"/>
    <n v="0"/>
    <s v="IGNORED"/>
    <s v="644409SA"/>
    <s v="SUMMIT"/>
    <m/>
    <d v="1999-12-31T00:00:00"/>
    <s v="LIAB_GEN_U"/>
    <s v="AM_GICS_T"/>
    <s v="INTRA_SUB_ENTITY"/>
    <s v="COLLATERAL"/>
    <s v="Depfa Bank Plc, New York"/>
    <n v="5101000018"/>
    <s v="Money Market"/>
    <s v="Collateral"/>
    <s v="SANSABIA"/>
    <s v="DEPFA"/>
    <s v="US912796FQ74"/>
    <m/>
    <s v="Not GIC"/>
  </r>
  <r>
    <x v="7"/>
    <x v="1"/>
    <x v="0"/>
    <x v="32"/>
    <x v="6"/>
    <s v="1D_San Sabia Capital Corporation"/>
    <n v="0"/>
    <n v="0"/>
    <n v="0"/>
    <s v="1.1375"/>
    <s v="USD"/>
    <x v="88"/>
    <s v="INTEREST_AND_FEES"/>
    <n v="0"/>
    <s v="NONE"/>
    <n v="0"/>
    <n v="0"/>
    <s v="IGNORED"/>
    <s v="644409SA"/>
    <s v="SUMMIT"/>
    <m/>
    <d v="1999-12-31T00:00:00"/>
    <s v="LIAB_GEN_U"/>
    <s v="AM_GICS_T"/>
    <s v="INTRA_SUB_ENTITY"/>
    <s v="COLLATERAL"/>
    <s v="Depfa Bank Plc, New York"/>
    <n v="5101000018"/>
    <s v="Money Market"/>
    <s v="Collateral"/>
    <s v="SANSABIA"/>
    <s v="DEPFA"/>
    <s v="US912796FT14"/>
    <m/>
    <s v="Not GIC"/>
  </r>
  <r>
    <x v="7"/>
    <x v="1"/>
    <x v="0"/>
    <x v="32"/>
    <x v="6"/>
    <s v="1D_San Sabia Capital Corporation"/>
    <n v="0"/>
    <n v="0"/>
    <n v="0"/>
    <s v="1.1375"/>
    <s v="USD"/>
    <x v="88"/>
    <s v="INTEREST_AND_FEES"/>
    <n v="0"/>
    <s v="NONE"/>
    <n v="0"/>
    <n v="0"/>
    <s v="IGNORED"/>
    <s v="644409SA"/>
    <s v="SUMMIT"/>
    <m/>
    <d v="1999-12-31T00:00:00"/>
    <s v="LIAB_GEN_U"/>
    <s v="AM_GICS_T"/>
    <s v="INTRA_SUB_ENTITY"/>
    <s v="COLLATERAL"/>
    <s v="Depfa Bank Plc, New York"/>
    <n v="5101000018"/>
    <s v="Money Market"/>
    <s v="Collateral"/>
    <s v="SANSABIA"/>
    <s v="DEPFA"/>
    <s v="US912796FY09"/>
    <m/>
    <s v="Not GIC"/>
  </r>
  <r>
    <x v="7"/>
    <x v="1"/>
    <x v="0"/>
    <x v="32"/>
    <x v="6"/>
    <s v="1D_San Sabia Capital Corporation"/>
    <n v="0"/>
    <n v="0"/>
    <n v="0"/>
    <s v="1.1375"/>
    <s v="USD"/>
    <x v="88"/>
    <s v="INTEREST_AND_FEES"/>
    <n v="0"/>
    <s v="NONE"/>
    <n v="0"/>
    <n v="0"/>
    <s v="IGNORED"/>
    <s v="644409SA"/>
    <s v="SUMMIT"/>
    <m/>
    <d v="1999-12-31T00:00:00"/>
    <s v="LIAB_GEN_U"/>
    <s v="AM_GICS_T"/>
    <s v="INTRA_SUB_ENTITY"/>
    <s v="COLLATERAL"/>
    <s v="Depfa Bank Plc, New York"/>
    <n v="5101000018"/>
    <s v="Money Market"/>
    <s v="Collateral"/>
    <s v="SANSABIA"/>
    <s v="DEPFA"/>
    <s v="US912796GX17"/>
    <m/>
    <s v="Not GIC"/>
  </r>
  <r>
    <x v="7"/>
    <x v="1"/>
    <x v="0"/>
    <x v="32"/>
    <x v="6"/>
    <s v="1D_San Sabia Capital Corporation"/>
    <n v="0"/>
    <n v="0"/>
    <n v="0"/>
    <s v="1.1375"/>
    <s v="USD"/>
    <x v="88"/>
    <s v="INTEREST_AND_FEES"/>
    <n v="0"/>
    <s v="NONE"/>
    <n v="0"/>
    <n v="0"/>
    <s v="IGNORED"/>
    <s v="644409SA"/>
    <s v="SUMMIT"/>
    <m/>
    <d v="1999-12-31T00:00:00"/>
    <s v="LIAB_GEN_U"/>
    <s v="AM_GICS_T"/>
    <s v="INTRA_SUB_ENTITY"/>
    <s v="COLLATERAL"/>
    <s v="Depfa Bank Plc, New York"/>
    <n v="5101000018"/>
    <s v="Money Market"/>
    <s v="Collateral"/>
    <s v="SANSABIA"/>
    <s v="DEPFA"/>
    <s v="US912796HC60"/>
    <m/>
    <s v="Not GIC"/>
  </r>
  <r>
    <x v="7"/>
    <x v="1"/>
    <x v="0"/>
    <x v="32"/>
    <x v="6"/>
    <s v="1D_San Sabia Capital Corporation"/>
    <n v="0"/>
    <n v="0"/>
    <n v="0"/>
    <s v="1.1375"/>
    <s v="USD"/>
    <x v="88"/>
    <s v="INTEREST_AND_FEES"/>
    <n v="0"/>
    <s v="NONE"/>
    <n v="0"/>
    <n v="0"/>
    <s v="IGNORED"/>
    <s v="644409SA"/>
    <s v="SUMMIT"/>
    <m/>
    <d v="1999-12-31T00:00:00"/>
    <s v="LIAB_GEN_U"/>
    <s v="AM_GICS_T"/>
    <s v="INTRA_SUB_ENTITY"/>
    <s v="COLLATERAL"/>
    <s v="Depfa Bank Plc, New York"/>
    <n v="5101000018"/>
    <s v="Money Market"/>
    <s v="Collateral"/>
    <s v="SANSABIA"/>
    <s v="DEPFA"/>
    <s v="US912796HG74"/>
    <m/>
    <s v="Not GIC"/>
  </r>
  <r>
    <x v="7"/>
    <x v="1"/>
    <x v="0"/>
    <x v="32"/>
    <x v="6"/>
    <s v="1D_San Sabia Capital Corporation"/>
    <n v="0"/>
    <n v="0"/>
    <n v="0"/>
    <s v="1.1375"/>
    <s v="USD"/>
    <x v="88"/>
    <s v="INTEREST_AND_FEES"/>
    <n v="0"/>
    <s v="NONE"/>
    <n v="0"/>
    <n v="0"/>
    <s v="IGNORED"/>
    <s v="644409SA"/>
    <s v="SUMMIT"/>
    <m/>
    <d v="1999-12-31T00:00:00"/>
    <s v="LIAB_GEN_U"/>
    <s v="AM_GICS_T"/>
    <s v="INTRA_SUB_ENTITY"/>
    <s v="COLLATERAL"/>
    <s v="Depfa Bank Plc, New York"/>
    <n v="5101000018"/>
    <s v="Money Market"/>
    <s v="Collateral"/>
    <s v="SANSABIA"/>
    <s v="DEPFA"/>
    <s v="US912796HL69"/>
    <m/>
    <s v="Not GIC"/>
  </r>
  <r>
    <x v="7"/>
    <x v="1"/>
    <x v="0"/>
    <x v="32"/>
    <x v="6"/>
    <s v="1D_San Sabia Capital Corporation"/>
    <n v="0"/>
    <n v="0"/>
    <n v="0"/>
    <s v="1.1375"/>
    <s v="USD"/>
    <x v="88"/>
    <s v="INTEREST_AND_FEES"/>
    <n v="0"/>
    <s v="NONE"/>
    <n v="0"/>
    <n v="0"/>
    <s v="IGNORED"/>
    <s v="644409SA"/>
    <s v="SUMMIT"/>
    <m/>
    <d v="1999-12-31T00:00:00"/>
    <s v="LIAB_GEN_U"/>
    <s v="AM_GICS_T"/>
    <s v="INTRA_SUB_ENTITY"/>
    <s v="COLLATERAL"/>
    <s v="Depfa Bank Plc, New York"/>
    <n v="5101000018"/>
    <s v="Money Market"/>
    <s v="Collateral"/>
    <s v="SANSABIA"/>
    <s v="DEPFA"/>
    <s v="US912796HR30"/>
    <m/>
    <s v="Not GIC"/>
  </r>
  <r>
    <x v="7"/>
    <x v="1"/>
    <x v="0"/>
    <x v="32"/>
    <x v="6"/>
    <s v="1D_San Sabia Capital Corporation"/>
    <n v="0"/>
    <n v="0"/>
    <n v="0"/>
    <s v="1.1375"/>
    <s v="USD"/>
    <x v="88"/>
    <s v="INTEREST_AND_FEES"/>
    <n v="0"/>
    <s v="NONE"/>
    <n v="0"/>
    <n v="0"/>
    <s v="IGNORED"/>
    <s v="644409SA"/>
    <s v="SUMMIT"/>
    <m/>
    <d v="1999-12-31T00:00:00"/>
    <s v="LIAB_GEN_U"/>
    <s v="AM_GICS_T"/>
    <s v="INTRA_SUB_ENTITY"/>
    <s v="COLLATERAL"/>
    <s v="Depfa Bank Plc, New York"/>
    <n v="5101000018"/>
    <s v="Money Market"/>
    <s v="Collateral"/>
    <s v="SANSABIA"/>
    <s v="DEPFA"/>
    <s v="US912828UC24"/>
    <m/>
    <s v="Not GIC"/>
  </r>
  <r>
    <x v="2"/>
    <x v="1"/>
    <x v="0"/>
    <x v="7"/>
    <x v="6"/>
    <s v="6M_San Sabia Capital Corporation"/>
    <n v="0"/>
    <n v="0"/>
    <n v="0"/>
    <s v="1.1375"/>
    <s v="USD"/>
    <x v="5"/>
    <s v="INTEREST_AND_FEES"/>
    <n v="0"/>
    <s v="NONE"/>
    <n v="0"/>
    <n v="0"/>
    <s v="IGNORED"/>
    <s v="957527SA"/>
    <s v="SUMMIT"/>
    <m/>
    <d v="1999-12-31T00:00:00"/>
    <s v="LN_RC_GEN_U"/>
    <s v="TL_COLL_L"/>
    <s v="INTRA_SUB_ENTITY"/>
    <s v="COLLATERAL"/>
    <s v="Depfa Bank Plc, New York"/>
    <n v="5101000018"/>
    <s v="Money Market"/>
    <s v="Collateral"/>
    <s v="SANSABIA"/>
    <s v="DEPFA"/>
    <s v="US3133XN4B26"/>
    <m/>
    <s v="Not GIC"/>
  </r>
  <r>
    <x v="0"/>
    <x v="0"/>
    <x v="0"/>
    <x v="0"/>
    <x v="0"/>
    <s v="3W_San Sabia Capital Corporation"/>
    <s v="-587.09"/>
    <s v="-516.12307692307692307692307692307692308"/>
    <n v="-587.09"/>
    <s v="1.1375"/>
    <s v="USD"/>
    <x v="30"/>
    <s v="INTEREST_AND_FEES"/>
    <n v="0"/>
    <s v="NONE"/>
    <n v="0"/>
    <n v="0"/>
    <s v="IGNORED"/>
    <s v="957269SA"/>
    <s v="SUMMIT"/>
    <m/>
    <d v="1937-07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1"/>
    <x v="0"/>
    <x v="0"/>
    <x v="1"/>
    <x v="1"/>
    <s v="3M_San Sabia Capital Corporation"/>
    <s v="-641.93"/>
    <s v="-564.33406593406593406593406593406593407"/>
    <n v="-641.92999999999995"/>
    <s v="1.1375"/>
    <s v="USD"/>
    <x v="31"/>
    <s v="INTEREST_AND_FEES"/>
    <n v="0"/>
    <s v="NONE"/>
    <n v="0"/>
    <n v="0"/>
    <s v="IGNORED"/>
    <s v="957269SA"/>
    <s v="SUMMIT"/>
    <m/>
    <d v="1937-07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1"/>
    <x v="0"/>
    <x v="0"/>
    <x v="1"/>
    <x v="1"/>
    <s v="3M_San Sabia Capital Corporation"/>
    <s v="-693.66"/>
    <s v="-609.81098901098901098901098901098901099"/>
    <n v="-693.66"/>
    <s v="1.1375"/>
    <s v="USD"/>
    <x v="32"/>
    <s v="INTEREST_AND_FEES"/>
    <n v="0"/>
    <s v="NONE"/>
    <n v="0"/>
    <n v="0"/>
    <s v="IGNORED"/>
    <s v="957269SA"/>
    <s v="SUMMIT"/>
    <m/>
    <d v="1937-07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2"/>
    <x v="0"/>
    <x v="0"/>
    <x v="2"/>
    <x v="2"/>
    <s v="6M_San Sabia Capital Corporation"/>
    <s v="-954.64"/>
    <s v="-839.24395604395604395604395604395604396"/>
    <n v="-954.64"/>
    <s v="1.1375"/>
    <s v="USD"/>
    <x v="33"/>
    <s v="INTEREST_AND_FEES"/>
    <n v="0"/>
    <s v="NONE"/>
    <n v="0"/>
    <n v="0"/>
    <s v="IGNORED"/>
    <s v="957269SA"/>
    <s v="SUMMIT"/>
    <m/>
    <d v="1937-07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2"/>
    <x v="0"/>
    <x v="0"/>
    <x v="2"/>
    <x v="2"/>
    <s v="6M_San Sabia Capital Corporation"/>
    <s v="-1131.34"/>
    <s v="-994.58461538461538461538461538461538462"/>
    <n v="-1131.3399999999999"/>
    <s v="1.1375"/>
    <s v="USD"/>
    <x v="34"/>
    <s v="INTEREST_AND_FEES"/>
    <n v="0"/>
    <s v="NONE"/>
    <n v="0"/>
    <n v="0"/>
    <s v="IGNORED"/>
    <s v="957269SA"/>
    <s v="SUMMIT"/>
    <m/>
    <d v="1937-07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2"/>
    <x v="0"/>
    <x v="0"/>
    <x v="2"/>
    <x v="2"/>
    <s v="6M_San Sabia Capital Corporation"/>
    <s v="-1025.22"/>
    <s v="-901.29230769230769230769230769230769231"/>
    <n v="-1025.2199999999998"/>
    <s v="1.1375"/>
    <s v="USD"/>
    <x v="25"/>
    <s v="INTEREST_AND_FEES"/>
    <n v="0"/>
    <s v="NONE"/>
    <n v="0"/>
    <n v="0"/>
    <s v="IGNORED"/>
    <s v="957269SA"/>
    <s v="SUMMIT"/>
    <m/>
    <d v="1937-07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s v="-1328.35"/>
    <s v="-1167.7802197802197802197802197802197802"/>
    <n v="-1328.35"/>
    <s v="1.1375"/>
    <s v="USD"/>
    <x v="35"/>
    <s v="INTEREST_AND_FEES"/>
    <n v="0"/>
    <s v="NONE"/>
    <n v="0"/>
    <n v="0"/>
    <s v="IGNORED"/>
    <s v="957269SA"/>
    <s v="SUMMIT"/>
    <m/>
    <d v="1937-07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s v="-1686.52"/>
    <s v="-1482.6549450549450549450549450549450549"/>
    <n v="-1686.52"/>
    <s v="1.1375"/>
    <s v="USD"/>
    <x v="36"/>
    <s v="INTEREST_AND_FEES"/>
    <n v="0"/>
    <s v="NONE"/>
    <n v="0"/>
    <n v="0"/>
    <s v="IGNORED"/>
    <s v="957269SA"/>
    <s v="SUMMIT"/>
    <m/>
    <d v="1937-07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s v="-1481.98"/>
    <s v="-1302.8395604395604395604395604395604396"/>
    <n v="-1481.98"/>
    <s v="1.1375"/>
    <s v="USD"/>
    <x v="37"/>
    <s v="INTEREST_AND_FEES"/>
    <n v="0"/>
    <s v="NONE"/>
    <n v="0"/>
    <n v="0"/>
    <s v="IGNORED"/>
    <s v="957269SA"/>
    <s v="SUMMIT"/>
    <m/>
    <d v="1937-07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s v="-1724.87"/>
    <s v="-1516.3692307692307692307692307692307692"/>
    <n v="-1724.8700000000001"/>
    <s v="1.1375"/>
    <s v="USD"/>
    <x v="38"/>
    <s v="INTEREST_AND_FEES"/>
    <n v="0"/>
    <s v="NONE"/>
    <n v="0"/>
    <n v="0"/>
    <s v="IGNORED"/>
    <s v="957269SA"/>
    <s v="SUMMIT"/>
    <m/>
    <d v="1937-07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s v="-2292.98"/>
    <s v="-2015.8065934065934065934065934065934066"/>
    <n v="-2292.98"/>
    <s v="1.1375"/>
    <s v="USD"/>
    <x v="39"/>
    <s v="INTEREST_AND_FEES"/>
    <n v="0"/>
    <s v="NONE"/>
    <n v="0"/>
    <n v="0"/>
    <s v="IGNORED"/>
    <s v="957269SA"/>
    <s v="SUMMIT"/>
    <m/>
    <d v="1937-07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s v="-2014.9"/>
    <s v="-1771.3406593406593406593406593406593407"/>
    <n v="-2014.8999999999999"/>
    <s v="1.1375"/>
    <s v="USD"/>
    <x v="77"/>
    <s v="INTEREST_AND_FEES"/>
    <n v="0"/>
    <s v="NONE"/>
    <n v="0"/>
    <n v="0"/>
    <s v="IGNORED"/>
    <s v="957269SA"/>
    <s v="SUMMIT"/>
    <m/>
    <d v="1937-07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-2445.57"/>
    <s v="-2149.9516483516483516483516483516483516"/>
    <n v="-2445.5699999999997"/>
    <s v="1.1375"/>
    <s v="USD"/>
    <x v="40"/>
    <s v="INTEREST_AND_FEES"/>
    <n v="0"/>
    <s v="NONE"/>
    <n v="0"/>
    <n v="0"/>
    <s v="IGNORED"/>
    <s v="957269SA"/>
    <s v="SUMMIT"/>
    <m/>
    <d v="1937-07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-2801.34"/>
    <s v="-2462.7164835164835164835164835164835165"/>
    <n v="-2801.34"/>
    <s v="1.1375"/>
    <s v="USD"/>
    <x v="41"/>
    <s v="INTEREST_AND_FEES"/>
    <n v="0"/>
    <s v="NONE"/>
    <n v="0"/>
    <n v="0"/>
    <s v="IGNORED"/>
    <s v="957269SA"/>
    <s v="SUMMIT"/>
    <m/>
    <d v="1937-07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2"/>
    <x v="0"/>
    <x v="0"/>
    <x v="2"/>
    <x v="2"/>
    <s v="6M_San Sabia Capital Corporation"/>
    <s v="12.13"/>
    <s v="10.6637362637362637362637362637362637363"/>
    <n v="12.129999999999999"/>
    <s v="1.1375"/>
    <s v="USD"/>
    <x v="4"/>
    <s v="INTEREST_AND_FEES"/>
    <n v="0"/>
    <s v="NONE"/>
    <n v="0"/>
    <n v="0"/>
    <s v="IGNORED"/>
    <s v="957273SA"/>
    <s v="SUMMIT"/>
    <m/>
    <d v="1939-10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2"/>
    <x v="0"/>
    <x v="0"/>
    <x v="2"/>
    <x v="2"/>
    <s v="6M_San Sabia Capital Corporation"/>
    <s v="81.93"/>
    <s v="72.0263736263736263736263736263736263736"/>
    <n v="81.929999999999993"/>
    <s v="1.1375"/>
    <s v="USD"/>
    <x v="4"/>
    <s v="INTEREST_AND_FEES"/>
    <n v="0"/>
    <s v="NONE"/>
    <n v="0"/>
    <n v="0"/>
    <s v="IGNORED"/>
    <s v="957273SA"/>
    <s v="SUMMIT"/>
    <m/>
    <d v="1939-10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n v="8375"/>
    <s v="7362.63736263736263736263736263736263736"/>
    <n v="8375"/>
    <s v="1.1375"/>
    <s v="USD"/>
    <x v="10"/>
    <s v="INTEREST_AND_FEES"/>
    <n v="0"/>
    <s v="NONE"/>
    <n v="0"/>
    <n v="0"/>
    <s v="IGNORED"/>
    <s v="957273SA"/>
    <s v="SUMMIT"/>
    <m/>
    <d v="1939-10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8328.47"/>
    <s v="7321.73186813186813186813186813186813187"/>
    <n v="8328.4699999999993"/>
    <s v="1.1375"/>
    <s v="USD"/>
    <x v="16"/>
    <s v="INTEREST_AND_FEES"/>
    <n v="0"/>
    <s v="NONE"/>
    <n v="0"/>
    <n v="0"/>
    <s v="IGNORED"/>
    <s v="957273SA"/>
    <s v="SUMMIT"/>
    <m/>
    <d v="1939-10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8421.53"/>
    <s v="7403.54285714285714285714285714285714286"/>
    <n v="8421.5300000000007"/>
    <s v="1.1375"/>
    <s v="USD"/>
    <x v="22"/>
    <s v="INTEREST_AND_FEES"/>
    <n v="0"/>
    <s v="NONE"/>
    <n v="0"/>
    <n v="0"/>
    <s v="IGNORED"/>
    <s v="957273SA"/>
    <s v="SUMMIT"/>
    <m/>
    <d v="1939-10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1"/>
    <x v="0"/>
    <x v="0"/>
    <x v="1"/>
    <x v="1"/>
    <s v="3M_San Sabia Capital Corporation"/>
    <s v="4116.51"/>
    <s v="3618.90989010989010989010989010989010989"/>
    <n v="4116.51"/>
    <s v="1.1375"/>
    <s v="USD"/>
    <x v="1"/>
    <s v="INTEREST_AND_FEES"/>
    <n v="0"/>
    <s v="NONE"/>
    <n v="0"/>
    <n v="0"/>
    <s v="IGNORED"/>
    <s v="957270SA"/>
    <s v="SUMMIT"/>
    <m/>
    <d v="1939-01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1"/>
    <x v="0"/>
    <x v="0"/>
    <x v="1"/>
    <x v="1"/>
    <s v="3M_San Sabia Capital Corporation"/>
    <s v="743.91"/>
    <s v="653.986813186813186813186813186813186813"/>
    <n v="743.91"/>
    <s v="1.1375"/>
    <s v="USD"/>
    <x v="1"/>
    <s v="INTEREST_AND_FEES"/>
    <n v="0"/>
    <s v="NONE"/>
    <n v="0"/>
    <n v="0"/>
    <s v="IGNORED"/>
    <s v="957270SA"/>
    <s v="SUMMIT"/>
    <m/>
    <d v="1939-01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1"/>
    <x v="0"/>
    <x v="0"/>
    <x v="1"/>
    <x v="1"/>
    <s v="3M_San Sabia Capital Corporation"/>
    <s v="13235.01"/>
    <s v="11635.1736263736263736263736263736263736"/>
    <n v="13235.009999999998"/>
    <s v="1.1375"/>
    <s v="USD"/>
    <x v="1"/>
    <s v="INTEREST_AND_FEES"/>
    <n v="0"/>
    <s v="NONE"/>
    <n v="0"/>
    <n v="0"/>
    <s v="IGNORED"/>
    <s v="957270SA"/>
    <s v="SUMMIT"/>
    <m/>
    <d v="1939-01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1"/>
    <x v="0"/>
    <x v="0"/>
    <x v="1"/>
    <x v="1"/>
    <s v="3M_San Sabia Capital Corporation"/>
    <s v="6800.35"/>
    <s v="5978.32967032967032967032967032967032967"/>
    <n v="6800.3499999999995"/>
    <s v="1.1375"/>
    <s v="USD"/>
    <x v="1"/>
    <s v="INTEREST_AND_FEES"/>
    <n v="0"/>
    <s v="NONE"/>
    <n v="0"/>
    <n v="0"/>
    <s v="IGNORED"/>
    <s v="957270SA"/>
    <s v="SUMMIT"/>
    <m/>
    <d v="1939-01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n v="19485"/>
    <s v="17129.6703296703296703296703296703296703"/>
    <n v="19485"/>
    <s v="1.1375"/>
    <s v="USD"/>
    <x v="7"/>
    <s v="INTEREST_AND_FEES"/>
    <n v="0"/>
    <s v="NONE"/>
    <n v="0"/>
    <n v="0"/>
    <s v="IGNORED"/>
    <s v="957270SA"/>
    <s v="SUMMIT"/>
    <m/>
    <d v="1939-01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n v="19485"/>
    <s v="17129.6703296703296703296703296703296703"/>
    <n v="19485"/>
    <s v="1.1375"/>
    <s v="USD"/>
    <x v="13"/>
    <s v="INTEREST_AND_FEES"/>
    <n v="0"/>
    <s v="NONE"/>
    <n v="0"/>
    <n v="0"/>
    <s v="IGNORED"/>
    <s v="957270SA"/>
    <s v="SUMMIT"/>
    <m/>
    <d v="1939-01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19376.75"/>
    <s v="17034.5054945054945054945054945054945055"/>
    <n v="19376.75"/>
    <s v="1.1375"/>
    <s v="USD"/>
    <x v="19"/>
    <s v="INTEREST_AND_FEES"/>
    <n v="0"/>
    <s v="NONE"/>
    <n v="0"/>
    <n v="0"/>
    <s v="IGNORED"/>
    <s v="957270SA"/>
    <s v="SUMMIT"/>
    <m/>
    <d v="1939-01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1"/>
    <x v="0"/>
    <x v="0"/>
    <x v="1"/>
    <x v="1"/>
    <s v="3M_San Sabia Capital Corporation"/>
    <s v="149193.83"/>
    <s v="131159.410989010989010989010989010989011"/>
    <n v="149193.83000000002"/>
    <s v="1.1375"/>
    <s v="USD"/>
    <x v="31"/>
    <s v="INTEREST_AND_FEES"/>
    <n v="0"/>
    <s v="NONE"/>
    <n v="0"/>
    <n v="0"/>
    <s v="IGNORED"/>
    <s v="957269SA"/>
    <s v="SUMMIT"/>
    <m/>
    <d v="1937-07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s v="153408.34"/>
    <s v="134864.474725274725274725274725274725275"/>
    <n v="153408.34"/>
    <s v="1.1375"/>
    <s v="USD"/>
    <x v="36"/>
    <s v="INTEREST_AND_FEES"/>
    <n v="0"/>
    <s v="NONE"/>
    <n v="0"/>
    <n v="0"/>
    <s v="IGNORED"/>
    <s v="957269SA"/>
    <s v="SUMMIT"/>
    <m/>
    <d v="1937-07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151722.54"/>
    <s v="133382.452747252747252747252747252747253"/>
    <n v="151722.53999999998"/>
    <s v="1.1375"/>
    <s v="USD"/>
    <x v="41"/>
    <s v="INTEREST_AND_FEES"/>
    <n v="0"/>
    <s v="NONE"/>
    <n v="0"/>
    <n v="0"/>
    <s v="IGNORED"/>
    <s v="957269SA"/>
    <s v="SUMMIT"/>
    <m/>
    <d v="1937-07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150879.63"/>
    <s v="132641.432967032967032967032967032967033"/>
    <n v="150879.63"/>
    <s v="1.1375"/>
    <s v="USD"/>
    <x v="53"/>
    <s v="INTEREST_AND_FEES"/>
    <n v="0"/>
    <s v="NONE"/>
    <n v="0"/>
    <n v="0"/>
    <s v="IGNORED"/>
    <s v="957269SA"/>
    <s v="SUMMIT"/>
    <m/>
    <d v="1937-07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1"/>
    <x v="1"/>
    <x v="0"/>
    <x v="13"/>
    <x v="6"/>
    <m/>
    <n v="0"/>
    <n v="0"/>
    <n v="0"/>
    <s v="1.1375"/>
    <s v="USD"/>
    <x v="89"/>
    <s v="INTEREST_AND_FEES"/>
    <n v="0"/>
    <s v="NONE"/>
    <n v="0"/>
    <n v="0"/>
    <s v="INFLOW_NON_GOV_INVESTMENTS"/>
    <n v="148685"/>
    <s v="SUMMIT"/>
    <m/>
    <d v="2016-10-25T00:00:00"/>
    <s v="LN_RC_GEN_U"/>
    <s v="UP_STUDNBK_L"/>
    <s v="NONE"/>
    <s v="BONDS"/>
    <s v="Depfa Bank Plc, New York"/>
    <n v="5101000018"/>
    <s v="Bond"/>
    <s v="Bond"/>
    <s v="DEPFAPLC_NY"/>
    <s v="DEPFA"/>
    <s v="US78442GNC68"/>
    <m/>
    <s v="Not GIC"/>
  </r>
  <r>
    <x v="2"/>
    <x v="1"/>
    <x v="0"/>
    <x v="7"/>
    <x v="6"/>
    <m/>
    <n v="0"/>
    <n v="0"/>
    <n v="0"/>
    <s v="1.1375"/>
    <s v="USD"/>
    <x v="90"/>
    <s v="INTEREST_AND_FEES"/>
    <n v="0"/>
    <s v="NONE"/>
    <n v="0"/>
    <n v="0"/>
    <s v="INFLOW_NON_GOV_INVESTMENTS"/>
    <n v="148685"/>
    <s v="SUMMIT"/>
    <m/>
    <d v="2016-10-25T00:00:00"/>
    <s v="LN_RC_GEN_U"/>
    <s v="UP_STUDNBK_L"/>
    <s v="NONE"/>
    <s v="BONDS"/>
    <s v="Depfa Bank Plc, New York"/>
    <n v="5101000018"/>
    <s v="Bond"/>
    <s v="Bond"/>
    <s v="DEPFAPLC_NY"/>
    <s v="DEPFA"/>
    <s v="US78442GNC68"/>
    <m/>
    <s v="Not GIC"/>
  </r>
  <r>
    <x v="2"/>
    <x v="1"/>
    <x v="2"/>
    <x v="33"/>
    <x v="6"/>
    <m/>
    <n v="0"/>
    <n v="0"/>
    <n v="0"/>
    <s v="1.1375"/>
    <s v="USD"/>
    <x v="90"/>
    <s v="PRINCIPAL_FLOW"/>
    <n v="0"/>
    <s v="NONE"/>
    <n v="0"/>
    <n v="0"/>
    <s v="INFLOW_NON_GOV_INVESTMENTS"/>
    <n v="148685"/>
    <s v="SUMMIT"/>
    <m/>
    <d v="2016-10-25T00:00:00"/>
    <s v="LN_RC_GEN_U"/>
    <s v="UP_STUDNBK_L"/>
    <s v="NONE"/>
    <s v="BONDS"/>
    <s v="Depfa Bank Plc, New York"/>
    <n v="5101000018"/>
    <s v="Bond"/>
    <s v="Bond"/>
    <s v="DEPFAPLC_NY"/>
    <s v="DEPFA"/>
    <s v="US78442GNC68"/>
    <m/>
    <s v="Not GIC"/>
  </r>
  <r>
    <x v="0"/>
    <x v="1"/>
    <x v="0"/>
    <x v="12"/>
    <x v="6"/>
    <m/>
    <n v="0"/>
    <n v="0"/>
    <n v="0"/>
    <s v="1.1375"/>
    <s v="USD"/>
    <x v="30"/>
    <s v="INTEREST_AND_FEES"/>
    <n v="0"/>
    <s v="NONE"/>
    <n v="0"/>
    <n v="0"/>
    <s v="INFLOW_NON_GOV_INVESTMENTS"/>
    <n v="157751"/>
    <s v="SUMMIT"/>
    <m/>
    <d v="2017-07-16T00:00:00"/>
    <s v="LN_RCS_GEN_U"/>
    <s v="AM_BANKBND_L"/>
    <s v="NONE"/>
    <s v="BONDS"/>
    <s v="FMS Wertmanagement A├╢R"/>
    <n v="3101055606"/>
    <s v="Bond"/>
    <s v="Bond"/>
    <s v="DEPFAPLC_NY"/>
    <s v="DEPFA"/>
    <s v="US917546BN24_LF5"/>
    <m/>
    <s v="Not GIC"/>
  </r>
  <r>
    <x v="1"/>
    <x v="1"/>
    <x v="0"/>
    <x v="13"/>
    <x v="6"/>
    <m/>
    <n v="0"/>
    <n v="0"/>
    <n v="0"/>
    <s v="1.1375"/>
    <s v="USD"/>
    <x v="31"/>
    <s v="INTEREST_AND_FEES"/>
    <n v="0"/>
    <s v="NONE"/>
    <n v="0"/>
    <n v="0"/>
    <s v="INFLOW_NON_GOV_INVESTMENTS"/>
    <n v="157751"/>
    <s v="SUMMIT"/>
    <m/>
    <d v="2017-07-16T00:00:00"/>
    <s v="LN_RCS_GEN_U"/>
    <s v="AM_BANKBND_L"/>
    <s v="NONE"/>
    <s v="BONDS"/>
    <s v="FMS Wertmanagement A├╢R"/>
    <n v="3101055606"/>
    <s v="Bond"/>
    <s v="Bond"/>
    <s v="DEPFAPLC_NY"/>
    <s v="DEPFA"/>
    <s v="US917546BN24_LF5"/>
    <m/>
    <s v="Not GIC"/>
  </r>
  <r>
    <x v="1"/>
    <x v="1"/>
    <x v="0"/>
    <x v="13"/>
    <x v="6"/>
    <m/>
    <n v="0"/>
    <n v="0"/>
    <n v="0"/>
    <s v="1.1375"/>
    <s v="USD"/>
    <x v="32"/>
    <s v="INTEREST_AND_FEES"/>
    <n v="0"/>
    <s v="NONE"/>
    <n v="0"/>
    <n v="0"/>
    <s v="INFLOW_NON_GOV_INVESTMENTS"/>
    <n v="157751"/>
    <s v="SUMMIT"/>
    <m/>
    <d v="2017-07-16T00:00:00"/>
    <s v="LN_RCS_GEN_U"/>
    <s v="AM_BANKBND_L"/>
    <s v="NONE"/>
    <s v="BONDS"/>
    <s v="FMS Wertmanagement A├╢R"/>
    <n v="3101055606"/>
    <s v="Bond"/>
    <s v="Bond"/>
    <s v="DEPFAPLC_NY"/>
    <s v="DEPFA"/>
    <s v="US917546BN24_LF5"/>
    <m/>
    <s v="Not GIC"/>
  </r>
  <r>
    <x v="2"/>
    <x v="1"/>
    <x v="0"/>
    <x v="7"/>
    <x v="6"/>
    <m/>
    <n v="0"/>
    <n v="0"/>
    <n v="0"/>
    <s v="1.1375"/>
    <s v="USD"/>
    <x v="33"/>
    <s v="INTEREST_AND_FEES"/>
    <n v="0"/>
    <s v="NONE"/>
    <n v="0"/>
    <n v="0"/>
    <s v="INFLOW_NON_GOV_INVESTMENTS"/>
    <n v="157751"/>
    <s v="SUMMIT"/>
    <m/>
    <d v="2017-07-16T00:00:00"/>
    <s v="LN_RCS_GEN_U"/>
    <s v="AM_BANKBND_L"/>
    <s v="NONE"/>
    <s v="BONDS"/>
    <s v="FMS Wertmanagement A├╢R"/>
    <n v="3101055606"/>
    <s v="Bond"/>
    <s v="Bond"/>
    <s v="DEPFAPLC_NY"/>
    <s v="DEPFA"/>
    <s v="US917546BN24_LF5"/>
    <m/>
    <s v="Not GIC"/>
  </r>
  <r>
    <x v="2"/>
    <x v="1"/>
    <x v="0"/>
    <x v="7"/>
    <x v="6"/>
    <m/>
    <n v="0"/>
    <n v="0"/>
    <n v="0"/>
    <s v="1.1375"/>
    <s v="USD"/>
    <x v="34"/>
    <s v="INTEREST_AND_FEES"/>
    <n v="0"/>
    <s v="NONE"/>
    <n v="0"/>
    <n v="0"/>
    <s v="INFLOW_NON_GOV_INVESTMENTS"/>
    <n v="157751"/>
    <s v="SUMMIT"/>
    <m/>
    <d v="2017-07-16T00:00:00"/>
    <s v="LN_RCS_GEN_U"/>
    <s v="AM_BANKBND_L"/>
    <s v="NONE"/>
    <s v="BONDS"/>
    <s v="FMS Wertmanagement A├╢R"/>
    <n v="3101055606"/>
    <s v="Bond"/>
    <s v="Bond"/>
    <s v="DEPFAPLC_NY"/>
    <s v="DEPFA"/>
    <s v="US917546BN24_LF5"/>
    <m/>
    <s v="Not GIC"/>
  </r>
  <r>
    <x v="2"/>
    <x v="1"/>
    <x v="0"/>
    <x v="7"/>
    <x v="6"/>
    <m/>
    <n v="0"/>
    <n v="0"/>
    <n v="0"/>
    <s v="1.1375"/>
    <s v="USD"/>
    <x v="25"/>
    <s v="INTEREST_AND_FEES"/>
    <n v="0"/>
    <s v="NONE"/>
    <n v="0"/>
    <n v="0"/>
    <s v="INFLOW_NON_GOV_INVESTMENTS"/>
    <n v="157751"/>
    <s v="SUMMIT"/>
    <m/>
    <d v="2017-07-16T00:00:00"/>
    <s v="LN_RCS_GEN_U"/>
    <s v="AM_BANKBND_L"/>
    <s v="NONE"/>
    <s v="BONDS"/>
    <s v="FMS Wertmanagement A├╢R"/>
    <n v="3101055606"/>
    <s v="Bond"/>
    <s v="Bond"/>
    <s v="DEPFAPLC_NY"/>
    <s v="DEPFA"/>
    <s v="US917546BN24_LF5"/>
    <m/>
    <s v="Not GIC"/>
  </r>
  <r>
    <x v="3"/>
    <x v="1"/>
    <x v="0"/>
    <x v="9"/>
    <x v="6"/>
    <m/>
    <n v="0"/>
    <n v="0"/>
    <n v="0"/>
    <s v="1.1375"/>
    <s v="USD"/>
    <x v="35"/>
    <s v="INTEREST_AND_FEES"/>
    <n v="0"/>
    <s v="NONE"/>
    <n v="0"/>
    <n v="0"/>
    <s v="INFLOW_NON_GOV_INVESTMENTS"/>
    <n v="157751"/>
    <s v="SUMMIT"/>
    <m/>
    <d v="2017-07-16T00:00:00"/>
    <s v="LN_RCS_GEN_U"/>
    <s v="AM_BANKBND_L"/>
    <s v="NONE"/>
    <s v="BONDS"/>
    <s v="FMS Wertmanagement A├╢R"/>
    <n v="3101055606"/>
    <s v="Bond"/>
    <s v="Bond"/>
    <s v="DEPFAPLC_NY"/>
    <s v="DEPFA"/>
    <s v="US917546BN24_LF5"/>
    <m/>
    <s v="Not GIC"/>
  </r>
  <r>
    <x v="3"/>
    <x v="1"/>
    <x v="0"/>
    <x v="9"/>
    <x v="6"/>
    <m/>
    <n v="0"/>
    <n v="0"/>
    <n v="0"/>
    <s v="1.1375"/>
    <s v="USD"/>
    <x v="36"/>
    <s v="INTEREST_AND_FEES"/>
    <n v="0"/>
    <s v="NONE"/>
    <n v="0"/>
    <n v="0"/>
    <s v="INFLOW_NON_GOV_INVESTMENTS"/>
    <n v="157751"/>
    <s v="SUMMIT"/>
    <m/>
    <d v="2017-07-16T00:00:00"/>
    <s v="LN_RCS_GEN_U"/>
    <s v="AM_BANKBND_L"/>
    <s v="NONE"/>
    <s v="BONDS"/>
    <s v="FMS Wertmanagement A├╢R"/>
    <n v="3101055606"/>
    <s v="Bond"/>
    <s v="Bond"/>
    <s v="DEPFAPLC_NY"/>
    <s v="DEPFA"/>
    <s v="US917546BN24_LF5"/>
    <m/>
    <s v="Not GIC"/>
  </r>
  <r>
    <x v="3"/>
    <x v="1"/>
    <x v="0"/>
    <x v="9"/>
    <x v="6"/>
    <m/>
    <n v="0"/>
    <n v="0"/>
    <n v="0"/>
    <s v="1.1375"/>
    <s v="USD"/>
    <x v="37"/>
    <s v="INTEREST_AND_FEES"/>
    <n v="0"/>
    <s v="NONE"/>
    <n v="0"/>
    <n v="0"/>
    <s v="INFLOW_NON_GOV_INVESTMENTS"/>
    <n v="157751"/>
    <s v="SUMMIT"/>
    <m/>
    <d v="2017-07-16T00:00:00"/>
    <s v="LN_RCS_GEN_U"/>
    <s v="AM_BANKBND_L"/>
    <s v="NONE"/>
    <s v="BONDS"/>
    <s v="FMS Wertmanagement A├╢R"/>
    <n v="3101055606"/>
    <s v="Bond"/>
    <s v="Bond"/>
    <s v="DEPFAPLC_NY"/>
    <s v="DEPFA"/>
    <s v="US917546BN24_LF5"/>
    <m/>
    <s v="Not GIC"/>
  </r>
  <r>
    <x v="3"/>
    <x v="1"/>
    <x v="0"/>
    <x v="9"/>
    <x v="6"/>
    <m/>
    <n v="0"/>
    <n v="0"/>
    <n v="0"/>
    <s v="1.1375"/>
    <s v="USD"/>
    <x v="38"/>
    <s v="INTEREST_AND_FEES"/>
    <n v="0"/>
    <s v="NONE"/>
    <n v="0"/>
    <n v="0"/>
    <s v="INFLOW_NON_GOV_INVESTMENTS"/>
    <n v="157751"/>
    <s v="SUMMIT"/>
    <m/>
    <d v="2017-07-16T00:00:00"/>
    <s v="LN_RCS_GEN_U"/>
    <s v="AM_BANKBND_L"/>
    <s v="NONE"/>
    <s v="BONDS"/>
    <s v="FMS Wertmanagement A├╢R"/>
    <n v="3101055606"/>
    <s v="Bond"/>
    <s v="Bond"/>
    <s v="DEPFAPLC_NY"/>
    <s v="DEPFA"/>
    <s v="US917546BN24_LF5"/>
    <m/>
    <s v="Not GIC"/>
  </r>
  <r>
    <x v="3"/>
    <x v="1"/>
    <x v="0"/>
    <x v="9"/>
    <x v="6"/>
    <m/>
    <n v="0"/>
    <n v="0"/>
    <n v="0"/>
    <s v="1.1375"/>
    <s v="USD"/>
    <x v="39"/>
    <s v="INTEREST_AND_FEES"/>
    <n v="0"/>
    <s v="NONE"/>
    <n v="0"/>
    <n v="0"/>
    <s v="INFLOW_NON_GOV_INVESTMENTS"/>
    <n v="157751"/>
    <s v="SUMMIT"/>
    <m/>
    <d v="2017-07-16T00:00:00"/>
    <s v="LN_RCS_GEN_U"/>
    <s v="AM_BANKBND_L"/>
    <s v="NONE"/>
    <s v="BONDS"/>
    <s v="FMS Wertmanagement A├╢R"/>
    <n v="3101055606"/>
    <s v="Bond"/>
    <s v="Bond"/>
    <s v="DEPFAPLC_NY"/>
    <s v="DEPFA"/>
    <s v="US917546BN24_LF5"/>
    <m/>
    <s v="Not GIC"/>
  </r>
  <r>
    <x v="4"/>
    <x v="0"/>
    <x v="0"/>
    <x v="4"/>
    <x v="4"/>
    <s v="18M_San Sabia Capital Corporation"/>
    <s v="-2538.57"/>
    <s v="-2231.7098901098901098901098901098901099"/>
    <n v="-2538.5700000000002"/>
    <s v="1.1375"/>
    <s v="USD"/>
    <x v="49"/>
    <s v="INTEREST_AND_FEES"/>
    <n v="0"/>
    <s v="NONE"/>
    <n v="0"/>
    <n v="0"/>
    <s v="IGNORED"/>
    <s v="957269SA"/>
    <s v="SUMMIT"/>
    <m/>
    <d v="1937-07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-2713.75"/>
    <s v="-2385.7142857142857142857142857142857143"/>
    <n v="-2713.75"/>
    <s v="1.1375"/>
    <s v="USD"/>
    <x v="50"/>
    <s v="INTEREST_AND_FEES"/>
    <n v="0"/>
    <s v="NONE"/>
    <n v="0"/>
    <n v="0"/>
    <s v="IGNORED"/>
    <s v="957269SA"/>
    <s v="SUMMIT"/>
    <m/>
    <d v="1937-07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-2713.75"/>
    <s v="-2385.7142857142857142857142857142857143"/>
    <n v="-2713.75"/>
    <s v="1.1375"/>
    <s v="USD"/>
    <x v="51"/>
    <s v="INTEREST_AND_FEES"/>
    <n v="0"/>
    <s v="NONE"/>
    <n v="0"/>
    <n v="0"/>
    <s v="IGNORED"/>
    <s v="957269SA"/>
    <s v="SUMMIT"/>
    <m/>
    <d v="1937-07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-2626.16"/>
    <s v="-2308.7120879120879120879120879120879121"/>
    <n v="-2626.16"/>
    <s v="1.1375"/>
    <s v="USD"/>
    <x v="28"/>
    <s v="INTEREST_AND_FEES"/>
    <n v="0"/>
    <s v="NONE"/>
    <n v="0"/>
    <n v="0"/>
    <s v="IGNORED"/>
    <s v="957269SA"/>
    <s v="SUMMIT"/>
    <m/>
    <d v="1937-07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-2626.16"/>
    <s v="-2308.7120879120879120879120879120879121"/>
    <n v="-2626.16"/>
    <s v="1.1375"/>
    <s v="USD"/>
    <x v="52"/>
    <s v="INTEREST_AND_FEES"/>
    <n v="0"/>
    <s v="NONE"/>
    <n v="0"/>
    <n v="0"/>
    <s v="IGNORED"/>
    <s v="957269SA"/>
    <s v="SUMMIT"/>
    <m/>
    <d v="1937-07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-2801.34"/>
    <s v="-2462.7164835164835164835164835164835165"/>
    <n v="-2801.34"/>
    <s v="1.1375"/>
    <s v="USD"/>
    <x v="53"/>
    <s v="INTEREST_AND_FEES"/>
    <n v="0"/>
    <s v="NONE"/>
    <n v="0"/>
    <n v="0"/>
    <s v="IGNORED"/>
    <s v="957269SA"/>
    <s v="SUMMIT"/>
    <m/>
    <d v="1937-07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-2626.16"/>
    <s v="-2308.7120879120879120879120879120879121"/>
    <n v="-2626.16"/>
    <s v="1.1375"/>
    <s v="USD"/>
    <x v="54"/>
    <s v="INTEREST_AND_FEES"/>
    <n v="0"/>
    <s v="NONE"/>
    <n v="0"/>
    <n v="0"/>
    <s v="IGNORED"/>
    <s v="957269SA"/>
    <s v="SUMMIT"/>
    <m/>
    <d v="1937-07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-2450.99"/>
    <s v="-2154.7164835164835164835164835164835165"/>
    <n v="-2450.9899999999998"/>
    <s v="1.1375"/>
    <s v="USD"/>
    <x v="55"/>
    <s v="INTEREST_AND_FEES"/>
    <n v="0"/>
    <s v="NONE"/>
    <n v="0"/>
    <n v="0"/>
    <s v="IGNORED"/>
    <s v="957269SA"/>
    <s v="SUMMIT"/>
    <m/>
    <d v="1937-07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-2888.94"/>
    <s v="-2539.7274725274725274725274725274725275"/>
    <n v="-2888.9399999999996"/>
    <s v="1.1375"/>
    <s v="USD"/>
    <x v="74"/>
    <s v="INTEREST_AND_FEES"/>
    <n v="0"/>
    <s v="NONE"/>
    <n v="0"/>
    <n v="0"/>
    <s v="IGNORED"/>
    <s v="957269SA"/>
    <s v="SUMMIT"/>
    <m/>
    <d v="1937-07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-2450.99"/>
    <s v="-2154.7164835164835164835164835164835165"/>
    <n v="-2450.9899999999998"/>
    <s v="1.1375"/>
    <s v="USD"/>
    <x v="29"/>
    <s v="INTEREST_AND_FEES"/>
    <n v="0"/>
    <s v="NONE"/>
    <n v="0"/>
    <n v="0"/>
    <s v="IGNORED"/>
    <s v="957269SA"/>
    <s v="SUMMIT"/>
    <m/>
    <d v="1937-07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0"/>
    <x v="0"/>
    <x v="0"/>
    <x v="0"/>
    <x v="0"/>
    <s v="3W_San Sabia Capital Corporation"/>
    <s v="392.53"/>
    <s v="345.081318681318681318681318681318681319"/>
    <n v="392.53"/>
    <s v="1.1375"/>
    <s v="USD"/>
    <x v="0"/>
    <s v="INTEREST_AND_FEES"/>
    <n v="0"/>
    <s v="NONE"/>
    <n v="0"/>
    <n v="0"/>
    <s v="IGNORED"/>
    <s v="957270SA"/>
    <s v="SUMMIT"/>
    <m/>
    <d v="1939-01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1"/>
    <x v="0"/>
    <x v="0"/>
    <x v="1"/>
    <x v="1"/>
    <s v="3M_San Sabia Capital Corporation"/>
    <s v="353.76"/>
    <s v="310.997802197802197802197802197802197802"/>
    <n v="353.75999999999993"/>
    <s v="1.1375"/>
    <s v="USD"/>
    <x v="1"/>
    <s v="INTEREST_AND_FEES"/>
    <n v="0"/>
    <s v="NONE"/>
    <n v="0"/>
    <n v="0"/>
    <s v="IGNORED"/>
    <s v="957270SA"/>
    <s v="SUMMIT"/>
    <m/>
    <d v="1939-01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1"/>
    <x v="0"/>
    <x v="0"/>
    <x v="1"/>
    <x v="1"/>
    <s v="3M_San Sabia Capital Corporation"/>
    <s v="166.65"/>
    <s v="146.505494505494505494505494505494505495"/>
    <n v="166.65"/>
    <s v="1.1375"/>
    <s v="USD"/>
    <x v="2"/>
    <s v="INTEREST_AND_FEES"/>
    <n v="0"/>
    <s v="NONE"/>
    <n v="0"/>
    <n v="0"/>
    <s v="IGNORED"/>
    <s v="957270SA"/>
    <s v="SUMMIT"/>
    <m/>
    <d v="1939-01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2"/>
    <x v="0"/>
    <x v="0"/>
    <x v="2"/>
    <x v="2"/>
    <s v="6M_San Sabia Capital Corporation"/>
    <s v="156.16"/>
    <s v="137.283516483516483516483516483516483516"/>
    <n v="156.16"/>
    <s v="1.1375"/>
    <s v="USD"/>
    <x v="3"/>
    <s v="INTEREST_AND_FEES"/>
    <n v="0"/>
    <s v="NONE"/>
    <n v="0"/>
    <n v="0"/>
    <s v="IGNORED"/>
    <s v="957270SA"/>
    <s v="SUMMIT"/>
    <m/>
    <d v="1939-01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2"/>
    <x v="0"/>
    <x v="0"/>
    <x v="2"/>
    <x v="2"/>
    <s v="6M_San Sabia Capital Corporation"/>
    <n v="120"/>
    <s v="105.494505494505494505494505494505494505"/>
    <n v="119.99999999999999"/>
    <s v="1.1375"/>
    <s v="USD"/>
    <x v="4"/>
    <s v="INTEREST_AND_FEES"/>
    <n v="0"/>
    <s v="NONE"/>
    <n v="0"/>
    <n v="0"/>
    <s v="IGNORED"/>
    <s v="957270SA"/>
    <s v="SUMMIT"/>
    <m/>
    <d v="1939-01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2"/>
    <x v="0"/>
    <x v="0"/>
    <x v="2"/>
    <x v="2"/>
    <s v="6M_San Sabia Capital Corporation"/>
    <n v="124"/>
    <s v="109.010989010989010989010989010989010989"/>
    <n v="123.99999999999999"/>
    <s v="1.1375"/>
    <s v="USD"/>
    <x v="5"/>
    <s v="INTEREST_AND_FEES"/>
    <n v="0"/>
    <s v="NONE"/>
    <n v="0"/>
    <n v="0"/>
    <s v="IGNORED"/>
    <s v="957270SA"/>
    <s v="SUMMIT"/>
    <m/>
    <d v="1939-01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s v="86.14"/>
    <s v="75.7274725274725274725274725274725274725"/>
    <n v="86.14"/>
    <s v="1.1375"/>
    <s v="USD"/>
    <x v="6"/>
    <s v="INTEREST_AND_FEES"/>
    <n v="0"/>
    <s v="NONE"/>
    <n v="0"/>
    <n v="0"/>
    <s v="IGNORED"/>
    <s v="957270SA"/>
    <s v="SUMMIT"/>
    <m/>
    <d v="1939-01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s v="56.52"/>
    <s v="49.6879120879120879120879120879120879121"/>
    <n v="56.519999999999996"/>
    <s v="1.1375"/>
    <s v="USD"/>
    <x v="7"/>
    <s v="INTEREST_AND_FEES"/>
    <n v="0"/>
    <s v="NONE"/>
    <n v="0"/>
    <n v="0"/>
    <s v="IGNORED"/>
    <s v="957270SA"/>
    <s v="SUMMIT"/>
    <m/>
    <d v="1939-01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s v="60.27"/>
    <s v="52.9846153846153846153846153846153846154"/>
    <n v="60.269999999999996"/>
    <s v="1.1375"/>
    <s v="USD"/>
    <x v="8"/>
    <s v="INTEREST_AND_FEES"/>
    <n v="0"/>
    <s v="NONE"/>
    <n v="0"/>
    <n v="0"/>
    <s v="IGNORED"/>
    <s v="957270SA"/>
    <s v="SUMMIT"/>
    <m/>
    <d v="1939-01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s v="15.72"/>
    <s v="13.8197802197802197802197802197802197802"/>
    <n v="15.72"/>
    <s v="1.1375"/>
    <s v="USD"/>
    <x v="9"/>
    <s v="INTEREST_AND_FEES"/>
    <n v="0"/>
    <s v="NONE"/>
    <n v="0"/>
    <n v="0"/>
    <s v="IGNORED"/>
    <s v="957270SA"/>
    <s v="SUMMIT"/>
    <m/>
    <d v="1939-01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s v="-18.15"/>
    <s v="-15.956043956043956043956043956043956044"/>
    <n v="-18.149999999999999"/>
    <s v="1.1375"/>
    <s v="USD"/>
    <x v="10"/>
    <s v="INTEREST_AND_FEES"/>
    <n v="0"/>
    <s v="NONE"/>
    <n v="0"/>
    <n v="0"/>
    <s v="IGNORED"/>
    <s v="957270SA"/>
    <s v="SUMMIT"/>
    <m/>
    <d v="1939-01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s v="-16.38"/>
    <s v="-14.4"/>
    <n v="-16.38"/>
    <s v="1.1375"/>
    <s v="USD"/>
    <x v="11"/>
    <s v="INTEREST_AND_FEES"/>
    <n v="0"/>
    <s v="NONE"/>
    <n v="0"/>
    <n v="0"/>
    <s v="IGNORED"/>
    <s v="957270SA"/>
    <s v="SUMMIT"/>
    <m/>
    <d v="1939-01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-65.43"/>
    <s v="-57.520879120879120879120879120879120879"/>
    <n v="-65.429999999999993"/>
    <s v="1.1375"/>
    <s v="USD"/>
    <x v="12"/>
    <s v="INTEREST_AND_FEES"/>
    <n v="0"/>
    <s v="NONE"/>
    <n v="0"/>
    <n v="0"/>
    <s v="IGNORED"/>
    <s v="957270SA"/>
    <s v="SUMMIT"/>
    <m/>
    <d v="1939-01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-90.34"/>
    <s v="-79.41978021978021978021978021978021978"/>
    <n v="-90.34"/>
    <s v="1.1375"/>
    <s v="USD"/>
    <x v="13"/>
    <s v="INTEREST_AND_FEES"/>
    <n v="0"/>
    <s v="NONE"/>
    <n v="0"/>
    <n v="0"/>
    <s v="IGNORED"/>
    <s v="957270SA"/>
    <s v="SUMMIT"/>
    <m/>
    <d v="1939-01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-93.36"/>
    <s v="-82.074725274725274725274725274725274725"/>
    <n v="-93.36"/>
    <s v="1.1375"/>
    <s v="USD"/>
    <x v="14"/>
    <s v="INTEREST_AND_FEES"/>
    <n v="0"/>
    <s v="NONE"/>
    <n v="0"/>
    <n v="0"/>
    <s v="IGNORED"/>
    <s v="957270SA"/>
    <s v="SUMMIT"/>
    <m/>
    <d v="1939-01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-93.36"/>
    <s v="-82.074725274725274725274725274725274725"/>
    <n v="-93.36"/>
    <s v="1.1375"/>
    <s v="USD"/>
    <x v="15"/>
    <s v="INTEREST_AND_FEES"/>
    <n v="0"/>
    <s v="NONE"/>
    <n v="0"/>
    <n v="0"/>
    <s v="IGNORED"/>
    <s v="957270SA"/>
    <s v="SUMMIT"/>
    <m/>
    <d v="1939-01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-87.33"/>
    <s v="-76.773626373626373626373626373626373626"/>
    <n v="-87.33"/>
    <s v="1.1375"/>
    <s v="USD"/>
    <x v="16"/>
    <s v="INTEREST_AND_FEES"/>
    <n v="0"/>
    <s v="NONE"/>
    <n v="0"/>
    <n v="0"/>
    <s v="IGNORED"/>
    <s v="957270SA"/>
    <s v="SUMMIT"/>
    <m/>
    <d v="1939-01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-96.38"/>
    <s v="-84.72967032967032967032967032967032967"/>
    <n v="-96.38"/>
    <s v="1.1375"/>
    <s v="USD"/>
    <x v="17"/>
    <s v="INTEREST_AND_FEES"/>
    <n v="0"/>
    <s v="NONE"/>
    <n v="0"/>
    <n v="0"/>
    <s v="IGNORED"/>
    <s v="957270SA"/>
    <s v="SUMMIT"/>
    <m/>
    <d v="1939-01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-90.34"/>
    <s v="-79.41978021978021978021978021978021978"/>
    <n v="-90.34"/>
    <s v="1.1375"/>
    <s v="USD"/>
    <x v="18"/>
    <s v="INTEREST_AND_FEES"/>
    <n v="0"/>
    <s v="NONE"/>
    <n v="0"/>
    <n v="0"/>
    <s v="IGNORED"/>
    <s v="957270SA"/>
    <s v="SUMMIT"/>
    <m/>
    <d v="1939-01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-87.33"/>
    <s v="-76.773626373626373626373626373626373626"/>
    <n v="-87.33"/>
    <s v="1.1375"/>
    <s v="USD"/>
    <x v="19"/>
    <s v="INTEREST_AND_FEES"/>
    <n v="0"/>
    <s v="NONE"/>
    <n v="0"/>
    <n v="0"/>
    <s v="IGNORED"/>
    <s v="957270SA"/>
    <s v="SUMMIT"/>
    <m/>
    <d v="1939-01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-99.4"/>
    <s v="-87.384615384615384615384615384615384615"/>
    <n v="-99.4"/>
    <s v="1.1375"/>
    <s v="USD"/>
    <x v="20"/>
    <s v="INTEREST_AND_FEES"/>
    <n v="0"/>
    <s v="NONE"/>
    <n v="0"/>
    <n v="0"/>
    <s v="IGNORED"/>
    <s v="957270SA"/>
    <s v="SUMMIT"/>
    <m/>
    <d v="1939-01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-84.31"/>
    <s v="-74.118681318681318681318681318681318681"/>
    <n v="-84.31"/>
    <s v="1.1375"/>
    <s v="USD"/>
    <x v="21"/>
    <s v="INTEREST_AND_FEES"/>
    <n v="0"/>
    <s v="NONE"/>
    <n v="0"/>
    <n v="0"/>
    <s v="IGNORED"/>
    <s v="957270SA"/>
    <s v="SUMMIT"/>
    <m/>
    <d v="1939-01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-87.33"/>
    <s v="-76.773626373626373626373626373626373626"/>
    <n v="-87.33"/>
    <s v="1.1375"/>
    <s v="USD"/>
    <x v="68"/>
    <s v="INTEREST_AND_FEES"/>
    <n v="0"/>
    <s v="NONE"/>
    <n v="0"/>
    <n v="0"/>
    <s v="IGNORED"/>
    <s v="957270SA"/>
    <s v="SUMMIT"/>
    <m/>
    <d v="1939-01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-96.38"/>
    <s v="-84.72967032967032967032967032967032967"/>
    <n v="-96.38"/>
    <s v="1.1375"/>
    <s v="USD"/>
    <x v="23"/>
    <s v="INTEREST_AND_FEES"/>
    <n v="0"/>
    <s v="NONE"/>
    <n v="0"/>
    <n v="0"/>
    <s v="IGNORED"/>
    <s v="957270SA"/>
    <s v="SUMMIT"/>
    <m/>
    <d v="1939-01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2"/>
    <x v="0"/>
    <x v="0"/>
    <x v="2"/>
    <x v="2"/>
    <m/>
    <s v="-602622.22"/>
    <s v="-529777.77582417582417582417582417582418"/>
    <n v="-602622.22"/>
    <s v="1.1375"/>
    <s v="USD"/>
    <x v="5"/>
    <s v="INTEREST_AND_FEES"/>
    <n v="0"/>
    <s v="NONE"/>
    <n v="0"/>
    <n v="0"/>
    <s v="IGNORED"/>
    <s v="952115PN"/>
    <s v="SUMMIT"/>
    <m/>
    <d v="1930-04-29T00:00:00"/>
    <s v="FV_OUTRIGHT"/>
    <s v="AM_IRSWPS_T"/>
    <s v="INTRA_ENTITY"/>
    <s v="DERIVATES"/>
    <s v="Depfa Bank Plc"/>
    <n v="4101000279"/>
    <s v="Derivative"/>
    <s v="Swap"/>
    <s v="DEPFAPLC_NY"/>
    <s v="DEPFA"/>
    <m/>
    <m/>
    <s v="Not GIC"/>
  </r>
  <r>
    <x v="3"/>
    <x v="0"/>
    <x v="0"/>
    <x v="3"/>
    <x v="3"/>
    <m/>
    <s v="-589377.78"/>
    <s v="-518134.31208791208791208791208791208791"/>
    <n v="-589377.78"/>
    <s v="1.1375"/>
    <s v="USD"/>
    <x v="11"/>
    <s v="INTEREST_AND_FEES"/>
    <n v="0"/>
    <s v="NONE"/>
    <n v="0"/>
    <n v="0"/>
    <s v="IGNORED"/>
    <s v="952115PN"/>
    <s v="SUMMIT"/>
    <m/>
    <d v="1930-04-29T00:00:00"/>
    <s v="FV_OUTRIGHT"/>
    <s v="AM_IRSWPS_T"/>
    <s v="INTRA_ENTITY"/>
    <s v="DERIVATES"/>
    <s v="Depfa Bank Plc"/>
    <n v="4101000279"/>
    <s v="Derivative"/>
    <s v="Swap"/>
    <s v="DEPFAPLC_NY"/>
    <s v="DEPFA"/>
    <m/>
    <m/>
    <s v="Not GIC"/>
  </r>
  <r>
    <x v="4"/>
    <x v="0"/>
    <x v="0"/>
    <x v="4"/>
    <x v="4"/>
    <m/>
    <s v="-602622.22"/>
    <s v="-529777.77582417582417582417582417582418"/>
    <n v="-602622.22"/>
    <s v="1.1375"/>
    <s v="USD"/>
    <x v="91"/>
    <s v="INTEREST_AND_FEES"/>
    <n v="0"/>
    <s v="NONE"/>
    <n v="0"/>
    <n v="0"/>
    <s v="IGNORED"/>
    <s v="952115PN"/>
    <s v="SUMMIT"/>
    <m/>
    <d v="1930-04-29T00:00:00"/>
    <s v="FV_OUTRIGHT"/>
    <s v="AM_IRSWPS_T"/>
    <s v="INTRA_ENTITY"/>
    <s v="DERIVATES"/>
    <s v="Depfa Bank Plc"/>
    <n v="4101000279"/>
    <s v="Derivative"/>
    <s v="Swap"/>
    <s v="DEPFAPLC_NY"/>
    <s v="DEPFA"/>
    <m/>
    <m/>
    <s v="Not GIC"/>
  </r>
  <r>
    <x v="5"/>
    <x v="0"/>
    <x v="0"/>
    <x v="5"/>
    <x v="5"/>
    <m/>
    <n v="-596000"/>
    <s v="-523956.04395604395604395604395604395604"/>
    <n v="-596000"/>
    <s v="1.1375"/>
    <s v="USD"/>
    <x v="23"/>
    <s v="INTEREST_AND_FEES"/>
    <n v="0"/>
    <s v="NONE"/>
    <n v="0"/>
    <n v="0"/>
    <s v="IGNORED"/>
    <s v="952115PN"/>
    <s v="SUMMIT"/>
    <m/>
    <d v="1930-04-29T00:00:00"/>
    <s v="FV_OUTRIGHT"/>
    <s v="AM_IRSWPS_T"/>
    <s v="INTRA_ENTITY"/>
    <s v="DERIVATES"/>
    <s v="Depfa Bank Plc"/>
    <n v="4101000279"/>
    <s v="Derivative"/>
    <s v="Swap"/>
    <s v="DEPFAPLC_NY"/>
    <s v="DEPFA"/>
    <m/>
    <m/>
    <s v="Not GIC"/>
  </r>
  <r>
    <x v="1"/>
    <x v="0"/>
    <x v="0"/>
    <x v="1"/>
    <x v="1"/>
    <m/>
    <s v="80680.35"/>
    <s v="70927.7802197802197802197802197802197802"/>
    <n v="80680.350000000006"/>
    <s v="1.1375"/>
    <s v="USD"/>
    <x v="2"/>
    <s v="INTEREST_AND_FEES"/>
    <n v="0"/>
    <s v="NONE"/>
    <n v="0"/>
    <n v="0"/>
    <s v="IGNORED"/>
    <s v="952115PN"/>
    <s v="SUMMIT"/>
    <m/>
    <d v="1930-04-29T00:00:00"/>
    <s v="FV_OUTRIGHT"/>
    <s v="AM_IRSWPS_T"/>
    <s v="INTRA_ENTITY"/>
    <s v="DERIVATES"/>
    <s v="Depfa Bank Plc"/>
    <n v="4101000279"/>
    <s v="Derivative"/>
    <s v="Swap"/>
    <s v="DEPFAPLC_NY"/>
    <s v="DEPFA"/>
    <m/>
    <m/>
    <s v="Not GIC"/>
  </r>
  <r>
    <x v="2"/>
    <x v="0"/>
    <x v="0"/>
    <x v="2"/>
    <x v="2"/>
    <m/>
    <s v="96140.24"/>
    <s v="84518.8923076923076923076923076923076923"/>
    <n v="96140.24"/>
    <s v="1.1375"/>
    <s v="USD"/>
    <x v="5"/>
    <s v="INTEREST_AND_FEES"/>
    <n v="0"/>
    <s v="NONE"/>
    <n v="0"/>
    <n v="0"/>
    <s v="IGNORED"/>
    <s v="952115PN"/>
    <s v="SUMMIT"/>
    <m/>
    <d v="1930-04-29T00:00:00"/>
    <s v="FV_OUTRIGHT"/>
    <s v="AM_IRSWPS_T"/>
    <s v="INTRA_ENTITY"/>
    <s v="DERIVATES"/>
    <s v="Depfa Bank Plc"/>
    <n v="4101000279"/>
    <s v="Derivative"/>
    <s v="Swap"/>
    <s v="DEPFAPLC_NY"/>
    <s v="DEPFA"/>
    <m/>
    <m/>
    <s v="Not GIC"/>
  </r>
  <r>
    <x v="3"/>
    <x v="0"/>
    <x v="0"/>
    <x v="3"/>
    <x v="3"/>
    <m/>
    <s v="98448.11"/>
    <s v="86547.789010989010989010989010989010989"/>
    <n v="98448.11"/>
    <s v="1.1375"/>
    <s v="USD"/>
    <x v="92"/>
    <s v="INTEREST_AND_FEES"/>
    <n v="0"/>
    <s v="NONE"/>
    <n v="0"/>
    <n v="0"/>
    <s v="IGNORED"/>
    <s v="952115PN"/>
    <s v="SUMMIT"/>
    <m/>
    <d v="1930-04-29T00:00:00"/>
    <s v="FV_OUTRIGHT"/>
    <s v="AM_IRSWPS_T"/>
    <s v="INTRA_ENTITY"/>
    <s v="DERIVATES"/>
    <s v="Depfa Bank Plc"/>
    <n v="4101000279"/>
    <s v="Derivative"/>
    <s v="Swap"/>
    <s v="DEPFAPLC_NY"/>
    <s v="DEPFA"/>
    <m/>
    <m/>
    <s v="Not GIC"/>
  </r>
  <r>
    <x v="3"/>
    <x v="0"/>
    <x v="0"/>
    <x v="3"/>
    <x v="3"/>
    <m/>
    <s v="98179.54"/>
    <s v="86311.6835164835164835164835164835164835"/>
    <n v="98179.540000000008"/>
    <s v="1.1375"/>
    <s v="USD"/>
    <x v="11"/>
    <s v="INTEREST_AND_FEES"/>
    <n v="0"/>
    <s v="NONE"/>
    <n v="0"/>
    <n v="0"/>
    <s v="IGNORED"/>
    <s v="952115PN"/>
    <s v="SUMMIT"/>
    <m/>
    <d v="1930-04-29T00:00:00"/>
    <s v="FV_OUTRIGHT"/>
    <s v="AM_IRSWPS_T"/>
    <s v="INTRA_ENTITY"/>
    <s v="DERIVATES"/>
    <s v="Depfa Bank Plc"/>
    <n v="4101000279"/>
    <s v="Derivative"/>
    <s v="Swap"/>
    <s v="DEPFAPLC_NY"/>
    <s v="DEPFA"/>
    <m/>
    <m/>
    <s v="Not GIC"/>
  </r>
  <r>
    <x v="4"/>
    <x v="0"/>
    <x v="0"/>
    <x v="4"/>
    <x v="4"/>
    <m/>
    <s v="123114.97"/>
    <s v="108232.940659340659340659340659340659341"/>
    <n v="123114.97"/>
    <s v="1.1375"/>
    <s v="USD"/>
    <x v="14"/>
    <s v="INTEREST_AND_FEES"/>
    <n v="0"/>
    <s v="NONE"/>
    <n v="0"/>
    <n v="0"/>
    <s v="IGNORED"/>
    <s v="952115PN"/>
    <s v="SUMMIT"/>
    <m/>
    <d v="1930-04-29T00:00:00"/>
    <s v="FV_OUTRIGHT"/>
    <s v="AM_IRSWPS_T"/>
    <s v="INTRA_ENTITY"/>
    <s v="DERIVATES"/>
    <s v="Depfa Bank Plc"/>
    <n v="4101000279"/>
    <s v="Derivative"/>
    <s v="Swap"/>
    <s v="DEPFAPLC_NY"/>
    <s v="DEPFA"/>
    <m/>
    <m/>
    <s v="Not GIC"/>
  </r>
  <r>
    <x v="4"/>
    <x v="0"/>
    <x v="0"/>
    <x v="4"/>
    <x v="4"/>
    <m/>
    <s v="122218.39"/>
    <s v="107444.738461538461538461538461538461539"/>
    <n v="122218.39"/>
    <s v="1.1375"/>
    <s v="USD"/>
    <x v="91"/>
    <s v="INTEREST_AND_FEES"/>
    <n v="0"/>
    <s v="NONE"/>
    <n v="0"/>
    <n v="0"/>
    <s v="IGNORED"/>
    <s v="952115PN"/>
    <s v="SUMMIT"/>
    <m/>
    <d v="1930-04-29T00:00:00"/>
    <s v="FV_OUTRIGHT"/>
    <s v="AM_IRSWPS_T"/>
    <s v="INTRA_ENTITY"/>
    <s v="DERIVATES"/>
    <s v="Depfa Bank Plc"/>
    <n v="4101000279"/>
    <s v="Derivative"/>
    <s v="Swap"/>
    <s v="DEPFAPLC_NY"/>
    <s v="DEPFA"/>
    <m/>
    <m/>
    <s v="Not GIC"/>
  </r>
  <r>
    <x v="5"/>
    <x v="0"/>
    <x v="0"/>
    <x v="5"/>
    <x v="5"/>
    <m/>
    <s v="122218.39"/>
    <s v="107444.738461538461538461538461538461539"/>
    <n v="122218.39"/>
    <s v="1.1375"/>
    <s v="USD"/>
    <x v="66"/>
    <s v="INTEREST_AND_FEES"/>
    <n v="0"/>
    <s v="NONE"/>
    <n v="0"/>
    <n v="0"/>
    <s v="IGNORED"/>
    <s v="952115PN"/>
    <s v="SUMMIT"/>
    <m/>
    <d v="1930-04-29T00:00:00"/>
    <s v="FV_OUTRIGHT"/>
    <s v="AM_IRSWPS_T"/>
    <s v="INTRA_ENTITY"/>
    <s v="DERIVATES"/>
    <s v="Depfa Bank Plc"/>
    <n v="4101000279"/>
    <s v="Derivative"/>
    <s v="Swap"/>
    <s v="DEPFAPLC_NY"/>
    <s v="DEPFA"/>
    <m/>
    <m/>
    <s v="Not GIC"/>
  </r>
  <r>
    <x v="5"/>
    <x v="0"/>
    <x v="0"/>
    <x v="5"/>
    <x v="5"/>
    <m/>
    <s v="122218.39"/>
    <s v="107444.738461538461538461538461538461539"/>
    <n v="122218.39"/>
    <s v="1.1375"/>
    <s v="USD"/>
    <x v="23"/>
    <s v="INTEREST_AND_FEES"/>
    <n v="0"/>
    <s v="NONE"/>
    <n v="0"/>
    <n v="0"/>
    <s v="IGNORED"/>
    <s v="952115PN"/>
    <s v="SUMMIT"/>
    <m/>
    <d v="1930-04-29T00:00:00"/>
    <s v="FV_OUTRIGHT"/>
    <s v="AM_IRSWPS_T"/>
    <s v="INTRA_ENTITY"/>
    <s v="DERIVATES"/>
    <s v="Depfa Bank Plc"/>
    <n v="4101000279"/>
    <s v="Derivative"/>
    <s v="Swap"/>
    <s v="DEPFAPLC_NY"/>
    <s v="DEPFA"/>
    <m/>
    <m/>
    <s v="Not GIC"/>
  </r>
  <r>
    <x v="1"/>
    <x v="2"/>
    <x v="0"/>
    <x v="34"/>
    <x v="11"/>
    <m/>
    <n v="9375"/>
    <s v="8241.75824175824175824175824175824175824"/>
    <n v="9375"/>
    <s v="1.1375"/>
    <s v="USD"/>
    <x v="48"/>
    <s v="INTEREST_AND_FEES"/>
    <n v="0"/>
    <s v="NONE"/>
    <n v="0"/>
    <n v="0"/>
    <s v="IGNORED"/>
    <s v="D_953128PN"/>
    <s v="SUMMIT"/>
    <s v="953128PN"/>
    <d v="2016-06-28T00:00:00"/>
    <s v="LN_RC_GEN_U"/>
    <s v="AM_GICS_T"/>
    <s v="INTRA_SUB_ENTITY"/>
    <s v="MM_LOAN"/>
    <s v="SAN SABIA CAPITAL CORPORATION"/>
    <n v="3101005792"/>
    <s v="Money Market"/>
    <s v="Money Market/Nostro"/>
    <s v="DEPFAPLC_NY"/>
    <s v="DEPFA"/>
    <m/>
    <m/>
    <s v="Not GIC"/>
  </r>
  <r>
    <x v="9"/>
    <x v="1"/>
    <x v="0"/>
    <x v="22"/>
    <x v="6"/>
    <m/>
    <n v="577500"/>
    <s v="507692.307692307692307692307692307692308"/>
    <n v="577500"/>
    <s v="1.1375"/>
    <s v="USD"/>
    <x v="85"/>
    <s v="INTEREST_AND_FEES"/>
    <n v="0"/>
    <s v="NONE"/>
    <n v="0"/>
    <n v="0"/>
    <s v="INFLOW_SEC_SALES_IN_MFIS"/>
    <n v="148885"/>
    <s v="SUMMIT"/>
    <m/>
    <d v="2022-12-09T00:00:00"/>
    <s v="LN_DES_GEN_U"/>
    <s v="AM_GICS_F"/>
    <s v="NONE"/>
    <s v="BONDS"/>
    <s v="Depfa Bank Plc, New York"/>
    <n v="5101000018"/>
    <s v="Bond"/>
    <s v="Bond"/>
    <s v="DEPFAPLC_NY"/>
    <s v="DEPFA"/>
    <s v="US3133XN4B26"/>
    <m/>
    <s v="Not GIC"/>
  </r>
  <r>
    <x v="3"/>
    <x v="1"/>
    <x v="0"/>
    <x v="9"/>
    <x v="6"/>
    <m/>
    <n v="577500"/>
    <s v="507692.307692307692307692307692307692308"/>
    <n v="577500"/>
    <s v="1.1375"/>
    <s v="USD"/>
    <x v="86"/>
    <s v="INTEREST_AND_FEES"/>
    <n v="0"/>
    <s v="NONE"/>
    <n v="0"/>
    <n v="0"/>
    <s v="INFLOW_SEC_SALES_IN_MFIS"/>
    <n v="148885"/>
    <s v="SUMMIT"/>
    <m/>
    <d v="2022-12-09T00:00:00"/>
    <s v="LN_DES_GEN_U"/>
    <s v="AM_GICS_F"/>
    <s v="NONE"/>
    <s v="BONDS"/>
    <s v="Depfa Bank Plc, New York"/>
    <n v="5101000018"/>
    <s v="Bond"/>
    <s v="Bond"/>
    <s v="DEPFAPLC_NY"/>
    <s v="DEPFA"/>
    <s v="US3133XN4B26"/>
    <m/>
    <s v="Not GIC"/>
  </r>
  <r>
    <x v="4"/>
    <x v="1"/>
    <x v="0"/>
    <x v="10"/>
    <x v="6"/>
    <m/>
    <n v="577500"/>
    <s v="507692.307692307692307692307692307692308"/>
    <n v="577500"/>
    <s v="1.1375"/>
    <s v="USD"/>
    <x v="87"/>
    <s v="INTEREST_AND_FEES"/>
    <n v="0"/>
    <s v="NONE"/>
    <n v="0"/>
    <n v="0"/>
    <s v="INFLOW_SEC_SALES_IN_MFIS"/>
    <n v="148885"/>
    <s v="SUMMIT"/>
    <m/>
    <d v="2022-12-09T00:00:00"/>
    <s v="LN_DES_GEN_U"/>
    <s v="AM_GICS_F"/>
    <s v="NONE"/>
    <s v="BONDS"/>
    <s v="Depfa Bank Plc, New York"/>
    <n v="5101000018"/>
    <s v="Bond"/>
    <s v="Bond"/>
    <s v="DEPFAPLC_NY"/>
    <s v="DEPFA"/>
    <s v="US3133XN4B26"/>
    <m/>
    <s v="Not GIC"/>
  </r>
  <r>
    <x v="5"/>
    <x v="1"/>
    <x v="0"/>
    <x v="11"/>
    <x v="6"/>
    <m/>
    <n v="577500"/>
    <s v="507692.307692307692307692307692307692308"/>
    <n v="577500"/>
    <s v="1.1375"/>
    <s v="USD"/>
    <x v="62"/>
    <s v="INTEREST_AND_FEES"/>
    <n v="0"/>
    <s v="NONE"/>
    <n v="0"/>
    <n v="0"/>
    <s v="INFLOW_SEC_SALES_IN_MFIS"/>
    <n v="148885"/>
    <s v="SUMMIT"/>
    <m/>
    <d v="2022-12-09T00:00:00"/>
    <s v="LN_DES_GEN_U"/>
    <s v="AM_GICS_F"/>
    <s v="NONE"/>
    <s v="BONDS"/>
    <s v="Depfa Bank Plc, New York"/>
    <n v="5101000018"/>
    <s v="Bond"/>
    <s v="Bond"/>
    <s v="DEPFAPLC_NY"/>
    <s v="DEPFA"/>
    <s v="US3133XN4B26"/>
    <m/>
    <s v="Not GIC"/>
  </r>
  <r>
    <x v="1"/>
    <x v="1"/>
    <x v="0"/>
    <x v="13"/>
    <x v="6"/>
    <m/>
    <s v="32562.5"/>
    <s v="28626.3736263736263736263736263736263736"/>
    <n v="32562.499999999996"/>
    <s v="1.1375"/>
    <s v="USD"/>
    <x v="93"/>
    <s v="INTEREST_AND_FEES"/>
    <n v="1"/>
    <s v="NONE"/>
    <n v="0"/>
    <n v="0"/>
    <s v="INFLOW_SEC_SALES_IN_MFIS"/>
    <n v="148881"/>
    <s v="SUMMIT"/>
    <m/>
    <d v="2022-12-19T00:00:00"/>
    <s v="LN_DES_GEN_U"/>
    <s v="AM_GICS_F"/>
    <s v="NONE"/>
    <s v="BONDS"/>
    <s v="Depfa Bank Plc, New York"/>
    <n v="5101000018"/>
    <s v="Bond"/>
    <s v="Bond"/>
    <s v="DEPFAPLC_NY"/>
    <s v="DEPFA"/>
    <s v="US31331YHY95"/>
    <m/>
    <s v="Not GIC"/>
  </r>
  <r>
    <x v="3"/>
    <x v="1"/>
    <x v="0"/>
    <x v="9"/>
    <x v="6"/>
    <m/>
    <s v="32562.5"/>
    <s v="28626.3736263736263736263736263736263736"/>
    <n v="32562.499999999996"/>
    <s v="1.1375"/>
    <s v="USD"/>
    <x v="94"/>
    <s v="INTEREST_AND_FEES"/>
    <n v="1"/>
    <s v="NONE"/>
    <n v="0"/>
    <n v="0"/>
    <s v="INFLOW_SEC_SALES_IN_MFIS"/>
    <n v="148881"/>
    <s v="SUMMIT"/>
    <m/>
    <d v="2022-12-19T00:00:00"/>
    <s v="LN_DES_GEN_U"/>
    <s v="AM_GICS_F"/>
    <s v="NONE"/>
    <s v="BONDS"/>
    <s v="Depfa Bank Plc, New York"/>
    <n v="5101000018"/>
    <s v="Bond"/>
    <s v="Bond"/>
    <s v="DEPFAPLC_NY"/>
    <s v="DEPFA"/>
    <s v="US31331YHY95"/>
    <m/>
    <s v="Not GIC"/>
  </r>
  <r>
    <x v="4"/>
    <x v="1"/>
    <x v="0"/>
    <x v="10"/>
    <x v="6"/>
    <m/>
    <s v="32562.5"/>
    <s v="28626.3736263736263736263736263736263736"/>
    <n v="32562.499999999996"/>
    <s v="1.1375"/>
    <s v="USD"/>
    <x v="95"/>
    <s v="INTEREST_AND_FEES"/>
    <n v="1"/>
    <s v="NONE"/>
    <n v="0"/>
    <n v="0"/>
    <s v="INFLOW_SEC_SALES_IN_MFIS"/>
    <n v="148881"/>
    <s v="SUMMIT"/>
    <m/>
    <d v="2022-12-19T00:00:00"/>
    <s v="LN_DES_GEN_U"/>
    <s v="AM_GICS_F"/>
    <s v="NONE"/>
    <s v="BONDS"/>
    <s v="Depfa Bank Plc, New York"/>
    <n v="5101000018"/>
    <s v="Bond"/>
    <s v="Bond"/>
    <s v="DEPFAPLC_NY"/>
    <s v="DEPFA"/>
    <s v="US31331YHY95"/>
    <m/>
    <s v="Not GIC"/>
  </r>
  <r>
    <x v="5"/>
    <x v="1"/>
    <x v="0"/>
    <x v="11"/>
    <x v="6"/>
    <m/>
    <s v="32562.5"/>
    <s v="28626.3736263736263736263736263736263736"/>
    <n v="32562.499999999996"/>
    <s v="1.1375"/>
    <s v="USD"/>
    <x v="96"/>
    <s v="INTEREST_AND_FEES"/>
    <n v="1"/>
    <s v="NONE"/>
    <n v="0"/>
    <n v="0"/>
    <s v="INFLOW_SEC_SALES_IN_MFIS"/>
    <n v="148881"/>
    <s v="SUMMIT"/>
    <m/>
    <d v="2022-12-19T00:00:00"/>
    <s v="LN_DES_GEN_U"/>
    <s v="AM_GICS_F"/>
    <s v="NONE"/>
    <s v="BONDS"/>
    <s v="Depfa Bank Plc, New York"/>
    <n v="5101000018"/>
    <s v="Bond"/>
    <s v="Bond"/>
    <s v="DEPFAPLC_NY"/>
    <s v="DEPFA"/>
    <s v="US31331YHY95"/>
    <m/>
    <s v="Not GIC"/>
  </r>
  <r>
    <x v="0"/>
    <x v="0"/>
    <x v="0"/>
    <x v="0"/>
    <x v="0"/>
    <s v="3W_San Sabia Capital Corporation"/>
    <s v="2.54"/>
    <s v="2.23296703296703296703296703296703296703"/>
    <n v="2.54"/>
    <s v="1.1375"/>
    <s v="USD"/>
    <x v="0"/>
    <s v="INTEREST_AND_FEES"/>
    <n v="0"/>
    <s v="NONE"/>
    <n v="0"/>
    <n v="0"/>
    <s v="IGNORED"/>
    <s v="957273SA"/>
    <s v="SUMMIT"/>
    <m/>
    <d v="1939-10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1"/>
    <x v="0"/>
    <x v="0"/>
    <x v="1"/>
    <x v="1"/>
    <s v="3M_San Sabia Capital Corporation"/>
    <s v="2.34"/>
    <s v="2.05714285714285714285714285714285714286"/>
    <n v="2.34"/>
    <s v="1.1375"/>
    <s v="USD"/>
    <x v="1"/>
    <s v="INTEREST_AND_FEES"/>
    <n v="0"/>
    <s v="NONE"/>
    <n v="0"/>
    <n v="0"/>
    <s v="IGNORED"/>
    <s v="957273SA"/>
    <s v="SUMMIT"/>
    <m/>
    <d v="1939-10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1"/>
    <x v="0"/>
    <x v="0"/>
    <x v="1"/>
    <x v="1"/>
    <s v="3M_San Sabia Capital Corporation"/>
    <s v="2.24"/>
    <s v="1.96923076923076923076923076923076923077"/>
    <n v="2.2400000000000002"/>
    <s v="1.1375"/>
    <s v="USD"/>
    <x v="2"/>
    <s v="INTEREST_AND_FEES"/>
    <n v="0"/>
    <s v="NONE"/>
    <n v="0"/>
    <n v="0"/>
    <s v="IGNORED"/>
    <s v="957273SA"/>
    <s v="SUMMIT"/>
    <m/>
    <d v="1939-10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2"/>
    <x v="0"/>
    <x v="0"/>
    <x v="2"/>
    <x v="2"/>
    <s v="6M_San Sabia Capital Corporation"/>
    <s v="2.36"/>
    <s v="2.07472527472527472527472527472527472527"/>
    <n v="2.3600000000000003"/>
    <s v="1.1375"/>
    <s v="USD"/>
    <x v="3"/>
    <s v="INTEREST_AND_FEES"/>
    <n v="0"/>
    <s v="NONE"/>
    <n v="0"/>
    <n v="0"/>
    <s v="IGNORED"/>
    <s v="957273SA"/>
    <s v="SUMMIT"/>
    <m/>
    <d v="1939-10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2"/>
    <x v="0"/>
    <x v="0"/>
    <x v="2"/>
    <x v="2"/>
    <s v="6M_San Sabia Capital Corporation"/>
    <s v="2.02"/>
    <s v="1.77582417582417582417582417582417582418"/>
    <n v="2.02"/>
    <s v="1.1375"/>
    <s v="USD"/>
    <x v="4"/>
    <s v="INTEREST_AND_FEES"/>
    <n v="0"/>
    <s v="NONE"/>
    <n v="0"/>
    <n v="0"/>
    <s v="IGNORED"/>
    <s v="957273SA"/>
    <s v="SUMMIT"/>
    <m/>
    <d v="1939-10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2"/>
    <x v="0"/>
    <x v="0"/>
    <x v="2"/>
    <x v="2"/>
    <s v="6M_San Sabia Capital Corporation"/>
    <s v="206.67"/>
    <s v="181.687912087912087912087912087912087912"/>
    <n v="206.67"/>
    <s v="1.1375"/>
    <s v="USD"/>
    <x v="5"/>
    <s v="INTEREST_AND_FEES"/>
    <n v="0"/>
    <s v="NONE"/>
    <n v="0"/>
    <n v="0"/>
    <s v="IGNORED"/>
    <s v="957273SA"/>
    <s v="SUMMIT"/>
    <m/>
    <d v="1939-10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s v="181.19"/>
    <s v="159.287912087912087912087912087912087912"/>
    <n v="181.18999999999997"/>
    <s v="1.1375"/>
    <s v="USD"/>
    <x v="6"/>
    <s v="INTEREST_AND_FEES"/>
    <n v="0"/>
    <s v="NONE"/>
    <n v="0"/>
    <n v="0"/>
    <s v="IGNORED"/>
    <s v="957273SA"/>
    <s v="SUMMIT"/>
    <m/>
    <d v="1939-10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s v="164.73"/>
    <s v="144.817582417582417582417582417582417582"/>
    <n v="164.73000000000002"/>
    <s v="1.1375"/>
    <s v="USD"/>
    <x v="7"/>
    <s v="INTEREST_AND_FEES"/>
    <n v="0"/>
    <s v="NONE"/>
    <n v="0"/>
    <n v="0"/>
    <s v="IGNORED"/>
    <s v="957273SA"/>
    <s v="SUMMIT"/>
    <m/>
    <d v="1939-10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s v="175.71"/>
    <s v="154.47032967032967032967032967032967033"/>
    <n v="175.71"/>
    <s v="1.1375"/>
    <s v="USD"/>
    <x v="8"/>
    <s v="INTEREST_AND_FEES"/>
    <n v="0"/>
    <s v="NONE"/>
    <n v="0"/>
    <n v="0"/>
    <s v="IGNORED"/>
    <s v="957273SA"/>
    <s v="SUMMIT"/>
    <m/>
    <d v="1939-10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s v="133.18"/>
    <s v="117.081318681318681318681318681318681319"/>
    <n v="133.17999999999998"/>
    <s v="1.1375"/>
    <s v="USD"/>
    <x v="9"/>
    <s v="INTEREST_AND_FEES"/>
    <n v="0"/>
    <s v="NONE"/>
    <n v="0"/>
    <n v="0"/>
    <s v="IGNORED"/>
    <s v="957273SA"/>
    <s v="SUMMIT"/>
    <m/>
    <d v="1939-10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s v="127.7"/>
    <s v="112.263736263736263736263736263736263736"/>
    <n v="127.69999999999999"/>
    <s v="1.1375"/>
    <s v="USD"/>
    <x v="10"/>
    <s v="INTEREST_AND_FEES"/>
    <n v="0"/>
    <s v="NONE"/>
    <n v="0"/>
    <n v="0"/>
    <s v="IGNORED"/>
    <s v="957273SA"/>
    <s v="SUMMIT"/>
    <m/>
    <d v="1939-10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s v="115.35"/>
    <s v="101.406593406593406593406593406593406593"/>
    <n v="115.35"/>
    <s v="1.1375"/>
    <s v="USD"/>
    <x v="11"/>
    <s v="INTEREST_AND_FEES"/>
    <n v="0"/>
    <s v="NONE"/>
    <n v="0"/>
    <n v="0"/>
    <s v="IGNORED"/>
    <s v="957273SA"/>
    <s v="SUMMIT"/>
    <m/>
    <d v="1939-10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110.32"/>
    <s v="96.9846153846153846153846153846153846154"/>
    <n v="110.32"/>
    <s v="1.1375"/>
    <s v="USD"/>
    <x v="12"/>
    <s v="INTEREST_AND_FEES"/>
    <n v="0"/>
    <s v="NONE"/>
    <n v="0"/>
    <n v="0"/>
    <s v="IGNORED"/>
    <s v="957273SA"/>
    <s v="SUMMIT"/>
    <m/>
    <d v="1939-10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83.14"/>
    <s v="73.0901098901098901098901098901098901099"/>
    <n v="83.139999999999986"/>
    <s v="1.1375"/>
    <s v="USD"/>
    <x v="13"/>
    <s v="INTEREST_AND_FEES"/>
    <n v="0"/>
    <s v="NONE"/>
    <n v="0"/>
    <n v="0"/>
    <s v="IGNORED"/>
    <s v="957273SA"/>
    <s v="SUMMIT"/>
    <m/>
    <d v="1939-10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85.91"/>
    <s v="75.5252747252747252747252747252747252747"/>
    <n v="85.91"/>
    <s v="1.1375"/>
    <s v="USD"/>
    <x v="14"/>
    <s v="INTEREST_AND_FEES"/>
    <n v="0"/>
    <s v="NONE"/>
    <n v="0"/>
    <n v="0"/>
    <s v="IGNORED"/>
    <s v="957273SA"/>
    <s v="SUMMIT"/>
    <m/>
    <d v="1939-10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85.91"/>
    <s v="75.5252747252747252747252747252747252747"/>
    <n v="85.91"/>
    <s v="1.1375"/>
    <s v="USD"/>
    <x v="15"/>
    <s v="INTEREST_AND_FEES"/>
    <n v="0"/>
    <s v="NONE"/>
    <n v="0"/>
    <n v="0"/>
    <s v="IGNORED"/>
    <s v="957273SA"/>
    <s v="SUMMIT"/>
    <m/>
    <d v="1939-10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80.37"/>
    <s v="70.6549450549450549450549450549450549451"/>
    <n v="80.37"/>
    <s v="1.1375"/>
    <s v="USD"/>
    <x v="16"/>
    <s v="INTEREST_AND_FEES"/>
    <n v="0"/>
    <s v="NONE"/>
    <n v="0"/>
    <n v="0"/>
    <s v="IGNORED"/>
    <s v="957273SA"/>
    <s v="SUMMIT"/>
    <m/>
    <d v="1939-10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88.68"/>
    <s v="77.9604395604395604395604395604395604396"/>
    <n v="88.679999999999993"/>
    <s v="1.1375"/>
    <s v="USD"/>
    <x v="17"/>
    <s v="INTEREST_AND_FEES"/>
    <n v="0"/>
    <s v="NONE"/>
    <n v="0"/>
    <n v="0"/>
    <s v="IGNORED"/>
    <s v="957273SA"/>
    <s v="SUMMIT"/>
    <m/>
    <d v="1939-10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83.14"/>
    <s v="73.0901098901098901098901098901098901099"/>
    <n v="83.139999999999986"/>
    <s v="1.1375"/>
    <s v="USD"/>
    <x v="18"/>
    <s v="INTEREST_AND_FEES"/>
    <n v="0"/>
    <s v="NONE"/>
    <n v="0"/>
    <n v="0"/>
    <s v="IGNORED"/>
    <s v="957273SA"/>
    <s v="SUMMIT"/>
    <m/>
    <d v="1939-10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80.37"/>
    <s v="70.6549450549450549450549450549450549451"/>
    <n v="80.37"/>
    <s v="1.1375"/>
    <s v="USD"/>
    <x v="19"/>
    <s v="INTEREST_AND_FEES"/>
    <n v="0"/>
    <s v="NONE"/>
    <n v="0"/>
    <n v="0"/>
    <s v="IGNORED"/>
    <s v="957273SA"/>
    <s v="SUMMIT"/>
    <m/>
    <d v="1939-10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91.44"/>
    <s v="80.3868131868131868131868131868131868132"/>
    <n v="91.44"/>
    <s v="1.1375"/>
    <s v="USD"/>
    <x v="20"/>
    <s v="INTEREST_AND_FEES"/>
    <n v="0"/>
    <s v="NONE"/>
    <n v="0"/>
    <n v="0"/>
    <s v="IGNORED"/>
    <s v="957273SA"/>
    <s v="SUMMIT"/>
    <m/>
    <d v="1939-10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77.61"/>
    <s v="68.2285714285714285714285714285714285714"/>
    <n v="77.61"/>
    <s v="1.1375"/>
    <s v="USD"/>
    <x v="21"/>
    <s v="INTEREST_AND_FEES"/>
    <n v="0"/>
    <s v="NONE"/>
    <n v="0"/>
    <n v="0"/>
    <s v="IGNORED"/>
    <s v="957273SA"/>
    <s v="SUMMIT"/>
    <m/>
    <d v="1939-10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83.14"/>
    <s v="73.0901098901098901098901098901098901099"/>
    <n v="83.139999999999986"/>
    <s v="1.1375"/>
    <s v="USD"/>
    <x v="22"/>
    <s v="INTEREST_AND_FEES"/>
    <n v="0"/>
    <s v="NONE"/>
    <n v="0"/>
    <n v="0"/>
    <s v="IGNORED"/>
    <s v="957273SA"/>
    <s v="SUMMIT"/>
    <m/>
    <d v="1939-10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n v="0"/>
    <n v="0"/>
    <n v="0"/>
    <s v="1.1375"/>
    <s v="USD"/>
    <x v="23"/>
    <s v="INTEREST_AND_FEES"/>
    <n v="0"/>
    <s v="NONE"/>
    <n v="0"/>
    <n v="0"/>
    <s v="IGNORED"/>
    <s v="957273SA"/>
    <s v="SUMMIT"/>
    <m/>
    <d v="1939-10-03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0"/>
    <x v="0"/>
    <x v="0"/>
    <x v="0"/>
    <x v="0"/>
    <s v="3W_San Sabia Capital Corporation"/>
    <s v="29.77"/>
    <s v="26.1714285714285714285714285714285714286"/>
    <n v="29.77"/>
    <s v="1.1375"/>
    <s v="USD"/>
    <x v="0"/>
    <s v="INTEREST_AND_FEES"/>
    <n v="0"/>
    <s v="NONE"/>
    <n v="0"/>
    <n v="0"/>
    <s v="IGNORED"/>
    <s v="957271SA"/>
    <s v="SUMMIT"/>
    <m/>
    <d v="1939-07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1"/>
    <x v="0"/>
    <x v="0"/>
    <x v="1"/>
    <x v="1"/>
    <s v="3M_San Sabia Capital Corporation"/>
    <s v="24.93"/>
    <s v="21.9164835164835164835164835164835164835"/>
    <n v="24.93"/>
    <s v="1.1375"/>
    <s v="USD"/>
    <x v="1"/>
    <s v="INTEREST_AND_FEES"/>
    <n v="0"/>
    <s v="NONE"/>
    <n v="0"/>
    <n v="0"/>
    <s v="IGNORED"/>
    <s v="957271SA"/>
    <s v="SUMMIT"/>
    <m/>
    <d v="1939-07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1"/>
    <x v="0"/>
    <x v="0"/>
    <x v="1"/>
    <x v="1"/>
    <s v="3M_San Sabia Capital Corporation"/>
    <s v="12.07"/>
    <s v="10.610989010989010989010989010989010989"/>
    <n v="12.069999999999999"/>
    <s v="1.1375"/>
    <s v="USD"/>
    <x v="2"/>
    <s v="INTEREST_AND_FEES"/>
    <n v="0"/>
    <s v="NONE"/>
    <n v="0"/>
    <n v="0"/>
    <s v="IGNORED"/>
    <s v="957271SA"/>
    <s v="SUMMIT"/>
    <m/>
    <d v="1939-07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2"/>
    <x v="0"/>
    <x v="0"/>
    <x v="2"/>
    <x v="2"/>
    <s v="6M_San Sabia Capital Corporation"/>
    <s v="2.36"/>
    <s v="2.07472527472527472527472527472527472527"/>
    <n v="2.3600000000000003"/>
    <s v="1.1375"/>
    <s v="USD"/>
    <x v="3"/>
    <s v="INTEREST_AND_FEES"/>
    <n v="0"/>
    <s v="NONE"/>
    <n v="0"/>
    <n v="0"/>
    <s v="IGNORED"/>
    <s v="957271SA"/>
    <s v="SUMMIT"/>
    <m/>
    <d v="1939-07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2"/>
    <x v="0"/>
    <x v="0"/>
    <x v="2"/>
    <x v="2"/>
    <s v="6M_San Sabia Capital Corporation"/>
    <s v="-4.79"/>
    <s v="-4.210989010989010989010989010989010989"/>
    <n v="-4.79"/>
    <s v="1.1375"/>
    <s v="USD"/>
    <x v="4"/>
    <s v="INTEREST_AND_FEES"/>
    <n v="0"/>
    <s v="NONE"/>
    <n v="0"/>
    <n v="0"/>
    <s v="IGNORED"/>
    <s v="957271SA"/>
    <s v="SUMMIT"/>
    <m/>
    <d v="1939-07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8"/>
    <x v="1"/>
    <x v="0"/>
    <x v="35"/>
    <x v="6"/>
    <s v="2D_San Sabia Capital Corporation"/>
    <n v="21000"/>
    <s v="18461.5384615384615384615384615384615385"/>
    <n v="21000"/>
    <s v="1.1375"/>
    <s v="USD"/>
    <x v="58"/>
    <s v="INTEREST_AND_FEES"/>
    <n v="0"/>
    <s v="NONE"/>
    <n v="0"/>
    <n v="0"/>
    <s v="IGNORED"/>
    <s v="957100SA"/>
    <s v="SUMMIT"/>
    <m/>
    <d v="2016-05-13T00:00:00"/>
    <s v="LN_RC_GEN_U"/>
    <s v="AM_GICS_T"/>
    <s v="INTRA_SUB_ENTITY"/>
    <s v="REVERSE_REPO"/>
    <s v="Depfa Bank Plc, New York"/>
    <n v="5101000018"/>
    <s v="Money Market"/>
    <s v="Repo"/>
    <s v="SANSABIA"/>
    <s v="DEPFA"/>
    <s v="US31359MEU36"/>
    <m/>
    <s v="Not GIC"/>
  </r>
  <r>
    <x v="8"/>
    <x v="1"/>
    <x v="6"/>
    <x v="36"/>
    <x v="6"/>
    <s v="2D_San Sabia Capital Corporation"/>
    <n v="9000000"/>
    <s v="7912087.91208791208791208791208791208791"/>
    <n v="9000000"/>
    <s v="1.1375"/>
    <s v="USD"/>
    <x v="58"/>
    <s v="PRINCIPAL_FLOW"/>
    <n v="0"/>
    <s v="NONE"/>
    <n v="0"/>
    <n v="0"/>
    <s v="IGNORED"/>
    <s v="957100SA"/>
    <s v="SUMMIT"/>
    <m/>
    <d v="2016-05-13T00:00:00"/>
    <s v="LN_RC_GEN_U"/>
    <s v="AM_GICS_T"/>
    <s v="INTRA_SUB_ENTITY"/>
    <s v="REVERSE_REPO"/>
    <s v="Depfa Bank Plc, New York"/>
    <n v="5101000018"/>
    <s v="Money Market"/>
    <s v="Repo"/>
    <s v="SANSABIA"/>
    <s v="DEPFA"/>
    <s v="US31359MEU36"/>
    <m/>
    <s v="Not GIC"/>
  </r>
  <r>
    <x v="1"/>
    <x v="1"/>
    <x v="0"/>
    <x v="13"/>
    <x v="6"/>
    <m/>
    <n v="715000"/>
    <s v="628571.428571428571428571428571428571429"/>
    <n v="714999.99999999988"/>
    <s v="1.1375"/>
    <s v="USD"/>
    <x v="69"/>
    <s v="INTEREST_AND_FEES"/>
    <n v="0"/>
    <s v="NONE"/>
    <n v="0"/>
    <n v="0"/>
    <s v="INFLOW_SEC_SALES_IN_MFIS"/>
    <n v="148897"/>
    <s v="SUMMIT"/>
    <m/>
    <d v="2016-07-18T00:00:00"/>
    <s v="AFS_GEN_U"/>
    <s v="AM_GICS_F"/>
    <s v="NONE"/>
    <s v="BONDS"/>
    <s v="Depfa Bank Plc, New York"/>
    <n v="5101000018"/>
    <s v="Bond"/>
    <s v="Bond"/>
    <s v="DEPFAPLC_NY"/>
    <s v="DEPFA"/>
    <s v="US3137EAAG46"/>
    <m/>
    <s v="Not GIC"/>
  </r>
  <r>
    <x v="1"/>
    <x v="1"/>
    <x v="2"/>
    <x v="18"/>
    <x v="6"/>
    <m/>
    <n v="26000000"/>
    <s v="22857142.8571428571428571428571428571429"/>
    <n v="26000000"/>
    <s v="1.1375"/>
    <s v="USD"/>
    <x v="69"/>
    <s v="PRINCIPAL_FLOW"/>
    <n v="0"/>
    <s v="NONE"/>
    <n v="0"/>
    <n v="0"/>
    <s v="INFLOW_SEC_SALES_IN_MFIS"/>
    <n v="148897"/>
    <s v="SUMMIT"/>
    <m/>
    <d v="2016-07-18T00:00:00"/>
    <s v="AFS_GEN_U"/>
    <s v="AM_GICS_F"/>
    <s v="NONE"/>
    <s v="BONDS"/>
    <s v="Depfa Bank Plc, New York"/>
    <n v="5101000018"/>
    <s v="Bond"/>
    <s v="Bond"/>
    <s v="DEPFAPLC_NY"/>
    <s v="DEPFA"/>
    <s v="US3137EAAG46"/>
    <m/>
    <s v="Not GIC"/>
  </r>
  <r>
    <x v="7"/>
    <x v="0"/>
    <x v="3"/>
    <x v="17"/>
    <x v="8"/>
    <m/>
    <n v="100000000"/>
    <s v="87912087.9120879120879120879120879120879"/>
    <n v="100000000"/>
    <s v="1.1375"/>
    <s v="USD"/>
    <x v="47"/>
    <s v="PRINCIPAL_FLOW"/>
    <n v="0"/>
    <s v="NONE"/>
    <n v="0"/>
    <n v="0"/>
    <s v="IGNORED"/>
    <s v="957526PN"/>
    <s v="SUMMIT"/>
    <m/>
    <d v="2016-08-12T00:00:00"/>
    <s v="LIAB_GEN_U"/>
    <s v="TL_LIQSIR_L"/>
    <s v="INTRA_ENTITY"/>
    <s v="MM_DEPOSIT"/>
    <s v="Depfa Bank Plc"/>
    <n v="4101000279"/>
    <s v="Money Market"/>
    <s v="Short Term Paper"/>
    <s v="DEPFAPLC_NY"/>
    <s v="DEPFA"/>
    <m/>
    <m/>
    <s v="Not GIC"/>
  </r>
  <r>
    <x v="2"/>
    <x v="0"/>
    <x v="0"/>
    <x v="2"/>
    <x v="2"/>
    <m/>
    <n v="-220340"/>
    <s v="-193705.49450549450549450549450549450549"/>
    <n v="-220340"/>
    <s v="1.1375"/>
    <s v="USD"/>
    <x v="97"/>
    <s v="INTEREST_AND_FEES"/>
    <n v="0"/>
    <s v="NONE"/>
    <n v="0"/>
    <n v="0"/>
    <s v="IGNORED"/>
    <s v="957526PN"/>
    <s v="SUMMIT"/>
    <m/>
    <d v="2016-08-12T00:00:00"/>
    <s v="LIAB_GEN_U"/>
    <s v="TL_LIQSIR_L"/>
    <s v="INTRA_ENTITY"/>
    <s v="MM_DEPOSIT"/>
    <s v="Depfa Bank Plc"/>
    <n v="4101000279"/>
    <s v="Money Market"/>
    <s v="Short Term Paper"/>
    <s v="DEPFAPLC_NY"/>
    <s v="DEPFA"/>
    <m/>
    <m/>
    <s v="Not GIC"/>
  </r>
  <r>
    <x v="2"/>
    <x v="0"/>
    <x v="3"/>
    <x v="37"/>
    <x v="2"/>
    <m/>
    <n v="-100000000"/>
    <s v="-87912087.912087912087912087912087912088"/>
    <n v="-100000000"/>
    <s v="1.1375"/>
    <s v="USD"/>
    <x v="97"/>
    <s v="PRINCIPAL_FLOW"/>
    <n v="0"/>
    <s v="NONE"/>
    <n v="0"/>
    <n v="0"/>
    <s v="IGNORED"/>
    <s v="957526PN"/>
    <s v="SUMMIT"/>
    <m/>
    <d v="2016-08-12T00:00:00"/>
    <s v="LIAB_GEN_U"/>
    <s v="TL_LIQSIR_L"/>
    <s v="INTRA_ENTITY"/>
    <s v="MM_DEPOSIT"/>
    <s v="Depfa Bank Plc"/>
    <n v="4101000279"/>
    <s v="Money Market"/>
    <s v="Short Term Paper"/>
    <s v="DEPFAPLC_NY"/>
    <s v="DEPFA"/>
    <m/>
    <m/>
    <s v="Not GIC"/>
  </r>
  <r>
    <x v="2"/>
    <x v="0"/>
    <x v="0"/>
    <x v="2"/>
    <x v="2"/>
    <m/>
    <n v="-291225"/>
    <s v="-256021.97802197802197802197802197802198"/>
    <n v="-291225"/>
    <s v="1.1375"/>
    <s v="USD"/>
    <x v="70"/>
    <s v="INTEREST_AND_FEES"/>
    <n v="0"/>
    <s v="NONE"/>
    <n v="0"/>
    <n v="0"/>
    <s v="INFLOW_CENTRAL_GOV_INVESTMENTS"/>
    <n v="194053"/>
    <s v="SUMMIT"/>
    <m/>
    <d v="2028-08-15T00:00:00"/>
    <s v="FV_SHORT_TM"/>
    <s v="AM_GICS_T"/>
    <s v="NONE"/>
    <s v="BONDS"/>
    <s v="Depfa Bank Plc"/>
    <n v="4101000279"/>
    <s v="Bond"/>
    <s v="Bond"/>
    <s v="DEPFAPLC_NY"/>
    <s v="DEPFA"/>
    <s v="US912810FE39"/>
    <m/>
    <s v="Not GIC"/>
  </r>
  <r>
    <x v="3"/>
    <x v="0"/>
    <x v="0"/>
    <x v="3"/>
    <x v="3"/>
    <m/>
    <n v="-291225"/>
    <s v="-256021.97802197802197802197802197802198"/>
    <n v="-291225"/>
    <s v="1.1375"/>
    <s v="USD"/>
    <x v="71"/>
    <s v="INTEREST_AND_FEES"/>
    <n v="0"/>
    <s v="NONE"/>
    <n v="0"/>
    <n v="0"/>
    <s v="INFLOW_CENTRAL_GOV_INVESTMENTS"/>
    <n v="194053"/>
    <s v="SUMMIT"/>
    <m/>
    <d v="2028-08-15T00:00:00"/>
    <s v="FV_SHORT_TM"/>
    <s v="AM_GICS_T"/>
    <s v="NONE"/>
    <s v="BONDS"/>
    <s v="Depfa Bank Plc"/>
    <n v="4101000279"/>
    <s v="Bond"/>
    <s v="Bond"/>
    <s v="DEPFAPLC_NY"/>
    <s v="DEPFA"/>
    <s v="US912810FE39"/>
    <m/>
    <s v="Not GIC"/>
  </r>
  <r>
    <x v="4"/>
    <x v="0"/>
    <x v="0"/>
    <x v="4"/>
    <x v="4"/>
    <m/>
    <n v="-291225"/>
    <s v="-256021.97802197802197802197802197802198"/>
    <n v="-291225"/>
    <s v="1.1375"/>
    <s v="USD"/>
    <x v="72"/>
    <s v="INTEREST_AND_FEES"/>
    <n v="0"/>
    <s v="NONE"/>
    <n v="0"/>
    <n v="0"/>
    <s v="INFLOW_CENTRAL_GOV_INVESTMENTS"/>
    <n v="194053"/>
    <s v="SUMMIT"/>
    <m/>
    <d v="2028-08-15T00:00:00"/>
    <s v="FV_SHORT_TM"/>
    <s v="AM_GICS_T"/>
    <s v="NONE"/>
    <s v="BONDS"/>
    <s v="Depfa Bank Plc"/>
    <n v="4101000279"/>
    <s v="Bond"/>
    <s v="Bond"/>
    <s v="DEPFAPLC_NY"/>
    <s v="DEPFA"/>
    <s v="US912810FE39"/>
    <m/>
    <s v="Not GIC"/>
  </r>
  <r>
    <x v="5"/>
    <x v="0"/>
    <x v="0"/>
    <x v="5"/>
    <x v="5"/>
    <m/>
    <n v="-291225"/>
    <s v="-256021.97802197802197802197802197802198"/>
    <n v="-291225"/>
    <s v="1.1375"/>
    <s v="USD"/>
    <x v="73"/>
    <s v="INTEREST_AND_FEES"/>
    <n v="0"/>
    <s v="NONE"/>
    <n v="0"/>
    <n v="0"/>
    <s v="INFLOW_CENTRAL_GOV_INVESTMENTS"/>
    <n v="194053"/>
    <s v="SUMMIT"/>
    <m/>
    <d v="2028-08-15T00:00:00"/>
    <s v="FV_SHORT_TM"/>
    <s v="AM_GICS_T"/>
    <s v="NONE"/>
    <s v="BONDS"/>
    <s v="Depfa Bank Plc"/>
    <n v="4101000279"/>
    <s v="Bond"/>
    <s v="Bond"/>
    <s v="DEPFAPLC_NY"/>
    <s v="DEPFA"/>
    <s v="US912810FE39"/>
    <m/>
    <s v="Not GIC"/>
  </r>
  <r>
    <x v="2"/>
    <x v="0"/>
    <x v="0"/>
    <x v="2"/>
    <x v="2"/>
    <m/>
    <n v="-401500"/>
    <s v="-352967.03296703296703296703296703296703"/>
    <n v="-401500"/>
    <s v="1.1375"/>
    <s v="USD"/>
    <x v="70"/>
    <s v="INTEREST_AND_FEES"/>
    <n v="0"/>
    <s v="NONE"/>
    <n v="0"/>
    <n v="0"/>
    <s v="INFLOW_CENTRAL_GOV_INVESTMENTS"/>
    <n v="194070"/>
    <s v="SUMMIT"/>
    <m/>
    <d v="2028-08-15T00:00:00"/>
    <s v="FV_SHORT_TM"/>
    <s v="AM_GICS_T"/>
    <s v="NONE"/>
    <s v="BONDS"/>
    <s v="Depfa Bank Plc"/>
    <n v="4101000279"/>
    <s v="Bond"/>
    <s v="Bond"/>
    <s v="DEPFAPLC_NY"/>
    <s v="DEPFA"/>
    <s v="US912810FE39"/>
    <m/>
    <s v="Not GIC"/>
  </r>
  <r>
    <x v="3"/>
    <x v="0"/>
    <x v="0"/>
    <x v="3"/>
    <x v="3"/>
    <m/>
    <n v="-401500"/>
    <s v="-352967.03296703296703296703296703296703"/>
    <n v="-401500"/>
    <s v="1.1375"/>
    <s v="USD"/>
    <x v="71"/>
    <s v="INTEREST_AND_FEES"/>
    <n v="0"/>
    <s v="NONE"/>
    <n v="0"/>
    <n v="0"/>
    <s v="INFLOW_CENTRAL_GOV_INVESTMENTS"/>
    <n v="194070"/>
    <s v="SUMMIT"/>
    <m/>
    <d v="2028-08-15T00:00:00"/>
    <s v="FV_SHORT_TM"/>
    <s v="AM_GICS_T"/>
    <s v="NONE"/>
    <s v="BONDS"/>
    <s v="Depfa Bank Plc"/>
    <n v="4101000279"/>
    <s v="Bond"/>
    <s v="Bond"/>
    <s v="DEPFAPLC_NY"/>
    <s v="DEPFA"/>
    <s v="US912810FE39"/>
    <m/>
    <s v="Not GIC"/>
  </r>
  <r>
    <x v="4"/>
    <x v="0"/>
    <x v="0"/>
    <x v="4"/>
    <x v="4"/>
    <m/>
    <n v="-401500"/>
    <s v="-352967.03296703296703296703296703296703"/>
    <n v="-401500"/>
    <s v="1.1375"/>
    <s v="USD"/>
    <x v="72"/>
    <s v="INTEREST_AND_FEES"/>
    <n v="0"/>
    <s v="NONE"/>
    <n v="0"/>
    <n v="0"/>
    <s v="INFLOW_CENTRAL_GOV_INVESTMENTS"/>
    <n v="194070"/>
    <s v="SUMMIT"/>
    <m/>
    <d v="2028-08-15T00:00:00"/>
    <s v="FV_SHORT_TM"/>
    <s v="AM_GICS_T"/>
    <s v="NONE"/>
    <s v="BONDS"/>
    <s v="Depfa Bank Plc"/>
    <n v="4101000279"/>
    <s v="Bond"/>
    <s v="Bond"/>
    <s v="DEPFAPLC_NY"/>
    <s v="DEPFA"/>
    <s v="US912810FE39"/>
    <m/>
    <s v="Not GIC"/>
  </r>
  <r>
    <x v="5"/>
    <x v="0"/>
    <x v="0"/>
    <x v="5"/>
    <x v="5"/>
    <m/>
    <n v="-401500"/>
    <s v="-352967.03296703296703296703296703296703"/>
    <n v="-401500"/>
    <s v="1.1375"/>
    <s v="USD"/>
    <x v="73"/>
    <s v="INTEREST_AND_FEES"/>
    <n v="0"/>
    <s v="NONE"/>
    <n v="0"/>
    <n v="0"/>
    <s v="INFLOW_CENTRAL_GOV_INVESTMENTS"/>
    <n v="194070"/>
    <s v="SUMMIT"/>
    <m/>
    <d v="2028-08-15T00:00:00"/>
    <s v="FV_SHORT_TM"/>
    <s v="AM_GICS_T"/>
    <s v="NONE"/>
    <s v="BONDS"/>
    <s v="Depfa Bank Plc"/>
    <n v="4101000279"/>
    <s v="Bond"/>
    <s v="Bond"/>
    <s v="DEPFAPLC_NY"/>
    <s v="DEPFA"/>
    <s v="US912810FE39"/>
    <m/>
    <s v="Not GIC"/>
  </r>
  <r>
    <x v="1"/>
    <x v="1"/>
    <x v="0"/>
    <x v="13"/>
    <x v="6"/>
    <m/>
    <n v="0"/>
    <n v="0"/>
    <n v="0"/>
    <s v="1.1375"/>
    <s v="USD"/>
    <x v="32"/>
    <s v="INTEREST_AND_FEES"/>
    <n v="0"/>
    <s v="NONE"/>
    <n v="0"/>
    <n v="0"/>
    <s v="INFLOW_GENERAL_GOV_INVESTMENTS"/>
    <n v="190368"/>
    <s v="SUMMIT"/>
    <m/>
    <d v="2023-10-28T00:00:00"/>
    <s v="LN_RC_GEN_U"/>
    <s v="AM_BANKBND_L"/>
    <s v="NONE"/>
    <s v="BONDS"/>
    <s v="Illinois State"/>
    <n v="101002330"/>
    <s v="Bond"/>
    <s v="Bond"/>
    <s v="DEPFAPLC_NY"/>
    <s v="DEPFA"/>
    <s v="US452151MZ39_LF53"/>
    <m/>
    <s v="Not GIC"/>
  </r>
  <r>
    <x v="2"/>
    <x v="1"/>
    <x v="0"/>
    <x v="7"/>
    <x v="6"/>
    <m/>
    <n v="0"/>
    <n v="0"/>
    <n v="0"/>
    <s v="1.1375"/>
    <s v="USD"/>
    <x v="25"/>
    <s v="INTEREST_AND_FEES"/>
    <n v="0"/>
    <s v="NONE"/>
    <n v="0"/>
    <n v="0"/>
    <s v="INFLOW_GENERAL_GOV_INVESTMENTS"/>
    <n v="190368"/>
    <s v="SUMMIT"/>
    <m/>
    <d v="2023-10-28T00:00:00"/>
    <s v="LN_RC_GEN_U"/>
    <s v="AM_BANKBND_L"/>
    <s v="NONE"/>
    <s v="BONDS"/>
    <s v="Illinois State"/>
    <n v="101002330"/>
    <s v="Bond"/>
    <s v="Bond"/>
    <s v="DEPFAPLC_NY"/>
    <s v="DEPFA"/>
    <s v="US452151MZ39_LF53"/>
    <m/>
    <s v="Not GIC"/>
  </r>
  <r>
    <x v="3"/>
    <x v="1"/>
    <x v="0"/>
    <x v="9"/>
    <x v="6"/>
    <m/>
    <n v="0"/>
    <n v="0"/>
    <n v="0"/>
    <s v="1.1375"/>
    <s v="USD"/>
    <x v="37"/>
    <s v="INTEREST_AND_FEES"/>
    <n v="0"/>
    <s v="NONE"/>
    <n v="0"/>
    <n v="0"/>
    <s v="INFLOW_GENERAL_GOV_INVESTMENTS"/>
    <n v="190368"/>
    <s v="SUMMIT"/>
    <m/>
    <d v="2023-10-28T00:00:00"/>
    <s v="LN_RC_GEN_U"/>
    <s v="AM_BANKBND_L"/>
    <s v="NONE"/>
    <s v="BONDS"/>
    <s v="Illinois State"/>
    <n v="101002330"/>
    <s v="Bond"/>
    <s v="Bond"/>
    <s v="DEPFAPLC_NY"/>
    <s v="DEPFA"/>
    <s v="US452151MZ39_LF53"/>
    <m/>
    <s v="Not GIC"/>
  </r>
  <r>
    <x v="3"/>
    <x v="1"/>
    <x v="0"/>
    <x v="9"/>
    <x v="6"/>
    <m/>
    <n v="0"/>
    <n v="0"/>
    <n v="0"/>
    <s v="1.1375"/>
    <s v="USD"/>
    <x v="27"/>
    <s v="INTEREST_AND_FEES"/>
    <n v="0"/>
    <s v="NONE"/>
    <n v="0"/>
    <n v="0"/>
    <s v="INFLOW_GENERAL_GOV_INVESTMENTS"/>
    <n v="190368"/>
    <s v="SUMMIT"/>
    <m/>
    <d v="2023-10-28T00:00:00"/>
    <s v="LN_RC_GEN_U"/>
    <s v="AM_BANKBND_L"/>
    <s v="NONE"/>
    <s v="BONDS"/>
    <s v="Illinois State"/>
    <n v="101002330"/>
    <s v="Bond"/>
    <s v="Bond"/>
    <s v="DEPFAPLC_NY"/>
    <s v="DEPFA"/>
    <s v="US452151MZ39_LF53"/>
    <m/>
    <s v="Not GIC"/>
  </r>
  <r>
    <x v="4"/>
    <x v="1"/>
    <x v="0"/>
    <x v="10"/>
    <x v="6"/>
    <m/>
    <n v="0"/>
    <n v="0"/>
    <n v="0"/>
    <s v="1.1375"/>
    <s v="USD"/>
    <x v="49"/>
    <s v="INTEREST_AND_FEES"/>
    <n v="0"/>
    <s v="NONE"/>
    <n v="0"/>
    <n v="0"/>
    <s v="INFLOW_GENERAL_GOV_INVESTMENTS"/>
    <n v="190368"/>
    <s v="SUMMIT"/>
    <m/>
    <d v="2023-10-28T00:00:00"/>
    <s v="LN_RC_GEN_U"/>
    <s v="AM_BANKBND_L"/>
    <s v="NONE"/>
    <s v="BONDS"/>
    <s v="Illinois State"/>
    <n v="101002330"/>
    <s v="Bond"/>
    <s v="Bond"/>
    <s v="DEPFAPLC_NY"/>
    <s v="DEPFA"/>
    <s v="US452151MZ39_LF53"/>
    <m/>
    <s v="Not GIC"/>
  </r>
  <r>
    <x v="4"/>
    <x v="1"/>
    <x v="0"/>
    <x v="10"/>
    <x v="6"/>
    <m/>
    <n v="0"/>
    <n v="0"/>
    <n v="0"/>
    <s v="1.1375"/>
    <s v="USD"/>
    <x v="28"/>
    <s v="INTEREST_AND_FEES"/>
    <n v="0"/>
    <s v="NONE"/>
    <n v="0"/>
    <n v="0"/>
    <s v="INFLOW_GENERAL_GOV_INVESTMENTS"/>
    <n v="190368"/>
    <s v="SUMMIT"/>
    <m/>
    <d v="2023-10-28T00:00:00"/>
    <s v="LN_RC_GEN_U"/>
    <s v="AM_BANKBND_L"/>
    <s v="NONE"/>
    <s v="BONDS"/>
    <s v="Illinois State"/>
    <n v="101002330"/>
    <s v="Bond"/>
    <s v="Bond"/>
    <s v="DEPFAPLC_NY"/>
    <s v="DEPFA"/>
    <s v="US452151MZ39_LF53"/>
    <m/>
    <s v="Not GIC"/>
  </r>
  <r>
    <x v="5"/>
    <x v="1"/>
    <x v="0"/>
    <x v="11"/>
    <x v="6"/>
    <m/>
    <n v="0"/>
    <n v="0"/>
    <n v="0"/>
    <s v="1.1375"/>
    <s v="USD"/>
    <x v="54"/>
    <s v="INTEREST_AND_FEES"/>
    <n v="0"/>
    <s v="NONE"/>
    <n v="0"/>
    <n v="0"/>
    <s v="INFLOW_GENERAL_GOV_INVESTMENTS"/>
    <n v="190368"/>
    <s v="SUMMIT"/>
    <m/>
    <d v="2023-10-28T00:00:00"/>
    <s v="LN_RC_GEN_U"/>
    <s v="AM_BANKBND_L"/>
    <s v="NONE"/>
    <s v="BONDS"/>
    <s v="Illinois State"/>
    <n v="101002330"/>
    <s v="Bond"/>
    <s v="Bond"/>
    <s v="DEPFAPLC_NY"/>
    <s v="DEPFA"/>
    <s v="US452151MZ39_LF53"/>
    <m/>
    <s v="Not GIC"/>
  </r>
  <r>
    <x v="5"/>
    <x v="1"/>
    <x v="0"/>
    <x v="11"/>
    <x v="6"/>
    <m/>
    <n v="0"/>
    <n v="0"/>
    <n v="0"/>
    <s v="1.1375"/>
    <s v="USD"/>
    <x v="29"/>
    <s v="INTEREST_AND_FEES"/>
    <n v="0"/>
    <s v="NONE"/>
    <n v="0"/>
    <n v="0"/>
    <s v="INFLOW_GENERAL_GOV_INVESTMENTS"/>
    <n v="190368"/>
    <s v="SUMMIT"/>
    <m/>
    <d v="2023-10-28T00:00:00"/>
    <s v="LN_RC_GEN_U"/>
    <s v="AM_BANKBND_L"/>
    <s v="NONE"/>
    <s v="BONDS"/>
    <s v="Illinois State"/>
    <n v="101002330"/>
    <s v="Bond"/>
    <s v="Bond"/>
    <s v="DEPFAPLC_NY"/>
    <s v="DEPFA"/>
    <s v="US452151MZ39_LF53"/>
    <m/>
    <s v="Not GIC"/>
  </r>
  <r>
    <x v="6"/>
    <x v="1"/>
    <x v="0"/>
    <x v="23"/>
    <x v="6"/>
    <m/>
    <s v="242612.5"/>
    <s v="213285.714285714285714285714285714285714"/>
    <n v="242612.5"/>
    <s v="1.1375"/>
    <s v="USD"/>
    <x v="43"/>
    <s v="INTEREST_AND_FEES"/>
    <n v="0"/>
    <s v="NONE"/>
    <n v="0"/>
    <n v="0"/>
    <s v="INFLOW_OTHER"/>
    <s v="631440PN"/>
    <s v="SUMMIT"/>
    <m/>
    <d v="2017-05-15T00:00:00"/>
    <s v="FV_OPEN_DER"/>
    <s v="SV_BTOBV_T"/>
    <s v="NONE"/>
    <s v="DERIVATES"/>
    <s v="Morgan Stanley &amp; Co International Plc"/>
    <n v="1101000267"/>
    <s v="Derivative"/>
    <s v="Option"/>
    <s v="DEPFAPLC_NY"/>
    <s v="DEPFA"/>
    <m/>
    <m/>
    <s v="Not GIC"/>
  </r>
  <r>
    <x v="2"/>
    <x v="1"/>
    <x v="0"/>
    <x v="7"/>
    <x v="6"/>
    <m/>
    <s v="243288.03"/>
    <s v="213879.586813186813186813186813186813187"/>
    <n v="243288.03"/>
    <s v="1.1375"/>
    <s v="USD"/>
    <x v="70"/>
    <s v="INTEREST_AND_FEES"/>
    <n v="0"/>
    <s v="NONE"/>
    <n v="0"/>
    <n v="0"/>
    <s v="INFLOW_OTHER"/>
    <s v="631440PN"/>
    <s v="SUMMIT"/>
    <m/>
    <d v="2017-05-15T00:00:00"/>
    <s v="FV_OPEN_DER"/>
    <s v="SV_BTOBV_T"/>
    <s v="NONE"/>
    <s v="DERIVATES"/>
    <s v="Morgan Stanley &amp; Co International Plc"/>
    <n v="1101000267"/>
    <s v="Derivative"/>
    <s v="Option"/>
    <s v="DEPFAPLC_NY"/>
    <s v="DEPFA"/>
    <m/>
    <m/>
    <s v="Not GIC"/>
  </r>
  <r>
    <x v="3"/>
    <x v="1"/>
    <x v="0"/>
    <x v="9"/>
    <x v="6"/>
    <m/>
    <s v="241859.78"/>
    <s v="212623.982417582417582417582417582417582"/>
    <n v="241859.78"/>
    <s v="1.1375"/>
    <s v="USD"/>
    <x v="44"/>
    <s v="INTEREST_AND_FEES"/>
    <n v="0"/>
    <s v="NONE"/>
    <n v="0"/>
    <n v="0"/>
    <s v="INFLOW_OTHER"/>
    <s v="631440PN"/>
    <s v="SUMMIT"/>
    <m/>
    <d v="2017-05-15T00:00:00"/>
    <s v="FV_OPEN_DER"/>
    <s v="SV_BTOBV_T"/>
    <s v="NONE"/>
    <s v="DERIVATES"/>
    <s v="Morgan Stanley &amp; Co International Plc"/>
    <n v="1101000267"/>
    <s v="Derivative"/>
    <s v="Option"/>
    <s v="DEPFAPLC_NY"/>
    <s v="DEPFA"/>
    <m/>
    <m/>
    <s v="Not GIC"/>
  </r>
  <r>
    <x v="3"/>
    <x v="1"/>
    <x v="0"/>
    <x v="9"/>
    <x v="6"/>
    <m/>
    <s v="236953.97"/>
    <s v="208311.182417582417582417582417582417582"/>
    <n v="236953.97"/>
    <s v="1.1375"/>
    <s v="USD"/>
    <x v="71"/>
    <s v="INTEREST_AND_FEES"/>
    <n v="0"/>
    <s v="NONE"/>
    <n v="0"/>
    <n v="0"/>
    <s v="INFLOW_OTHER"/>
    <s v="631440PN"/>
    <s v="SUMMIT"/>
    <m/>
    <d v="2017-05-15T00:00:00"/>
    <s v="FV_OPEN_DER"/>
    <s v="SV_BTOBV_T"/>
    <s v="NONE"/>
    <s v="DERIVATES"/>
    <s v="Morgan Stanley &amp; Co International Plc"/>
    <n v="1101000267"/>
    <s v="Derivative"/>
    <s v="Option"/>
    <s v="DEPFAPLC_NY"/>
    <s v="DEPFA"/>
    <m/>
    <m/>
    <s v="Not GIC"/>
  </r>
  <r>
    <x v="4"/>
    <x v="1"/>
    <x v="0"/>
    <x v="10"/>
    <x v="6"/>
    <m/>
    <s v="227994.86"/>
    <s v="200435.041758241758241758241758241758242"/>
    <n v="227994.86000000002"/>
    <s v="1.1375"/>
    <s v="USD"/>
    <x v="45"/>
    <s v="INTEREST_AND_FEES"/>
    <n v="0"/>
    <s v="NONE"/>
    <n v="0"/>
    <n v="0"/>
    <s v="INFLOW_OTHER"/>
    <s v="631440PN"/>
    <s v="SUMMIT"/>
    <m/>
    <d v="2017-05-15T00:00:00"/>
    <s v="FV_OPEN_DER"/>
    <s v="SV_BTOBV_T"/>
    <s v="NONE"/>
    <s v="DERIVATES"/>
    <s v="Morgan Stanley &amp; Co International Plc"/>
    <n v="1101000267"/>
    <s v="Derivative"/>
    <s v="Option"/>
    <s v="DEPFAPLC_NY"/>
    <s v="DEPFA"/>
    <m/>
    <m/>
    <s v="Not GIC"/>
  </r>
  <r>
    <x v="1"/>
    <x v="1"/>
    <x v="0"/>
    <x v="13"/>
    <x v="6"/>
    <m/>
    <n v="7500"/>
    <s v="6593.40659340659340659340659340659340659"/>
    <n v="7500"/>
    <s v="1.1375"/>
    <s v="USD"/>
    <x v="57"/>
    <s v="INTEREST_AND_FEES"/>
    <n v="0"/>
    <s v="NONE"/>
    <n v="0"/>
    <n v="0"/>
    <s v="INFLOW_CENTRAL_GOV_INVESTMENTS"/>
    <n v="193040"/>
    <s v="SUMMIT"/>
    <m/>
    <d v="2016-06-15T00:00:00"/>
    <s v="AFS_GEN_U"/>
    <s v="AM_GICS_F"/>
    <s v="NONE"/>
    <s v="BONDS"/>
    <s v="RBC CAPTIAL MARKETS, LLC"/>
    <n v="3101053435"/>
    <s v="Bond"/>
    <s v="Bond"/>
    <s v="DEPFAPLC_NY"/>
    <s v="DEPFA"/>
    <s v="US912828VG29"/>
    <m/>
    <s v="Not GIC"/>
  </r>
  <r>
    <x v="1"/>
    <x v="1"/>
    <x v="2"/>
    <x v="18"/>
    <x v="6"/>
    <m/>
    <n v="3000000"/>
    <s v="2637362.63736263736263736263736263736264"/>
    <n v="3000000"/>
    <s v="1.1375"/>
    <s v="USD"/>
    <x v="57"/>
    <s v="PRINCIPAL_FLOW"/>
    <n v="0"/>
    <s v="NONE"/>
    <n v="0"/>
    <n v="0"/>
    <s v="INFLOW_CENTRAL_GOV_INVESTMENTS"/>
    <n v="193040"/>
    <s v="SUMMIT"/>
    <m/>
    <d v="2016-06-15T00:00:00"/>
    <s v="AFS_GEN_U"/>
    <s v="AM_GICS_F"/>
    <s v="NONE"/>
    <s v="BONDS"/>
    <s v="RBC CAPTIAL MARKETS, LLC"/>
    <n v="3101053435"/>
    <s v="Bond"/>
    <s v="Bond"/>
    <s v="DEPFAPLC_NY"/>
    <s v="DEPFA"/>
    <s v="US912828VG29"/>
    <m/>
    <s v="Not GIC"/>
  </r>
  <r>
    <x v="1"/>
    <x v="1"/>
    <x v="0"/>
    <x v="13"/>
    <x v="6"/>
    <m/>
    <n v="65000"/>
    <s v="57142.8571428571428571428571428571428571"/>
    <n v="65000"/>
    <s v="1.1375"/>
    <s v="USD"/>
    <x v="57"/>
    <s v="INTEREST_AND_FEES"/>
    <n v="0"/>
    <s v="NONE"/>
    <n v="0"/>
    <n v="0"/>
    <s v="INFLOW_CENTRAL_GOV_INVESTMENTS"/>
    <n v="193087"/>
    <s v="SUMMIT"/>
    <m/>
    <d v="2016-06-15T00:00:00"/>
    <s v="AFS_GEN_U"/>
    <s v="AM_GICS_F"/>
    <s v="NONE"/>
    <s v="BONDS"/>
    <s v="RBC CAPTIAL MARKETS, LLC"/>
    <n v="3101053435"/>
    <s v="Bond"/>
    <s v="Bond"/>
    <s v="DEPFAPLC_NY"/>
    <s v="DEPFA"/>
    <s v="US912828VG29"/>
    <m/>
    <s v="Not GIC"/>
  </r>
  <r>
    <x v="1"/>
    <x v="1"/>
    <x v="2"/>
    <x v="18"/>
    <x v="6"/>
    <m/>
    <n v="26000000"/>
    <s v="22857142.8571428571428571428571428571429"/>
    <n v="26000000"/>
    <s v="1.1375"/>
    <s v="USD"/>
    <x v="57"/>
    <s v="PRINCIPAL_FLOW"/>
    <n v="0"/>
    <s v="NONE"/>
    <n v="0"/>
    <n v="0"/>
    <s v="INFLOW_CENTRAL_GOV_INVESTMENTS"/>
    <n v="193087"/>
    <s v="SUMMIT"/>
    <m/>
    <d v="2016-06-15T00:00:00"/>
    <s v="AFS_GEN_U"/>
    <s v="AM_GICS_F"/>
    <s v="NONE"/>
    <s v="BONDS"/>
    <s v="RBC CAPTIAL MARKETS, LLC"/>
    <n v="3101053435"/>
    <s v="Bond"/>
    <s v="Bond"/>
    <s v="DEPFAPLC_NY"/>
    <s v="DEPFA"/>
    <s v="US912828VG29"/>
    <m/>
    <s v="Not GIC"/>
  </r>
  <r>
    <x v="0"/>
    <x v="1"/>
    <x v="0"/>
    <x v="12"/>
    <x v="6"/>
    <m/>
    <s v="-132684.68"/>
    <s v="-116645.87252747252747252747252747252747"/>
    <n v="-132684.68"/>
    <s v="1.1375"/>
    <s v="USD"/>
    <x v="30"/>
    <s v="INTEREST_AND_FEES"/>
    <n v="0"/>
    <s v="NONE"/>
    <n v="0"/>
    <n v="0"/>
    <s v="OUTFLOW_DEPOSITS_LOANS"/>
    <s v="D_397829PN"/>
    <s v="SUMMIT"/>
    <s v="397829PN"/>
    <d v="2027-08-01T00:00:00"/>
    <s v="LIAB_GEN_U"/>
    <s v="AM_GICS_F"/>
    <s v="NONE"/>
    <s v="LOAN"/>
    <s v="CPS Energy"/>
    <n v="3101051675"/>
    <s v="Lending"/>
    <s v="Loan"/>
    <s v="DEPFAPLC_NY"/>
    <s v="DEPFA"/>
    <m/>
    <m/>
    <s v="GICS Deposit Collateralized"/>
  </r>
  <r>
    <x v="0"/>
    <x v="1"/>
    <x v="5"/>
    <x v="24"/>
    <x v="6"/>
    <m/>
    <n v="3267000"/>
    <s v="2872087.91208791208791208791208791208791"/>
    <n v="3267000"/>
    <s v="1.1375"/>
    <s v="USD"/>
    <x v="30"/>
    <s v="PRINCIPAL_FLOW"/>
    <n v="0"/>
    <s v="NONE"/>
    <n v="0"/>
    <n v="0"/>
    <s v="INFLOW_NON_GOV_LOANS"/>
    <s v="D_397829PN"/>
    <s v="SUMMIT"/>
    <s v="397829PN"/>
    <d v="2027-08-01T00:00:00"/>
    <s v="LIAB_GEN_U"/>
    <s v="AM_GICS_F"/>
    <s v="NONE"/>
    <s v="LOAN"/>
    <s v="CPS Energy"/>
    <n v="3101051675"/>
    <s v="Lending"/>
    <s v="Loan"/>
    <s v="DEPFAPLC_NY"/>
    <s v="DEPFA"/>
    <m/>
    <m/>
    <s v="GICS Deposit Collateralized"/>
  </r>
  <r>
    <x v="1"/>
    <x v="1"/>
    <x v="0"/>
    <x v="13"/>
    <x v="6"/>
    <m/>
    <s v="-148113.09"/>
    <s v="-130209.30989010989010989010989010989011"/>
    <n v="-148113.09"/>
    <s v="1.1375"/>
    <s v="USD"/>
    <x v="31"/>
    <s v="INTEREST_AND_FEES"/>
    <n v="0"/>
    <s v="NONE"/>
    <n v="0"/>
    <n v="0"/>
    <s v="OUTFLOW_DEPOSITS_LOANS"/>
    <s v="D_397829PN"/>
    <s v="SUMMIT"/>
    <s v="397829PN"/>
    <d v="2027-08-01T00:00:00"/>
    <s v="LIAB_GEN_U"/>
    <s v="AM_GICS_F"/>
    <s v="NONE"/>
    <s v="LOAN"/>
    <s v="CPS Energy"/>
    <n v="3101051675"/>
    <s v="Lending"/>
    <s v="Loan"/>
    <s v="DEPFAPLC_NY"/>
    <s v="DEPFA"/>
    <m/>
    <m/>
    <s v="GICS Deposit Collateralized"/>
  </r>
  <r>
    <x v="1"/>
    <x v="1"/>
    <x v="5"/>
    <x v="25"/>
    <x v="6"/>
    <m/>
    <n v="3375900"/>
    <s v="2967824.17582417582417582417582417582418"/>
    <n v="3375900"/>
    <s v="1.1375"/>
    <s v="USD"/>
    <x v="31"/>
    <s v="PRINCIPAL_FLOW"/>
    <n v="0"/>
    <s v="NONE"/>
    <n v="0"/>
    <n v="0"/>
    <s v="INFLOW_NON_GOV_LOANS"/>
    <s v="D_397829PN"/>
    <s v="SUMMIT"/>
    <s v="397829PN"/>
    <d v="2027-08-01T00:00:00"/>
    <s v="LIAB_GEN_U"/>
    <s v="AM_GICS_F"/>
    <s v="NONE"/>
    <s v="LOAN"/>
    <s v="CPS Energy"/>
    <n v="3101051675"/>
    <s v="Lending"/>
    <s v="Loan"/>
    <s v="DEPFAPLC_NY"/>
    <s v="DEPFA"/>
    <m/>
    <m/>
    <s v="GICS Deposit Collateralized"/>
  </r>
  <r>
    <x v="1"/>
    <x v="1"/>
    <x v="0"/>
    <x v="13"/>
    <x v="6"/>
    <m/>
    <s v="-164055.78"/>
    <s v="-144224.86153846153846153846153846153846"/>
    <n v="-164055.77999999997"/>
    <s v="1.1375"/>
    <s v="USD"/>
    <x v="32"/>
    <s v="INTEREST_AND_FEES"/>
    <n v="0"/>
    <s v="NONE"/>
    <n v="0"/>
    <n v="0"/>
    <s v="OUTFLOW_DEPOSITS_LOANS"/>
    <s v="D_397829PN"/>
    <s v="SUMMIT"/>
    <s v="397829PN"/>
    <d v="2027-08-01T00:00:00"/>
    <s v="LIAB_GEN_U"/>
    <s v="AM_GICS_F"/>
    <s v="NONE"/>
    <s v="LOAN"/>
    <s v="CPS Energy"/>
    <n v="3101051675"/>
    <s v="Lending"/>
    <s v="Loan"/>
    <s v="DEPFAPLC_NY"/>
    <s v="DEPFA"/>
    <m/>
    <m/>
    <s v="GICS Deposit Collateralized"/>
  </r>
  <r>
    <x v="1"/>
    <x v="1"/>
    <x v="5"/>
    <x v="25"/>
    <x v="6"/>
    <m/>
    <n v="3267000"/>
    <s v="2872087.91208791208791208791208791208791"/>
    <n v="3267000"/>
    <s v="1.1375"/>
    <s v="USD"/>
    <x v="32"/>
    <s v="PRINCIPAL_FLOW"/>
    <n v="0"/>
    <s v="NONE"/>
    <n v="0"/>
    <n v="0"/>
    <s v="INFLOW_NON_GOV_LOANS"/>
    <s v="D_397829PN"/>
    <s v="SUMMIT"/>
    <s v="397829PN"/>
    <d v="2027-08-01T00:00:00"/>
    <s v="LIAB_GEN_U"/>
    <s v="AM_GICS_F"/>
    <s v="NONE"/>
    <s v="LOAN"/>
    <s v="CPS Energy"/>
    <n v="3101051675"/>
    <s v="Lending"/>
    <s v="Loan"/>
    <s v="DEPFAPLC_NY"/>
    <s v="DEPFA"/>
    <m/>
    <m/>
    <s v="GICS Deposit Collateralized"/>
  </r>
  <r>
    <x v="1"/>
    <x v="1"/>
    <x v="5"/>
    <x v="25"/>
    <x v="6"/>
    <m/>
    <s v="-37896333.9"/>
    <s v="-33315458.373626373626373626373626373626"/>
    <n v="-37896333.899999999"/>
    <s v="1.1375"/>
    <s v="USD"/>
    <x v="98"/>
    <s v="PRINCIPAL_FLOW"/>
    <n v="0"/>
    <s v="NONE"/>
    <n v="0"/>
    <n v="0"/>
    <s v="OUTFLOW_DEPOSITS_LOANS"/>
    <s v="D_397829PN"/>
    <s v="SUMMIT"/>
    <s v="397829PN"/>
    <d v="2027-08-01T00:00:00"/>
    <s v="LIAB_GEN_U"/>
    <s v="AM_GICS_F"/>
    <s v="NONE"/>
    <s v="LOAN"/>
    <s v="CPS Energy"/>
    <n v="3101051675"/>
    <s v="Lending"/>
    <s v="Loan"/>
    <s v="DEPFAPLC_NY"/>
    <s v="DEPFA"/>
    <m/>
    <m/>
    <s v="GICS Deposit Collateralized"/>
  </r>
  <r>
    <x v="2"/>
    <x v="1"/>
    <x v="0"/>
    <x v="7"/>
    <x v="6"/>
    <m/>
    <s v="-6484.27"/>
    <s v="-5700.4571428571428571428571428571428571"/>
    <n v="-6484.2699999999995"/>
    <s v="1.1375"/>
    <s v="USD"/>
    <x v="33"/>
    <s v="INTEREST_AND_FEES"/>
    <n v="0"/>
    <s v="NONE"/>
    <n v="0"/>
    <n v="0"/>
    <s v="OUTFLOW_DEPOSITS_LOANS"/>
    <s v="D_397829PN"/>
    <s v="SUMMIT"/>
    <s v="397829PN"/>
    <d v="2027-08-01T00:00:00"/>
    <s v="LIAB_GEN_U"/>
    <s v="AM_GICS_F"/>
    <s v="NONE"/>
    <s v="LOAN"/>
    <s v="CPS Energy"/>
    <n v="3101051675"/>
    <s v="Lending"/>
    <s v="Loan"/>
    <s v="DEPFAPLC_NY"/>
    <s v="DEPFA"/>
    <m/>
    <m/>
    <s v="GICS Deposit Collateralized"/>
  </r>
  <r>
    <x v="2"/>
    <x v="1"/>
    <x v="5"/>
    <x v="26"/>
    <x v="6"/>
    <m/>
    <n v="3375900"/>
    <s v="2967824.17582417582417582417582417582418"/>
    <n v="3375900"/>
    <s v="1.1375"/>
    <s v="USD"/>
    <x v="33"/>
    <s v="PRINCIPAL_FLOW"/>
    <n v="0"/>
    <s v="NONE"/>
    <n v="0"/>
    <n v="0"/>
    <s v="INFLOW_NON_GOV_LOANS"/>
    <s v="D_397829PN"/>
    <s v="SUMMIT"/>
    <s v="397829PN"/>
    <d v="2027-08-01T00:00:00"/>
    <s v="LIAB_GEN_U"/>
    <s v="AM_GICS_F"/>
    <s v="NONE"/>
    <s v="LOAN"/>
    <s v="CPS Energy"/>
    <n v="3101051675"/>
    <s v="Lending"/>
    <s v="Loan"/>
    <s v="DEPFAPLC_NY"/>
    <s v="DEPFA"/>
    <m/>
    <m/>
    <s v="GICS Deposit Collateralized"/>
  </r>
  <r>
    <x v="2"/>
    <x v="1"/>
    <x v="0"/>
    <x v="7"/>
    <x v="6"/>
    <m/>
    <s v="-16461.44"/>
    <s v="-14471.595604395604395604395604395604396"/>
    <n v="-16461.439999999999"/>
    <s v="1.1375"/>
    <s v="USD"/>
    <x v="99"/>
    <s v="INTEREST_AND_FEES"/>
    <n v="0"/>
    <s v="NONE"/>
    <n v="0"/>
    <n v="0"/>
    <s v="OUTFLOW_DEPOSITS_LOANS"/>
    <s v="D_397829PN"/>
    <s v="SUMMIT"/>
    <s v="397829PN"/>
    <d v="2027-08-01T00:00:00"/>
    <s v="LIAB_GEN_U"/>
    <s v="AM_GICS_F"/>
    <s v="NONE"/>
    <s v="LOAN"/>
    <s v="CPS Energy"/>
    <n v="3101051675"/>
    <s v="Lending"/>
    <s v="Loan"/>
    <s v="DEPFAPLC_NY"/>
    <s v="DEPFA"/>
    <m/>
    <m/>
    <s v="GICS Deposit Collateralized"/>
  </r>
  <r>
    <x v="2"/>
    <x v="1"/>
    <x v="5"/>
    <x v="26"/>
    <x v="6"/>
    <m/>
    <n v="3375900"/>
    <s v="2967824.17582417582417582417582417582418"/>
    <n v="3375900"/>
    <s v="1.1375"/>
    <s v="USD"/>
    <x v="99"/>
    <s v="PRINCIPAL_FLOW"/>
    <n v="0"/>
    <s v="NONE"/>
    <n v="0"/>
    <n v="0"/>
    <s v="INFLOW_NON_GOV_LOANS"/>
    <s v="D_397829PN"/>
    <s v="SUMMIT"/>
    <s v="397829PN"/>
    <d v="2027-08-01T00:00:00"/>
    <s v="LIAB_GEN_U"/>
    <s v="AM_GICS_F"/>
    <s v="NONE"/>
    <s v="LOAN"/>
    <s v="CPS Energy"/>
    <n v="3101051675"/>
    <s v="Lending"/>
    <s v="Loan"/>
    <s v="DEPFAPLC_NY"/>
    <s v="DEPFA"/>
    <m/>
    <m/>
    <s v="GICS Deposit Collateralized"/>
  </r>
  <r>
    <x v="2"/>
    <x v="1"/>
    <x v="0"/>
    <x v="7"/>
    <x v="6"/>
    <m/>
    <s v="-32404.12"/>
    <s v="-28487.138461538461538461538461538461539"/>
    <n v="-32404.12"/>
    <s v="1.1375"/>
    <s v="USD"/>
    <x v="25"/>
    <s v="INTEREST_AND_FEES"/>
    <n v="0"/>
    <s v="NONE"/>
    <n v="0"/>
    <n v="0"/>
    <s v="OUTFLOW_DEPOSITS_LOANS"/>
    <s v="D_397829PN"/>
    <s v="SUMMIT"/>
    <s v="397829PN"/>
    <d v="2027-08-01T00:00:00"/>
    <s v="LIAB_GEN_U"/>
    <s v="AM_GICS_F"/>
    <s v="NONE"/>
    <s v="LOAN"/>
    <s v="CPS Energy"/>
    <n v="3101051675"/>
    <s v="Lending"/>
    <s v="Loan"/>
    <s v="DEPFAPLC_NY"/>
    <s v="DEPFA"/>
    <m/>
    <m/>
    <s v="GICS Deposit Collateralized"/>
  </r>
  <r>
    <x v="2"/>
    <x v="1"/>
    <x v="5"/>
    <x v="26"/>
    <x v="6"/>
    <m/>
    <n v="3267000"/>
    <s v="2872087.91208791208791208791208791208791"/>
    <n v="3267000"/>
    <s v="1.1375"/>
    <s v="USD"/>
    <x v="25"/>
    <s v="PRINCIPAL_FLOW"/>
    <n v="0"/>
    <s v="NONE"/>
    <n v="0"/>
    <n v="0"/>
    <s v="INFLOW_NON_GOV_LOANS"/>
    <s v="D_397829PN"/>
    <s v="SUMMIT"/>
    <s v="397829PN"/>
    <d v="2027-08-01T00:00:00"/>
    <s v="LIAB_GEN_U"/>
    <s v="AM_GICS_F"/>
    <s v="NONE"/>
    <s v="LOAN"/>
    <s v="CPS Energy"/>
    <n v="3101051675"/>
    <s v="Lending"/>
    <s v="Loan"/>
    <s v="DEPFAPLC_NY"/>
    <s v="DEPFA"/>
    <m/>
    <m/>
    <s v="GICS Deposit Collateralized"/>
  </r>
  <r>
    <x v="3"/>
    <x v="1"/>
    <x v="0"/>
    <x v="9"/>
    <x v="6"/>
    <m/>
    <s v="-47832.53"/>
    <s v="-42050.575824175824175824175824175824176"/>
    <n v="-47832.53"/>
    <s v="1.1375"/>
    <s v="USD"/>
    <x v="35"/>
    <s v="INTEREST_AND_FEES"/>
    <n v="0"/>
    <s v="NONE"/>
    <n v="0"/>
    <n v="0"/>
    <s v="OUTFLOW_DEPOSITS_LOANS"/>
    <s v="D_397829PN"/>
    <s v="SUMMIT"/>
    <s v="397829PN"/>
    <d v="2027-08-01T00:00:00"/>
    <s v="LIAB_GEN_U"/>
    <s v="AM_GICS_F"/>
    <s v="NONE"/>
    <s v="LOAN"/>
    <s v="CPS Energy"/>
    <n v="3101051675"/>
    <s v="Lending"/>
    <s v="Loan"/>
    <s v="DEPFAPLC_NY"/>
    <s v="DEPFA"/>
    <m/>
    <m/>
    <s v="GICS Deposit Collateralized"/>
  </r>
  <r>
    <x v="3"/>
    <x v="1"/>
    <x v="5"/>
    <x v="27"/>
    <x v="6"/>
    <m/>
    <n v="3375900"/>
    <s v="2967824.17582417582417582417582417582418"/>
    <n v="3375900"/>
    <s v="1.1375"/>
    <s v="USD"/>
    <x v="35"/>
    <s v="PRINCIPAL_FLOW"/>
    <n v="0"/>
    <s v="NONE"/>
    <n v="0"/>
    <n v="0"/>
    <s v="INFLOW_NON_GOV_LOANS"/>
    <s v="D_397829PN"/>
    <s v="SUMMIT"/>
    <s v="397829PN"/>
    <d v="2027-08-01T00:00:00"/>
    <s v="LIAB_GEN_U"/>
    <s v="AM_GICS_F"/>
    <s v="NONE"/>
    <s v="LOAN"/>
    <s v="CPS Energy"/>
    <n v="3101051675"/>
    <s v="Lending"/>
    <s v="Loan"/>
    <s v="DEPFAPLC_NY"/>
    <s v="DEPFA"/>
    <m/>
    <m/>
    <s v="GICS Deposit Collateralized"/>
  </r>
  <r>
    <x v="3"/>
    <x v="1"/>
    <x v="0"/>
    <x v="9"/>
    <x v="6"/>
    <m/>
    <s v="-63775.22"/>
    <s v="-56066.127472527472527472527472527472528"/>
    <n v="-63775.219999999994"/>
    <s v="1.1375"/>
    <s v="USD"/>
    <x v="100"/>
    <s v="INTEREST_AND_FEES"/>
    <n v="0"/>
    <s v="NONE"/>
    <n v="0"/>
    <n v="0"/>
    <s v="OUTFLOW_DEPOSITS_LOANS"/>
    <s v="D_397829PN"/>
    <s v="SUMMIT"/>
    <s v="397829PN"/>
    <d v="2027-08-01T00:00:00"/>
    <s v="LIAB_GEN_U"/>
    <s v="AM_GICS_F"/>
    <s v="NONE"/>
    <s v="LOAN"/>
    <s v="CPS Energy"/>
    <n v="3101051675"/>
    <s v="Lending"/>
    <s v="Loan"/>
    <s v="DEPFAPLC_NY"/>
    <s v="DEPFA"/>
    <m/>
    <m/>
    <s v="GICS Deposit Collateralized"/>
  </r>
  <r>
    <x v="3"/>
    <x v="1"/>
    <x v="5"/>
    <x v="27"/>
    <x v="6"/>
    <m/>
    <n v="4573800"/>
    <s v="4020923.07692307692307692307692307692308"/>
    <n v="4573800"/>
    <s v="1.1375"/>
    <s v="USD"/>
    <x v="100"/>
    <s v="PRINCIPAL_FLOW"/>
    <n v="0"/>
    <s v="NONE"/>
    <n v="0"/>
    <n v="0"/>
    <s v="INFLOW_NON_GOV_LOANS"/>
    <s v="D_397829PN"/>
    <s v="SUMMIT"/>
    <s v="397829PN"/>
    <d v="2027-08-01T00:00:00"/>
    <s v="LIAB_GEN_U"/>
    <s v="AM_GICS_F"/>
    <s v="NONE"/>
    <s v="LOAN"/>
    <s v="CPS Energy"/>
    <n v="3101051675"/>
    <s v="Lending"/>
    <s v="Loan"/>
    <s v="DEPFAPLC_NY"/>
    <s v="DEPFA"/>
    <m/>
    <m/>
    <s v="GICS Deposit Collateralized"/>
  </r>
  <r>
    <x v="3"/>
    <x v="1"/>
    <x v="0"/>
    <x v="9"/>
    <x v="6"/>
    <m/>
    <s v="-85374.99"/>
    <s v="-75054.936263736263736263736263736263736"/>
    <n v="-85374.989999999991"/>
    <s v="1.1375"/>
    <s v="USD"/>
    <x v="37"/>
    <s v="INTEREST_AND_FEES"/>
    <n v="0"/>
    <s v="NONE"/>
    <n v="0"/>
    <n v="0"/>
    <s v="OUTFLOW_DEPOSITS_LOANS"/>
    <s v="D_397829PN"/>
    <s v="SUMMIT"/>
    <s v="397829PN"/>
    <d v="2027-08-01T00:00:00"/>
    <s v="LIAB_GEN_U"/>
    <s v="AM_GICS_F"/>
    <s v="NONE"/>
    <s v="LOAN"/>
    <s v="CPS Energy"/>
    <n v="3101051675"/>
    <s v="Lending"/>
    <s v="Loan"/>
    <s v="DEPFAPLC_NY"/>
    <s v="DEPFA"/>
    <m/>
    <m/>
    <s v="GICS Deposit Collateralized"/>
  </r>
  <r>
    <x v="3"/>
    <x v="1"/>
    <x v="5"/>
    <x v="27"/>
    <x v="6"/>
    <m/>
    <n v="4951320"/>
    <s v="4352808.79120879120879120879120879120879"/>
    <n v="4951320"/>
    <s v="1.1375"/>
    <s v="USD"/>
    <x v="37"/>
    <s v="PRINCIPAL_FLOW"/>
    <n v="0"/>
    <s v="NONE"/>
    <n v="0"/>
    <n v="0"/>
    <s v="INFLOW_NON_GOV_LOANS"/>
    <s v="D_397829PN"/>
    <s v="SUMMIT"/>
    <s v="397829PN"/>
    <d v="2027-08-01T00:00:00"/>
    <s v="LIAB_GEN_U"/>
    <s v="AM_GICS_F"/>
    <s v="NONE"/>
    <s v="LOAN"/>
    <s v="CPS Energy"/>
    <n v="3101051675"/>
    <s v="Lending"/>
    <s v="Loan"/>
    <s v="DEPFAPLC_NY"/>
    <s v="DEPFA"/>
    <m/>
    <m/>
    <s v="GICS Deposit Collateralized"/>
  </r>
  <r>
    <x v="3"/>
    <x v="1"/>
    <x v="5"/>
    <x v="27"/>
    <x v="6"/>
    <m/>
    <s v="-8888156.25"/>
    <s v="-7813763.7362637362637362637362637362637"/>
    <n v="-8888156.25"/>
    <s v="1.1375"/>
    <s v="USD"/>
    <x v="101"/>
    <s v="PRINCIPAL_FLOW"/>
    <n v="0"/>
    <s v="NONE"/>
    <n v="0"/>
    <n v="0"/>
    <s v="OUTFLOW_DEPOSITS_LOANS"/>
    <s v="D_397829PN"/>
    <s v="SUMMIT"/>
    <s v="397829PN"/>
    <d v="2027-08-01T00:00:00"/>
    <s v="LIAB_GEN_U"/>
    <s v="AM_GICS_F"/>
    <s v="NONE"/>
    <s v="LOAN"/>
    <s v="CPS Energy"/>
    <n v="3101051675"/>
    <s v="Lending"/>
    <s v="Loan"/>
    <s v="DEPFAPLC_NY"/>
    <s v="DEPFA"/>
    <m/>
    <m/>
    <s v="GICS Deposit Collateralized"/>
  </r>
  <r>
    <x v="3"/>
    <x v="1"/>
    <x v="0"/>
    <x v="9"/>
    <x v="6"/>
    <m/>
    <s v="-68182.42"/>
    <s v="-59940.589010989010989010989010989010989"/>
    <n v="-68182.42"/>
    <s v="1.1375"/>
    <s v="USD"/>
    <x v="38"/>
    <s v="INTEREST_AND_FEES"/>
    <n v="0"/>
    <s v="NONE"/>
    <n v="0"/>
    <n v="0"/>
    <s v="OUTFLOW_DEPOSITS_LOANS"/>
    <s v="D_397829PN"/>
    <s v="SUMMIT"/>
    <s v="397829PN"/>
    <d v="2027-08-01T00:00:00"/>
    <s v="LIAB_GEN_U"/>
    <s v="AM_GICS_F"/>
    <s v="NONE"/>
    <s v="LOAN"/>
    <s v="CPS Energy"/>
    <n v="3101051675"/>
    <s v="Lending"/>
    <s v="Loan"/>
    <s v="DEPFAPLC_NY"/>
    <s v="DEPFA"/>
    <m/>
    <m/>
    <s v="GICS Deposit Collateralized"/>
  </r>
  <r>
    <x v="3"/>
    <x v="1"/>
    <x v="5"/>
    <x v="27"/>
    <x v="6"/>
    <m/>
    <n v="4951320"/>
    <s v="4352808.79120879120879120879120879120879"/>
    <n v="4951320"/>
    <s v="1.1375"/>
    <s v="USD"/>
    <x v="38"/>
    <s v="PRINCIPAL_FLOW"/>
    <n v="0"/>
    <s v="NONE"/>
    <n v="0"/>
    <n v="0"/>
    <s v="INFLOW_NON_GOV_LOANS"/>
    <s v="D_397829PN"/>
    <s v="SUMMIT"/>
    <s v="397829PN"/>
    <d v="2027-08-01T00:00:00"/>
    <s v="LIAB_GEN_U"/>
    <s v="AM_GICS_F"/>
    <s v="NONE"/>
    <s v="LOAN"/>
    <s v="CPS Energy"/>
    <n v="3101051675"/>
    <s v="Lending"/>
    <s v="Loan"/>
    <s v="DEPFAPLC_NY"/>
    <s v="DEPFA"/>
    <m/>
    <m/>
    <s v="GICS Deposit Collateralized"/>
  </r>
  <r>
    <x v="3"/>
    <x v="1"/>
    <x v="0"/>
    <x v="9"/>
    <x v="6"/>
    <m/>
    <s v="-90165.89"/>
    <s v="-79266.716483516483516483516483516483517"/>
    <n v="-90165.89"/>
    <s v="1.1375"/>
    <s v="USD"/>
    <x v="102"/>
    <s v="INTEREST_AND_FEES"/>
    <n v="0"/>
    <s v="NONE"/>
    <n v="0"/>
    <n v="0"/>
    <s v="OUTFLOW_DEPOSITS_LOANS"/>
    <s v="D_397829PN"/>
    <s v="SUMMIT"/>
    <s v="397829PN"/>
    <d v="2027-08-01T00:00:00"/>
    <s v="LIAB_GEN_U"/>
    <s v="AM_GICS_F"/>
    <s v="NONE"/>
    <s v="LOAN"/>
    <s v="CPS Energy"/>
    <n v="3101051675"/>
    <s v="Lending"/>
    <s v="Loan"/>
    <s v="DEPFAPLC_NY"/>
    <s v="DEPFA"/>
    <m/>
    <m/>
    <s v="GICS Deposit Collateralized"/>
  </r>
  <r>
    <x v="3"/>
    <x v="1"/>
    <x v="5"/>
    <x v="27"/>
    <x v="6"/>
    <m/>
    <n v="4472160"/>
    <s v="3931569.23076923076923076923076923076923"/>
    <n v="4472160"/>
    <s v="1.1375"/>
    <s v="USD"/>
    <x v="102"/>
    <s v="PRINCIPAL_FLOW"/>
    <n v="0"/>
    <s v="NONE"/>
    <n v="0"/>
    <n v="0"/>
    <s v="INFLOW_NON_GOV_LOANS"/>
    <s v="D_397829PN"/>
    <s v="SUMMIT"/>
    <s v="397829PN"/>
    <d v="2027-08-01T00:00:00"/>
    <s v="LIAB_GEN_U"/>
    <s v="AM_GICS_F"/>
    <s v="NONE"/>
    <s v="LOAN"/>
    <s v="CPS Energy"/>
    <n v="3101051675"/>
    <s v="Lending"/>
    <s v="Loan"/>
    <s v="DEPFAPLC_NY"/>
    <s v="DEPFA"/>
    <m/>
    <m/>
    <s v="GICS Deposit Collateralized"/>
  </r>
  <r>
    <x v="3"/>
    <x v="1"/>
    <x v="0"/>
    <x v="9"/>
    <x v="6"/>
    <m/>
    <s v="-111285.66"/>
    <s v="-97833.547252747252747252747252747252747"/>
    <n v="-111285.66"/>
    <s v="1.1375"/>
    <s v="USD"/>
    <x v="27"/>
    <s v="INTEREST_AND_FEES"/>
    <n v="0"/>
    <s v="NONE"/>
    <n v="0"/>
    <n v="0"/>
    <s v="OUTFLOW_DEPOSITS_LOANS"/>
    <s v="D_397829PN"/>
    <s v="SUMMIT"/>
    <s v="397829PN"/>
    <d v="2027-08-01T00:00:00"/>
    <s v="LIAB_GEN_U"/>
    <s v="AM_GICS_F"/>
    <s v="NONE"/>
    <s v="LOAN"/>
    <s v="CPS Energy"/>
    <n v="3101051675"/>
    <s v="Lending"/>
    <s v="Loan"/>
    <s v="DEPFAPLC_NY"/>
    <s v="DEPFA"/>
    <m/>
    <m/>
    <s v="GICS Deposit Collateralized"/>
  </r>
  <r>
    <x v="3"/>
    <x v="1"/>
    <x v="5"/>
    <x v="27"/>
    <x v="6"/>
    <m/>
    <n v="4726260"/>
    <s v="4154953.84615384615384615384615384615385"/>
    <n v="4726260"/>
    <s v="1.1375"/>
    <s v="USD"/>
    <x v="27"/>
    <s v="PRINCIPAL_FLOW"/>
    <n v="0"/>
    <s v="NONE"/>
    <n v="0"/>
    <n v="0"/>
    <s v="INFLOW_NON_GOV_LOANS"/>
    <s v="D_397829PN"/>
    <s v="SUMMIT"/>
    <s v="397829PN"/>
    <d v="2027-08-01T00:00:00"/>
    <s v="LIAB_GEN_U"/>
    <s v="AM_GICS_F"/>
    <s v="NONE"/>
    <s v="LOAN"/>
    <s v="CPS Energy"/>
    <n v="3101051675"/>
    <s v="Lending"/>
    <s v="Loan"/>
    <s v="DEPFAPLC_NY"/>
    <s v="DEPFA"/>
    <m/>
    <m/>
    <s v="GICS Deposit Collateralized"/>
  </r>
  <r>
    <x v="4"/>
    <x v="1"/>
    <x v="0"/>
    <x v="10"/>
    <x v="6"/>
    <m/>
    <s v="-133605.43"/>
    <s v="-117455.32307692307692307692307692307692"/>
    <n v="-133605.43"/>
    <s v="1.1375"/>
    <s v="USD"/>
    <x v="40"/>
    <s v="INTEREST_AND_FEES"/>
    <n v="0"/>
    <s v="NONE"/>
    <n v="0"/>
    <n v="0"/>
    <s v="OUTFLOW_DEPOSITS_LOANS"/>
    <s v="D_397829PN"/>
    <s v="SUMMIT"/>
    <s v="397829PN"/>
    <d v="2027-08-01T00:00:00"/>
    <s v="LIAB_GEN_U"/>
    <s v="AM_GICS_F"/>
    <s v="NONE"/>
    <s v="LOAN"/>
    <s v="CPS Energy"/>
    <n v="3101051675"/>
    <s v="Lending"/>
    <s v="Loan"/>
    <s v="DEPFAPLC_NY"/>
    <s v="DEPFA"/>
    <m/>
    <m/>
    <s v="GICS Deposit Collateralized"/>
  </r>
  <r>
    <x v="4"/>
    <x v="1"/>
    <x v="5"/>
    <x v="28"/>
    <x v="6"/>
    <m/>
    <n v="3267000"/>
    <s v="2872087.91208791208791208791208791208791"/>
    <n v="3267000"/>
    <s v="1.1375"/>
    <s v="USD"/>
    <x v="40"/>
    <s v="PRINCIPAL_FLOW"/>
    <n v="0"/>
    <s v="NONE"/>
    <n v="0"/>
    <n v="0"/>
    <s v="INFLOW_NON_GOV_LOANS"/>
    <s v="D_397829PN"/>
    <s v="SUMMIT"/>
    <s v="397829PN"/>
    <d v="2027-08-01T00:00:00"/>
    <s v="LIAB_GEN_U"/>
    <s v="AM_GICS_F"/>
    <s v="NONE"/>
    <s v="LOAN"/>
    <s v="CPS Energy"/>
    <n v="3101051675"/>
    <s v="Lending"/>
    <s v="Loan"/>
    <s v="DEPFAPLC_NY"/>
    <s v="DEPFA"/>
    <m/>
    <m/>
    <s v="GICS Deposit Collateralized"/>
  </r>
  <r>
    <x v="4"/>
    <x v="1"/>
    <x v="0"/>
    <x v="10"/>
    <x v="6"/>
    <m/>
    <s v="-149033.84"/>
    <s v="-131018.76043956043956043956043956043956"/>
    <n v="-149033.84"/>
    <s v="1.1375"/>
    <s v="USD"/>
    <x v="103"/>
    <s v="INTEREST_AND_FEES"/>
    <n v="0"/>
    <s v="NONE"/>
    <n v="0"/>
    <n v="0"/>
    <s v="OUTFLOW_DEPOSITS_LOANS"/>
    <s v="D_397829PN"/>
    <s v="SUMMIT"/>
    <s v="397829PN"/>
    <d v="2027-08-01T00:00:00"/>
    <s v="LIAB_GEN_U"/>
    <s v="AM_GICS_F"/>
    <s v="NONE"/>
    <s v="LOAN"/>
    <s v="CPS Energy"/>
    <n v="3101051675"/>
    <s v="Lending"/>
    <s v="Loan"/>
    <s v="DEPFAPLC_NY"/>
    <s v="DEPFA"/>
    <m/>
    <m/>
    <s v="GICS Deposit Collateralized"/>
  </r>
  <r>
    <x v="4"/>
    <x v="1"/>
    <x v="5"/>
    <x v="28"/>
    <x v="6"/>
    <m/>
    <n v="3375900"/>
    <s v="2967824.17582417582417582417582417582418"/>
    <n v="3375900"/>
    <s v="1.1375"/>
    <s v="USD"/>
    <x v="103"/>
    <s v="PRINCIPAL_FLOW"/>
    <n v="0"/>
    <s v="NONE"/>
    <n v="0"/>
    <n v="0"/>
    <s v="INFLOW_NON_GOV_LOANS"/>
    <s v="D_397829PN"/>
    <s v="SUMMIT"/>
    <s v="397829PN"/>
    <d v="2027-08-01T00:00:00"/>
    <s v="LIAB_GEN_U"/>
    <s v="AM_GICS_F"/>
    <s v="NONE"/>
    <s v="LOAN"/>
    <s v="CPS Energy"/>
    <n v="3101051675"/>
    <s v="Lending"/>
    <s v="Loan"/>
    <s v="DEPFAPLC_NY"/>
    <s v="DEPFA"/>
    <m/>
    <m/>
    <s v="GICS Deposit Collateralized"/>
  </r>
  <r>
    <x v="4"/>
    <x v="1"/>
    <x v="0"/>
    <x v="10"/>
    <x v="6"/>
    <m/>
    <s v="-164976.52"/>
    <s v="-145034.3032967032967032967032967032967"/>
    <n v="-164976.51999999999"/>
    <s v="1.1375"/>
    <s v="USD"/>
    <x v="49"/>
    <s v="INTEREST_AND_FEES"/>
    <n v="0"/>
    <s v="NONE"/>
    <n v="0"/>
    <n v="0"/>
    <s v="OUTFLOW_DEPOSITS_LOANS"/>
    <s v="D_397829PN"/>
    <s v="SUMMIT"/>
    <s v="397829PN"/>
    <d v="2027-08-01T00:00:00"/>
    <s v="LIAB_GEN_U"/>
    <s v="AM_GICS_F"/>
    <s v="NONE"/>
    <s v="LOAN"/>
    <s v="CPS Energy"/>
    <n v="3101051675"/>
    <s v="Lending"/>
    <s v="Loan"/>
    <s v="DEPFAPLC_NY"/>
    <s v="DEPFA"/>
    <m/>
    <m/>
    <s v="GICS Deposit Collateralized"/>
  </r>
  <r>
    <x v="4"/>
    <x v="1"/>
    <x v="5"/>
    <x v="28"/>
    <x v="6"/>
    <m/>
    <n v="3267000"/>
    <s v="2872087.91208791208791208791208791208791"/>
    <n v="3267000"/>
    <s v="1.1375"/>
    <s v="USD"/>
    <x v="49"/>
    <s v="PRINCIPAL_FLOW"/>
    <n v="0"/>
    <s v="NONE"/>
    <n v="0"/>
    <n v="0"/>
    <s v="INFLOW_NON_GOV_LOANS"/>
    <s v="D_397829PN"/>
    <s v="SUMMIT"/>
    <s v="397829PN"/>
    <d v="2027-08-01T00:00:00"/>
    <s v="LIAB_GEN_U"/>
    <s v="AM_GICS_F"/>
    <s v="NONE"/>
    <s v="LOAN"/>
    <s v="CPS Energy"/>
    <n v="3101051675"/>
    <s v="Lending"/>
    <s v="Loan"/>
    <s v="DEPFAPLC_NY"/>
    <s v="DEPFA"/>
    <m/>
    <m/>
    <s v="GICS Deposit Collateralized"/>
  </r>
  <r>
    <x v="4"/>
    <x v="1"/>
    <x v="5"/>
    <x v="28"/>
    <x v="6"/>
    <m/>
    <s v="-38091303.75"/>
    <s v="-33486860.43956043956043956043956043956"/>
    <n v="-38091303.75"/>
    <s v="1.1375"/>
    <s v="USD"/>
    <x v="104"/>
    <s v="PRINCIPAL_FLOW"/>
    <n v="0"/>
    <s v="NONE"/>
    <n v="0"/>
    <n v="0"/>
    <s v="OUTFLOW_DEPOSITS_LOANS"/>
    <s v="D_397829PN"/>
    <s v="SUMMIT"/>
    <s v="397829PN"/>
    <d v="2027-08-01T00:00:00"/>
    <s v="LIAB_GEN_U"/>
    <s v="AM_GICS_F"/>
    <s v="NONE"/>
    <s v="LOAN"/>
    <s v="CPS Energy"/>
    <n v="3101051675"/>
    <s v="Lending"/>
    <s v="Loan"/>
    <s v="DEPFAPLC_NY"/>
    <s v="DEPFA"/>
    <m/>
    <m/>
    <s v="GICS Deposit Collateralized"/>
  </r>
  <r>
    <x v="4"/>
    <x v="1"/>
    <x v="0"/>
    <x v="10"/>
    <x v="6"/>
    <m/>
    <s v="-6514.96"/>
    <s v="-5727.4373626373626373626373626373626374"/>
    <n v="-6514.96"/>
    <s v="1.1375"/>
    <s v="USD"/>
    <x v="50"/>
    <s v="INTEREST_AND_FEES"/>
    <n v="0"/>
    <s v="NONE"/>
    <n v="0"/>
    <n v="0"/>
    <s v="OUTFLOW_DEPOSITS_LOANS"/>
    <s v="D_397829PN"/>
    <s v="SUMMIT"/>
    <s v="397829PN"/>
    <d v="2027-08-01T00:00:00"/>
    <s v="LIAB_GEN_U"/>
    <s v="AM_GICS_F"/>
    <s v="NONE"/>
    <s v="LOAN"/>
    <s v="CPS Energy"/>
    <n v="3101051675"/>
    <s v="Lending"/>
    <s v="Loan"/>
    <s v="DEPFAPLC_NY"/>
    <s v="DEPFA"/>
    <m/>
    <m/>
    <s v="GICS Deposit Collateralized"/>
  </r>
  <r>
    <x v="4"/>
    <x v="1"/>
    <x v="5"/>
    <x v="28"/>
    <x v="6"/>
    <m/>
    <n v="3375900"/>
    <s v="2967824.17582417582417582417582417582418"/>
    <n v="3375900"/>
    <s v="1.1375"/>
    <s v="USD"/>
    <x v="50"/>
    <s v="PRINCIPAL_FLOW"/>
    <n v="0"/>
    <s v="NONE"/>
    <n v="0"/>
    <n v="0"/>
    <s v="INFLOW_NON_GOV_LOANS"/>
    <s v="D_397829PN"/>
    <s v="SUMMIT"/>
    <s v="397829PN"/>
    <d v="2027-08-01T00:00:00"/>
    <s v="LIAB_GEN_U"/>
    <s v="AM_GICS_F"/>
    <s v="NONE"/>
    <s v="LOAN"/>
    <s v="CPS Energy"/>
    <n v="3101051675"/>
    <s v="Lending"/>
    <s v="Loan"/>
    <s v="DEPFAPLC_NY"/>
    <s v="DEPFA"/>
    <m/>
    <m/>
    <s v="GICS Deposit Collateralized"/>
  </r>
  <r>
    <x v="4"/>
    <x v="1"/>
    <x v="0"/>
    <x v="10"/>
    <x v="6"/>
    <m/>
    <s v="-16461.44"/>
    <s v="-14471.595604395604395604395604395604396"/>
    <n v="-16461.439999999999"/>
    <s v="1.1375"/>
    <s v="USD"/>
    <x v="105"/>
    <s v="INTEREST_AND_FEES"/>
    <n v="0"/>
    <s v="NONE"/>
    <n v="0"/>
    <n v="0"/>
    <s v="OUTFLOW_DEPOSITS_LOANS"/>
    <s v="D_397829PN"/>
    <s v="SUMMIT"/>
    <s v="397829PN"/>
    <d v="2027-08-01T00:00:00"/>
    <s v="LIAB_GEN_U"/>
    <s v="AM_GICS_F"/>
    <s v="NONE"/>
    <s v="LOAN"/>
    <s v="CPS Energy"/>
    <n v="3101051675"/>
    <s v="Lending"/>
    <s v="Loan"/>
    <s v="DEPFAPLC_NY"/>
    <s v="DEPFA"/>
    <m/>
    <m/>
    <s v="GICS Deposit Collateralized"/>
  </r>
  <r>
    <x v="4"/>
    <x v="1"/>
    <x v="5"/>
    <x v="28"/>
    <x v="6"/>
    <m/>
    <n v="3375900"/>
    <s v="2967824.17582417582417582417582417582418"/>
    <n v="3375900"/>
    <s v="1.1375"/>
    <s v="USD"/>
    <x v="105"/>
    <s v="PRINCIPAL_FLOW"/>
    <n v="0"/>
    <s v="NONE"/>
    <n v="0"/>
    <n v="0"/>
    <s v="INFLOW_NON_GOV_LOANS"/>
    <s v="D_397829PN"/>
    <s v="SUMMIT"/>
    <s v="397829PN"/>
    <d v="2027-08-01T00:00:00"/>
    <s v="LIAB_GEN_U"/>
    <s v="AM_GICS_F"/>
    <s v="NONE"/>
    <s v="LOAN"/>
    <s v="CPS Energy"/>
    <n v="3101051675"/>
    <s v="Lending"/>
    <s v="Loan"/>
    <s v="DEPFAPLC_NY"/>
    <s v="DEPFA"/>
    <m/>
    <m/>
    <s v="GICS Deposit Collateralized"/>
  </r>
  <r>
    <x v="4"/>
    <x v="1"/>
    <x v="0"/>
    <x v="10"/>
    <x v="6"/>
    <m/>
    <s v="-32404.12"/>
    <s v="-28487.138461538461538461538461538461539"/>
    <n v="-32404.12"/>
    <s v="1.1375"/>
    <s v="USD"/>
    <x v="28"/>
    <s v="INTEREST_AND_FEES"/>
    <n v="0"/>
    <s v="NONE"/>
    <n v="0"/>
    <n v="0"/>
    <s v="OUTFLOW_DEPOSITS_LOANS"/>
    <s v="D_397829PN"/>
    <s v="SUMMIT"/>
    <s v="397829PN"/>
    <d v="2027-08-01T00:00:00"/>
    <s v="LIAB_GEN_U"/>
    <s v="AM_GICS_F"/>
    <s v="NONE"/>
    <s v="LOAN"/>
    <s v="CPS Energy"/>
    <n v="3101051675"/>
    <s v="Lending"/>
    <s v="Loan"/>
    <s v="DEPFAPLC_NY"/>
    <s v="DEPFA"/>
    <m/>
    <m/>
    <s v="GICS Deposit Collateralized"/>
  </r>
  <r>
    <x v="4"/>
    <x v="1"/>
    <x v="5"/>
    <x v="28"/>
    <x v="6"/>
    <m/>
    <n v="3267000"/>
    <s v="2872087.91208791208791208791208791208791"/>
    <n v="3267000"/>
    <s v="1.1375"/>
    <s v="USD"/>
    <x v="28"/>
    <s v="PRINCIPAL_FLOW"/>
    <n v="0"/>
    <s v="NONE"/>
    <n v="0"/>
    <n v="0"/>
    <s v="INFLOW_NON_GOV_LOANS"/>
    <s v="D_397829PN"/>
    <s v="SUMMIT"/>
    <s v="397829PN"/>
    <d v="2027-08-01T00:00:00"/>
    <s v="LIAB_GEN_U"/>
    <s v="AM_GICS_F"/>
    <s v="NONE"/>
    <s v="LOAN"/>
    <s v="CPS Energy"/>
    <n v="3101051675"/>
    <s v="Lending"/>
    <s v="Loan"/>
    <s v="DEPFAPLC_NY"/>
    <s v="DEPFA"/>
    <m/>
    <m/>
    <s v="GICS Deposit Collateralized"/>
  </r>
  <r>
    <x v="5"/>
    <x v="1"/>
    <x v="0"/>
    <x v="11"/>
    <x v="6"/>
    <m/>
    <s v="-47832.53"/>
    <s v="-42050.575824175824175824175824175824176"/>
    <n v="-47832.53"/>
    <s v="1.1375"/>
    <s v="USD"/>
    <x v="52"/>
    <s v="INTEREST_AND_FEES"/>
    <n v="0"/>
    <s v="NONE"/>
    <n v="0"/>
    <n v="0"/>
    <s v="OUTFLOW_DEPOSITS_LOANS"/>
    <s v="D_397829PN"/>
    <s v="SUMMIT"/>
    <s v="397829PN"/>
    <d v="2027-08-01T00:00:00"/>
    <s v="LIAB_GEN_U"/>
    <s v="AM_GICS_F"/>
    <s v="NONE"/>
    <s v="LOAN"/>
    <s v="CPS Energy"/>
    <n v="3101051675"/>
    <s v="Lending"/>
    <s v="Loan"/>
    <s v="DEPFAPLC_NY"/>
    <s v="DEPFA"/>
    <m/>
    <m/>
    <s v="GICS Deposit Collateralized"/>
  </r>
  <r>
    <x v="5"/>
    <x v="1"/>
    <x v="5"/>
    <x v="29"/>
    <x v="6"/>
    <m/>
    <n v="3375900"/>
    <s v="2967824.17582417582417582417582417582418"/>
    <n v="3375900"/>
    <s v="1.1375"/>
    <s v="USD"/>
    <x v="52"/>
    <s v="PRINCIPAL_FLOW"/>
    <n v="0"/>
    <s v="NONE"/>
    <n v="0"/>
    <n v="0"/>
    <s v="INFLOW_NON_GOV_LOANS"/>
    <s v="D_397829PN"/>
    <s v="SUMMIT"/>
    <s v="397829PN"/>
    <d v="2027-08-01T00:00:00"/>
    <s v="LIAB_GEN_U"/>
    <s v="AM_GICS_F"/>
    <s v="NONE"/>
    <s v="LOAN"/>
    <s v="CPS Energy"/>
    <n v="3101051675"/>
    <s v="Lending"/>
    <s v="Loan"/>
    <s v="DEPFAPLC_NY"/>
    <s v="DEPFA"/>
    <m/>
    <m/>
    <s v="GICS Deposit Collateralized"/>
  </r>
  <r>
    <x v="5"/>
    <x v="1"/>
    <x v="0"/>
    <x v="11"/>
    <x v="6"/>
    <m/>
    <s v="-63775.22"/>
    <s v="-56066.127472527472527472527472527472528"/>
    <n v="-63775.219999999994"/>
    <s v="1.1375"/>
    <s v="USD"/>
    <x v="106"/>
    <s v="INTEREST_AND_FEES"/>
    <n v="0"/>
    <s v="NONE"/>
    <n v="0"/>
    <n v="0"/>
    <s v="OUTFLOW_DEPOSITS_LOANS"/>
    <s v="D_397829PN"/>
    <s v="SUMMIT"/>
    <s v="397829PN"/>
    <d v="2027-08-01T00:00:00"/>
    <s v="LIAB_GEN_U"/>
    <s v="AM_GICS_F"/>
    <s v="NONE"/>
    <s v="LOAN"/>
    <s v="CPS Energy"/>
    <n v="3101051675"/>
    <s v="Lending"/>
    <s v="Loan"/>
    <s v="DEPFAPLC_NY"/>
    <s v="DEPFA"/>
    <m/>
    <m/>
    <s v="GICS Deposit Collateralized"/>
  </r>
  <r>
    <x v="5"/>
    <x v="1"/>
    <x v="5"/>
    <x v="29"/>
    <x v="6"/>
    <m/>
    <n v="4573800"/>
    <s v="4020923.07692307692307692307692307692308"/>
    <n v="4573800"/>
    <s v="1.1375"/>
    <s v="USD"/>
    <x v="106"/>
    <s v="PRINCIPAL_FLOW"/>
    <n v="0"/>
    <s v="NONE"/>
    <n v="0"/>
    <n v="0"/>
    <s v="INFLOW_NON_GOV_LOANS"/>
    <s v="D_397829PN"/>
    <s v="SUMMIT"/>
    <s v="397829PN"/>
    <d v="2027-08-01T00:00:00"/>
    <s v="LIAB_GEN_U"/>
    <s v="AM_GICS_F"/>
    <s v="NONE"/>
    <s v="LOAN"/>
    <s v="CPS Energy"/>
    <n v="3101051675"/>
    <s v="Lending"/>
    <s v="Loan"/>
    <s v="DEPFAPLC_NY"/>
    <s v="DEPFA"/>
    <m/>
    <m/>
    <s v="GICS Deposit Collateralized"/>
  </r>
  <r>
    <x v="5"/>
    <x v="1"/>
    <x v="0"/>
    <x v="11"/>
    <x v="6"/>
    <m/>
    <s v="-85374.99"/>
    <s v="-75054.936263736263736263736263736263736"/>
    <n v="-85374.989999999991"/>
    <s v="1.1375"/>
    <s v="USD"/>
    <x v="54"/>
    <s v="INTEREST_AND_FEES"/>
    <n v="0"/>
    <s v="NONE"/>
    <n v="0"/>
    <n v="0"/>
    <s v="OUTFLOW_DEPOSITS_LOANS"/>
    <s v="D_397829PN"/>
    <s v="SUMMIT"/>
    <s v="397829PN"/>
    <d v="2027-08-01T00:00:00"/>
    <s v="LIAB_GEN_U"/>
    <s v="AM_GICS_F"/>
    <s v="NONE"/>
    <s v="LOAN"/>
    <s v="CPS Energy"/>
    <n v="3101051675"/>
    <s v="Lending"/>
    <s v="Loan"/>
    <s v="DEPFAPLC_NY"/>
    <s v="DEPFA"/>
    <m/>
    <m/>
    <s v="GICS Deposit Collateralized"/>
  </r>
  <r>
    <x v="5"/>
    <x v="1"/>
    <x v="5"/>
    <x v="29"/>
    <x v="6"/>
    <m/>
    <n v="4951320"/>
    <s v="4352808.79120879120879120879120879120879"/>
    <n v="4951320"/>
    <s v="1.1375"/>
    <s v="USD"/>
    <x v="54"/>
    <s v="PRINCIPAL_FLOW"/>
    <n v="0"/>
    <s v="NONE"/>
    <n v="0"/>
    <n v="0"/>
    <s v="INFLOW_NON_GOV_LOANS"/>
    <s v="D_397829PN"/>
    <s v="SUMMIT"/>
    <s v="397829PN"/>
    <d v="2027-08-01T00:00:00"/>
    <s v="LIAB_GEN_U"/>
    <s v="AM_GICS_F"/>
    <s v="NONE"/>
    <s v="LOAN"/>
    <s v="CPS Energy"/>
    <n v="3101051675"/>
    <s v="Lending"/>
    <s v="Loan"/>
    <s v="DEPFAPLC_NY"/>
    <s v="DEPFA"/>
    <m/>
    <m/>
    <s v="GICS Deposit Collateralized"/>
  </r>
  <r>
    <x v="5"/>
    <x v="1"/>
    <x v="5"/>
    <x v="29"/>
    <x v="6"/>
    <m/>
    <s v="-8102231.25"/>
    <s v="-7122840.6593406593406593406593406593407"/>
    <n v="-8102231.2499999991"/>
    <s v="1.1375"/>
    <s v="USD"/>
    <x v="107"/>
    <s v="PRINCIPAL_FLOW"/>
    <n v="0"/>
    <s v="NONE"/>
    <n v="0"/>
    <n v="0"/>
    <s v="OUTFLOW_DEPOSITS_LOANS"/>
    <s v="D_397829PN"/>
    <s v="SUMMIT"/>
    <s v="397829PN"/>
    <d v="2027-08-01T00:00:00"/>
    <s v="LIAB_GEN_U"/>
    <s v="AM_GICS_F"/>
    <s v="NONE"/>
    <s v="LOAN"/>
    <s v="CPS Energy"/>
    <n v="3101051675"/>
    <s v="Lending"/>
    <s v="Loan"/>
    <s v="DEPFAPLC_NY"/>
    <s v="DEPFA"/>
    <m/>
    <m/>
    <s v="GICS Deposit Collateralized"/>
  </r>
  <r>
    <x v="5"/>
    <x v="1"/>
    <x v="0"/>
    <x v="11"/>
    <x v="6"/>
    <m/>
    <s v="-71770.23"/>
    <s v="-63094.707692307692307692307692307692308"/>
    <n v="-71770.23"/>
    <s v="1.1375"/>
    <s v="USD"/>
    <x v="55"/>
    <s v="INTEREST_AND_FEES"/>
    <n v="0"/>
    <s v="NONE"/>
    <n v="0"/>
    <n v="0"/>
    <s v="OUTFLOW_DEPOSITS_LOANS"/>
    <s v="D_397829PN"/>
    <s v="SUMMIT"/>
    <s v="397829PN"/>
    <d v="2027-08-01T00:00:00"/>
    <s v="LIAB_GEN_U"/>
    <s v="AM_GICS_F"/>
    <s v="NONE"/>
    <s v="LOAN"/>
    <s v="CPS Energy"/>
    <n v="3101051675"/>
    <s v="Lending"/>
    <s v="Loan"/>
    <s v="DEPFAPLC_NY"/>
    <s v="DEPFA"/>
    <m/>
    <m/>
    <s v="GICS Deposit Collateralized"/>
  </r>
  <r>
    <x v="5"/>
    <x v="1"/>
    <x v="5"/>
    <x v="29"/>
    <x v="6"/>
    <m/>
    <n v="4951320"/>
    <s v="4352808.79120879120879120879120879120879"/>
    <n v="4951320"/>
    <s v="1.1375"/>
    <s v="USD"/>
    <x v="55"/>
    <s v="PRINCIPAL_FLOW"/>
    <n v="0"/>
    <s v="NONE"/>
    <n v="0"/>
    <n v="0"/>
    <s v="INFLOW_NON_GOV_LOANS"/>
    <s v="D_397829PN"/>
    <s v="SUMMIT"/>
    <s v="397829PN"/>
    <d v="2027-08-01T00:00:00"/>
    <s v="LIAB_GEN_U"/>
    <s v="AM_GICS_F"/>
    <s v="NONE"/>
    <s v="LOAN"/>
    <s v="CPS Energy"/>
    <n v="3101051675"/>
    <s v="Lending"/>
    <s v="Loan"/>
    <s v="DEPFAPLC_NY"/>
    <s v="DEPFA"/>
    <m/>
    <m/>
    <s v="GICS Deposit Collateralized"/>
  </r>
  <r>
    <x v="5"/>
    <x v="1"/>
    <x v="0"/>
    <x v="11"/>
    <x v="6"/>
    <m/>
    <s v="-93877.42"/>
    <s v="-82529.6"/>
    <n v="-93877.42"/>
    <s v="1.1375"/>
    <s v="USD"/>
    <x v="108"/>
    <s v="INTEREST_AND_FEES"/>
    <n v="0"/>
    <s v="NONE"/>
    <n v="0"/>
    <n v="0"/>
    <s v="OUTFLOW_DEPOSITS_LOANS"/>
    <s v="D_397829PN"/>
    <s v="SUMMIT"/>
    <s v="397829PN"/>
    <d v="2027-08-01T00:00:00"/>
    <s v="LIAB_GEN_U"/>
    <s v="AM_GICS_F"/>
    <s v="NONE"/>
    <s v="LOAN"/>
    <s v="CPS Energy"/>
    <n v="3101051675"/>
    <s v="Lending"/>
    <s v="Loan"/>
    <s v="DEPFAPLC_NY"/>
    <s v="DEPFA"/>
    <m/>
    <m/>
    <s v="GICS Deposit Collateralized"/>
  </r>
  <r>
    <x v="5"/>
    <x v="1"/>
    <x v="5"/>
    <x v="29"/>
    <x v="6"/>
    <m/>
    <n v="4472160"/>
    <s v="3931569.23076923076923076923076923076923"/>
    <n v="4472160"/>
    <s v="1.1375"/>
    <s v="USD"/>
    <x v="108"/>
    <s v="PRINCIPAL_FLOW"/>
    <n v="0"/>
    <s v="NONE"/>
    <n v="0"/>
    <n v="0"/>
    <s v="INFLOW_NON_GOV_LOANS"/>
    <s v="D_397829PN"/>
    <s v="SUMMIT"/>
    <s v="397829PN"/>
    <d v="2027-08-01T00:00:00"/>
    <s v="LIAB_GEN_U"/>
    <s v="AM_GICS_F"/>
    <s v="NONE"/>
    <s v="LOAN"/>
    <s v="CPS Energy"/>
    <n v="3101051675"/>
    <s v="Lending"/>
    <s v="Loan"/>
    <s v="DEPFAPLC_NY"/>
    <s v="DEPFA"/>
    <m/>
    <m/>
    <s v="GICS Deposit Collateralized"/>
  </r>
  <r>
    <x v="5"/>
    <x v="1"/>
    <x v="0"/>
    <x v="11"/>
    <x v="6"/>
    <m/>
    <s v="-114997.2"/>
    <s v="-101096.43956043956043956043956043956044"/>
    <n v="-114997.19999999998"/>
    <s v="1.1375"/>
    <s v="USD"/>
    <x v="29"/>
    <s v="INTEREST_AND_FEES"/>
    <n v="0"/>
    <s v="NONE"/>
    <n v="0"/>
    <n v="0"/>
    <s v="OUTFLOW_DEPOSITS_LOANS"/>
    <s v="D_397829PN"/>
    <s v="SUMMIT"/>
    <s v="397829PN"/>
    <d v="2027-08-01T00:00:00"/>
    <s v="LIAB_GEN_U"/>
    <s v="AM_GICS_F"/>
    <s v="NONE"/>
    <s v="LOAN"/>
    <s v="CPS Energy"/>
    <n v="3101051675"/>
    <s v="Lending"/>
    <s v="Loan"/>
    <s v="DEPFAPLC_NY"/>
    <s v="DEPFA"/>
    <m/>
    <m/>
    <s v="GICS Deposit Collateralized"/>
  </r>
  <r>
    <x v="5"/>
    <x v="1"/>
    <x v="5"/>
    <x v="29"/>
    <x v="6"/>
    <m/>
    <n v="4726260"/>
    <s v="4154953.84615384615384615384615384615385"/>
    <n v="4726260"/>
    <s v="1.1375"/>
    <s v="USD"/>
    <x v="29"/>
    <s v="PRINCIPAL_FLOW"/>
    <n v="0"/>
    <s v="NONE"/>
    <n v="0"/>
    <n v="0"/>
    <s v="INFLOW_NON_GOV_LOANS"/>
    <s v="D_397829PN"/>
    <s v="SUMMIT"/>
    <s v="397829PN"/>
    <d v="2027-08-01T00:00:00"/>
    <s v="LIAB_GEN_U"/>
    <s v="AM_GICS_F"/>
    <s v="NONE"/>
    <s v="LOAN"/>
    <s v="CPS Energy"/>
    <n v="3101051675"/>
    <s v="Lending"/>
    <s v="Loan"/>
    <s v="DEPFAPLC_NY"/>
    <s v="DEPFA"/>
    <m/>
    <m/>
    <s v="GICS Deposit Collateralized"/>
  </r>
  <r>
    <x v="1"/>
    <x v="1"/>
    <x v="0"/>
    <x v="13"/>
    <x v="6"/>
    <m/>
    <n v="37500"/>
    <s v="32967.032967032967032967032967032967033"/>
    <n v="37500"/>
    <s v="1.1375"/>
    <s v="USD"/>
    <x v="57"/>
    <s v="INTEREST_AND_FEES"/>
    <n v="0"/>
    <s v="NONE"/>
    <n v="0"/>
    <n v="0"/>
    <s v="INFLOW_CENTRAL_GOV_INVESTMENTS"/>
    <n v="193008"/>
    <s v="SUMMIT"/>
    <m/>
    <d v="2016-06-15T00:00:00"/>
    <s v="AFS_GEN_U"/>
    <s v="AM_GICS_F"/>
    <s v="NONE"/>
    <s v="BONDS"/>
    <s v="RBC CAPTIAL MARKETS, LLC"/>
    <n v="3101053435"/>
    <s v="Bond"/>
    <s v="Bond"/>
    <s v="DEPFAPLC_NY"/>
    <s v="DEPFA"/>
    <s v="US912828VG29"/>
    <m/>
    <s v="Not GIC"/>
  </r>
  <r>
    <x v="1"/>
    <x v="1"/>
    <x v="2"/>
    <x v="18"/>
    <x v="6"/>
    <m/>
    <n v="15000000"/>
    <s v="13186813.1868131868131868131868131868132"/>
    <n v="15000000"/>
    <s v="1.1375"/>
    <s v="USD"/>
    <x v="57"/>
    <s v="PRINCIPAL_FLOW"/>
    <n v="0"/>
    <s v="NONE"/>
    <n v="0"/>
    <n v="0"/>
    <s v="INFLOW_CENTRAL_GOV_INVESTMENTS"/>
    <n v="193008"/>
    <s v="SUMMIT"/>
    <m/>
    <d v="2016-06-15T00:00:00"/>
    <s v="AFS_GEN_U"/>
    <s v="AM_GICS_F"/>
    <s v="NONE"/>
    <s v="BONDS"/>
    <s v="RBC CAPTIAL MARKETS, LLC"/>
    <n v="3101053435"/>
    <s v="Bond"/>
    <s v="Bond"/>
    <s v="DEPFAPLC_NY"/>
    <s v="DEPFA"/>
    <s v="US912828VG29"/>
    <m/>
    <s v="Not GIC"/>
  </r>
  <r>
    <x v="9"/>
    <x v="1"/>
    <x v="0"/>
    <x v="22"/>
    <x v="6"/>
    <m/>
    <n v="131250"/>
    <s v="115384.615384615384615384615384615384615"/>
    <n v="131250"/>
    <s v="1.1375"/>
    <s v="USD"/>
    <x v="85"/>
    <s v="INTEREST_AND_FEES"/>
    <n v="0"/>
    <s v="NONE"/>
    <n v="0"/>
    <n v="0"/>
    <s v="INFLOW_SEC_SALES_IN_MFIS"/>
    <n v="162110"/>
    <s v="SUMMIT"/>
    <m/>
    <d v="2022-12-09T00:00:00"/>
    <s v="LN_DES_TR_H"/>
    <s v="AM_GICS_F"/>
    <s v="NONE"/>
    <s v="BONDS"/>
    <s v="Prime System New York Branch"/>
    <n v="1101005009"/>
    <s v="Bond"/>
    <s v="Bond"/>
    <s v="DEPFAPLC_NY"/>
    <s v="DEPFA"/>
    <s v="US3133XN4B26"/>
    <m/>
    <s v="Not GIC"/>
  </r>
  <r>
    <x v="3"/>
    <x v="1"/>
    <x v="0"/>
    <x v="9"/>
    <x v="6"/>
    <m/>
    <n v="131250"/>
    <s v="115384.615384615384615384615384615384615"/>
    <n v="131250"/>
    <s v="1.1375"/>
    <s v="USD"/>
    <x v="86"/>
    <s v="INTEREST_AND_FEES"/>
    <n v="0"/>
    <s v="NONE"/>
    <n v="0"/>
    <n v="0"/>
    <s v="INFLOW_SEC_SALES_IN_MFIS"/>
    <n v="162110"/>
    <s v="SUMMIT"/>
    <m/>
    <d v="2022-12-09T00:00:00"/>
    <s v="LN_DES_TR_H"/>
    <s v="AM_GICS_F"/>
    <s v="NONE"/>
    <s v="BONDS"/>
    <s v="Prime System New York Branch"/>
    <n v="1101005009"/>
    <s v="Bond"/>
    <s v="Bond"/>
    <s v="DEPFAPLC_NY"/>
    <s v="DEPFA"/>
    <s v="US3133XN4B26"/>
    <m/>
    <s v="Not GIC"/>
  </r>
  <r>
    <x v="4"/>
    <x v="1"/>
    <x v="0"/>
    <x v="10"/>
    <x v="6"/>
    <m/>
    <n v="131250"/>
    <s v="115384.615384615384615384615384615384615"/>
    <n v="131250"/>
    <s v="1.1375"/>
    <s v="USD"/>
    <x v="87"/>
    <s v="INTEREST_AND_FEES"/>
    <n v="0"/>
    <s v="NONE"/>
    <n v="0"/>
    <n v="0"/>
    <s v="INFLOW_SEC_SALES_IN_MFIS"/>
    <n v="162110"/>
    <s v="SUMMIT"/>
    <m/>
    <d v="2022-12-09T00:00:00"/>
    <s v="LN_DES_TR_H"/>
    <s v="AM_GICS_F"/>
    <s v="NONE"/>
    <s v="BONDS"/>
    <s v="Prime System New York Branch"/>
    <n v="1101005009"/>
    <s v="Bond"/>
    <s v="Bond"/>
    <s v="DEPFAPLC_NY"/>
    <s v="DEPFA"/>
    <s v="US3133XN4B26"/>
    <m/>
    <s v="Not GIC"/>
  </r>
  <r>
    <x v="5"/>
    <x v="1"/>
    <x v="0"/>
    <x v="11"/>
    <x v="6"/>
    <m/>
    <n v="131250"/>
    <s v="115384.615384615384615384615384615384615"/>
    <n v="131250"/>
    <s v="1.1375"/>
    <s v="USD"/>
    <x v="62"/>
    <s v="INTEREST_AND_FEES"/>
    <n v="0"/>
    <s v="NONE"/>
    <n v="0"/>
    <n v="0"/>
    <s v="INFLOW_SEC_SALES_IN_MFIS"/>
    <n v="162110"/>
    <s v="SUMMIT"/>
    <m/>
    <d v="2022-12-09T00:00:00"/>
    <s v="LN_DES_TR_H"/>
    <s v="AM_GICS_F"/>
    <s v="NONE"/>
    <s v="BONDS"/>
    <s v="Prime System New York Branch"/>
    <n v="1101005009"/>
    <s v="Bond"/>
    <s v="Bond"/>
    <s v="DEPFAPLC_NY"/>
    <s v="DEPFA"/>
    <s v="US3133XN4B26"/>
    <m/>
    <s v="Not GIC"/>
  </r>
  <r>
    <x v="10"/>
    <x v="0"/>
    <x v="0"/>
    <x v="38"/>
    <x v="12"/>
    <s v="2W_San Sabia Capital Corporation"/>
    <s v="86.16"/>
    <s v="75.745054945054945054945054945054945055"/>
    <n v="86.16"/>
    <s v="1.1375"/>
    <s v="USD"/>
    <x v="109"/>
    <s v="INTEREST_AND_FEES"/>
    <n v="0"/>
    <s v="NONE"/>
    <n v="0"/>
    <n v="0"/>
    <s v="IGNORED"/>
    <s v="957278SA"/>
    <s v="SUMMIT"/>
    <m/>
    <d v="1949-03-19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1"/>
    <x v="0"/>
    <x v="0"/>
    <x v="1"/>
    <x v="1"/>
    <s v="3M_San Sabia Capital Corporation"/>
    <s v="82.19"/>
    <s v="72.2549450549450549450549450549450549451"/>
    <n v="82.19"/>
    <s v="1.1375"/>
    <s v="USD"/>
    <x v="110"/>
    <s v="INTEREST_AND_FEES"/>
    <n v="0"/>
    <s v="NONE"/>
    <n v="0"/>
    <n v="0"/>
    <s v="IGNORED"/>
    <s v="957278SA"/>
    <s v="SUMMIT"/>
    <m/>
    <d v="1949-03-19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1"/>
    <x v="0"/>
    <x v="0"/>
    <x v="1"/>
    <x v="1"/>
    <s v="3M_San Sabia Capital Corporation"/>
    <s v="88.05"/>
    <s v="77.4065934065934065934065934065934065934"/>
    <n v="88.05"/>
    <s v="1.1375"/>
    <s v="USD"/>
    <x v="111"/>
    <s v="INTEREST_AND_FEES"/>
    <n v="0"/>
    <s v="NONE"/>
    <n v="0"/>
    <n v="0"/>
    <s v="IGNORED"/>
    <s v="957278SA"/>
    <s v="SUMMIT"/>
    <m/>
    <d v="1949-03-19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2"/>
    <x v="0"/>
    <x v="0"/>
    <x v="2"/>
    <x v="2"/>
    <s v="6M_San Sabia Capital Corporation"/>
    <s v="80.44"/>
    <s v="70.7164835164835164835164835164835164835"/>
    <n v="80.44"/>
    <s v="1.1375"/>
    <s v="USD"/>
    <x v="112"/>
    <s v="INTEREST_AND_FEES"/>
    <n v="0"/>
    <s v="NONE"/>
    <n v="0"/>
    <n v="0"/>
    <s v="IGNORED"/>
    <s v="957278SA"/>
    <s v="SUMMIT"/>
    <m/>
    <d v="1949-03-19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2"/>
    <x v="0"/>
    <x v="0"/>
    <x v="2"/>
    <x v="2"/>
    <s v="6M_San Sabia Capital Corporation"/>
    <s v="65.27"/>
    <s v="57.3802197802197802197802197802197802198"/>
    <n v="65.27"/>
    <s v="1.1375"/>
    <s v="USD"/>
    <x v="113"/>
    <s v="INTEREST_AND_FEES"/>
    <n v="0"/>
    <s v="NONE"/>
    <n v="0"/>
    <n v="0"/>
    <s v="IGNORED"/>
    <s v="957278SA"/>
    <s v="SUMMIT"/>
    <m/>
    <d v="1949-03-19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2"/>
    <x v="0"/>
    <x v="0"/>
    <x v="2"/>
    <x v="2"/>
    <s v="6M_San Sabia Capital Corporation"/>
    <s v="124.58"/>
    <s v="109.520879120879120879120879120879120879"/>
    <n v="124.57999999999998"/>
    <s v="1.1375"/>
    <s v="USD"/>
    <x v="114"/>
    <s v="INTEREST_AND_FEES"/>
    <n v="0"/>
    <s v="NONE"/>
    <n v="0"/>
    <n v="0"/>
    <s v="IGNORED"/>
    <s v="957278SA"/>
    <s v="SUMMIT"/>
    <m/>
    <d v="1949-03-19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s v="118.47"/>
    <s v="104.149450549450549450549450549450549451"/>
    <n v="118.47"/>
    <s v="1.1375"/>
    <s v="USD"/>
    <x v="115"/>
    <s v="INTEREST_AND_FEES"/>
    <n v="0"/>
    <s v="NONE"/>
    <n v="0"/>
    <n v="0"/>
    <s v="IGNORED"/>
    <s v="957278SA"/>
    <s v="SUMMIT"/>
    <m/>
    <d v="1949-03-19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s v="81.35"/>
    <s v="71.5164835164835164835164835164835164835"/>
    <n v="81.349999999999994"/>
    <s v="1.1375"/>
    <s v="USD"/>
    <x v="94"/>
    <s v="INTEREST_AND_FEES"/>
    <n v="0"/>
    <s v="NONE"/>
    <n v="0"/>
    <n v="0"/>
    <s v="IGNORED"/>
    <s v="957278SA"/>
    <s v="SUMMIT"/>
    <m/>
    <d v="1949-03-19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s v="81.35"/>
    <s v="71.5164835164835164835164835164835164835"/>
    <n v="81.349999999999994"/>
    <s v="1.1375"/>
    <s v="USD"/>
    <x v="116"/>
    <s v="INTEREST_AND_FEES"/>
    <n v="0"/>
    <s v="NONE"/>
    <n v="0"/>
    <n v="0"/>
    <s v="IGNORED"/>
    <s v="957278SA"/>
    <s v="SUMMIT"/>
    <m/>
    <d v="1949-03-19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s v="68.98"/>
    <s v="60.6417582417582417582417582417582417582"/>
    <n v="68.97999999999999"/>
    <s v="1.1375"/>
    <s v="USD"/>
    <x v="117"/>
    <s v="INTEREST_AND_FEES"/>
    <n v="0"/>
    <s v="NONE"/>
    <n v="0"/>
    <n v="0"/>
    <s v="IGNORED"/>
    <s v="957278SA"/>
    <s v="SUMMIT"/>
    <m/>
    <d v="1949-03-19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s v="23.56"/>
    <s v="20.7120879120879120879120879120879120879"/>
    <n v="23.56"/>
    <s v="1.1375"/>
    <s v="USD"/>
    <x v="118"/>
    <s v="INTEREST_AND_FEES"/>
    <n v="0"/>
    <s v="NONE"/>
    <n v="0"/>
    <n v="0"/>
    <s v="IGNORED"/>
    <s v="957278SA"/>
    <s v="SUMMIT"/>
    <m/>
    <d v="1949-03-19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s v="27.75"/>
    <s v="24.3956043956043956043956043956043956044"/>
    <n v="27.749999999999996"/>
    <s v="1.1375"/>
    <s v="USD"/>
    <x v="119"/>
    <s v="INTEREST_AND_FEES"/>
    <n v="0"/>
    <s v="NONE"/>
    <n v="0"/>
    <n v="0"/>
    <s v="IGNORED"/>
    <s v="957278SA"/>
    <s v="SUMMIT"/>
    <m/>
    <d v="1949-03-19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12.97"/>
    <s v="11.4021978021978021978021978021978021978"/>
    <n v="12.97"/>
    <s v="1.1375"/>
    <s v="USD"/>
    <x v="120"/>
    <s v="INTEREST_AND_FEES"/>
    <n v="0"/>
    <s v="NONE"/>
    <n v="0"/>
    <n v="0"/>
    <s v="IGNORED"/>
    <s v="957278SA"/>
    <s v="SUMMIT"/>
    <m/>
    <d v="1949-03-19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-28.25"/>
    <s v="-24.835164835164835164835164835164835165"/>
    <n v="-28.25"/>
    <s v="1.1375"/>
    <s v="USD"/>
    <x v="95"/>
    <s v="INTEREST_AND_FEES"/>
    <n v="0"/>
    <s v="NONE"/>
    <n v="0"/>
    <n v="0"/>
    <s v="IGNORED"/>
    <s v="957278SA"/>
    <s v="SUMMIT"/>
    <m/>
    <d v="1949-03-19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-27.33"/>
    <s v="-24.026373626373626373626373626373626374"/>
    <n v="-27.33"/>
    <s v="1.1375"/>
    <s v="USD"/>
    <x v="121"/>
    <s v="INTEREST_AND_FEES"/>
    <n v="0"/>
    <s v="NONE"/>
    <n v="0"/>
    <n v="0"/>
    <s v="IGNORED"/>
    <s v="957278SA"/>
    <s v="SUMMIT"/>
    <m/>
    <d v="1949-03-19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-27.33"/>
    <s v="-24.026373626373626373626373626373626374"/>
    <n v="-27.33"/>
    <s v="1.1375"/>
    <s v="USD"/>
    <x v="122"/>
    <s v="INTEREST_AND_FEES"/>
    <n v="0"/>
    <s v="NONE"/>
    <n v="0"/>
    <n v="0"/>
    <s v="IGNORED"/>
    <s v="957278SA"/>
    <s v="SUMMIT"/>
    <m/>
    <d v="1949-03-19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-29.16"/>
    <s v="-25.635164835164835164835164835164835165"/>
    <n v="-29.16"/>
    <s v="1.1375"/>
    <s v="USD"/>
    <x v="123"/>
    <s v="INTEREST_AND_FEES"/>
    <n v="0"/>
    <s v="NONE"/>
    <n v="0"/>
    <n v="0"/>
    <s v="IGNORED"/>
    <s v="957278SA"/>
    <s v="SUMMIT"/>
    <m/>
    <d v="1949-03-19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-27.33"/>
    <s v="-24.026373626373626373626373626373626374"/>
    <n v="-27.33"/>
    <s v="1.1375"/>
    <s v="USD"/>
    <x v="124"/>
    <s v="INTEREST_AND_FEES"/>
    <n v="0"/>
    <s v="NONE"/>
    <n v="0"/>
    <n v="0"/>
    <s v="IGNORED"/>
    <s v="957278SA"/>
    <s v="SUMMIT"/>
    <m/>
    <d v="1949-03-19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-26.42"/>
    <s v="-23.226373626373626373626373626373626374"/>
    <n v="-26.419999999999998"/>
    <s v="1.1375"/>
    <s v="USD"/>
    <x v="125"/>
    <s v="INTEREST_AND_FEES"/>
    <n v="0"/>
    <s v="NONE"/>
    <n v="0"/>
    <n v="0"/>
    <s v="IGNORED"/>
    <s v="957278SA"/>
    <s v="SUMMIT"/>
    <m/>
    <d v="1949-03-19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-29.16"/>
    <s v="-25.635164835164835164835164835164835165"/>
    <n v="-29.16"/>
    <s v="1.1375"/>
    <s v="USD"/>
    <x v="96"/>
    <s v="INTEREST_AND_FEES"/>
    <n v="0"/>
    <s v="NONE"/>
    <n v="0"/>
    <n v="0"/>
    <s v="IGNORED"/>
    <s v="957278SA"/>
    <s v="SUMMIT"/>
    <m/>
    <d v="1949-03-19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-28.25"/>
    <s v="-24.835164835164835164835164835164835165"/>
    <n v="-28.25"/>
    <s v="1.1375"/>
    <s v="USD"/>
    <x v="126"/>
    <s v="INTEREST_AND_FEES"/>
    <n v="0"/>
    <s v="NONE"/>
    <n v="0"/>
    <n v="0"/>
    <s v="IGNORED"/>
    <s v="957278SA"/>
    <s v="SUMMIT"/>
    <m/>
    <d v="1949-03-19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-25.5"/>
    <s v="-22.417582417582417582417582417582417582"/>
    <n v="-25.499999999999996"/>
    <s v="1.1375"/>
    <s v="USD"/>
    <x v="127"/>
    <s v="INTEREST_AND_FEES"/>
    <n v="0"/>
    <s v="NONE"/>
    <n v="0"/>
    <n v="0"/>
    <s v="IGNORED"/>
    <s v="957278SA"/>
    <s v="SUMMIT"/>
    <m/>
    <d v="1949-03-19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-28.25"/>
    <s v="-24.835164835164835164835164835164835165"/>
    <n v="-28.25"/>
    <s v="1.1375"/>
    <s v="USD"/>
    <x v="128"/>
    <s v="INTEREST_AND_FEES"/>
    <n v="0"/>
    <s v="NONE"/>
    <n v="0"/>
    <n v="0"/>
    <s v="IGNORED"/>
    <s v="957278SA"/>
    <s v="SUMMIT"/>
    <m/>
    <d v="1949-03-19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-28.25"/>
    <s v="-24.835164835164835164835164835164835165"/>
    <n v="-28.25"/>
    <s v="1.1375"/>
    <s v="USD"/>
    <x v="129"/>
    <s v="INTEREST_AND_FEES"/>
    <n v="0"/>
    <s v="NONE"/>
    <n v="0"/>
    <n v="0"/>
    <s v="IGNORED"/>
    <s v="957278SA"/>
    <s v="SUMMIT"/>
    <m/>
    <d v="1949-03-19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7"/>
    <x v="1"/>
    <x v="0"/>
    <x v="32"/>
    <x v="6"/>
    <m/>
    <n v="0"/>
    <n v="0"/>
    <n v="0"/>
    <s v="1.1375"/>
    <s v="USD"/>
    <x v="47"/>
    <s v="INTEREST_AND_FEES"/>
    <n v="0"/>
    <s v="NONE"/>
    <n v="0"/>
    <n v="0"/>
    <s v="INFLOW_CENTRAL_GOV_INVESTMENTS"/>
    <n v="194016"/>
    <s v="SUMMIT"/>
    <m/>
    <d v="2016-05-12T00:00:00"/>
    <s v="AFS_GEN_U"/>
    <s v="AM_GICS_F"/>
    <s v="NONE"/>
    <s v="BONDS"/>
    <s v="RBC CAPTIAL MARKETS, LLC"/>
    <n v="3101053435"/>
    <s v="Bond"/>
    <s v="Bond"/>
    <s v="DEPFAPLC_NY"/>
    <s v="DEPFA"/>
    <s v="US912796HR30"/>
    <m/>
    <s v="Not GIC"/>
  </r>
  <r>
    <x v="0"/>
    <x v="0"/>
    <x v="0"/>
    <x v="0"/>
    <x v="0"/>
    <m/>
    <n v="73350"/>
    <s v="64483.5164835164835164835164835164835165"/>
    <n v="73350"/>
    <s v="1.1375"/>
    <s v="USD"/>
    <x v="30"/>
    <s v="INTEREST_AND_FEES"/>
    <n v="0"/>
    <s v="NONE"/>
    <n v="0"/>
    <n v="0"/>
    <s v="IGNORED"/>
    <s v="957309PN"/>
    <s v="SUMMIT"/>
    <m/>
    <d v="2027-06-01T00:00:00"/>
    <s v="FV_HEDGE"/>
    <s v="AM_GICS_F"/>
    <s v="INTRA_ENTITY"/>
    <s v="DERIVATES"/>
    <s v="Depfa Bank Plc"/>
    <n v="4101000279"/>
    <s v="Derivative"/>
    <s v="Swap"/>
    <s v="DEPFAPLC_NY"/>
    <s v="DEPFA"/>
    <m/>
    <m/>
    <s v="Not GIC"/>
  </r>
  <r>
    <x v="3"/>
    <x v="0"/>
    <x v="0"/>
    <x v="3"/>
    <x v="3"/>
    <m/>
    <n v="73350"/>
    <s v="64483.5164835164835164835164835164835165"/>
    <n v="73350"/>
    <s v="1.1375"/>
    <s v="USD"/>
    <x v="35"/>
    <s v="INTEREST_AND_FEES"/>
    <n v="0"/>
    <s v="NONE"/>
    <n v="0"/>
    <n v="0"/>
    <s v="IGNORED"/>
    <s v="957309PN"/>
    <s v="SUMMIT"/>
    <m/>
    <d v="2027-06-01T00:00:00"/>
    <s v="FV_HEDGE"/>
    <s v="AM_GICS_F"/>
    <s v="INTRA_ENTITY"/>
    <s v="DERIVATES"/>
    <s v="Depfa Bank Plc"/>
    <n v="4101000279"/>
    <s v="Derivative"/>
    <s v="Swap"/>
    <s v="DEPFAPLC_NY"/>
    <s v="DEPFA"/>
    <m/>
    <m/>
    <s v="Not GIC"/>
  </r>
  <r>
    <x v="4"/>
    <x v="0"/>
    <x v="0"/>
    <x v="4"/>
    <x v="4"/>
    <m/>
    <n v="73350"/>
    <s v="64483.5164835164835164835164835164835165"/>
    <n v="73350"/>
    <s v="1.1375"/>
    <s v="USD"/>
    <x v="40"/>
    <s v="INTEREST_AND_FEES"/>
    <n v="0"/>
    <s v="NONE"/>
    <n v="0"/>
    <n v="0"/>
    <s v="IGNORED"/>
    <s v="957309PN"/>
    <s v="SUMMIT"/>
    <m/>
    <d v="2027-06-01T00:00:00"/>
    <s v="FV_HEDGE"/>
    <s v="AM_GICS_F"/>
    <s v="INTRA_ENTITY"/>
    <s v="DERIVATES"/>
    <s v="Depfa Bank Plc"/>
    <n v="4101000279"/>
    <s v="Derivative"/>
    <s v="Swap"/>
    <s v="DEPFAPLC_NY"/>
    <s v="DEPFA"/>
    <m/>
    <m/>
    <s v="Not GIC"/>
  </r>
  <r>
    <x v="5"/>
    <x v="0"/>
    <x v="0"/>
    <x v="5"/>
    <x v="5"/>
    <m/>
    <n v="73350"/>
    <s v="64483.5164835164835164835164835164835165"/>
    <n v="73350"/>
    <s v="1.1375"/>
    <s v="USD"/>
    <x v="52"/>
    <s v="INTEREST_AND_FEES"/>
    <n v="0"/>
    <s v="NONE"/>
    <n v="0"/>
    <n v="0"/>
    <s v="IGNORED"/>
    <s v="957309PN"/>
    <s v="SUMMIT"/>
    <m/>
    <d v="2027-06-01T00:00:00"/>
    <s v="FV_HEDGE"/>
    <s v="AM_GICS_F"/>
    <s v="INTRA_ENTITY"/>
    <s v="DERIVATES"/>
    <s v="Depfa Bank Plc"/>
    <n v="4101000279"/>
    <s v="Derivative"/>
    <s v="Swap"/>
    <s v="DEPFAPLC_NY"/>
    <s v="DEPFA"/>
    <m/>
    <m/>
    <s v="Not GIC"/>
  </r>
  <r>
    <x v="0"/>
    <x v="0"/>
    <x v="0"/>
    <x v="0"/>
    <x v="0"/>
    <m/>
    <s v="-10555.2"/>
    <s v="-9279.2967032967032967032967032967032967"/>
    <n v="-10555.199999999999"/>
    <s v="1.1375"/>
    <s v="USD"/>
    <x v="0"/>
    <s v="INTEREST_AND_FEES"/>
    <n v="0"/>
    <s v="NONE"/>
    <n v="0"/>
    <n v="0"/>
    <s v="IGNORED"/>
    <s v="957017PN"/>
    <s v="SUMMIT"/>
    <m/>
    <d v="2026-12-15T00:00:00"/>
    <s v="FV_HEDGE"/>
    <s v="AM_GICMI_F"/>
    <s v="INTRA_ENTITY"/>
    <s v="DERIVATES"/>
    <s v="Depfa Bank Plc"/>
    <n v="4101000279"/>
    <s v="Derivative"/>
    <s v="Swap"/>
    <s v="DEPFAPLC_NY"/>
    <s v="DEPFA"/>
    <m/>
    <m/>
    <s v="Not GIC"/>
  </r>
  <r>
    <x v="1"/>
    <x v="0"/>
    <x v="0"/>
    <x v="1"/>
    <x v="1"/>
    <m/>
    <s v="-10481.5"/>
    <s v="-9214.5054945054945054945054945054945055"/>
    <n v="-10481.5"/>
    <s v="1.1375"/>
    <s v="USD"/>
    <x v="1"/>
    <s v="INTEREST_AND_FEES"/>
    <n v="0"/>
    <s v="NONE"/>
    <n v="0"/>
    <n v="0"/>
    <s v="IGNORED"/>
    <s v="957017PN"/>
    <s v="SUMMIT"/>
    <m/>
    <d v="2026-12-15T00:00:00"/>
    <s v="FV_HEDGE"/>
    <s v="AM_GICMI_F"/>
    <s v="INTRA_ENTITY"/>
    <s v="DERIVATES"/>
    <s v="Depfa Bank Plc"/>
    <n v="4101000279"/>
    <s v="Derivative"/>
    <s v="Swap"/>
    <s v="DEPFAPLC_NY"/>
    <s v="DEPFA"/>
    <m/>
    <m/>
    <s v="Not GIC"/>
  </r>
  <r>
    <x v="1"/>
    <x v="0"/>
    <x v="0"/>
    <x v="1"/>
    <x v="1"/>
    <m/>
    <s v="-10709.85"/>
    <s v="-9415.2527472527472527472527472527472527"/>
    <n v="-10709.85"/>
    <s v="1.1375"/>
    <s v="USD"/>
    <x v="2"/>
    <s v="INTEREST_AND_FEES"/>
    <n v="0"/>
    <s v="NONE"/>
    <n v="0"/>
    <n v="0"/>
    <s v="IGNORED"/>
    <s v="957017PN"/>
    <s v="SUMMIT"/>
    <m/>
    <d v="2026-12-15T00:00:00"/>
    <s v="FV_HEDGE"/>
    <s v="AM_GICMI_F"/>
    <s v="INTRA_ENTITY"/>
    <s v="DERIVATES"/>
    <s v="Depfa Bank Plc"/>
    <n v="4101000279"/>
    <s v="Derivative"/>
    <s v="Swap"/>
    <s v="DEPFAPLC_NY"/>
    <s v="DEPFA"/>
    <m/>
    <m/>
    <s v="Not GIC"/>
  </r>
  <r>
    <x v="2"/>
    <x v="0"/>
    <x v="0"/>
    <x v="2"/>
    <x v="2"/>
    <m/>
    <s v="-17515.5"/>
    <s v="-15398.241758241758241758241758241758242"/>
    <n v="-17515.5"/>
    <s v="1.1375"/>
    <s v="USD"/>
    <x v="3"/>
    <s v="INTEREST_AND_FEES"/>
    <n v="0"/>
    <s v="NONE"/>
    <n v="0"/>
    <n v="0"/>
    <s v="IGNORED"/>
    <s v="957017PN"/>
    <s v="SUMMIT"/>
    <m/>
    <d v="2026-12-15T00:00:00"/>
    <s v="FV_HEDGE"/>
    <s v="AM_GICMI_F"/>
    <s v="INTRA_ENTITY"/>
    <s v="DERIVATES"/>
    <s v="Depfa Bank Plc"/>
    <n v="4101000279"/>
    <s v="Derivative"/>
    <s v="Swap"/>
    <s v="DEPFAPLC_NY"/>
    <s v="DEPFA"/>
    <m/>
    <m/>
    <s v="Not GIC"/>
  </r>
  <r>
    <x v="2"/>
    <x v="0"/>
    <x v="0"/>
    <x v="2"/>
    <x v="2"/>
    <m/>
    <s v="-19265.95"/>
    <s v="-16937.098901098901098901098901098901099"/>
    <n v="-19265.949999999997"/>
    <s v="1.1375"/>
    <s v="USD"/>
    <x v="4"/>
    <s v="INTEREST_AND_FEES"/>
    <n v="0"/>
    <s v="NONE"/>
    <n v="0"/>
    <n v="0"/>
    <s v="IGNORED"/>
    <s v="957017PN"/>
    <s v="SUMMIT"/>
    <m/>
    <d v="2026-12-15T00:00:00"/>
    <s v="FV_HEDGE"/>
    <s v="AM_GICMI_F"/>
    <s v="INTRA_ENTITY"/>
    <s v="DERIVATES"/>
    <s v="Depfa Bank Plc"/>
    <n v="4101000279"/>
    <s v="Derivative"/>
    <s v="Swap"/>
    <s v="DEPFAPLC_NY"/>
    <s v="DEPFA"/>
    <m/>
    <m/>
    <s v="Not GIC"/>
  </r>
  <r>
    <x v="2"/>
    <x v="0"/>
    <x v="0"/>
    <x v="2"/>
    <x v="2"/>
    <m/>
    <s v="-21312.19"/>
    <s v="-18735.991208791208791208791208791208791"/>
    <n v="-21312.19"/>
    <s v="1.1375"/>
    <s v="USD"/>
    <x v="5"/>
    <s v="INTEREST_AND_FEES"/>
    <n v="0"/>
    <s v="NONE"/>
    <n v="0"/>
    <n v="0"/>
    <s v="IGNORED"/>
    <s v="957017PN"/>
    <s v="SUMMIT"/>
    <m/>
    <d v="2026-12-15T00:00:00"/>
    <s v="FV_HEDGE"/>
    <s v="AM_GICMI_F"/>
    <s v="INTRA_ENTITY"/>
    <s v="DERIVATES"/>
    <s v="Depfa Bank Plc"/>
    <n v="4101000279"/>
    <s v="Derivative"/>
    <s v="Swap"/>
    <s v="DEPFAPLC_NY"/>
    <s v="DEPFA"/>
    <m/>
    <m/>
    <s v="Not GIC"/>
  </r>
  <r>
    <x v="3"/>
    <x v="0"/>
    <x v="0"/>
    <x v="3"/>
    <x v="3"/>
    <m/>
    <s v="-27732.42"/>
    <s v="-24380.14945054945054945054945054945055"/>
    <n v="-27732.420000000002"/>
    <s v="1.1375"/>
    <s v="USD"/>
    <x v="6"/>
    <s v="INTEREST_AND_FEES"/>
    <n v="0"/>
    <s v="NONE"/>
    <n v="0"/>
    <n v="0"/>
    <s v="IGNORED"/>
    <s v="957017PN"/>
    <s v="SUMMIT"/>
    <m/>
    <d v="2026-12-15T00:00:00"/>
    <s v="FV_HEDGE"/>
    <s v="AM_GICMI_F"/>
    <s v="INTRA_ENTITY"/>
    <s v="DERIVATES"/>
    <s v="Depfa Bank Plc"/>
    <n v="4101000279"/>
    <s v="Derivative"/>
    <s v="Swap"/>
    <s v="DEPFAPLC_NY"/>
    <s v="DEPFA"/>
    <m/>
    <m/>
    <s v="Not GIC"/>
  </r>
  <r>
    <x v="3"/>
    <x v="0"/>
    <x v="0"/>
    <x v="3"/>
    <x v="3"/>
    <m/>
    <s v="-19385.45"/>
    <s v="-17042.153846153846153846153846153846154"/>
    <n v="-19385.45"/>
    <s v="1.1375"/>
    <s v="USD"/>
    <x v="7"/>
    <s v="INTEREST_AND_FEES"/>
    <n v="0"/>
    <s v="NONE"/>
    <n v="0"/>
    <n v="0"/>
    <s v="IGNORED"/>
    <s v="957017PN"/>
    <s v="SUMMIT"/>
    <m/>
    <d v="2026-12-15T00:00:00"/>
    <s v="FV_HEDGE"/>
    <s v="AM_GICMI_F"/>
    <s v="INTRA_ENTITY"/>
    <s v="DERIVATES"/>
    <s v="Depfa Bank Plc"/>
    <n v="4101000279"/>
    <s v="Derivative"/>
    <s v="Swap"/>
    <s v="DEPFAPLC_NY"/>
    <s v="DEPFA"/>
    <m/>
    <m/>
    <s v="Not GIC"/>
  </r>
  <r>
    <x v="3"/>
    <x v="0"/>
    <x v="0"/>
    <x v="3"/>
    <x v="3"/>
    <m/>
    <s v="-4497.78"/>
    <s v="-3954.0923076923076923076923076923076923"/>
    <n v="-4497.78"/>
    <s v="1.1375"/>
    <s v="USD"/>
    <x v="8"/>
    <s v="INTEREST_AND_FEES"/>
    <n v="0"/>
    <s v="NONE"/>
    <n v="0"/>
    <n v="0"/>
    <s v="IGNORED"/>
    <s v="957017PN"/>
    <s v="SUMMIT"/>
    <m/>
    <d v="2026-12-15T00:00:00"/>
    <s v="FV_HEDGE"/>
    <s v="AM_GICMI_F"/>
    <s v="INTRA_ENTITY"/>
    <s v="DERIVATES"/>
    <s v="Depfa Bank Plc"/>
    <n v="4101000279"/>
    <s v="Derivative"/>
    <s v="Swap"/>
    <s v="DEPFAPLC_NY"/>
    <s v="DEPFA"/>
    <m/>
    <m/>
    <s v="Not GIC"/>
  </r>
  <r>
    <x v="3"/>
    <x v="0"/>
    <x v="0"/>
    <x v="3"/>
    <x v="3"/>
    <m/>
    <s v="-10165.85"/>
    <s v="-8937.010989010989010989010989010989011"/>
    <n v="-10165.849999999999"/>
    <s v="1.1375"/>
    <s v="USD"/>
    <x v="9"/>
    <s v="INTEREST_AND_FEES"/>
    <n v="0"/>
    <s v="NONE"/>
    <n v="0"/>
    <n v="0"/>
    <s v="IGNORED"/>
    <s v="957017PN"/>
    <s v="SUMMIT"/>
    <m/>
    <d v="2026-12-15T00:00:00"/>
    <s v="FV_HEDGE"/>
    <s v="AM_GICMI_F"/>
    <s v="INTRA_ENTITY"/>
    <s v="DERIVATES"/>
    <s v="Depfa Bank Plc"/>
    <n v="4101000279"/>
    <s v="Derivative"/>
    <s v="Swap"/>
    <s v="DEPFAPLC_NY"/>
    <s v="DEPFA"/>
    <m/>
    <m/>
    <s v="Not GIC"/>
  </r>
  <r>
    <x v="3"/>
    <x v="0"/>
    <x v="0"/>
    <x v="3"/>
    <x v="3"/>
    <m/>
    <s v="-17290.28"/>
    <s v="-15200.246153846153846153846153846153846"/>
    <n v="-17290.28"/>
    <s v="1.1375"/>
    <s v="USD"/>
    <x v="10"/>
    <s v="INTEREST_AND_FEES"/>
    <n v="0"/>
    <s v="NONE"/>
    <n v="0"/>
    <n v="0"/>
    <s v="IGNORED"/>
    <s v="957017PN"/>
    <s v="SUMMIT"/>
    <m/>
    <d v="2026-12-15T00:00:00"/>
    <s v="FV_HEDGE"/>
    <s v="AM_GICMI_F"/>
    <s v="INTRA_ENTITY"/>
    <s v="DERIVATES"/>
    <s v="Depfa Bank Plc"/>
    <n v="4101000279"/>
    <s v="Derivative"/>
    <s v="Swap"/>
    <s v="DEPFAPLC_NY"/>
    <s v="DEPFA"/>
    <m/>
    <m/>
    <s v="Not GIC"/>
  </r>
  <r>
    <x v="3"/>
    <x v="0"/>
    <x v="0"/>
    <x v="3"/>
    <x v="3"/>
    <m/>
    <s v="-19565.96"/>
    <s v="-17200.843956043956043956043956043956044"/>
    <n v="-19565.96"/>
    <s v="1.1375"/>
    <s v="USD"/>
    <x v="11"/>
    <s v="INTEREST_AND_FEES"/>
    <n v="0"/>
    <s v="NONE"/>
    <n v="0"/>
    <n v="0"/>
    <s v="IGNORED"/>
    <s v="957017PN"/>
    <s v="SUMMIT"/>
    <m/>
    <d v="2026-12-15T00:00:00"/>
    <s v="FV_HEDGE"/>
    <s v="AM_GICMI_F"/>
    <s v="INTRA_ENTITY"/>
    <s v="DERIVATES"/>
    <s v="Depfa Bank Plc"/>
    <n v="4101000279"/>
    <s v="Derivative"/>
    <s v="Swap"/>
    <s v="DEPFAPLC_NY"/>
    <s v="DEPFA"/>
    <m/>
    <m/>
    <s v="Not GIC"/>
  </r>
  <r>
    <x v="4"/>
    <x v="0"/>
    <x v="0"/>
    <x v="4"/>
    <x v="4"/>
    <m/>
    <s v="-34410.69"/>
    <s v="-30251.156043956043956043956043956043956"/>
    <n v="-34410.69"/>
    <s v="1.1375"/>
    <s v="USD"/>
    <x v="12"/>
    <s v="INTEREST_AND_FEES"/>
    <n v="0"/>
    <s v="NONE"/>
    <n v="0"/>
    <n v="0"/>
    <s v="IGNORED"/>
    <s v="957017PN"/>
    <s v="SUMMIT"/>
    <m/>
    <d v="2026-12-15T00:00:00"/>
    <s v="FV_HEDGE"/>
    <s v="AM_GICMI_F"/>
    <s v="INTRA_ENTITY"/>
    <s v="DERIVATES"/>
    <s v="Depfa Bank Plc"/>
    <n v="4101000279"/>
    <s v="Derivative"/>
    <s v="Swap"/>
    <s v="DEPFAPLC_NY"/>
    <s v="DEPFA"/>
    <m/>
    <m/>
    <s v="Not GIC"/>
  </r>
  <r>
    <x v="4"/>
    <x v="0"/>
    <x v="0"/>
    <x v="4"/>
    <x v="4"/>
    <m/>
    <s v="-34337.21"/>
    <s v="-30186.558241758241758241758241758241758"/>
    <n v="-34337.21"/>
    <s v="1.1375"/>
    <s v="USD"/>
    <x v="13"/>
    <s v="INTEREST_AND_FEES"/>
    <n v="0"/>
    <s v="NONE"/>
    <n v="0"/>
    <n v="0"/>
    <s v="IGNORED"/>
    <s v="957017PN"/>
    <s v="SUMMIT"/>
    <m/>
    <d v="2026-12-15T00:00:00"/>
    <s v="FV_HEDGE"/>
    <s v="AM_GICMI_F"/>
    <s v="INTRA_ENTITY"/>
    <s v="DERIVATES"/>
    <s v="Depfa Bank Plc"/>
    <n v="4101000279"/>
    <s v="Derivative"/>
    <s v="Swap"/>
    <s v="DEPFAPLC_NY"/>
    <s v="DEPFA"/>
    <m/>
    <m/>
    <s v="Not GIC"/>
  </r>
  <r>
    <x v="4"/>
    <x v="0"/>
    <x v="0"/>
    <x v="4"/>
    <x v="4"/>
    <m/>
    <s v="-36677.06"/>
    <s v="-32243.569230769230769230769230769230769"/>
    <n v="-36677.06"/>
    <s v="1.1375"/>
    <s v="USD"/>
    <x v="14"/>
    <s v="INTEREST_AND_FEES"/>
    <n v="0"/>
    <s v="NONE"/>
    <n v="0"/>
    <n v="0"/>
    <s v="IGNORED"/>
    <s v="957017PN"/>
    <s v="SUMMIT"/>
    <m/>
    <d v="2026-12-15T00:00:00"/>
    <s v="FV_HEDGE"/>
    <s v="AM_GICMI_F"/>
    <s v="INTRA_ENTITY"/>
    <s v="DERIVATES"/>
    <s v="Depfa Bank Plc"/>
    <n v="4101000279"/>
    <s v="Derivative"/>
    <s v="Swap"/>
    <s v="DEPFAPLC_NY"/>
    <s v="DEPFA"/>
    <m/>
    <m/>
    <s v="Not GIC"/>
  </r>
  <r>
    <x v="4"/>
    <x v="0"/>
    <x v="0"/>
    <x v="4"/>
    <x v="4"/>
    <m/>
    <s v="-42360.59"/>
    <s v="-37240.079120879120879120879120879120879"/>
    <n v="-42360.59"/>
    <s v="1.1375"/>
    <s v="USD"/>
    <x v="15"/>
    <s v="INTEREST_AND_FEES"/>
    <n v="0"/>
    <s v="NONE"/>
    <n v="0"/>
    <n v="0"/>
    <s v="IGNORED"/>
    <s v="957017PN"/>
    <s v="SUMMIT"/>
    <m/>
    <d v="2026-12-15T00:00:00"/>
    <s v="FV_HEDGE"/>
    <s v="AM_GICMI_F"/>
    <s v="INTRA_ENTITY"/>
    <s v="DERIVATES"/>
    <s v="Depfa Bank Plc"/>
    <n v="4101000279"/>
    <s v="Derivative"/>
    <s v="Swap"/>
    <s v="DEPFAPLC_NY"/>
    <s v="DEPFA"/>
    <m/>
    <m/>
    <s v="Not GIC"/>
  </r>
  <r>
    <x v="4"/>
    <x v="0"/>
    <x v="0"/>
    <x v="4"/>
    <x v="4"/>
    <m/>
    <s v="-42336.07"/>
    <s v="-37218.523076923076923076923076923076923"/>
    <n v="-42336.07"/>
    <s v="1.1375"/>
    <s v="USD"/>
    <x v="16"/>
    <s v="INTEREST_AND_FEES"/>
    <n v="0"/>
    <s v="NONE"/>
    <n v="0"/>
    <n v="0"/>
    <s v="IGNORED"/>
    <s v="957017PN"/>
    <s v="SUMMIT"/>
    <m/>
    <d v="2026-12-15T00:00:00"/>
    <s v="FV_HEDGE"/>
    <s v="AM_GICMI_F"/>
    <s v="INTRA_ENTITY"/>
    <s v="DERIVATES"/>
    <s v="Depfa Bank Plc"/>
    <n v="4101000279"/>
    <s v="Derivative"/>
    <s v="Swap"/>
    <s v="DEPFAPLC_NY"/>
    <s v="DEPFA"/>
    <m/>
    <m/>
    <s v="Not GIC"/>
  </r>
  <r>
    <x v="4"/>
    <x v="0"/>
    <x v="0"/>
    <x v="4"/>
    <x v="4"/>
    <m/>
    <s v="-50055.14"/>
    <s v="-44004.518681318681318681318681318681319"/>
    <n v="-50055.14"/>
    <s v="1.1375"/>
    <s v="USD"/>
    <x v="17"/>
    <s v="INTEREST_AND_FEES"/>
    <n v="0"/>
    <s v="NONE"/>
    <n v="0"/>
    <n v="0"/>
    <s v="IGNORED"/>
    <s v="957017PN"/>
    <s v="SUMMIT"/>
    <m/>
    <d v="2026-12-15T00:00:00"/>
    <s v="FV_HEDGE"/>
    <s v="AM_GICMI_F"/>
    <s v="INTRA_ENTITY"/>
    <s v="DERIVATES"/>
    <s v="Depfa Bank Plc"/>
    <n v="4101000279"/>
    <s v="Derivative"/>
    <s v="Swap"/>
    <s v="DEPFAPLC_NY"/>
    <s v="DEPFA"/>
    <m/>
    <m/>
    <s v="Not GIC"/>
  </r>
  <r>
    <x v="5"/>
    <x v="0"/>
    <x v="0"/>
    <x v="5"/>
    <x v="5"/>
    <m/>
    <s v="-52888.17"/>
    <s v="-46495.094505494505494505494505494505495"/>
    <n v="-52888.17"/>
    <s v="1.1375"/>
    <s v="USD"/>
    <x v="18"/>
    <s v="INTEREST_AND_FEES"/>
    <n v="0"/>
    <s v="NONE"/>
    <n v="0"/>
    <n v="0"/>
    <s v="IGNORED"/>
    <s v="957017PN"/>
    <s v="SUMMIT"/>
    <m/>
    <d v="2026-12-15T00:00:00"/>
    <s v="FV_HEDGE"/>
    <s v="AM_GICMI_F"/>
    <s v="INTRA_ENTITY"/>
    <s v="DERIVATES"/>
    <s v="Depfa Bank Plc"/>
    <n v="4101000279"/>
    <s v="Derivative"/>
    <s v="Swap"/>
    <s v="DEPFAPLC_NY"/>
    <s v="DEPFA"/>
    <m/>
    <m/>
    <s v="Not GIC"/>
  </r>
  <r>
    <x v="5"/>
    <x v="0"/>
    <x v="0"/>
    <x v="5"/>
    <x v="5"/>
    <m/>
    <s v="-32065.37"/>
    <s v="-28189.336263736263736263736263736263736"/>
    <n v="-32065.37"/>
    <s v="1.1375"/>
    <s v="USD"/>
    <x v="19"/>
    <s v="INTEREST_AND_FEES"/>
    <n v="0"/>
    <s v="NONE"/>
    <n v="0"/>
    <n v="0"/>
    <s v="IGNORED"/>
    <s v="957017PN"/>
    <s v="SUMMIT"/>
    <m/>
    <d v="2026-12-15T00:00:00"/>
    <s v="FV_HEDGE"/>
    <s v="AM_GICMI_F"/>
    <s v="INTRA_ENTITY"/>
    <s v="DERIVATES"/>
    <s v="Depfa Bank Plc"/>
    <n v="4101000279"/>
    <s v="Derivative"/>
    <s v="Swap"/>
    <s v="DEPFAPLC_NY"/>
    <s v="DEPFA"/>
    <m/>
    <m/>
    <s v="Not GIC"/>
  </r>
  <r>
    <x v="5"/>
    <x v="0"/>
    <x v="0"/>
    <x v="5"/>
    <x v="5"/>
    <m/>
    <s v="-7570.52"/>
    <s v="-6655.4021978021978021978021978021978022"/>
    <n v="-7570.5199999999995"/>
    <s v="1.1375"/>
    <s v="USD"/>
    <x v="20"/>
    <s v="INTEREST_AND_FEES"/>
    <n v="0"/>
    <s v="NONE"/>
    <n v="0"/>
    <n v="0"/>
    <s v="IGNORED"/>
    <s v="957017PN"/>
    <s v="SUMMIT"/>
    <m/>
    <d v="2026-12-15T00:00:00"/>
    <s v="FV_HEDGE"/>
    <s v="AM_GICMI_F"/>
    <s v="INTRA_ENTITY"/>
    <s v="DERIVATES"/>
    <s v="Depfa Bank Plc"/>
    <n v="4101000279"/>
    <s v="Derivative"/>
    <s v="Swap"/>
    <s v="DEPFAPLC_NY"/>
    <s v="DEPFA"/>
    <m/>
    <m/>
    <s v="Not GIC"/>
  </r>
  <r>
    <x v="5"/>
    <x v="0"/>
    <x v="0"/>
    <x v="5"/>
    <x v="5"/>
    <m/>
    <s v="-14239.74"/>
    <s v="-12518.452747252747252747252747252747253"/>
    <n v="-14239.74"/>
    <s v="1.1375"/>
    <s v="USD"/>
    <x v="21"/>
    <s v="INTEREST_AND_FEES"/>
    <n v="0"/>
    <s v="NONE"/>
    <n v="0"/>
    <n v="0"/>
    <s v="IGNORED"/>
    <s v="957017PN"/>
    <s v="SUMMIT"/>
    <m/>
    <d v="2026-12-15T00:00:00"/>
    <s v="FV_HEDGE"/>
    <s v="AM_GICMI_F"/>
    <s v="INTRA_ENTITY"/>
    <s v="DERIVATES"/>
    <s v="Depfa Bank Plc"/>
    <n v="4101000279"/>
    <s v="Derivative"/>
    <s v="Swap"/>
    <s v="DEPFAPLC_NY"/>
    <s v="DEPFA"/>
    <m/>
    <m/>
    <s v="Not GIC"/>
  </r>
  <r>
    <x v="5"/>
    <x v="0"/>
    <x v="0"/>
    <x v="5"/>
    <x v="5"/>
    <m/>
    <s v="-21308.22"/>
    <s v="-18732.501098901098901098901098901098901"/>
    <n v="-21308.219999999998"/>
    <s v="1.1375"/>
    <s v="USD"/>
    <x v="22"/>
    <s v="INTEREST_AND_FEES"/>
    <n v="0"/>
    <s v="NONE"/>
    <n v="0"/>
    <n v="0"/>
    <s v="IGNORED"/>
    <s v="957017PN"/>
    <s v="SUMMIT"/>
    <m/>
    <d v="2026-12-15T00:00:00"/>
    <s v="FV_HEDGE"/>
    <s v="AM_GICMI_F"/>
    <s v="INTRA_ENTITY"/>
    <s v="DERIVATES"/>
    <s v="Depfa Bank Plc"/>
    <n v="4101000279"/>
    <s v="Derivative"/>
    <s v="Swap"/>
    <s v="DEPFAPLC_NY"/>
    <s v="DEPFA"/>
    <m/>
    <m/>
    <s v="Not GIC"/>
  </r>
  <r>
    <x v="5"/>
    <x v="0"/>
    <x v="0"/>
    <x v="5"/>
    <x v="5"/>
    <m/>
    <s v="-27501.64"/>
    <s v="-24177.265934065934065934065934065934066"/>
    <n v="-27501.64"/>
    <s v="1.1375"/>
    <s v="USD"/>
    <x v="23"/>
    <s v="INTEREST_AND_FEES"/>
    <n v="0"/>
    <s v="NONE"/>
    <n v="0"/>
    <n v="0"/>
    <s v="IGNORED"/>
    <s v="957017PN"/>
    <s v="SUMMIT"/>
    <m/>
    <d v="2026-12-15T00:00:00"/>
    <s v="FV_HEDGE"/>
    <s v="AM_GICMI_F"/>
    <s v="INTRA_ENTITY"/>
    <s v="DERIVATES"/>
    <s v="Depfa Bank Plc"/>
    <n v="4101000279"/>
    <s v="Derivative"/>
    <s v="Swap"/>
    <s v="DEPFAPLC_NY"/>
    <s v="DEPFA"/>
    <m/>
    <m/>
    <s v="Not GIC"/>
  </r>
  <r>
    <x v="1"/>
    <x v="1"/>
    <x v="0"/>
    <x v="13"/>
    <x v="6"/>
    <s v="3M_San Sabia Capital Corporation"/>
    <s v="-8281.79"/>
    <s v="-7280.6945054945054945054945054945054945"/>
    <n v="-8281.7899999999991"/>
    <s v="1.1375"/>
    <s v="USD"/>
    <x v="1"/>
    <s v="INTEREST_AND_FEES"/>
    <n v="0"/>
    <s v="NONE"/>
    <n v="0"/>
    <n v="0"/>
    <s v="OUTFLOW_DEPOSITS_LOANS"/>
    <s v="D_644377SA"/>
    <s v="SUMMIT"/>
    <s v="644377SA"/>
    <d v="1939-07-01T00:00:00"/>
    <s v="FV_SHORT_TM"/>
    <s v="AM_GICS_T"/>
    <s v="NONE"/>
    <s v="LOAN"/>
    <s v="New Mexico Mortgage Finance Authority"/>
    <n v="101000512"/>
    <s v="Lending"/>
    <s v="Loan"/>
    <s v="SANSABIA"/>
    <s v="DEPFA"/>
    <m/>
    <m/>
    <s v="GICS Deposit"/>
  </r>
  <r>
    <x v="1"/>
    <x v="1"/>
    <x v="1"/>
    <x v="19"/>
    <x v="6"/>
    <s v="3M_San Sabia Capital Corporation"/>
    <s v="-241989.28"/>
    <s v="-212737.82857142857142857142857142857143"/>
    <n v="-241989.28"/>
    <s v="1.1375"/>
    <s v="USD"/>
    <x v="1"/>
    <s v="PRINCIPAL_FLOW"/>
    <n v="0"/>
    <s v="NONE"/>
    <n v="0"/>
    <n v="0"/>
    <s v="OUTFLOW_DEPOSITS_LOANS"/>
    <s v="D_644377SA"/>
    <s v="SUMMIT"/>
    <s v="644377SA"/>
    <d v="1939-07-01T00:00:00"/>
    <s v="FV_SHORT_TM"/>
    <s v="AM_GICS_T"/>
    <s v="NONE"/>
    <s v="LOAN"/>
    <s v="New Mexico Mortgage Finance Authority"/>
    <n v="101000512"/>
    <s v="Lending"/>
    <s v="Loan"/>
    <s v="SANSABIA"/>
    <s v="DEPFA"/>
    <m/>
    <m/>
    <s v="GICS Deposit"/>
  </r>
  <r>
    <x v="3"/>
    <x v="1"/>
    <x v="0"/>
    <x v="9"/>
    <x v="6"/>
    <s v="12M_San Sabia Capital Corporation"/>
    <n v="-6600"/>
    <s v="-5802.1978021978021978021978021978021978"/>
    <n v="-6600"/>
    <s v="1.1375"/>
    <s v="USD"/>
    <x v="7"/>
    <s v="INTEREST_AND_FEES"/>
    <n v="0"/>
    <s v="NONE"/>
    <n v="0"/>
    <n v="0"/>
    <s v="OUTFLOW_DEPOSITS_LOANS"/>
    <s v="D_644377SA"/>
    <s v="SUMMIT"/>
    <s v="644377SA"/>
    <d v="1939-07-01T00:00:00"/>
    <s v="FV_SHORT_TM"/>
    <s v="AM_GICS_T"/>
    <s v="NONE"/>
    <s v="LOAN"/>
    <s v="New Mexico Mortgage Finance Authority"/>
    <n v="101000512"/>
    <s v="Lending"/>
    <s v="Loan"/>
    <s v="SANSABIA"/>
    <s v="DEPFA"/>
    <m/>
    <m/>
    <s v="GICS Deposit"/>
  </r>
  <r>
    <x v="4"/>
    <x v="1"/>
    <x v="0"/>
    <x v="10"/>
    <x v="6"/>
    <s v="18M_San Sabia Capital Corporation"/>
    <n v="-6600"/>
    <s v="-5802.1978021978021978021978021978021978"/>
    <n v="-6600"/>
    <s v="1.1375"/>
    <s v="USD"/>
    <x v="13"/>
    <s v="INTEREST_AND_FEES"/>
    <n v="0"/>
    <s v="NONE"/>
    <n v="0"/>
    <n v="0"/>
    <s v="OUTFLOW_DEPOSITS_LOANS"/>
    <s v="D_644377SA"/>
    <s v="SUMMIT"/>
    <s v="644377SA"/>
    <d v="1939-07-01T00:00:00"/>
    <s v="FV_SHORT_TM"/>
    <s v="AM_GICS_T"/>
    <s v="NONE"/>
    <s v="LOAN"/>
    <s v="New Mexico Mortgage Finance Authority"/>
    <n v="101000512"/>
    <s v="Lending"/>
    <s v="Loan"/>
    <s v="SANSABIA"/>
    <s v="DEPFA"/>
    <m/>
    <m/>
    <s v="GICS Deposit"/>
  </r>
  <r>
    <x v="5"/>
    <x v="1"/>
    <x v="0"/>
    <x v="11"/>
    <x v="6"/>
    <s v="2Y_San Sabia Capital Corporation"/>
    <s v="-6563.33"/>
    <s v="-5769.9604395604395604395604395604395604"/>
    <n v="-6563.329999999999"/>
    <s v="1.1375"/>
    <s v="USD"/>
    <x v="19"/>
    <s v="INTEREST_AND_FEES"/>
    <n v="0"/>
    <s v="NONE"/>
    <n v="0"/>
    <n v="0"/>
    <s v="OUTFLOW_DEPOSITS_LOANS"/>
    <s v="D_644377SA"/>
    <s v="SUMMIT"/>
    <s v="644377SA"/>
    <d v="1939-07-01T00:00:00"/>
    <s v="FV_SHORT_TM"/>
    <s v="AM_GICS_T"/>
    <s v="NONE"/>
    <s v="LOAN"/>
    <s v="New Mexico Mortgage Finance Authority"/>
    <n v="101000512"/>
    <s v="Lending"/>
    <s v="Loan"/>
    <s v="SANSABIA"/>
    <s v="DEPFA"/>
    <m/>
    <m/>
    <s v="GICS Deposit"/>
  </r>
  <r>
    <x v="0"/>
    <x v="1"/>
    <x v="0"/>
    <x v="12"/>
    <x v="6"/>
    <m/>
    <n v="0"/>
    <n v="0"/>
    <n v="0"/>
    <s v="1.1375"/>
    <s v="USD"/>
    <x v="30"/>
    <s v="INTEREST_AND_FEES"/>
    <n v="0"/>
    <s v="NONE"/>
    <n v="0"/>
    <n v="0"/>
    <s v="INFLOW_NON_GOV_INVESTMENTS"/>
    <n v="154787"/>
    <s v="SUMMIT"/>
    <m/>
    <d v="2017-07-16T00:00:00"/>
    <s v="LN_RC_GEN_U"/>
    <s v="AM_BANKBND_L"/>
    <s v="NONE"/>
    <s v="BONDS"/>
    <s v="Utah State Board of Regents"/>
    <n v="3101054021"/>
    <s v="Bond"/>
    <s v="Bond"/>
    <s v="DEPFAPLC_NY"/>
    <s v="DEPFA"/>
    <s v="US917546BN24_LF5"/>
    <m/>
    <s v="Not GIC"/>
  </r>
  <r>
    <x v="1"/>
    <x v="1"/>
    <x v="0"/>
    <x v="13"/>
    <x v="6"/>
    <m/>
    <n v="0"/>
    <n v="0"/>
    <n v="0"/>
    <s v="1.1375"/>
    <s v="USD"/>
    <x v="31"/>
    <s v="INTEREST_AND_FEES"/>
    <n v="0"/>
    <s v="NONE"/>
    <n v="0"/>
    <n v="0"/>
    <s v="INFLOW_NON_GOV_INVESTMENTS"/>
    <n v="154787"/>
    <s v="SUMMIT"/>
    <m/>
    <d v="2017-07-16T00:00:00"/>
    <s v="LN_RC_GEN_U"/>
    <s v="AM_BANKBND_L"/>
    <s v="NONE"/>
    <s v="BONDS"/>
    <s v="Utah State Board of Regents"/>
    <n v="3101054021"/>
    <s v="Bond"/>
    <s v="Bond"/>
    <s v="DEPFAPLC_NY"/>
    <s v="DEPFA"/>
    <s v="US917546BN24_LF5"/>
    <m/>
    <s v="Not GIC"/>
  </r>
  <r>
    <x v="1"/>
    <x v="1"/>
    <x v="0"/>
    <x v="13"/>
    <x v="6"/>
    <m/>
    <n v="0"/>
    <n v="0"/>
    <n v="0"/>
    <s v="1.1375"/>
    <s v="USD"/>
    <x v="32"/>
    <s v="INTEREST_AND_FEES"/>
    <n v="0"/>
    <s v="NONE"/>
    <n v="0"/>
    <n v="0"/>
    <s v="INFLOW_NON_GOV_INVESTMENTS"/>
    <n v="154787"/>
    <s v="SUMMIT"/>
    <m/>
    <d v="2017-07-16T00:00:00"/>
    <s v="LN_RC_GEN_U"/>
    <s v="AM_BANKBND_L"/>
    <s v="NONE"/>
    <s v="BONDS"/>
    <s v="Utah State Board of Regents"/>
    <n v="3101054021"/>
    <s v="Bond"/>
    <s v="Bond"/>
    <s v="DEPFAPLC_NY"/>
    <s v="DEPFA"/>
    <s v="US917546BN24_LF5"/>
    <m/>
    <s v="Not GIC"/>
  </r>
  <r>
    <x v="2"/>
    <x v="1"/>
    <x v="0"/>
    <x v="7"/>
    <x v="6"/>
    <m/>
    <n v="0"/>
    <n v="0"/>
    <n v="0"/>
    <s v="1.1375"/>
    <s v="USD"/>
    <x v="33"/>
    <s v="INTEREST_AND_FEES"/>
    <n v="0"/>
    <s v="NONE"/>
    <n v="0"/>
    <n v="0"/>
    <s v="INFLOW_NON_GOV_INVESTMENTS"/>
    <n v="154787"/>
    <s v="SUMMIT"/>
    <m/>
    <d v="2017-07-16T00:00:00"/>
    <s v="LN_RC_GEN_U"/>
    <s v="AM_BANKBND_L"/>
    <s v="NONE"/>
    <s v="BONDS"/>
    <s v="Utah State Board of Regents"/>
    <n v="3101054021"/>
    <s v="Bond"/>
    <s v="Bond"/>
    <s v="DEPFAPLC_NY"/>
    <s v="DEPFA"/>
    <s v="US917546BN24_LF5"/>
    <m/>
    <s v="Not GIC"/>
  </r>
  <r>
    <x v="2"/>
    <x v="1"/>
    <x v="0"/>
    <x v="7"/>
    <x v="6"/>
    <m/>
    <n v="0"/>
    <n v="0"/>
    <n v="0"/>
    <s v="1.1375"/>
    <s v="USD"/>
    <x v="34"/>
    <s v="INTEREST_AND_FEES"/>
    <n v="0"/>
    <s v="NONE"/>
    <n v="0"/>
    <n v="0"/>
    <s v="INFLOW_NON_GOV_INVESTMENTS"/>
    <n v="154787"/>
    <s v="SUMMIT"/>
    <m/>
    <d v="2017-07-16T00:00:00"/>
    <s v="LN_RC_GEN_U"/>
    <s v="AM_BANKBND_L"/>
    <s v="NONE"/>
    <s v="BONDS"/>
    <s v="Utah State Board of Regents"/>
    <n v="3101054021"/>
    <s v="Bond"/>
    <s v="Bond"/>
    <s v="DEPFAPLC_NY"/>
    <s v="DEPFA"/>
    <s v="US917546BN24_LF5"/>
    <m/>
    <s v="Not GIC"/>
  </r>
  <r>
    <x v="2"/>
    <x v="1"/>
    <x v="0"/>
    <x v="7"/>
    <x v="6"/>
    <m/>
    <n v="0"/>
    <n v="0"/>
    <n v="0"/>
    <s v="1.1375"/>
    <s v="USD"/>
    <x v="25"/>
    <s v="INTEREST_AND_FEES"/>
    <n v="0"/>
    <s v="NONE"/>
    <n v="0"/>
    <n v="0"/>
    <s v="INFLOW_NON_GOV_INVESTMENTS"/>
    <n v="154787"/>
    <s v="SUMMIT"/>
    <m/>
    <d v="2017-07-16T00:00:00"/>
    <s v="LN_RC_GEN_U"/>
    <s v="AM_BANKBND_L"/>
    <s v="NONE"/>
    <s v="BONDS"/>
    <s v="Utah State Board of Regents"/>
    <n v="3101054021"/>
    <s v="Bond"/>
    <s v="Bond"/>
    <s v="DEPFAPLC_NY"/>
    <s v="DEPFA"/>
    <s v="US917546BN24_LF5"/>
    <m/>
    <s v="Not GIC"/>
  </r>
  <r>
    <x v="3"/>
    <x v="1"/>
    <x v="0"/>
    <x v="9"/>
    <x v="6"/>
    <m/>
    <n v="0"/>
    <n v="0"/>
    <n v="0"/>
    <s v="1.1375"/>
    <s v="USD"/>
    <x v="35"/>
    <s v="INTEREST_AND_FEES"/>
    <n v="0"/>
    <s v="NONE"/>
    <n v="0"/>
    <n v="0"/>
    <s v="INFLOW_NON_GOV_INVESTMENTS"/>
    <n v="154787"/>
    <s v="SUMMIT"/>
    <m/>
    <d v="2017-07-16T00:00:00"/>
    <s v="LN_RC_GEN_U"/>
    <s v="AM_BANKBND_L"/>
    <s v="NONE"/>
    <s v="BONDS"/>
    <s v="Utah State Board of Regents"/>
    <n v="3101054021"/>
    <s v="Bond"/>
    <s v="Bond"/>
    <s v="DEPFAPLC_NY"/>
    <s v="DEPFA"/>
    <s v="US917546BN24_LF5"/>
    <m/>
    <s v="Not GIC"/>
  </r>
  <r>
    <x v="3"/>
    <x v="1"/>
    <x v="0"/>
    <x v="9"/>
    <x v="6"/>
    <m/>
    <n v="0"/>
    <n v="0"/>
    <n v="0"/>
    <s v="1.1375"/>
    <s v="USD"/>
    <x v="36"/>
    <s v="INTEREST_AND_FEES"/>
    <n v="0"/>
    <s v="NONE"/>
    <n v="0"/>
    <n v="0"/>
    <s v="INFLOW_NON_GOV_INVESTMENTS"/>
    <n v="154787"/>
    <s v="SUMMIT"/>
    <m/>
    <d v="2017-07-16T00:00:00"/>
    <s v="LN_RC_GEN_U"/>
    <s v="AM_BANKBND_L"/>
    <s v="NONE"/>
    <s v="BONDS"/>
    <s v="Utah State Board of Regents"/>
    <n v="3101054021"/>
    <s v="Bond"/>
    <s v="Bond"/>
    <s v="DEPFAPLC_NY"/>
    <s v="DEPFA"/>
    <s v="US917546BN24_LF5"/>
    <m/>
    <s v="Not GIC"/>
  </r>
  <r>
    <x v="3"/>
    <x v="1"/>
    <x v="0"/>
    <x v="9"/>
    <x v="6"/>
    <m/>
    <n v="0"/>
    <n v="0"/>
    <n v="0"/>
    <s v="1.1375"/>
    <s v="USD"/>
    <x v="37"/>
    <s v="INTEREST_AND_FEES"/>
    <n v="0"/>
    <s v="NONE"/>
    <n v="0"/>
    <n v="0"/>
    <s v="INFLOW_NON_GOV_INVESTMENTS"/>
    <n v="154787"/>
    <s v="SUMMIT"/>
    <m/>
    <d v="2017-07-16T00:00:00"/>
    <s v="LN_RC_GEN_U"/>
    <s v="AM_BANKBND_L"/>
    <s v="NONE"/>
    <s v="BONDS"/>
    <s v="Utah State Board of Regents"/>
    <n v="3101054021"/>
    <s v="Bond"/>
    <s v="Bond"/>
    <s v="DEPFAPLC_NY"/>
    <s v="DEPFA"/>
    <s v="US917546BN24_LF5"/>
    <m/>
    <s v="Not GIC"/>
  </r>
  <r>
    <x v="3"/>
    <x v="1"/>
    <x v="0"/>
    <x v="9"/>
    <x v="6"/>
    <m/>
    <n v="0"/>
    <n v="0"/>
    <n v="0"/>
    <s v="1.1375"/>
    <s v="USD"/>
    <x v="38"/>
    <s v="INTEREST_AND_FEES"/>
    <n v="0"/>
    <s v="NONE"/>
    <n v="0"/>
    <n v="0"/>
    <s v="INFLOW_NON_GOV_INVESTMENTS"/>
    <n v="154787"/>
    <s v="SUMMIT"/>
    <m/>
    <d v="2017-07-16T00:00:00"/>
    <s v="LN_RC_GEN_U"/>
    <s v="AM_BANKBND_L"/>
    <s v="NONE"/>
    <s v="BONDS"/>
    <s v="Utah State Board of Regents"/>
    <n v="3101054021"/>
    <s v="Bond"/>
    <s v="Bond"/>
    <s v="DEPFAPLC_NY"/>
    <s v="DEPFA"/>
    <s v="US917546BN24_LF5"/>
    <m/>
    <s v="Not GIC"/>
  </r>
  <r>
    <x v="3"/>
    <x v="1"/>
    <x v="0"/>
    <x v="9"/>
    <x v="6"/>
    <m/>
    <n v="0"/>
    <n v="0"/>
    <n v="0"/>
    <s v="1.1375"/>
    <s v="USD"/>
    <x v="39"/>
    <s v="INTEREST_AND_FEES"/>
    <n v="0"/>
    <s v="NONE"/>
    <n v="0"/>
    <n v="0"/>
    <s v="INFLOW_NON_GOV_INVESTMENTS"/>
    <n v="154787"/>
    <s v="SUMMIT"/>
    <m/>
    <d v="2017-07-16T00:00:00"/>
    <s v="LN_RC_GEN_U"/>
    <s v="AM_BANKBND_L"/>
    <s v="NONE"/>
    <s v="BONDS"/>
    <s v="Utah State Board of Regents"/>
    <n v="3101054021"/>
    <s v="Bond"/>
    <s v="Bond"/>
    <s v="DEPFAPLC_NY"/>
    <s v="DEPFA"/>
    <s v="US917546BN24_LF5"/>
    <m/>
    <s v="Not GIC"/>
  </r>
  <r>
    <x v="3"/>
    <x v="1"/>
    <x v="0"/>
    <x v="9"/>
    <x v="6"/>
    <m/>
    <n v="0"/>
    <n v="0"/>
    <n v="0"/>
    <s v="1.1375"/>
    <s v="USD"/>
    <x v="27"/>
    <s v="INTEREST_AND_FEES"/>
    <n v="0"/>
    <s v="NONE"/>
    <n v="0"/>
    <n v="0"/>
    <s v="INFLOW_NON_GOV_INVESTMENTS"/>
    <n v="154787"/>
    <s v="SUMMIT"/>
    <m/>
    <d v="2017-07-16T00:00:00"/>
    <s v="LN_RC_GEN_U"/>
    <s v="AM_BANKBND_L"/>
    <s v="NONE"/>
    <s v="BONDS"/>
    <s v="Utah State Board of Regents"/>
    <n v="3101054021"/>
    <s v="Bond"/>
    <s v="Bond"/>
    <s v="DEPFAPLC_NY"/>
    <s v="DEPFA"/>
    <s v="US917546BN24_LF5"/>
    <m/>
    <s v="Not GIC"/>
  </r>
  <r>
    <x v="4"/>
    <x v="1"/>
    <x v="0"/>
    <x v="10"/>
    <x v="6"/>
    <m/>
    <n v="0"/>
    <n v="0"/>
    <n v="0"/>
    <s v="1.1375"/>
    <s v="USD"/>
    <x v="40"/>
    <s v="INTEREST_AND_FEES"/>
    <n v="0"/>
    <s v="NONE"/>
    <n v="0"/>
    <n v="0"/>
    <s v="INFLOW_NON_GOV_INVESTMENTS"/>
    <n v="154787"/>
    <s v="SUMMIT"/>
    <m/>
    <d v="2017-07-16T00:00:00"/>
    <s v="LN_RC_GEN_U"/>
    <s v="AM_BANKBND_L"/>
    <s v="NONE"/>
    <s v="BONDS"/>
    <s v="Utah State Board of Regents"/>
    <n v="3101054021"/>
    <s v="Bond"/>
    <s v="Bond"/>
    <s v="DEPFAPLC_NY"/>
    <s v="DEPFA"/>
    <s v="US917546BN24_LF5"/>
    <m/>
    <s v="Not GIC"/>
  </r>
  <r>
    <x v="4"/>
    <x v="1"/>
    <x v="0"/>
    <x v="10"/>
    <x v="6"/>
    <m/>
    <n v="0"/>
    <n v="0"/>
    <n v="0"/>
    <s v="1.1375"/>
    <s v="USD"/>
    <x v="75"/>
    <s v="INTEREST_AND_FEES"/>
    <n v="0"/>
    <s v="NONE"/>
    <n v="0"/>
    <n v="0"/>
    <s v="INFLOW_NON_GOV_INVESTMENTS"/>
    <n v="154787"/>
    <s v="SUMMIT"/>
    <m/>
    <d v="2017-07-16T00:00:00"/>
    <s v="LN_RC_GEN_U"/>
    <s v="AM_BANKBND_L"/>
    <s v="NONE"/>
    <s v="BONDS"/>
    <s v="Utah State Board of Regents"/>
    <n v="3101054021"/>
    <s v="Bond"/>
    <s v="Bond"/>
    <s v="DEPFAPLC_NY"/>
    <s v="DEPFA"/>
    <s v="US917546BN24_LF5"/>
    <m/>
    <s v="Not GIC"/>
  </r>
  <r>
    <x v="4"/>
    <x v="1"/>
    <x v="2"/>
    <x v="14"/>
    <x v="6"/>
    <m/>
    <n v="0"/>
    <n v="0"/>
    <n v="0"/>
    <s v="1.1375"/>
    <s v="USD"/>
    <x v="75"/>
    <s v="PRINCIPAL_FLOW"/>
    <n v="0"/>
    <s v="NONE"/>
    <n v="0"/>
    <n v="0"/>
    <s v="INFLOW_NON_GOV_INVESTMENTS"/>
    <n v="154787"/>
    <s v="SUMMIT"/>
    <m/>
    <d v="2017-07-16T00:00:00"/>
    <s v="LN_RC_GEN_U"/>
    <s v="AM_BANKBND_L"/>
    <s v="NONE"/>
    <s v="BONDS"/>
    <s v="Utah State Board of Regents"/>
    <n v="3101054021"/>
    <s v="Bond"/>
    <s v="Bond"/>
    <s v="DEPFAPLC_NY"/>
    <s v="DEPFA"/>
    <s v="US917546BN24_LF5"/>
    <m/>
    <s v="Not GIC"/>
  </r>
  <r>
    <x v="7"/>
    <x v="1"/>
    <x v="2"/>
    <x v="39"/>
    <x v="6"/>
    <m/>
    <n v="30000000"/>
    <s v="26373626.3736263736263736263736263736264"/>
    <n v="30000000"/>
    <s v="1.1375"/>
    <s v="USD"/>
    <x v="47"/>
    <s v="PRINCIPAL_FLOW"/>
    <n v="0"/>
    <s v="NONE"/>
    <n v="0"/>
    <n v="0"/>
    <s v="INFLOW_CENTRAL_GOV_INVESTMENTS"/>
    <n v="194016"/>
    <s v="SUMMIT"/>
    <m/>
    <d v="2016-05-12T00:00:00"/>
    <s v="AFS_GEN_U"/>
    <s v="AM_GICS_F"/>
    <s v="NONE"/>
    <s v="BONDS"/>
    <s v="RBC CAPTIAL MARKETS, LLC"/>
    <n v="3101053435"/>
    <s v="Bond"/>
    <s v="Bond"/>
    <s v="DEPFAPLC_NY"/>
    <s v="DEPFA"/>
    <s v="US912796HR30"/>
    <m/>
    <s v="Not GIC"/>
  </r>
  <r>
    <x v="2"/>
    <x v="1"/>
    <x v="1"/>
    <x v="6"/>
    <x v="6"/>
    <s v="6M_San Sabia Capital Corporation"/>
    <s v="276838.37"/>
    <s v="243374.391208791208791208791208791208791"/>
    <n v="276838.37"/>
    <s v="1.1375"/>
    <s v="USD"/>
    <x v="130"/>
    <s v="PRINCIPAL_FLOW"/>
    <n v="0"/>
    <s v="NONE"/>
    <n v="0"/>
    <n v="0"/>
    <s v="INFLOW_GENERAL_GOV_LENDINGS"/>
    <s v="D_646501SA"/>
    <s v="SUMMIT"/>
    <s v="646501SA"/>
    <d v="1938-09-01T00:00:00"/>
    <s v="FV_SHORT_TM"/>
    <s v="AM_GICS_T"/>
    <s v="NONE"/>
    <s v="LOAN"/>
    <s v="MISSOURI HOUSING DEVELOPMENT COMMISSION"/>
    <n v="101000531"/>
    <s v="Lending"/>
    <s v="Loan"/>
    <s v="SANSABIA"/>
    <s v="DEPFA"/>
    <m/>
    <m/>
    <s v="GICS Deposit"/>
  </r>
  <r>
    <x v="2"/>
    <x v="1"/>
    <x v="0"/>
    <x v="7"/>
    <x v="6"/>
    <s v="6M_San Sabia Capital Corporation"/>
    <s v="-12458.05"/>
    <s v="-10952.131868131868131868131868131868132"/>
    <n v="-12458.05"/>
    <s v="1.1375"/>
    <s v="USD"/>
    <x v="3"/>
    <s v="INTEREST_AND_FEES"/>
    <n v="0"/>
    <s v="NONE"/>
    <n v="0"/>
    <n v="0"/>
    <s v="OUTFLOW_GENERAL_GOV_FIX_PERIOD_DEPOSITS"/>
    <s v="D_646501SA"/>
    <s v="SUMMIT"/>
    <s v="646501SA"/>
    <d v="1938-09-01T00:00:00"/>
    <s v="FV_SHORT_TM"/>
    <s v="AM_GICS_T"/>
    <s v="NONE"/>
    <s v="LOAN"/>
    <s v="MISSOURI HOUSING DEVELOPMENT COMMISSION"/>
    <n v="101000531"/>
    <s v="Lending"/>
    <s v="Loan"/>
    <s v="SANSABIA"/>
    <s v="DEPFA"/>
    <m/>
    <m/>
    <s v="GICS Deposit"/>
  </r>
  <r>
    <x v="3"/>
    <x v="1"/>
    <x v="0"/>
    <x v="9"/>
    <x v="6"/>
    <s v="12M_San Sabia Capital Corporation"/>
    <s v="-20692.5"/>
    <s v="-18191.208791208791208791208791208791209"/>
    <n v="-20692.5"/>
    <s v="1.1375"/>
    <s v="USD"/>
    <x v="9"/>
    <s v="INTEREST_AND_FEES"/>
    <n v="0"/>
    <s v="NONE"/>
    <n v="0"/>
    <n v="0"/>
    <s v="OUTFLOW_GENERAL_GOV_FIX_PERIOD_DEPOSITS"/>
    <s v="D_646501SA"/>
    <s v="SUMMIT"/>
    <s v="646501SA"/>
    <d v="1938-09-01T00:00:00"/>
    <s v="FV_SHORT_TM"/>
    <s v="AM_GICS_T"/>
    <s v="NONE"/>
    <s v="LOAN"/>
    <s v="MISSOURI HOUSING DEVELOPMENT COMMISSION"/>
    <n v="101000531"/>
    <s v="Lending"/>
    <s v="Loan"/>
    <s v="SANSABIA"/>
    <s v="DEPFA"/>
    <m/>
    <m/>
    <s v="GICS Deposit"/>
  </r>
  <r>
    <x v="4"/>
    <x v="1"/>
    <x v="0"/>
    <x v="10"/>
    <x v="6"/>
    <s v="18M_San Sabia Capital Corporation"/>
    <s v="-21273.75"/>
    <s v="-18702.197802197802197802197802197802198"/>
    <n v="-21273.75"/>
    <s v="1.1375"/>
    <s v="USD"/>
    <x v="15"/>
    <s v="INTEREST_AND_FEES"/>
    <n v="0"/>
    <s v="NONE"/>
    <n v="0"/>
    <n v="0"/>
    <s v="OUTFLOW_GENERAL_GOV_FIX_PERIOD_DEPOSITS"/>
    <s v="D_646501SA"/>
    <s v="SUMMIT"/>
    <s v="646501SA"/>
    <d v="1938-09-01T00:00:00"/>
    <s v="FV_SHORT_TM"/>
    <s v="AM_GICS_T"/>
    <s v="NONE"/>
    <s v="LOAN"/>
    <s v="MISSOURI HOUSING DEVELOPMENT COMMISSION"/>
    <n v="101000531"/>
    <s v="Lending"/>
    <s v="Loan"/>
    <s v="SANSABIA"/>
    <s v="DEPFA"/>
    <m/>
    <m/>
    <s v="GICS Deposit"/>
  </r>
  <r>
    <x v="5"/>
    <x v="1"/>
    <x v="0"/>
    <x v="11"/>
    <x v="6"/>
    <s v="2Y_San Sabia Capital Corporation"/>
    <s v="-20692.5"/>
    <s v="-18191.208791208791208791208791208791209"/>
    <n v="-20692.5"/>
    <s v="1.1375"/>
    <s v="USD"/>
    <x v="21"/>
    <s v="INTEREST_AND_FEES"/>
    <n v="0"/>
    <s v="NONE"/>
    <n v="0"/>
    <n v="0"/>
    <s v="OUTFLOW_GENERAL_GOV_FIX_PERIOD_DEPOSITS"/>
    <s v="D_646501SA"/>
    <s v="SUMMIT"/>
    <s v="646501SA"/>
    <d v="1938-09-01T00:00:00"/>
    <s v="FV_SHORT_TM"/>
    <s v="AM_GICS_T"/>
    <s v="NONE"/>
    <s v="LOAN"/>
    <s v="MISSOURI HOUSING DEVELOPMENT COMMISSION"/>
    <n v="101000531"/>
    <s v="Lending"/>
    <s v="Loan"/>
    <s v="SANSABIA"/>
    <s v="DEPFA"/>
    <m/>
    <m/>
    <s v="GICS Deposit"/>
  </r>
  <r>
    <x v="2"/>
    <x v="0"/>
    <x v="0"/>
    <x v="2"/>
    <x v="2"/>
    <s v="6M_San Sabia Capital Corporation"/>
    <s v="565.07"/>
    <s v="496.764835164835164835164835164835164835"/>
    <n v="565.06999999999994"/>
    <s v="1.1375"/>
    <s v="USD"/>
    <x v="113"/>
    <s v="INTEREST_AND_FEES"/>
    <n v="0"/>
    <s v="NONE"/>
    <n v="0"/>
    <n v="0"/>
    <s v="IGNORED"/>
    <s v="957278SA"/>
    <s v="SUMMIT"/>
    <m/>
    <d v="1949-03-19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2"/>
    <x v="0"/>
    <x v="0"/>
    <x v="2"/>
    <x v="2"/>
    <s v="6M_San Sabia Capital Corporation"/>
    <s v="5904.52"/>
    <s v="5190.78681318681318681318681318681318681"/>
    <n v="5904.52"/>
    <s v="1.1375"/>
    <s v="USD"/>
    <x v="113"/>
    <s v="INTEREST_AND_FEES"/>
    <n v="0"/>
    <s v="NONE"/>
    <n v="0"/>
    <n v="0"/>
    <s v="IGNORED"/>
    <s v="957278SA"/>
    <s v="SUMMIT"/>
    <m/>
    <d v="1949-03-19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s v="13819.72"/>
    <s v="12149.2043956043956043956043956043956044"/>
    <n v="13819.72"/>
    <s v="1.1375"/>
    <s v="USD"/>
    <x v="118"/>
    <s v="INTEREST_AND_FEES"/>
    <n v="0"/>
    <s v="NONE"/>
    <n v="0"/>
    <n v="0"/>
    <s v="IGNORED"/>
    <s v="957278SA"/>
    <s v="SUMMIT"/>
    <m/>
    <d v="1949-03-19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14130.28"/>
    <s v="12422.2241758241758241758241758241758242"/>
    <n v="14130.28"/>
    <s v="1.1375"/>
    <s v="USD"/>
    <x v="123"/>
    <s v="INTEREST_AND_FEES"/>
    <n v="0"/>
    <s v="NONE"/>
    <n v="0"/>
    <n v="0"/>
    <s v="IGNORED"/>
    <s v="957278SA"/>
    <s v="SUMMIT"/>
    <m/>
    <d v="1949-03-19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n v="13975"/>
    <s v="12285.7142857142857142857142857142857143"/>
    <n v="13975"/>
    <s v="1.1375"/>
    <s v="USD"/>
    <x v="128"/>
    <s v="INTEREST_AND_FEES"/>
    <n v="0"/>
    <s v="NONE"/>
    <n v="0"/>
    <n v="0"/>
    <s v="IGNORED"/>
    <s v="957278SA"/>
    <s v="SUMMIT"/>
    <m/>
    <d v="1949-03-19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0"/>
    <x v="0"/>
    <x v="0"/>
    <x v="0"/>
    <x v="0"/>
    <m/>
    <s v="-4869.1"/>
    <s v="-4280.5274725274725274725274725274725275"/>
    <n v="-4869.0999999999995"/>
    <s v="1.1375"/>
    <s v="USD"/>
    <x v="30"/>
    <s v="INTEREST_AND_FEES"/>
    <n v="0"/>
    <s v="NONE"/>
    <n v="0"/>
    <n v="0"/>
    <s v="IGNORED"/>
    <s v="957309PN"/>
    <s v="SUMMIT"/>
    <m/>
    <d v="2027-06-01T00:00:00"/>
    <s v="FV_HEDGE"/>
    <s v="AM_GICS_F"/>
    <s v="INTRA_ENTITY"/>
    <s v="DERIVATES"/>
    <s v="Depfa Bank Plc"/>
    <n v="4101000279"/>
    <s v="Derivative"/>
    <s v="Swap"/>
    <s v="DEPFAPLC_NY"/>
    <s v="DEPFA"/>
    <m/>
    <m/>
    <s v="Not GIC"/>
  </r>
  <r>
    <x v="2"/>
    <x v="0"/>
    <x v="0"/>
    <x v="2"/>
    <x v="2"/>
    <m/>
    <s v="-5357.23"/>
    <s v="-4709.6527472527472527472527472527472527"/>
    <n v="-5357.23"/>
    <s v="1.1375"/>
    <s v="USD"/>
    <x v="33"/>
    <s v="INTEREST_AND_FEES"/>
    <n v="0"/>
    <s v="NONE"/>
    <n v="0"/>
    <n v="0"/>
    <s v="IGNORED"/>
    <s v="957309PN"/>
    <s v="SUMMIT"/>
    <m/>
    <d v="2027-06-01T00:00:00"/>
    <s v="FV_HEDGE"/>
    <s v="AM_GICS_F"/>
    <s v="INTRA_ENTITY"/>
    <s v="DERIVATES"/>
    <s v="Depfa Bank Plc"/>
    <n v="4101000279"/>
    <s v="Derivative"/>
    <s v="Swap"/>
    <s v="DEPFAPLC_NY"/>
    <s v="DEPFA"/>
    <m/>
    <m/>
    <s v="Not GIC"/>
  </r>
  <r>
    <x v="3"/>
    <x v="0"/>
    <x v="0"/>
    <x v="3"/>
    <x v="3"/>
    <m/>
    <s v="-5520.37"/>
    <s v="-4853.0725274725274725274725274725274725"/>
    <n v="-5520.37"/>
    <s v="1.1375"/>
    <s v="USD"/>
    <x v="35"/>
    <s v="INTEREST_AND_FEES"/>
    <n v="0"/>
    <s v="NONE"/>
    <n v="0"/>
    <n v="0"/>
    <s v="IGNORED"/>
    <s v="957309PN"/>
    <s v="SUMMIT"/>
    <m/>
    <d v="2027-06-01T00:00:00"/>
    <s v="FV_HEDGE"/>
    <s v="AM_GICS_F"/>
    <s v="INTRA_ENTITY"/>
    <s v="DERIVATES"/>
    <s v="Depfa Bank Plc"/>
    <n v="4101000279"/>
    <s v="Derivative"/>
    <s v="Swap"/>
    <s v="DEPFAPLC_NY"/>
    <s v="DEPFA"/>
    <m/>
    <m/>
    <s v="Not GIC"/>
  </r>
  <r>
    <x v="3"/>
    <x v="0"/>
    <x v="0"/>
    <x v="3"/>
    <x v="3"/>
    <m/>
    <s v="-5950.92"/>
    <s v="-5231.578021978021978021978021978021978"/>
    <n v="-5950.9199999999992"/>
    <s v="1.1375"/>
    <s v="USD"/>
    <x v="38"/>
    <s v="INTEREST_AND_FEES"/>
    <n v="0"/>
    <s v="NONE"/>
    <n v="0"/>
    <n v="0"/>
    <s v="IGNORED"/>
    <s v="957309PN"/>
    <s v="SUMMIT"/>
    <m/>
    <d v="2027-06-01T00:00:00"/>
    <s v="FV_HEDGE"/>
    <s v="AM_GICS_F"/>
    <s v="INTRA_ENTITY"/>
    <s v="DERIVATES"/>
    <s v="Depfa Bank Plc"/>
    <n v="4101000279"/>
    <s v="Derivative"/>
    <s v="Swap"/>
    <s v="DEPFAPLC_NY"/>
    <s v="DEPFA"/>
    <m/>
    <m/>
    <s v="Not GIC"/>
  </r>
  <r>
    <x v="4"/>
    <x v="0"/>
    <x v="0"/>
    <x v="4"/>
    <x v="4"/>
    <m/>
    <s v="-6445.77"/>
    <s v="-5666.610989010989010989010989010989011"/>
    <n v="-6445.7699999999995"/>
    <s v="1.1375"/>
    <s v="USD"/>
    <x v="40"/>
    <s v="INTEREST_AND_FEES"/>
    <n v="0"/>
    <s v="NONE"/>
    <n v="0"/>
    <n v="0"/>
    <s v="IGNORED"/>
    <s v="957309PN"/>
    <s v="SUMMIT"/>
    <m/>
    <d v="2027-06-01T00:00:00"/>
    <s v="FV_HEDGE"/>
    <s v="AM_GICS_F"/>
    <s v="INTRA_ENTITY"/>
    <s v="DERIVATES"/>
    <s v="Depfa Bank Plc"/>
    <n v="4101000279"/>
    <s v="Derivative"/>
    <s v="Swap"/>
    <s v="DEPFAPLC_NY"/>
    <s v="DEPFA"/>
    <m/>
    <m/>
    <s v="Not GIC"/>
  </r>
  <r>
    <x v="4"/>
    <x v="0"/>
    <x v="0"/>
    <x v="4"/>
    <x v="4"/>
    <m/>
    <s v="-7413.79"/>
    <s v="-6517.6175824175824175824175824175824176"/>
    <n v="-7413.79"/>
    <s v="1.1375"/>
    <s v="USD"/>
    <x v="50"/>
    <s v="INTEREST_AND_FEES"/>
    <n v="0"/>
    <s v="NONE"/>
    <n v="0"/>
    <n v="0"/>
    <s v="IGNORED"/>
    <s v="957309PN"/>
    <s v="SUMMIT"/>
    <m/>
    <d v="2027-06-01T00:00:00"/>
    <s v="FV_HEDGE"/>
    <s v="AM_GICS_F"/>
    <s v="INTRA_ENTITY"/>
    <s v="DERIVATES"/>
    <s v="Depfa Bank Plc"/>
    <n v="4101000279"/>
    <s v="Derivative"/>
    <s v="Swap"/>
    <s v="DEPFAPLC_NY"/>
    <s v="DEPFA"/>
    <m/>
    <m/>
    <s v="Not GIC"/>
  </r>
  <r>
    <x v="5"/>
    <x v="0"/>
    <x v="0"/>
    <x v="5"/>
    <x v="5"/>
    <m/>
    <s v="-7333.1"/>
    <s v="-6446.6813186813186813186813186813186813"/>
    <n v="-7333.0999999999995"/>
    <s v="1.1375"/>
    <s v="USD"/>
    <x v="52"/>
    <s v="INTEREST_AND_FEES"/>
    <n v="0"/>
    <s v="NONE"/>
    <n v="0"/>
    <n v="0"/>
    <s v="IGNORED"/>
    <s v="957309PN"/>
    <s v="SUMMIT"/>
    <m/>
    <d v="2027-06-01T00:00:00"/>
    <s v="FV_HEDGE"/>
    <s v="AM_GICS_F"/>
    <s v="INTRA_ENTITY"/>
    <s v="DERIVATES"/>
    <s v="Depfa Bank Plc"/>
    <n v="4101000279"/>
    <s v="Derivative"/>
    <s v="Swap"/>
    <s v="DEPFAPLC_NY"/>
    <s v="DEPFA"/>
    <m/>
    <m/>
    <s v="Not GIC"/>
  </r>
  <r>
    <x v="5"/>
    <x v="0"/>
    <x v="0"/>
    <x v="5"/>
    <x v="5"/>
    <m/>
    <s v="-7252.42"/>
    <s v="-6375.7538461538461538461538461538461538"/>
    <n v="-7252.42"/>
    <s v="1.1375"/>
    <s v="USD"/>
    <x v="55"/>
    <s v="INTEREST_AND_FEES"/>
    <n v="0"/>
    <s v="NONE"/>
    <n v="0"/>
    <n v="0"/>
    <s v="IGNORED"/>
    <s v="957309PN"/>
    <s v="SUMMIT"/>
    <m/>
    <d v="2027-06-01T00:00:00"/>
    <s v="FV_HEDGE"/>
    <s v="AM_GICS_F"/>
    <s v="INTRA_ENTITY"/>
    <s v="DERIVATES"/>
    <s v="Depfa Bank Plc"/>
    <n v="4101000279"/>
    <s v="Derivative"/>
    <s v="Swap"/>
    <s v="DEPFAPLC_NY"/>
    <s v="DEPFA"/>
    <m/>
    <m/>
    <s v="Not GIC"/>
  </r>
  <r>
    <x v="1"/>
    <x v="1"/>
    <x v="0"/>
    <x v="13"/>
    <x v="6"/>
    <m/>
    <s v="-234204.5"/>
    <s v="-205894.06593406593406593406593406593407"/>
    <n v="-234204.5"/>
    <s v="1.1375"/>
    <s v="USD"/>
    <x v="63"/>
    <s v="INTEREST_AND_FEES"/>
    <n v="0"/>
    <s v="NONE"/>
    <n v="0"/>
    <n v="0"/>
    <s v="OUTFLOW_GENERAL_GOV_FIX_PERIOD_DEPOSITS"/>
    <s v="D_351977PN"/>
    <s v="SUMMIT"/>
    <s v="351977PN"/>
    <d v="2024-08-01T00:00:00"/>
    <s v="LIAB_GEN_H"/>
    <s v="AM_GICS_F"/>
    <s v="NONE"/>
    <s v="LOAN"/>
    <s v="Dormitory Authority State of New York"/>
    <n v="101002085"/>
    <s v="Lending"/>
    <s v="Loan"/>
    <s v="DEPFAPLC_NY"/>
    <s v="DEPFA"/>
    <m/>
    <m/>
    <s v="GICS Deposit Collateralized"/>
  </r>
  <r>
    <x v="3"/>
    <x v="1"/>
    <x v="0"/>
    <x v="9"/>
    <x v="6"/>
    <m/>
    <s v="-234204.5"/>
    <s v="-205894.06593406593406593406593406593407"/>
    <n v="-234204.5"/>
    <s v="1.1375"/>
    <s v="USD"/>
    <x v="64"/>
    <s v="INTEREST_AND_FEES"/>
    <n v="0"/>
    <s v="NONE"/>
    <n v="0"/>
    <n v="0"/>
    <s v="OUTFLOW_GENERAL_GOV_FIX_PERIOD_DEPOSITS"/>
    <s v="D_351977PN"/>
    <s v="SUMMIT"/>
    <s v="351977PN"/>
    <d v="2024-08-01T00:00:00"/>
    <s v="LIAB_GEN_H"/>
    <s v="AM_GICS_F"/>
    <s v="NONE"/>
    <s v="LOAN"/>
    <s v="Dormitory Authority State of New York"/>
    <n v="101002085"/>
    <s v="Lending"/>
    <s v="Loan"/>
    <s v="DEPFAPLC_NY"/>
    <s v="DEPFA"/>
    <m/>
    <m/>
    <s v="GICS Deposit Collateralized"/>
  </r>
  <r>
    <x v="4"/>
    <x v="1"/>
    <x v="0"/>
    <x v="10"/>
    <x v="6"/>
    <m/>
    <s v="-234204.5"/>
    <s v="-205894.06593406593406593406593406593407"/>
    <n v="-234204.5"/>
    <s v="1.1375"/>
    <s v="USD"/>
    <x v="65"/>
    <s v="INTEREST_AND_FEES"/>
    <n v="0"/>
    <s v="NONE"/>
    <n v="0"/>
    <n v="0"/>
    <s v="OUTFLOW_GENERAL_GOV_FIX_PERIOD_DEPOSITS"/>
    <s v="D_351977PN"/>
    <s v="SUMMIT"/>
    <s v="351977PN"/>
    <d v="2024-08-01T00:00:00"/>
    <s v="LIAB_GEN_H"/>
    <s v="AM_GICS_F"/>
    <s v="NONE"/>
    <s v="LOAN"/>
    <s v="Dormitory Authority State of New York"/>
    <n v="101002085"/>
    <s v="Lending"/>
    <s v="Loan"/>
    <s v="DEPFAPLC_NY"/>
    <s v="DEPFA"/>
    <m/>
    <m/>
    <s v="GICS Deposit Collateralized"/>
  </r>
  <r>
    <x v="5"/>
    <x v="1"/>
    <x v="0"/>
    <x v="11"/>
    <x v="6"/>
    <m/>
    <s v="-234204.5"/>
    <s v="-205894.06593406593406593406593406593407"/>
    <n v="-234204.5"/>
    <s v="1.1375"/>
    <s v="USD"/>
    <x v="66"/>
    <s v="INTEREST_AND_FEES"/>
    <n v="0"/>
    <s v="NONE"/>
    <n v="0"/>
    <n v="0"/>
    <s v="OUTFLOW_GENERAL_GOV_FIX_PERIOD_DEPOSITS"/>
    <s v="D_351977PN"/>
    <s v="SUMMIT"/>
    <s v="351977PN"/>
    <d v="2024-08-01T00:00:00"/>
    <s v="LIAB_GEN_H"/>
    <s v="AM_GICS_F"/>
    <s v="NONE"/>
    <s v="LOAN"/>
    <s v="Dormitory Authority State of New York"/>
    <n v="101002085"/>
    <s v="Lending"/>
    <s v="Loan"/>
    <s v="DEPFAPLC_NY"/>
    <s v="DEPFA"/>
    <m/>
    <m/>
    <s v="GICS Deposit Collateralized"/>
  </r>
  <r>
    <x v="1"/>
    <x v="1"/>
    <x v="0"/>
    <x v="13"/>
    <x v="6"/>
    <s v="3M_San Sabia Capital Corporation"/>
    <s v="-149193.83"/>
    <s v="-131159.41098901098901098901098901098901"/>
    <n v="-149193.83000000002"/>
    <s v="1.1375"/>
    <s v="USD"/>
    <x v="31"/>
    <s v="INTEREST_AND_FEES"/>
    <n v="0"/>
    <s v="NONE"/>
    <n v="0"/>
    <n v="0"/>
    <s v="OUTFLOW_DEPOSITS_LOANS"/>
    <s v="D_644373SA"/>
    <s v="SUMMIT"/>
    <s v="644373SA"/>
    <d v="1937-07-01T00:00:00"/>
    <s v="FV_SHORT_TM"/>
    <s v="AM_GICS_T"/>
    <s v="NONE"/>
    <s v="LOAN"/>
    <s v="Longhorn Village"/>
    <n v="3101006981"/>
    <s v="Lending"/>
    <s v="Loan"/>
    <s v="SANSABIA"/>
    <s v="DEPFA"/>
    <m/>
    <m/>
    <s v="GICS Deposit"/>
  </r>
  <r>
    <x v="3"/>
    <x v="1"/>
    <x v="0"/>
    <x v="9"/>
    <x v="6"/>
    <s v="12M_San Sabia Capital Corporation"/>
    <s v="-153408.34"/>
    <s v="-134864.47472527472527472527472527472527"/>
    <n v="-153408.34"/>
    <s v="1.1375"/>
    <s v="USD"/>
    <x v="36"/>
    <s v="INTEREST_AND_FEES"/>
    <n v="0"/>
    <s v="NONE"/>
    <n v="0"/>
    <n v="0"/>
    <s v="OUTFLOW_DEPOSITS_LOANS"/>
    <s v="D_644373SA"/>
    <s v="SUMMIT"/>
    <s v="644373SA"/>
    <d v="1937-07-01T00:00:00"/>
    <s v="FV_SHORT_TM"/>
    <s v="AM_GICS_T"/>
    <s v="NONE"/>
    <s v="LOAN"/>
    <s v="Longhorn Village"/>
    <n v="3101006981"/>
    <s v="Lending"/>
    <s v="Loan"/>
    <s v="SANSABIA"/>
    <s v="DEPFA"/>
    <m/>
    <m/>
    <s v="GICS Deposit"/>
  </r>
  <r>
    <x v="4"/>
    <x v="1"/>
    <x v="0"/>
    <x v="10"/>
    <x v="6"/>
    <s v="18M_San Sabia Capital Corporation"/>
    <s v="-151722.54"/>
    <s v="-133382.45274725274725274725274725274725"/>
    <n v="-151722.53999999998"/>
    <s v="1.1375"/>
    <s v="USD"/>
    <x v="41"/>
    <s v="INTEREST_AND_FEES"/>
    <n v="0"/>
    <s v="NONE"/>
    <n v="0"/>
    <n v="0"/>
    <s v="OUTFLOW_DEPOSITS_LOANS"/>
    <s v="D_644373SA"/>
    <s v="SUMMIT"/>
    <s v="644373SA"/>
    <d v="1937-07-01T00:00:00"/>
    <s v="FV_SHORT_TM"/>
    <s v="AM_GICS_T"/>
    <s v="NONE"/>
    <s v="LOAN"/>
    <s v="Longhorn Village"/>
    <n v="3101006981"/>
    <s v="Lending"/>
    <s v="Loan"/>
    <s v="SANSABIA"/>
    <s v="DEPFA"/>
    <m/>
    <m/>
    <s v="GICS Deposit"/>
  </r>
  <r>
    <x v="5"/>
    <x v="1"/>
    <x v="0"/>
    <x v="11"/>
    <x v="6"/>
    <s v="2Y_San Sabia Capital Corporation"/>
    <s v="-150879.63"/>
    <s v="-132641.43296703296703296703296703296703"/>
    <n v="-150879.63"/>
    <s v="1.1375"/>
    <s v="USD"/>
    <x v="53"/>
    <s v="INTEREST_AND_FEES"/>
    <n v="0"/>
    <s v="NONE"/>
    <n v="0"/>
    <n v="0"/>
    <s v="OUTFLOW_DEPOSITS_LOANS"/>
    <s v="D_644373SA"/>
    <s v="SUMMIT"/>
    <s v="644373SA"/>
    <d v="1937-07-01T00:00:00"/>
    <s v="FV_SHORT_TM"/>
    <s v="AM_GICS_T"/>
    <s v="NONE"/>
    <s v="LOAN"/>
    <s v="Longhorn Village"/>
    <n v="3101006981"/>
    <s v="Lending"/>
    <s v="Loan"/>
    <s v="SANSABIA"/>
    <s v="DEPFA"/>
    <m/>
    <m/>
    <s v="GICS Deposit"/>
  </r>
  <r>
    <x v="2"/>
    <x v="0"/>
    <x v="0"/>
    <x v="2"/>
    <x v="2"/>
    <m/>
    <n v="-221375"/>
    <s v="-194615.38461538461538461538461538461538"/>
    <n v="-221375"/>
    <s v="1.1375"/>
    <s v="USD"/>
    <x v="70"/>
    <s v="INTEREST_AND_FEES"/>
    <n v="0"/>
    <s v="NONE"/>
    <n v="0"/>
    <n v="0"/>
    <s v="INFLOW_CENTRAL_GOV_INVESTMENTS"/>
    <n v="193988"/>
    <s v="SUMMIT"/>
    <m/>
    <d v="2028-08-15T00:00:00"/>
    <s v="FV_SHORT_TM"/>
    <s v="AM_GICS_T"/>
    <s v="NONE"/>
    <s v="BONDS"/>
    <s v="Depfa Bank Plc"/>
    <n v="4101000279"/>
    <s v="Bond"/>
    <s v="Bond"/>
    <s v="DEPFAPLC_NY"/>
    <s v="DEPFA"/>
    <s v="US912810FE39"/>
    <m/>
    <s v="Not GIC"/>
  </r>
  <r>
    <x v="3"/>
    <x v="0"/>
    <x v="0"/>
    <x v="3"/>
    <x v="3"/>
    <m/>
    <n v="-221375"/>
    <s v="-194615.38461538461538461538461538461538"/>
    <n v="-221375"/>
    <s v="1.1375"/>
    <s v="USD"/>
    <x v="71"/>
    <s v="INTEREST_AND_FEES"/>
    <n v="0"/>
    <s v="NONE"/>
    <n v="0"/>
    <n v="0"/>
    <s v="INFLOW_CENTRAL_GOV_INVESTMENTS"/>
    <n v="193988"/>
    <s v="SUMMIT"/>
    <m/>
    <d v="2028-08-15T00:00:00"/>
    <s v="FV_SHORT_TM"/>
    <s v="AM_GICS_T"/>
    <s v="NONE"/>
    <s v="BONDS"/>
    <s v="Depfa Bank Plc"/>
    <n v="4101000279"/>
    <s v="Bond"/>
    <s v="Bond"/>
    <s v="DEPFAPLC_NY"/>
    <s v="DEPFA"/>
    <s v="US912810FE39"/>
    <m/>
    <s v="Not GIC"/>
  </r>
  <r>
    <x v="4"/>
    <x v="0"/>
    <x v="0"/>
    <x v="4"/>
    <x v="4"/>
    <m/>
    <n v="-221375"/>
    <s v="-194615.38461538461538461538461538461538"/>
    <n v="-221375"/>
    <s v="1.1375"/>
    <s v="USD"/>
    <x v="72"/>
    <s v="INTEREST_AND_FEES"/>
    <n v="0"/>
    <s v="NONE"/>
    <n v="0"/>
    <n v="0"/>
    <s v="INFLOW_CENTRAL_GOV_INVESTMENTS"/>
    <n v="193988"/>
    <s v="SUMMIT"/>
    <m/>
    <d v="2028-08-15T00:00:00"/>
    <s v="FV_SHORT_TM"/>
    <s v="AM_GICS_T"/>
    <s v="NONE"/>
    <s v="BONDS"/>
    <s v="Depfa Bank Plc"/>
    <n v="4101000279"/>
    <s v="Bond"/>
    <s v="Bond"/>
    <s v="DEPFAPLC_NY"/>
    <s v="DEPFA"/>
    <s v="US912810FE39"/>
    <m/>
    <s v="Not GIC"/>
  </r>
  <r>
    <x v="5"/>
    <x v="0"/>
    <x v="0"/>
    <x v="5"/>
    <x v="5"/>
    <m/>
    <n v="-221375"/>
    <s v="-194615.38461538461538461538461538461538"/>
    <n v="-221375"/>
    <s v="1.1375"/>
    <s v="USD"/>
    <x v="73"/>
    <s v="INTEREST_AND_FEES"/>
    <n v="0"/>
    <s v="NONE"/>
    <n v="0"/>
    <n v="0"/>
    <s v="INFLOW_CENTRAL_GOV_INVESTMENTS"/>
    <n v="193988"/>
    <s v="SUMMIT"/>
    <m/>
    <d v="2028-08-15T00:00:00"/>
    <s v="FV_SHORT_TM"/>
    <s v="AM_GICS_T"/>
    <s v="NONE"/>
    <s v="BONDS"/>
    <s v="Depfa Bank Plc"/>
    <n v="4101000279"/>
    <s v="Bond"/>
    <s v="Bond"/>
    <s v="DEPFAPLC_NY"/>
    <s v="DEPFA"/>
    <s v="US912810FE39"/>
    <m/>
    <s v="Not GIC"/>
  </r>
  <r>
    <x v="0"/>
    <x v="0"/>
    <x v="0"/>
    <x v="0"/>
    <x v="0"/>
    <m/>
    <s v="321901.16"/>
    <s v="282990.030769230769230769230769230769231"/>
    <n v="321901.16000000003"/>
    <s v="1.1375"/>
    <s v="USD"/>
    <x v="0"/>
    <s v="INTEREST_AND_FEES"/>
    <n v="0"/>
    <s v="NONE"/>
    <n v="0"/>
    <n v="0"/>
    <s v="IGNORED"/>
    <s v="957017PN"/>
    <s v="SUMMIT"/>
    <m/>
    <d v="2026-12-15T00:00:00"/>
    <s v="FV_HEDGE"/>
    <s v="AM_GICMI_F"/>
    <s v="INTRA_ENTITY"/>
    <s v="DERIVATES"/>
    <s v="Depfa Bank Plc"/>
    <n v="4101000279"/>
    <s v="Derivative"/>
    <s v="Swap"/>
    <s v="DEPFAPLC_NY"/>
    <s v="DEPFA"/>
    <m/>
    <m/>
    <s v="Not GIC"/>
  </r>
  <r>
    <x v="1"/>
    <x v="0"/>
    <x v="0"/>
    <x v="1"/>
    <x v="1"/>
    <m/>
    <s v="301053.33"/>
    <s v="264662.268131868131868131868131868131868"/>
    <n v="301053.33"/>
    <s v="1.1375"/>
    <s v="USD"/>
    <x v="1"/>
    <s v="INTEREST_AND_FEES"/>
    <n v="0"/>
    <s v="NONE"/>
    <n v="0"/>
    <n v="0"/>
    <s v="IGNORED"/>
    <s v="957017PN"/>
    <s v="SUMMIT"/>
    <m/>
    <d v="2026-12-15T00:00:00"/>
    <s v="FV_HEDGE"/>
    <s v="AM_GICMI_F"/>
    <s v="INTRA_ENTITY"/>
    <s v="DERIVATES"/>
    <s v="Depfa Bank Plc"/>
    <n v="4101000279"/>
    <s v="Derivative"/>
    <s v="Swap"/>
    <s v="DEPFAPLC_NY"/>
    <s v="DEPFA"/>
    <m/>
    <m/>
    <s v="Not GIC"/>
  </r>
  <r>
    <x v="1"/>
    <x v="0"/>
    <x v="0"/>
    <x v="1"/>
    <x v="1"/>
    <m/>
    <s v="297606.82"/>
    <s v="261632.369230769230769230769230769230769"/>
    <n v="297606.82"/>
    <s v="1.1375"/>
    <s v="USD"/>
    <x v="2"/>
    <s v="INTEREST_AND_FEES"/>
    <n v="0"/>
    <s v="NONE"/>
    <n v="0"/>
    <n v="0"/>
    <s v="IGNORED"/>
    <s v="957017PN"/>
    <s v="SUMMIT"/>
    <m/>
    <d v="2026-12-15T00:00:00"/>
    <s v="FV_HEDGE"/>
    <s v="AM_GICMI_F"/>
    <s v="INTRA_ENTITY"/>
    <s v="DERIVATES"/>
    <s v="Depfa Bank Plc"/>
    <n v="4101000279"/>
    <s v="Derivative"/>
    <s v="Swap"/>
    <s v="DEPFAPLC_NY"/>
    <s v="DEPFA"/>
    <m/>
    <m/>
    <s v="Not GIC"/>
  </r>
  <r>
    <x v="2"/>
    <x v="0"/>
    <x v="0"/>
    <x v="2"/>
    <x v="2"/>
    <m/>
    <s v="392087.85"/>
    <s v="344692.615384615384615384615384615384615"/>
    <n v="392087.85"/>
    <s v="1.1375"/>
    <s v="USD"/>
    <x v="3"/>
    <s v="INTEREST_AND_FEES"/>
    <n v="0"/>
    <s v="NONE"/>
    <n v="0"/>
    <n v="0"/>
    <s v="IGNORED"/>
    <s v="957017PN"/>
    <s v="SUMMIT"/>
    <m/>
    <d v="2026-12-15T00:00:00"/>
    <s v="FV_HEDGE"/>
    <s v="AM_GICMI_F"/>
    <s v="INTRA_ENTITY"/>
    <s v="DERIVATES"/>
    <s v="Depfa Bank Plc"/>
    <n v="4101000279"/>
    <s v="Derivative"/>
    <s v="Swap"/>
    <s v="DEPFAPLC_NY"/>
    <s v="DEPFA"/>
    <m/>
    <m/>
    <s v="Not GIC"/>
  </r>
  <r>
    <x v="2"/>
    <x v="0"/>
    <x v="0"/>
    <x v="2"/>
    <x v="2"/>
    <m/>
    <s v="378210.72"/>
    <s v="332492.940659340659340659340659340659341"/>
    <n v="378210.72"/>
    <s v="1.1375"/>
    <s v="USD"/>
    <x v="4"/>
    <s v="INTEREST_AND_FEES"/>
    <n v="0"/>
    <s v="NONE"/>
    <n v="0"/>
    <n v="0"/>
    <s v="IGNORED"/>
    <s v="957017PN"/>
    <s v="SUMMIT"/>
    <m/>
    <d v="2026-12-15T00:00:00"/>
    <s v="FV_HEDGE"/>
    <s v="AM_GICMI_F"/>
    <s v="INTRA_ENTITY"/>
    <s v="DERIVATES"/>
    <s v="Depfa Bank Plc"/>
    <n v="4101000279"/>
    <s v="Derivative"/>
    <s v="Swap"/>
    <s v="DEPFAPLC_NY"/>
    <s v="DEPFA"/>
    <m/>
    <m/>
    <s v="Not GIC"/>
  </r>
  <r>
    <x v="2"/>
    <x v="0"/>
    <x v="0"/>
    <x v="2"/>
    <x v="2"/>
    <m/>
    <s v="418373.84"/>
    <s v="367801.178021978021978021978021978021978"/>
    <n v="418373.83999999997"/>
    <s v="1.1375"/>
    <s v="USD"/>
    <x v="5"/>
    <s v="INTEREST_AND_FEES"/>
    <n v="0"/>
    <s v="NONE"/>
    <n v="0"/>
    <n v="0"/>
    <s v="IGNORED"/>
    <s v="957017PN"/>
    <s v="SUMMIT"/>
    <m/>
    <d v="2026-12-15T00:00:00"/>
    <s v="FV_HEDGE"/>
    <s v="AM_GICMI_F"/>
    <s v="INTRA_ENTITY"/>
    <s v="DERIVATES"/>
    <s v="Depfa Bank Plc"/>
    <n v="4101000279"/>
    <s v="Derivative"/>
    <s v="Swap"/>
    <s v="DEPFAPLC_NY"/>
    <s v="DEPFA"/>
    <m/>
    <m/>
    <s v="Not GIC"/>
  </r>
  <r>
    <x v="3"/>
    <x v="0"/>
    <x v="0"/>
    <x v="3"/>
    <x v="3"/>
    <m/>
    <s v="457612.15"/>
    <s v="402296.395604395604395604395604395604396"/>
    <n v="457612.14999999997"/>
    <s v="1.1375"/>
    <s v="USD"/>
    <x v="6"/>
    <s v="INTEREST_AND_FEES"/>
    <n v="0"/>
    <s v="NONE"/>
    <n v="0"/>
    <n v="0"/>
    <s v="IGNORED"/>
    <s v="957017PN"/>
    <s v="SUMMIT"/>
    <m/>
    <d v="2026-12-15T00:00:00"/>
    <s v="FV_HEDGE"/>
    <s v="AM_GICMI_F"/>
    <s v="INTRA_ENTITY"/>
    <s v="DERIVATES"/>
    <s v="Depfa Bank Plc"/>
    <n v="4101000279"/>
    <s v="Derivative"/>
    <s v="Swap"/>
    <s v="DEPFAPLC_NY"/>
    <s v="DEPFA"/>
    <m/>
    <m/>
    <s v="Not GIC"/>
  </r>
  <r>
    <x v="3"/>
    <x v="0"/>
    <x v="0"/>
    <x v="3"/>
    <x v="3"/>
    <m/>
    <s v="280713.99"/>
    <s v="246781.52967032967032967032967032967033"/>
    <n v="280713.99"/>
    <s v="1.1375"/>
    <s v="USD"/>
    <x v="7"/>
    <s v="INTEREST_AND_FEES"/>
    <n v="0"/>
    <s v="NONE"/>
    <n v="0"/>
    <n v="0"/>
    <s v="IGNORED"/>
    <s v="957017PN"/>
    <s v="SUMMIT"/>
    <m/>
    <d v="2026-12-15T00:00:00"/>
    <s v="FV_HEDGE"/>
    <s v="AM_GICMI_F"/>
    <s v="INTRA_ENTITY"/>
    <s v="DERIVATES"/>
    <s v="Depfa Bank Plc"/>
    <n v="4101000279"/>
    <s v="Derivative"/>
    <s v="Swap"/>
    <s v="DEPFAPLC_NY"/>
    <s v="DEPFA"/>
    <m/>
    <m/>
    <s v="Not GIC"/>
  </r>
  <r>
    <x v="3"/>
    <x v="0"/>
    <x v="0"/>
    <x v="3"/>
    <x v="3"/>
    <m/>
    <s v="65296.11"/>
    <s v="57403.1736263736263736263736263736263736"/>
    <n v="65296.109999999993"/>
    <s v="1.1375"/>
    <s v="USD"/>
    <x v="8"/>
    <s v="INTEREST_AND_FEES"/>
    <n v="0"/>
    <s v="NONE"/>
    <n v="0"/>
    <n v="0"/>
    <s v="IGNORED"/>
    <s v="957017PN"/>
    <s v="SUMMIT"/>
    <m/>
    <d v="2026-12-15T00:00:00"/>
    <s v="FV_HEDGE"/>
    <s v="AM_GICMI_F"/>
    <s v="INTRA_ENTITY"/>
    <s v="DERIVATES"/>
    <s v="Depfa Bank Plc"/>
    <n v="4101000279"/>
    <s v="Derivative"/>
    <s v="Swap"/>
    <s v="DEPFAPLC_NY"/>
    <s v="DEPFA"/>
    <m/>
    <m/>
    <s v="Not GIC"/>
  </r>
  <r>
    <x v="3"/>
    <x v="0"/>
    <x v="0"/>
    <x v="3"/>
    <x v="3"/>
    <m/>
    <s v="126820.41"/>
    <s v="111490.47032967032967032967032967032967"/>
    <n v="126820.40999999999"/>
    <s v="1.1375"/>
    <s v="USD"/>
    <x v="9"/>
    <s v="INTEREST_AND_FEES"/>
    <n v="0"/>
    <s v="NONE"/>
    <n v="0"/>
    <n v="0"/>
    <s v="IGNORED"/>
    <s v="957017PN"/>
    <s v="SUMMIT"/>
    <m/>
    <d v="2026-12-15T00:00:00"/>
    <s v="FV_HEDGE"/>
    <s v="AM_GICMI_F"/>
    <s v="INTRA_ENTITY"/>
    <s v="DERIVATES"/>
    <s v="Depfa Bank Plc"/>
    <n v="4101000279"/>
    <s v="Derivative"/>
    <s v="Swap"/>
    <s v="DEPFAPLC_NY"/>
    <s v="DEPFA"/>
    <m/>
    <m/>
    <s v="Not GIC"/>
  </r>
  <r>
    <x v="3"/>
    <x v="0"/>
    <x v="0"/>
    <x v="3"/>
    <x v="3"/>
    <m/>
    <s v="192218.58"/>
    <s v="168983.367032967032967032967032967032967"/>
    <n v="192218.58000000002"/>
    <s v="1.1375"/>
    <s v="USD"/>
    <x v="10"/>
    <s v="INTEREST_AND_FEES"/>
    <n v="0"/>
    <s v="NONE"/>
    <n v="0"/>
    <n v="0"/>
    <s v="IGNORED"/>
    <s v="957017PN"/>
    <s v="SUMMIT"/>
    <m/>
    <d v="2026-12-15T00:00:00"/>
    <s v="FV_HEDGE"/>
    <s v="AM_GICMI_F"/>
    <s v="INTRA_ENTITY"/>
    <s v="DERIVATES"/>
    <s v="Depfa Bank Plc"/>
    <n v="4101000279"/>
    <s v="Derivative"/>
    <s v="Swap"/>
    <s v="DEPFAPLC_NY"/>
    <s v="DEPFA"/>
    <m/>
    <m/>
    <s v="Not GIC"/>
  </r>
  <r>
    <x v="3"/>
    <x v="0"/>
    <x v="0"/>
    <x v="3"/>
    <x v="3"/>
    <m/>
    <s v="217528.26"/>
    <s v="191233.635164835164835164835164835164835"/>
    <n v="217528.26"/>
    <s v="1.1375"/>
    <s v="USD"/>
    <x v="11"/>
    <s v="INTEREST_AND_FEES"/>
    <n v="0"/>
    <s v="NONE"/>
    <n v="0"/>
    <n v="0"/>
    <s v="IGNORED"/>
    <s v="957017PN"/>
    <s v="SUMMIT"/>
    <m/>
    <d v="2026-12-15T00:00:00"/>
    <s v="FV_HEDGE"/>
    <s v="AM_GICMI_F"/>
    <s v="INTRA_ENTITY"/>
    <s v="DERIVATES"/>
    <s v="Depfa Bank Plc"/>
    <n v="4101000279"/>
    <s v="Derivative"/>
    <s v="Swap"/>
    <s v="DEPFAPLC_NY"/>
    <s v="DEPFA"/>
    <m/>
    <m/>
    <s v="Not GIC"/>
  </r>
  <r>
    <x v="4"/>
    <x v="0"/>
    <x v="0"/>
    <x v="4"/>
    <x v="4"/>
    <m/>
    <s v="337751.85"/>
    <s v="296924.703296703296703296703296703296703"/>
    <n v="337751.85"/>
    <s v="1.1375"/>
    <s v="USD"/>
    <x v="12"/>
    <s v="INTEREST_AND_FEES"/>
    <n v="0"/>
    <s v="NONE"/>
    <n v="0"/>
    <n v="0"/>
    <s v="IGNORED"/>
    <s v="957017PN"/>
    <s v="SUMMIT"/>
    <m/>
    <d v="2026-12-15T00:00:00"/>
    <s v="FV_HEDGE"/>
    <s v="AM_GICMI_F"/>
    <s v="INTRA_ENTITY"/>
    <s v="DERIVATES"/>
    <s v="Depfa Bank Plc"/>
    <n v="4101000279"/>
    <s v="Derivative"/>
    <s v="Swap"/>
    <s v="DEPFAPLC_NY"/>
    <s v="DEPFA"/>
    <m/>
    <m/>
    <s v="Not GIC"/>
  </r>
  <r>
    <x v="4"/>
    <x v="0"/>
    <x v="0"/>
    <x v="4"/>
    <x v="4"/>
    <m/>
    <s v="310280.83"/>
    <s v="272774.356043956043956043956043956043956"/>
    <n v="310280.83"/>
    <s v="1.1375"/>
    <s v="USD"/>
    <x v="13"/>
    <s v="INTEREST_AND_FEES"/>
    <n v="0"/>
    <s v="NONE"/>
    <n v="0"/>
    <n v="0"/>
    <s v="IGNORED"/>
    <s v="957017PN"/>
    <s v="SUMMIT"/>
    <m/>
    <d v="2026-12-15T00:00:00"/>
    <s v="FV_HEDGE"/>
    <s v="AM_GICMI_F"/>
    <s v="INTRA_ENTITY"/>
    <s v="DERIVATES"/>
    <s v="Depfa Bank Plc"/>
    <n v="4101000279"/>
    <s v="Derivative"/>
    <s v="Swap"/>
    <s v="DEPFAPLC_NY"/>
    <s v="DEPFA"/>
    <m/>
    <m/>
    <s v="Not GIC"/>
  </r>
  <r>
    <x v="4"/>
    <x v="0"/>
    <x v="0"/>
    <x v="4"/>
    <x v="4"/>
    <m/>
    <s v="331418.67"/>
    <s v="291357.072527472527472527472527472527473"/>
    <n v="331418.67"/>
    <s v="1.1375"/>
    <s v="USD"/>
    <x v="14"/>
    <s v="INTEREST_AND_FEES"/>
    <n v="0"/>
    <s v="NONE"/>
    <n v="0"/>
    <n v="0"/>
    <s v="IGNORED"/>
    <s v="957017PN"/>
    <s v="SUMMIT"/>
    <m/>
    <d v="2026-12-15T00:00:00"/>
    <s v="FV_HEDGE"/>
    <s v="AM_GICMI_F"/>
    <s v="INTRA_ENTITY"/>
    <s v="DERIVATES"/>
    <s v="Depfa Bank Plc"/>
    <n v="4101000279"/>
    <s v="Derivative"/>
    <s v="Swap"/>
    <s v="DEPFAPLC_NY"/>
    <s v="DEPFA"/>
    <m/>
    <m/>
    <s v="Not GIC"/>
  </r>
  <r>
    <x v="4"/>
    <x v="0"/>
    <x v="0"/>
    <x v="4"/>
    <x v="4"/>
    <m/>
    <s v="382775.81"/>
    <s v="336506.206593406593406593406593406593407"/>
    <n v="382775.81"/>
    <s v="1.1375"/>
    <s v="USD"/>
    <x v="15"/>
    <s v="INTEREST_AND_FEES"/>
    <n v="0"/>
    <s v="NONE"/>
    <n v="0"/>
    <n v="0"/>
    <s v="IGNORED"/>
    <s v="957017PN"/>
    <s v="SUMMIT"/>
    <m/>
    <d v="2026-12-15T00:00:00"/>
    <s v="FV_HEDGE"/>
    <s v="AM_GICMI_F"/>
    <s v="INTRA_ENTITY"/>
    <s v="DERIVATES"/>
    <s v="Depfa Bank Plc"/>
    <n v="4101000279"/>
    <s v="Derivative"/>
    <s v="Swap"/>
    <s v="DEPFAPLC_NY"/>
    <s v="DEPFA"/>
    <m/>
    <m/>
    <s v="Not GIC"/>
  </r>
  <r>
    <x v="4"/>
    <x v="0"/>
    <x v="0"/>
    <x v="4"/>
    <x v="4"/>
    <m/>
    <s v="382567.35"/>
    <s v="336322.945054945054945054945054945054945"/>
    <n v="382567.35"/>
    <s v="1.1375"/>
    <s v="USD"/>
    <x v="16"/>
    <s v="INTEREST_AND_FEES"/>
    <n v="0"/>
    <s v="NONE"/>
    <n v="0"/>
    <n v="0"/>
    <s v="IGNORED"/>
    <s v="957017PN"/>
    <s v="SUMMIT"/>
    <m/>
    <d v="2026-12-15T00:00:00"/>
    <s v="FV_HEDGE"/>
    <s v="AM_GICMI_F"/>
    <s v="INTRA_ENTITY"/>
    <s v="DERIVATES"/>
    <s v="Depfa Bank Plc"/>
    <n v="4101000279"/>
    <s v="Derivative"/>
    <s v="Swap"/>
    <s v="DEPFAPLC_NY"/>
    <s v="DEPFA"/>
    <m/>
    <m/>
    <s v="Not GIC"/>
  </r>
  <r>
    <x v="4"/>
    <x v="0"/>
    <x v="0"/>
    <x v="4"/>
    <x v="4"/>
    <m/>
    <s v="452296.99"/>
    <s v="397623.727472527472527472527472527472528"/>
    <n v="452296.99"/>
    <s v="1.1375"/>
    <s v="USD"/>
    <x v="17"/>
    <s v="INTEREST_AND_FEES"/>
    <n v="0"/>
    <s v="NONE"/>
    <n v="0"/>
    <n v="0"/>
    <s v="IGNORED"/>
    <s v="957017PN"/>
    <s v="SUMMIT"/>
    <m/>
    <d v="2026-12-15T00:00:00"/>
    <s v="FV_HEDGE"/>
    <s v="AM_GICMI_F"/>
    <s v="INTRA_ENTITY"/>
    <s v="DERIVATES"/>
    <s v="Depfa Bank Plc"/>
    <n v="4101000279"/>
    <s v="Derivative"/>
    <s v="Swap"/>
    <s v="DEPFAPLC_NY"/>
    <s v="DEPFA"/>
    <m/>
    <m/>
    <s v="Not GIC"/>
  </r>
  <r>
    <x v="5"/>
    <x v="0"/>
    <x v="0"/>
    <x v="5"/>
    <x v="5"/>
    <m/>
    <s v="477912.51"/>
    <s v="420142.865934065934065934065934065934066"/>
    <n v="477912.51"/>
    <s v="1.1375"/>
    <s v="USD"/>
    <x v="18"/>
    <s v="INTEREST_AND_FEES"/>
    <n v="0"/>
    <s v="NONE"/>
    <n v="0"/>
    <n v="0"/>
    <s v="IGNORED"/>
    <s v="957017PN"/>
    <s v="SUMMIT"/>
    <m/>
    <d v="2026-12-15T00:00:00"/>
    <s v="FV_HEDGE"/>
    <s v="AM_GICMI_F"/>
    <s v="INTRA_ENTITY"/>
    <s v="DERIVATES"/>
    <s v="Depfa Bank Plc"/>
    <n v="4101000279"/>
    <s v="Derivative"/>
    <s v="Swap"/>
    <s v="DEPFAPLC_NY"/>
    <s v="DEPFA"/>
    <m/>
    <m/>
    <s v="Not GIC"/>
  </r>
  <r>
    <x v="5"/>
    <x v="0"/>
    <x v="0"/>
    <x v="5"/>
    <x v="5"/>
    <m/>
    <s v="289756.74"/>
    <s v="254731.2"/>
    <n v="289756.74"/>
    <s v="1.1375"/>
    <s v="USD"/>
    <x v="19"/>
    <s v="INTEREST_AND_FEES"/>
    <n v="0"/>
    <s v="NONE"/>
    <n v="0"/>
    <n v="0"/>
    <s v="IGNORED"/>
    <s v="957017PN"/>
    <s v="SUMMIT"/>
    <m/>
    <d v="2026-12-15T00:00:00"/>
    <s v="FV_HEDGE"/>
    <s v="AM_GICMI_F"/>
    <s v="INTRA_ENTITY"/>
    <s v="DERIVATES"/>
    <s v="Depfa Bank Plc"/>
    <n v="4101000279"/>
    <s v="Derivative"/>
    <s v="Swap"/>
    <s v="DEPFAPLC_NY"/>
    <s v="DEPFA"/>
    <m/>
    <m/>
    <s v="Not GIC"/>
  </r>
  <r>
    <x v="5"/>
    <x v="0"/>
    <x v="0"/>
    <x v="5"/>
    <x v="5"/>
    <m/>
    <s v="68405.86"/>
    <s v="60137.0197802197802197802197802197802198"/>
    <n v="68405.86"/>
    <s v="1.1375"/>
    <s v="USD"/>
    <x v="20"/>
    <s v="INTEREST_AND_FEES"/>
    <n v="0"/>
    <s v="NONE"/>
    <n v="0"/>
    <n v="0"/>
    <s v="IGNORED"/>
    <s v="957017PN"/>
    <s v="SUMMIT"/>
    <m/>
    <d v="2026-12-15T00:00:00"/>
    <s v="FV_HEDGE"/>
    <s v="AM_GICMI_F"/>
    <s v="INTRA_ENTITY"/>
    <s v="DERIVATES"/>
    <s v="Depfa Bank Plc"/>
    <n v="4101000279"/>
    <s v="Derivative"/>
    <s v="Swap"/>
    <s v="DEPFAPLC_NY"/>
    <s v="DEPFA"/>
    <m/>
    <m/>
    <s v="Not GIC"/>
  </r>
  <r>
    <x v="5"/>
    <x v="0"/>
    <x v="0"/>
    <x v="5"/>
    <x v="5"/>
    <m/>
    <s v="128678.8"/>
    <s v="113124.21978021978021978021978021978022"/>
    <n v="128678.79999999999"/>
    <s v="1.1375"/>
    <s v="USD"/>
    <x v="21"/>
    <s v="INTEREST_AND_FEES"/>
    <n v="0"/>
    <s v="NONE"/>
    <n v="0"/>
    <n v="0"/>
    <s v="IGNORED"/>
    <s v="957017PN"/>
    <s v="SUMMIT"/>
    <m/>
    <d v="2026-12-15T00:00:00"/>
    <s v="FV_HEDGE"/>
    <s v="AM_GICMI_F"/>
    <s v="INTRA_ENTITY"/>
    <s v="DERIVATES"/>
    <s v="Depfa Bank Plc"/>
    <n v="4101000279"/>
    <s v="Derivative"/>
    <s v="Swap"/>
    <s v="DEPFAPLC_NY"/>
    <s v="DEPFA"/>
    <m/>
    <m/>
    <s v="Not GIC"/>
  </r>
  <r>
    <x v="5"/>
    <x v="0"/>
    <x v="0"/>
    <x v="5"/>
    <x v="5"/>
    <m/>
    <s v="192547.18"/>
    <s v="169272.246153846153846153846153846153846"/>
    <n v="192547.18"/>
    <s v="1.1375"/>
    <s v="USD"/>
    <x v="22"/>
    <s v="INTEREST_AND_FEES"/>
    <n v="0"/>
    <s v="NONE"/>
    <n v="0"/>
    <n v="0"/>
    <s v="IGNORED"/>
    <s v="957017PN"/>
    <s v="SUMMIT"/>
    <m/>
    <d v="2026-12-15T00:00:00"/>
    <s v="FV_HEDGE"/>
    <s v="AM_GICMI_F"/>
    <s v="INTRA_ENTITY"/>
    <s v="DERIVATES"/>
    <s v="Depfa Bank Plc"/>
    <n v="4101000279"/>
    <s v="Derivative"/>
    <s v="Swap"/>
    <s v="DEPFAPLC_NY"/>
    <s v="DEPFA"/>
    <m/>
    <m/>
    <s v="Not GIC"/>
  </r>
  <r>
    <x v="5"/>
    <x v="0"/>
    <x v="0"/>
    <x v="5"/>
    <x v="5"/>
    <m/>
    <s v="248508.35"/>
    <s v="218468.879120879120879120879120879120879"/>
    <n v="248508.34999999998"/>
    <s v="1.1375"/>
    <s v="USD"/>
    <x v="23"/>
    <s v="INTEREST_AND_FEES"/>
    <n v="0"/>
    <s v="NONE"/>
    <n v="0"/>
    <n v="0"/>
    <s v="IGNORED"/>
    <s v="957017PN"/>
    <s v="SUMMIT"/>
    <m/>
    <d v="2026-12-15T00:00:00"/>
    <s v="FV_HEDGE"/>
    <s v="AM_GICMI_F"/>
    <s v="INTRA_ENTITY"/>
    <s v="DERIVATES"/>
    <s v="Depfa Bank Plc"/>
    <n v="4101000279"/>
    <s v="Derivative"/>
    <s v="Swap"/>
    <s v="DEPFAPLC_NY"/>
    <s v="DEPFA"/>
    <m/>
    <m/>
    <s v="Not GIC"/>
  </r>
  <r>
    <x v="7"/>
    <x v="1"/>
    <x v="0"/>
    <x v="32"/>
    <x v="6"/>
    <m/>
    <n v="0"/>
    <n v="0"/>
    <n v="0"/>
    <s v="1.1375"/>
    <s v="USD"/>
    <x v="47"/>
    <s v="INTEREST_AND_FEES"/>
    <n v="0"/>
    <s v="NONE"/>
    <n v="0"/>
    <n v="0"/>
    <m/>
    <n v="194016"/>
    <s v="SUMMIT"/>
    <m/>
    <d v="2016-05-12T00:00:00"/>
    <s v="AFS_GEN_U"/>
    <s v="AM_GICS_F"/>
    <s v="NONE"/>
    <s v="BONDS"/>
    <s v="RBC CAPTIAL MARKETS, LLC"/>
    <n v="3101053435"/>
    <s v="Bond"/>
    <s v="Bond"/>
    <s v="DEPFAPLC_NY"/>
    <s v="DEPFA"/>
    <s v="US912796HR30"/>
    <m/>
    <s v="Not GIC"/>
  </r>
  <r>
    <x v="7"/>
    <x v="1"/>
    <x v="2"/>
    <x v="39"/>
    <x v="6"/>
    <m/>
    <n v="0"/>
    <n v="0"/>
    <n v="0"/>
    <s v="1.1375"/>
    <s v="USD"/>
    <x v="47"/>
    <s v="PRINCIPAL_FLOW"/>
    <n v="0"/>
    <s v="NONE"/>
    <n v="0"/>
    <n v="0"/>
    <m/>
    <n v="194016"/>
    <s v="SUMMIT"/>
    <m/>
    <d v="2016-05-12T00:00:00"/>
    <s v="AFS_GEN_U"/>
    <s v="AM_GICS_F"/>
    <s v="NONE"/>
    <s v="BONDS"/>
    <s v="RBC CAPTIAL MARKETS, LLC"/>
    <n v="3101053435"/>
    <s v="Bond"/>
    <s v="Bond"/>
    <s v="DEPFAPLC_NY"/>
    <s v="DEPFA"/>
    <s v="US912796HR30"/>
    <m/>
    <s v="Not GIC"/>
  </r>
  <r>
    <x v="1"/>
    <x v="1"/>
    <x v="0"/>
    <x v="13"/>
    <x v="6"/>
    <m/>
    <n v="45000"/>
    <s v="39560.4395604395604395604395604395604396"/>
    <n v="45000"/>
    <s v="1.1375"/>
    <s v="USD"/>
    <x v="57"/>
    <s v="INTEREST_AND_FEES"/>
    <n v="0"/>
    <s v="NONE"/>
    <n v="0"/>
    <n v="0"/>
    <s v="INFLOW_CENTRAL_GOV_INVESTMENTS"/>
    <n v="193007"/>
    <s v="SUMMIT"/>
    <m/>
    <d v="2016-06-15T00:00:00"/>
    <s v="AFS_GEN_U"/>
    <s v="AM_GICS_F"/>
    <s v="NONE"/>
    <s v="BONDS"/>
    <s v="RBC CAPTIAL MARKETS, LLC"/>
    <n v="3101053435"/>
    <s v="Bond"/>
    <s v="Bond"/>
    <s v="DEPFAPLC_NY"/>
    <s v="DEPFA"/>
    <s v="US912828VG29"/>
    <m/>
    <s v="Not GIC"/>
  </r>
  <r>
    <x v="1"/>
    <x v="1"/>
    <x v="2"/>
    <x v="18"/>
    <x v="6"/>
    <m/>
    <n v="18000000"/>
    <s v="15824175.8241758241758241758241758241758"/>
    <n v="18000000"/>
    <s v="1.1375"/>
    <s v="USD"/>
    <x v="57"/>
    <s v="PRINCIPAL_FLOW"/>
    <n v="0"/>
    <s v="NONE"/>
    <n v="0"/>
    <n v="0"/>
    <s v="INFLOW_CENTRAL_GOV_INVESTMENTS"/>
    <n v="193007"/>
    <s v="SUMMIT"/>
    <m/>
    <d v="2016-06-15T00:00:00"/>
    <s v="AFS_GEN_U"/>
    <s v="AM_GICS_F"/>
    <s v="NONE"/>
    <s v="BONDS"/>
    <s v="RBC CAPTIAL MARKETS, LLC"/>
    <n v="3101053435"/>
    <s v="Bond"/>
    <s v="Bond"/>
    <s v="DEPFAPLC_NY"/>
    <s v="DEPFA"/>
    <s v="US912828VG29"/>
    <m/>
    <s v="Not GIC"/>
  </r>
  <r>
    <x v="3"/>
    <x v="1"/>
    <x v="0"/>
    <x v="9"/>
    <x v="6"/>
    <m/>
    <n v="0"/>
    <n v="0"/>
    <n v="0"/>
    <s v="1.1375"/>
    <s v="USD"/>
    <x v="36"/>
    <s v="INTEREST_AND_FEES"/>
    <n v="0"/>
    <s v="NONE"/>
    <n v="0"/>
    <n v="0"/>
    <s v="INFLOW_NON_GOV_INVESTMENTS"/>
    <n v="148669"/>
    <s v="SUMMIT"/>
    <m/>
    <d v="2018-11-29T00:00:00"/>
    <s v="LN_RC_GEN_U"/>
    <s v="AM_BANKBND_L"/>
    <s v="NONE"/>
    <s v="BONDS"/>
    <s v="Depfa Bank Plc, New York"/>
    <n v="5101000018"/>
    <s v="Bond"/>
    <s v="Bond"/>
    <s v="DEPFAPLC_NY"/>
    <s v="DEPFA"/>
    <s v="US662826DC77_LF2"/>
    <m/>
    <s v="Not GIC"/>
  </r>
  <r>
    <x v="3"/>
    <x v="1"/>
    <x v="0"/>
    <x v="9"/>
    <x v="6"/>
    <m/>
    <n v="0"/>
    <n v="0"/>
    <n v="0"/>
    <s v="1.1375"/>
    <s v="USD"/>
    <x v="37"/>
    <s v="INTEREST_AND_FEES"/>
    <n v="0"/>
    <s v="NONE"/>
    <n v="0"/>
    <n v="0"/>
    <s v="INFLOW_NON_GOV_INVESTMENTS"/>
    <n v="148669"/>
    <s v="SUMMIT"/>
    <m/>
    <d v="2018-11-29T00:00:00"/>
    <s v="LN_RC_GEN_U"/>
    <s v="AM_BANKBND_L"/>
    <s v="NONE"/>
    <s v="BONDS"/>
    <s v="Depfa Bank Plc, New York"/>
    <n v="5101000018"/>
    <s v="Bond"/>
    <s v="Bond"/>
    <s v="DEPFAPLC_NY"/>
    <s v="DEPFA"/>
    <s v="US662826DC77_LF2"/>
    <m/>
    <s v="Not GIC"/>
  </r>
  <r>
    <x v="3"/>
    <x v="1"/>
    <x v="0"/>
    <x v="9"/>
    <x v="6"/>
    <m/>
    <n v="0"/>
    <n v="0"/>
    <n v="0"/>
    <s v="1.1375"/>
    <s v="USD"/>
    <x v="38"/>
    <s v="INTEREST_AND_FEES"/>
    <n v="0"/>
    <s v="NONE"/>
    <n v="0"/>
    <n v="0"/>
    <s v="INFLOW_NON_GOV_INVESTMENTS"/>
    <n v="148669"/>
    <s v="SUMMIT"/>
    <m/>
    <d v="2018-11-29T00:00:00"/>
    <s v="LN_RC_GEN_U"/>
    <s v="AM_BANKBND_L"/>
    <s v="NONE"/>
    <s v="BONDS"/>
    <s v="Depfa Bank Plc, New York"/>
    <n v="5101000018"/>
    <s v="Bond"/>
    <s v="Bond"/>
    <s v="DEPFAPLC_NY"/>
    <s v="DEPFA"/>
    <s v="US662826DC77_LF2"/>
    <m/>
    <s v="Not GIC"/>
  </r>
  <r>
    <x v="3"/>
    <x v="1"/>
    <x v="0"/>
    <x v="9"/>
    <x v="6"/>
    <m/>
    <n v="0"/>
    <n v="0"/>
    <n v="0"/>
    <s v="1.1375"/>
    <s v="USD"/>
    <x v="39"/>
    <s v="INTEREST_AND_FEES"/>
    <n v="0"/>
    <s v="NONE"/>
    <n v="0"/>
    <n v="0"/>
    <s v="INFLOW_NON_GOV_INVESTMENTS"/>
    <n v="148669"/>
    <s v="SUMMIT"/>
    <m/>
    <d v="2018-11-29T00:00:00"/>
    <s v="LN_RC_GEN_U"/>
    <s v="AM_BANKBND_L"/>
    <s v="NONE"/>
    <s v="BONDS"/>
    <s v="Depfa Bank Plc, New York"/>
    <n v="5101000018"/>
    <s v="Bond"/>
    <s v="Bond"/>
    <s v="DEPFAPLC_NY"/>
    <s v="DEPFA"/>
    <s v="US662826DC77_LF2"/>
    <m/>
    <s v="Not GIC"/>
  </r>
  <r>
    <x v="3"/>
    <x v="1"/>
    <x v="0"/>
    <x v="9"/>
    <x v="6"/>
    <m/>
    <n v="0"/>
    <n v="0"/>
    <n v="0"/>
    <s v="1.1375"/>
    <s v="USD"/>
    <x v="77"/>
    <s v="INTEREST_AND_FEES"/>
    <n v="0"/>
    <s v="NONE"/>
    <n v="0"/>
    <n v="0"/>
    <s v="INFLOW_NON_GOV_INVESTMENTS"/>
    <n v="148669"/>
    <s v="SUMMIT"/>
    <m/>
    <d v="2018-11-29T00:00:00"/>
    <s v="LN_RC_GEN_U"/>
    <s v="AM_BANKBND_L"/>
    <s v="NONE"/>
    <s v="BONDS"/>
    <s v="Depfa Bank Plc, New York"/>
    <n v="5101000018"/>
    <s v="Bond"/>
    <s v="Bond"/>
    <s v="DEPFAPLC_NY"/>
    <s v="DEPFA"/>
    <s v="US662826DC77_LF2"/>
    <m/>
    <s v="Not GIC"/>
  </r>
  <r>
    <x v="4"/>
    <x v="1"/>
    <x v="0"/>
    <x v="10"/>
    <x v="6"/>
    <m/>
    <n v="0"/>
    <n v="0"/>
    <n v="0"/>
    <s v="1.1375"/>
    <s v="USD"/>
    <x v="40"/>
    <s v="INTEREST_AND_FEES"/>
    <n v="0"/>
    <s v="NONE"/>
    <n v="0"/>
    <n v="0"/>
    <s v="INFLOW_NON_GOV_INVESTMENTS"/>
    <n v="148669"/>
    <s v="SUMMIT"/>
    <m/>
    <d v="2018-11-29T00:00:00"/>
    <s v="LN_RC_GEN_U"/>
    <s v="AM_BANKBND_L"/>
    <s v="NONE"/>
    <s v="BONDS"/>
    <s v="Depfa Bank Plc, New York"/>
    <n v="5101000018"/>
    <s v="Bond"/>
    <s v="Bond"/>
    <s v="DEPFAPLC_NY"/>
    <s v="DEPFA"/>
    <s v="US662826DC77_LF2"/>
    <m/>
    <s v="Not GIC"/>
  </r>
  <r>
    <x v="4"/>
    <x v="1"/>
    <x v="0"/>
    <x v="10"/>
    <x v="6"/>
    <m/>
    <n v="0"/>
    <n v="0"/>
    <n v="0"/>
    <s v="1.1375"/>
    <s v="USD"/>
    <x v="41"/>
    <s v="INTEREST_AND_FEES"/>
    <n v="0"/>
    <s v="NONE"/>
    <n v="0"/>
    <n v="0"/>
    <s v="INFLOW_NON_GOV_INVESTMENTS"/>
    <n v="148669"/>
    <s v="SUMMIT"/>
    <m/>
    <d v="2018-11-29T00:00:00"/>
    <s v="LN_RC_GEN_U"/>
    <s v="AM_BANKBND_L"/>
    <s v="NONE"/>
    <s v="BONDS"/>
    <s v="Depfa Bank Plc, New York"/>
    <n v="5101000018"/>
    <s v="Bond"/>
    <s v="Bond"/>
    <s v="DEPFAPLC_NY"/>
    <s v="DEPFA"/>
    <s v="US662826DC77_LF2"/>
    <m/>
    <s v="Not GIC"/>
  </r>
  <r>
    <x v="4"/>
    <x v="1"/>
    <x v="0"/>
    <x v="10"/>
    <x v="6"/>
    <m/>
    <n v="0"/>
    <n v="0"/>
    <n v="0"/>
    <s v="1.1375"/>
    <s v="USD"/>
    <x v="49"/>
    <s v="INTEREST_AND_FEES"/>
    <n v="0"/>
    <s v="NONE"/>
    <n v="0"/>
    <n v="0"/>
    <s v="INFLOW_NON_GOV_INVESTMENTS"/>
    <n v="148669"/>
    <s v="SUMMIT"/>
    <m/>
    <d v="2018-11-29T00:00:00"/>
    <s v="LN_RC_GEN_U"/>
    <s v="AM_BANKBND_L"/>
    <s v="NONE"/>
    <s v="BONDS"/>
    <s v="Depfa Bank Plc, New York"/>
    <n v="5101000018"/>
    <s v="Bond"/>
    <s v="Bond"/>
    <s v="DEPFAPLC_NY"/>
    <s v="DEPFA"/>
    <s v="US662826DC77_LF2"/>
    <m/>
    <s v="Not GIC"/>
  </r>
  <r>
    <x v="4"/>
    <x v="1"/>
    <x v="0"/>
    <x v="10"/>
    <x v="6"/>
    <m/>
    <n v="0"/>
    <n v="0"/>
    <n v="0"/>
    <s v="1.1375"/>
    <s v="USD"/>
    <x v="50"/>
    <s v="INTEREST_AND_FEES"/>
    <n v="0"/>
    <s v="NONE"/>
    <n v="0"/>
    <n v="0"/>
    <s v="INFLOW_NON_GOV_INVESTMENTS"/>
    <n v="148669"/>
    <s v="SUMMIT"/>
    <m/>
    <d v="2018-11-29T00:00:00"/>
    <s v="LN_RC_GEN_U"/>
    <s v="AM_BANKBND_L"/>
    <s v="NONE"/>
    <s v="BONDS"/>
    <s v="Depfa Bank Plc, New York"/>
    <n v="5101000018"/>
    <s v="Bond"/>
    <s v="Bond"/>
    <s v="DEPFAPLC_NY"/>
    <s v="DEPFA"/>
    <s v="US662826DC77_LF2"/>
    <m/>
    <s v="Not GIC"/>
  </r>
  <r>
    <x v="4"/>
    <x v="1"/>
    <x v="0"/>
    <x v="10"/>
    <x v="6"/>
    <m/>
    <n v="0"/>
    <n v="0"/>
    <n v="0"/>
    <s v="1.1375"/>
    <s v="USD"/>
    <x v="51"/>
    <s v="INTEREST_AND_FEES"/>
    <n v="0"/>
    <s v="NONE"/>
    <n v="0"/>
    <n v="0"/>
    <s v="INFLOW_NON_GOV_INVESTMENTS"/>
    <n v="148669"/>
    <s v="SUMMIT"/>
    <m/>
    <d v="2018-11-29T00:00:00"/>
    <s v="LN_RC_GEN_U"/>
    <s v="AM_BANKBND_L"/>
    <s v="NONE"/>
    <s v="BONDS"/>
    <s v="Depfa Bank Plc, New York"/>
    <n v="5101000018"/>
    <s v="Bond"/>
    <s v="Bond"/>
    <s v="DEPFAPLC_NY"/>
    <s v="DEPFA"/>
    <s v="US662826DC77_LF2"/>
    <m/>
    <s v="Not GIC"/>
  </r>
  <r>
    <x v="4"/>
    <x v="1"/>
    <x v="0"/>
    <x v="10"/>
    <x v="6"/>
    <m/>
    <n v="0"/>
    <n v="0"/>
    <n v="0"/>
    <s v="1.1375"/>
    <s v="USD"/>
    <x v="28"/>
    <s v="INTEREST_AND_FEES"/>
    <n v="0"/>
    <s v="NONE"/>
    <n v="0"/>
    <n v="0"/>
    <s v="INFLOW_NON_GOV_INVESTMENTS"/>
    <n v="148669"/>
    <s v="SUMMIT"/>
    <m/>
    <d v="2018-11-29T00:00:00"/>
    <s v="LN_RC_GEN_U"/>
    <s v="AM_BANKBND_L"/>
    <s v="NONE"/>
    <s v="BONDS"/>
    <s v="Depfa Bank Plc, New York"/>
    <n v="5101000018"/>
    <s v="Bond"/>
    <s v="Bond"/>
    <s v="DEPFAPLC_NY"/>
    <s v="DEPFA"/>
    <s v="US662826DC77_LF2"/>
    <m/>
    <s v="Not GIC"/>
  </r>
  <r>
    <x v="5"/>
    <x v="1"/>
    <x v="0"/>
    <x v="11"/>
    <x v="6"/>
    <m/>
    <n v="0"/>
    <n v="0"/>
    <n v="0"/>
    <s v="1.1375"/>
    <s v="USD"/>
    <x v="52"/>
    <s v="INTEREST_AND_FEES"/>
    <n v="0"/>
    <s v="NONE"/>
    <n v="0"/>
    <n v="0"/>
    <s v="INFLOW_NON_GOV_INVESTMENTS"/>
    <n v="148669"/>
    <s v="SUMMIT"/>
    <m/>
    <d v="2018-11-29T00:00:00"/>
    <s v="LN_RC_GEN_U"/>
    <s v="AM_BANKBND_L"/>
    <s v="NONE"/>
    <s v="BONDS"/>
    <s v="Depfa Bank Plc, New York"/>
    <n v="5101000018"/>
    <s v="Bond"/>
    <s v="Bond"/>
    <s v="DEPFAPLC_NY"/>
    <s v="DEPFA"/>
    <s v="US662826DC77_LF2"/>
    <m/>
    <s v="Not GIC"/>
  </r>
  <r>
    <x v="5"/>
    <x v="1"/>
    <x v="0"/>
    <x v="11"/>
    <x v="6"/>
    <m/>
    <n v="0"/>
    <n v="0"/>
    <n v="0"/>
    <s v="1.1375"/>
    <s v="USD"/>
    <x v="53"/>
    <s v="INTEREST_AND_FEES"/>
    <n v="0"/>
    <s v="NONE"/>
    <n v="0"/>
    <n v="0"/>
    <s v="INFLOW_NON_GOV_INVESTMENTS"/>
    <n v="148669"/>
    <s v="SUMMIT"/>
    <m/>
    <d v="2018-11-29T00:00:00"/>
    <s v="LN_RC_GEN_U"/>
    <s v="AM_BANKBND_L"/>
    <s v="NONE"/>
    <s v="BONDS"/>
    <s v="Depfa Bank Plc, New York"/>
    <n v="5101000018"/>
    <s v="Bond"/>
    <s v="Bond"/>
    <s v="DEPFAPLC_NY"/>
    <s v="DEPFA"/>
    <s v="US662826DC77_LF2"/>
    <m/>
    <s v="Not GIC"/>
  </r>
  <r>
    <x v="5"/>
    <x v="1"/>
    <x v="0"/>
    <x v="11"/>
    <x v="6"/>
    <m/>
    <n v="0"/>
    <n v="0"/>
    <n v="0"/>
    <s v="1.1375"/>
    <s v="USD"/>
    <x v="54"/>
    <s v="INTEREST_AND_FEES"/>
    <n v="0"/>
    <s v="NONE"/>
    <n v="0"/>
    <n v="0"/>
    <s v="INFLOW_NON_GOV_INVESTMENTS"/>
    <n v="148669"/>
    <s v="SUMMIT"/>
    <m/>
    <d v="2018-11-29T00:00:00"/>
    <s v="LN_RC_GEN_U"/>
    <s v="AM_BANKBND_L"/>
    <s v="NONE"/>
    <s v="BONDS"/>
    <s v="Depfa Bank Plc, New York"/>
    <n v="5101000018"/>
    <s v="Bond"/>
    <s v="Bond"/>
    <s v="DEPFAPLC_NY"/>
    <s v="DEPFA"/>
    <s v="US662826DC77_LF2"/>
    <m/>
    <s v="Not GIC"/>
  </r>
  <r>
    <x v="5"/>
    <x v="1"/>
    <x v="0"/>
    <x v="11"/>
    <x v="6"/>
    <m/>
    <n v="0"/>
    <n v="0"/>
    <n v="0"/>
    <s v="1.1375"/>
    <s v="USD"/>
    <x v="55"/>
    <s v="INTEREST_AND_FEES"/>
    <n v="0"/>
    <s v="NONE"/>
    <n v="0"/>
    <n v="0"/>
    <s v="INFLOW_NON_GOV_INVESTMENTS"/>
    <n v="148669"/>
    <s v="SUMMIT"/>
    <m/>
    <d v="2018-11-29T00:00:00"/>
    <s v="LN_RC_GEN_U"/>
    <s v="AM_BANKBND_L"/>
    <s v="NONE"/>
    <s v="BONDS"/>
    <s v="Depfa Bank Plc, New York"/>
    <n v="5101000018"/>
    <s v="Bond"/>
    <s v="Bond"/>
    <s v="DEPFAPLC_NY"/>
    <s v="DEPFA"/>
    <s v="US662826DC77_LF2"/>
    <m/>
    <s v="Not GIC"/>
  </r>
  <r>
    <x v="5"/>
    <x v="1"/>
    <x v="0"/>
    <x v="11"/>
    <x v="6"/>
    <m/>
    <n v="0"/>
    <n v="0"/>
    <n v="0"/>
    <s v="1.1375"/>
    <s v="USD"/>
    <x v="74"/>
    <s v="INTEREST_AND_FEES"/>
    <n v="0"/>
    <s v="NONE"/>
    <n v="0"/>
    <n v="0"/>
    <s v="INFLOW_NON_GOV_INVESTMENTS"/>
    <n v="148669"/>
    <s v="SUMMIT"/>
    <m/>
    <d v="2018-11-29T00:00:00"/>
    <s v="LN_RC_GEN_U"/>
    <s v="AM_BANKBND_L"/>
    <s v="NONE"/>
    <s v="BONDS"/>
    <s v="Depfa Bank Plc, New York"/>
    <n v="5101000018"/>
    <s v="Bond"/>
    <s v="Bond"/>
    <s v="DEPFAPLC_NY"/>
    <s v="DEPFA"/>
    <s v="US662826DC77_LF2"/>
    <m/>
    <s v="Not GIC"/>
  </r>
  <r>
    <x v="5"/>
    <x v="1"/>
    <x v="0"/>
    <x v="11"/>
    <x v="6"/>
    <m/>
    <n v="0"/>
    <n v="0"/>
    <n v="0"/>
    <s v="1.1375"/>
    <s v="USD"/>
    <x v="29"/>
    <s v="INTEREST_AND_FEES"/>
    <n v="0"/>
    <s v="NONE"/>
    <n v="0"/>
    <n v="0"/>
    <s v="INFLOW_NON_GOV_INVESTMENTS"/>
    <n v="148669"/>
    <s v="SUMMIT"/>
    <m/>
    <d v="2018-11-29T00:00:00"/>
    <s v="LN_RC_GEN_U"/>
    <s v="AM_BANKBND_L"/>
    <s v="NONE"/>
    <s v="BONDS"/>
    <s v="Depfa Bank Plc, New York"/>
    <n v="5101000018"/>
    <s v="Bond"/>
    <s v="Bond"/>
    <s v="DEPFAPLC_NY"/>
    <s v="DEPFA"/>
    <s v="US662826DC77_LF2"/>
    <m/>
    <s v="Not GIC"/>
  </r>
  <r>
    <x v="2"/>
    <x v="1"/>
    <x v="0"/>
    <x v="7"/>
    <x v="6"/>
    <s v="6M_San Sabia Capital Corporation"/>
    <s v="-125.43"/>
    <s v="-110.26813186813186813186813186813186813"/>
    <n v="-125.43"/>
    <s v="1.1375"/>
    <s v="USD"/>
    <x v="4"/>
    <s v="INTEREST_AND_FEES"/>
    <n v="0"/>
    <s v="NONE"/>
    <n v="0"/>
    <n v="0"/>
    <s v="OUTFLOW_GENERAL_GOV_FIX_PERIOD_DEPOSITS"/>
    <s v="D_644381SA"/>
    <s v="SUMMIT"/>
    <s v="644381SA"/>
    <d v="1939-10-03T00:00:00"/>
    <s v="FV_SHORT_TM"/>
    <s v="AM_GICS_T"/>
    <s v="NONE"/>
    <s v="LOAN"/>
    <s v="NEVADA HOUSING DIVISION"/>
    <n v="101000520"/>
    <s v="Lending"/>
    <s v="Loan"/>
    <s v="SANSABIA"/>
    <s v="DEPFA"/>
    <m/>
    <m/>
    <s v="GICS Deposit"/>
  </r>
  <r>
    <x v="2"/>
    <x v="1"/>
    <x v="1"/>
    <x v="6"/>
    <x v="6"/>
    <s v="6M_San Sabia Capital Corporation"/>
    <s v="494940.14"/>
    <s v="435112.210989010989010989010989010989011"/>
    <n v="494940.13999999996"/>
    <s v="1.1375"/>
    <s v="USD"/>
    <x v="4"/>
    <s v="PRINCIPAL_FLOW"/>
    <n v="0"/>
    <s v="NONE"/>
    <n v="0"/>
    <n v="0"/>
    <s v="INFLOW_GENERAL_GOV_LENDINGS"/>
    <s v="D_644381SA"/>
    <s v="SUMMIT"/>
    <s v="644381SA"/>
    <d v="1939-10-03T00:00:00"/>
    <s v="FV_SHORT_TM"/>
    <s v="AM_GICS_T"/>
    <s v="NONE"/>
    <s v="LOAN"/>
    <s v="NEVADA HOUSING DIVISION"/>
    <n v="101000520"/>
    <s v="Lending"/>
    <s v="Loan"/>
    <s v="SANSABIA"/>
    <s v="DEPFA"/>
    <m/>
    <m/>
    <s v="GICS Deposit"/>
  </r>
  <r>
    <x v="3"/>
    <x v="1"/>
    <x v="0"/>
    <x v="9"/>
    <x v="6"/>
    <s v="12M_San Sabia Capital Corporation"/>
    <s v="-8421.52"/>
    <s v="-7403.5340659340659340659340659340659341"/>
    <n v="-8421.52"/>
    <s v="1.1375"/>
    <s v="USD"/>
    <x v="10"/>
    <s v="INTEREST_AND_FEES"/>
    <n v="0"/>
    <s v="NONE"/>
    <n v="0"/>
    <n v="0"/>
    <s v="OUTFLOW_GENERAL_GOV_FIX_PERIOD_DEPOSITS"/>
    <s v="D_644381SA"/>
    <s v="SUMMIT"/>
    <s v="644381SA"/>
    <d v="1939-10-03T00:00:00"/>
    <s v="FV_SHORT_TM"/>
    <s v="AM_GICS_T"/>
    <s v="NONE"/>
    <s v="LOAN"/>
    <s v="NEVADA HOUSING DIVISION"/>
    <n v="101000520"/>
    <s v="Lending"/>
    <s v="Loan"/>
    <s v="SANSABIA"/>
    <s v="DEPFA"/>
    <m/>
    <m/>
    <s v="GICS Deposit"/>
  </r>
  <r>
    <x v="4"/>
    <x v="1"/>
    <x v="0"/>
    <x v="10"/>
    <x v="6"/>
    <s v="18M_San Sabia Capital Corporation"/>
    <s v="-8328.47"/>
    <s v="-7321.7318681318681318681318681318681319"/>
    <n v="-8328.4699999999993"/>
    <s v="1.1375"/>
    <s v="USD"/>
    <x v="16"/>
    <s v="INTEREST_AND_FEES"/>
    <n v="0"/>
    <s v="NONE"/>
    <n v="0"/>
    <n v="0"/>
    <s v="OUTFLOW_GENERAL_GOV_FIX_PERIOD_DEPOSITS"/>
    <s v="D_644381SA"/>
    <s v="SUMMIT"/>
    <s v="644381SA"/>
    <d v="1939-10-03T00:00:00"/>
    <s v="FV_SHORT_TM"/>
    <s v="AM_GICS_T"/>
    <s v="NONE"/>
    <s v="LOAN"/>
    <s v="NEVADA HOUSING DIVISION"/>
    <n v="101000520"/>
    <s v="Lending"/>
    <s v="Loan"/>
    <s v="SANSABIA"/>
    <s v="DEPFA"/>
    <m/>
    <m/>
    <s v="GICS Deposit"/>
  </r>
  <r>
    <x v="5"/>
    <x v="1"/>
    <x v="1"/>
    <x v="40"/>
    <x v="6"/>
    <s v="2Y_San Sabia Capital Corporation"/>
    <n v="-500000"/>
    <s v="-439560.43956043956043956043956043956044"/>
    <n v="-500000"/>
    <s v="1.1375"/>
    <s v="USD"/>
    <x v="131"/>
    <s v="PRINCIPAL_FLOW"/>
    <n v="0"/>
    <s v="NONE"/>
    <n v="0"/>
    <n v="0"/>
    <s v="OUTFLOW_GENERAL_GOV_FIX_PERIOD_DEPOSITS"/>
    <s v="D_644381SA"/>
    <s v="SUMMIT"/>
    <s v="644381SA"/>
    <d v="1939-10-03T00:00:00"/>
    <s v="FV_SHORT_TM"/>
    <s v="AM_GICS_T"/>
    <s v="NONE"/>
    <s v="LOAN"/>
    <s v="NEVADA HOUSING DIVISION"/>
    <n v="101000520"/>
    <s v="Lending"/>
    <s v="Loan"/>
    <s v="SANSABIA"/>
    <s v="DEPFA"/>
    <m/>
    <m/>
    <s v="GICS Deposit"/>
  </r>
  <r>
    <x v="5"/>
    <x v="1"/>
    <x v="0"/>
    <x v="11"/>
    <x v="6"/>
    <s v="2Y_San Sabia Capital Corporation"/>
    <s v="-7118.75"/>
    <s v="-6258.2417582417582417582417582417582418"/>
    <n v="-7118.75"/>
    <s v="1.1375"/>
    <s v="USD"/>
    <x v="22"/>
    <s v="INTEREST_AND_FEES"/>
    <n v="0"/>
    <s v="NONE"/>
    <n v="0"/>
    <n v="0"/>
    <s v="OUTFLOW_GENERAL_GOV_FIX_PERIOD_DEPOSITS"/>
    <s v="D_644381SA"/>
    <s v="SUMMIT"/>
    <s v="644381SA"/>
    <d v="1939-10-03T00:00:00"/>
    <s v="FV_SHORT_TM"/>
    <s v="AM_GICS_T"/>
    <s v="NONE"/>
    <s v="LOAN"/>
    <s v="NEVADA HOUSING DIVISION"/>
    <n v="101000520"/>
    <s v="Lending"/>
    <s v="Loan"/>
    <s v="SANSABIA"/>
    <s v="DEPFA"/>
    <m/>
    <m/>
    <s v="GICS Deposit"/>
  </r>
  <r>
    <x v="3"/>
    <x v="1"/>
    <x v="0"/>
    <x v="9"/>
    <x v="6"/>
    <m/>
    <s v="-50444.58"/>
    <s v="-44346.883516483516483516483516483516484"/>
    <n v="-50444.58"/>
    <s v="1.1375"/>
    <s v="USD"/>
    <x v="11"/>
    <s v="INTEREST_AND_FEES"/>
    <n v="0"/>
    <s v="NONE"/>
    <n v="0"/>
    <n v="0"/>
    <s v="OUTFLOW_DEPOSITS_LOANS"/>
    <s v="D_293550PN"/>
    <s v="SUMMIT"/>
    <s v="293550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4"/>
    <x v="1"/>
    <x v="0"/>
    <x v="10"/>
    <x v="6"/>
    <m/>
    <s v="-64033.05"/>
    <s v="-56292.791208791208791208791208791208791"/>
    <n v="-64033.05"/>
    <s v="1.1375"/>
    <s v="USD"/>
    <x v="12"/>
    <s v="INTEREST_AND_FEES"/>
    <n v="0"/>
    <s v="NONE"/>
    <n v="0"/>
    <n v="0"/>
    <s v="OUTFLOW_DEPOSITS_LOANS"/>
    <s v="D_293550PN"/>
    <s v="SUMMIT"/>
    <s v="293550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4"/>
    <x v="1"/>
    <x v="5"/>
    <x v="28"/>
    <x v="6"/>
    <m/>
    <s v="2084558.71"/>
    <s v="1832579.08571428571428571428571428571429"/>
    <n v="2084558.71"/>
    <s v="1.1375"/>
    <s v="USD"/>
    <x v="12"/>
    <s v="PRINCIPAL_FLOW"/>
    <n v="0"/>
    <s v="NONE"/>
    <n v="0"/>
    <n v="0"/>
    <s v="INFLOW_NON_GOV_LOANS"/>
    <s v="D_293550PN"/>
    <s v="SUMMIT"/>
    <s v="293550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4"/>
    <x v="1"/>
    <x v="0"/>
    <x v="10"/>
    <x v="6"/>
    <m/>
    <s v="-70073.26"/>
    <s v="-61602.865934065934065934065934065934066"/>
    <n v="-70073.259999999995"/>
    <s v="1.1375"/>
    <s v="USD"/>
    <x v="13"/>
    <s v="INTEREST_AND_FEES"/>
    <n v="0"/>
    <s v="NONE"/>
    <n v="0"/>
    <n v="0"/>
    <s v="OUTFLOW_DEPOSITS_LOANS"/>
    <s v="D_293550PN"/>
    <s v="SUMMIT"/>
    <s v="293550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4"/>
    <x v="1"/>
    <x v="5"/>
    <x v="28"/>
    <x v="6"/>
    <m/>
    <s v="1833486.05"/>
    <s v="1611855.86813186813186813186813186813187"/>
    <n v="1833486.0499999998"/>
    <s v="1.1375"/>
    <s v="USD"/>
    <x v="13"/>
    <s v="PRINCIPAL_FLOW"/>
    <n v="0"/>
    <s v="NONE"/>
    <n v="0"/>
    <n v="0"/>
    <s v="INFLOW_NON_GOV_LOANS"/>
    <s v="D_293550PN"/>
    <s v="SUMMIT"/>
    <s v="293550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4"/>
    <x v="1"/>
    <x v="0"/>
    <x v="10"/>
    <x v="6"/>
    <m/>
    <s v="-79776.18"/>
    <s v="-70132.905494505494505494505494505494506"/>
    <n v="-79776.179999999993"/>
    <s v="1.1375"/>
    <s v="USD"/>
    <x v="14"/>
    <s v="INTEREST_AND_FEES"/>
    <n v="0"/>
    <s v="NONE"/>
    <n v="0"/>
    <n v="0"/>
    <s v="OUTFLOW_DEPOSITS_LOANS"/>
    <s v="D_293550PN"/>
    <s v="SUMMIT"/>
    <s v="293550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4"/>
    <x v="1"/>
    <x v="5"/>
    <x v="28"/>
    <x v="6"/>
    <m/>
    <s v="1818190.73"/>
    <s v="1598409.43296703296703296703296703296703"/>
    <n v="1818190.73"/>
    <s v="1.1375"/>
    <s v="USD"/>
    <x v="14"/>
    <s v="PRINCIPAL_FLOW"/>
    <n v="0"/>
    <s v="NONE"/>
    <n v="0"/>
    <n v="0"/>
    <s v="INFLOW_NON_GOV_LOANS"/>
    <s v="D_293550PN"/>
    <s v="SUMMIT"/>
    <s v="293550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4"/>
    <x v="1"/>
    <x v="0"/>
    <x v="10"/>
    <x v="6"/>
    <m/>
    <s v="-87081.87"/>
    <s v="-76555.49010989010989010989010989010989"/>
    <n v="-87081.87"/>
    <s v="1.1375"/>
    <s v="USD"/>
    <x v="15"/>
    <s v="INTEREST_AND_FEES"/>
    <n v="0"/>
    <s v="NONE"/>
    <n v="0"/>
    <n v="0"/>
    <s v="OUTFLOW_DEPOSITS_LOANS"/>
    <s v="D_293550PN"/>
    <s v="SUMMIT"/>
    <s v="293550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4"/>
    <x v="1"/>
    <x v="5"/>
    <x v="28"/>
    <x v="6"/>
    <m/>
    <s v="1953517.86"/>
    <s v="1717378.33846153846153846153846153846154"/>
    <n v="1953517.86"/>
    <s v="1.1375"/>
    <s v="USD"/>
    <x v="15"/>
    <s v="PRINCIPAL_FLOW"/>
    <n v="0"/>
    <s v="NONE"/>
    <n v="0"/>
    <n v="0"/>
    <s v="INFLOW_NON_GOV_LOANS"/>
    <s v="D_293550PN"/>
    <s v="SUMMIT"/>
    <s v="293550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4"/>
    <x v="1"/>
    <x v="5"/>
    <x v="28"/>
    <x v="6"/>
    <m/>
    <s v="2099344.78"/>
    <s v="1845577.82857142857142857142857142857143"/>
    <n v="2099344.7799999998"/>
    <s v="1.1375"/>
    <s v="USD"/>
    <x v="16"/>
    <s v="PRINCIPAL_FLOW"/>
    <n v="0"/>
    <s v="NONE"/>
    <n v="0"/>
    <n v="0"/>
    <s v="INFLOW_NON_GOV_LOANS"/>
    <s v="D_293550PN"/>
    <s v="SUMMIT"/>
    <s v="293550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4"/>
    <x v="1"/>
    <x v="0"/>
    <x v="10"/>
    <x v="6"/>
    <m/>
    <s v="-92141.13"/>
    <s v="-81003.191208791208791208791208791208791"/>
    <n v="-92141.12999999999"/>
    <s v="1.1375"/>
    <s v="USD"/>
    <x v="16"/>
    <s v="INTEREST_AND_FEES"/>
    <n v="0"/>
    <s v="NONE"/>
    <n v="0"/>
    <n v="0"/>
    <s v="OUTFLOW_DEPOSITS_LOANS"/>
    <s v="D_293550PN"/>
    <s v="SUMMIT"/>
    <s v="293550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4"/>
    <x v="1"/>
    <x v="0"/>
    <x v="10"/>
    <x v="6"/>
    <m/>
    <s v="-103366.71"/>
    <s v="-90871.832967032967032967032967032967033"/>
    <n v="-103366.70999999999"/>
    <s v="1.1375"/>
    <s v="USD"/>
    <x v="17"/>
    <s v="INTEREST_AND_FEES"/>
    <n v="0"/>
    <s v="NONE"/>
    <n v="0"/>
    <n v="0"/>
    <s v="OUTFLOW_DEPOSITS_LOANS"/>
    <s v="D_293550PN"/>
    <s v="SUMMIT"/>
    <s v="293550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4"/>
    <x v="1"/>
    <x v="5"/>
    <x v="28"/>
    <x v="6"/>
    <m/>
    <s v="2076901.07"/>
    <s v="1825847.09450549450549450549450549450549"/>
    <n v="2076901.0699999998"/>
    <s v="1.1375"/>
    <s v="USD"/>
    <x v="17"/>
    <s v="PRINCIPAL_FLOW"/>
    <n v="0"/>
    <s v="NONE"/>
    <n v="0"/>
    <n v="0"/>
    <s v="INFLOW_NON_GOV_LOANS"/>
    <s v="D_293550PN"/>
    <s v="SUMMIT"/>
    <s v="293550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5"/>
    <x v="1"/>
    <x v="0"/>
    <x v="11"/>
    <x v="6"/>
    <m/>
    <s v="-108108.32"/>
    <s v="-95040.281318681318681318681318681318681"/>
    <n v="-108108.31999999999"/>
    <s v="1.1375"/>
    <s v="USD"/>
    <x v="18"/>
    <s v="INTEREST_AND_FEES"/>
    <n v="0"/>
    <s v="NONE"/>
    <n v="0"/>
    <n v="0"/>
    <s v="OUTFLOW_DEPOSITS_LOANS"/>
    <s v="D_293550PN"/>
    <s v="SUMMIT"/>
    <s v="293550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5"/>
    <x v="1"/>
    <x v="5"/>
    <x v="29"/>
    <x v="6"/>
    <m/>
    <s v="2197887.82"/>
    <s v="1932209.07252747252747252747252747252747"/>
    <n v="2197887.8199999998"/>
    <s v="1.1375"/>
    <s v="USD"/>
    <x v="18"/>
    <s v="PRINCIPAL_FLOW"/>
    <n v="0"/>
    <s v="NONE"/>
    <n v="0"/>
    <n v="0"/>
    <s v="INFLOW_NON_GOV_LOANS"/>
    <s v="D_293550PN"/>
    <s v="SUMMIT"/>
    <s v="293550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5"/>
    <x v="1"/>
    <x v="5"/>
    <x v="29"/>
    <x v="6"/>
    <m/>
    <n v="-30000000"/>
    <s v="-26373626.373626373626373626373626373626"/>
    <n v="-30000000"/>
    <s v="1.1375"/>
    <s v="USD"/>
    <x v="82"/>
    <s v="PRINCIPAL_FLOW"/>
    <n v="0"/>
    <s v="NONE"/>
    <n v="0"/>
    <n v="0"/>
    <s v="OUTFLOW_DEPOSITS_LOANS"/>
    <s v="D_293550PN"/>
    <s v="SUMMIT"/>
    <s v="293550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5"/>
    <x v="1"/>
    <x v="5"/>
    <x v="29"/>
    <x v="6"/>
    <m/>
    <s v="2729693.82"/>
    <s v="2399730.83076923076923076923076923076923"/>
    <n v="2729693.82"/>
    <s v="1.1375"/>
    <s v="USD"/>
    <x v="19"/>
    <s v="PRINCIPAL_FLOW"/>
    <n v="0"/>
    <s v="NONE"/>
    <n v="0"/>
    <n v="0"/>
    <s v="INFLOW_NON_GOV_LOANS"/>
    <s v="D_293550PN"/>
    <s v="SUMMIT"/>
    <s v="293550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5"/>
    <x v="1"/>
    <x v="0"/>
    <x v="11"/>
    <x v="6"/>
    <m/>
    <s v="-55146.53"/>
    <s v="-48480.465934065934065934065934065934066"/>
    <n v="-55146.53"/>
    <s v="1.1375"/>
    <s v="USD"/>
    <x v="19"/>
    <s v="INTEREST_AND_FEES"/>
    <n v="0"/>
    <s v="NONE"/>
    <n v="0"/>
    <n v="0"/>
    <s v="OUTFLOW_DEPOSITS_LOANS"/>
    <s v="D_293550PN"/>
    <s v="SUMMIT"/>
    <s v="293550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5"/>
    <x v="1"/>
    <x v="0"/>
    <x v="11"/>
    <x v="6"/>
    <m/>
    <s v="-10968.21"/>
    <s v="-9642.3824175824175824175824175824175824"/>
    <n v="-10968.21"/>
    <s v="1.1375"/>
    <s v="USD"/>
    <x v="20"/>
    <s v="INTEREST_AND_FEES"/>
    <n v="0"/>
    <s v="NONE"/>
    <n v="0"/>
    <n v="0"/>
    <s v="OUTFLOW_DEPOSITS_LOANS"/>
    <s v="D_293550PN"/>
    <s v="SUMMIT"/>
    <s v="293550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5"/>
    <x v="1"/>
    <x v="5"/>
    <x v="29"/>
    <x v="6"/>
    <m/>
    <s v="3320730.17"/>
    <s v="2919323.22637362637362637362637362637363"/>
    <n v="3320730.17"/>
    <s v="1.1375"/>
    <s v="USD"/>
    <x v="20"/>
    <s v="PRINCIPAL_FLOW"/>
    <n v="0"/>
    <s v="NONE"/>
    <n v="0"/>
    <n v="0"/>
    <s v="INFLOW_NON_GOV_LOANS"/>
    <s v="D_293550PN"/>
    <s v="SUMMIT"/>
    <s v="293550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5"/>
    <x v="1"/>
    <x v="0"/>
    <x v="11"/>
    <x v="6"/>
    <m/>
    <s v="-21958.57"/>
    <s v="-19304.237362637362637362637362637362637"/>
    <n v="-21958.57"/>
    <s v="1.1375"/>
    <s v="USD"/>
    <x v="21"/>
    <s v="INTEREST_AND_FEES"/>
    <n v="0"/>
    <s v="NONE"/>
    <n v="0"/>
    <n v="0"/>
    <s v="OUTFLOW_DEPOSITS_LOANS"/>
    <s v="D_293550PN"/>
    <s v="SUMMIT"/>
    <s v="293550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5"/>
    <x v="1"/>
    <x v="5"/>
    <x v="29"/>
    <x v="6"/>
    <m/>
    <s v="3532478.07"/>
    <s v="3105475.22637362637362637362637362637363"/>
    <n v="3532478.07"/>
    <s v="1.1375"/>
    <s v="USD"/>
    <x v="21"/>
    <s v="PRINCIPAL_FLOW"/>
    <n v="0"/>
    <s v="NONE"/>
    <n v="0"/>
    <n v="0"/>
    <s v="INFLOW_NON_GOV_LOANS"/>
    <s v="D_293550PN"/>
    <s v="SUMMIT"/>
    <s v="293550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5"/>
    <x v="1"/>
    <x v="5"/>
    <x v="29"/>
    <x v="6"/>
    <m/>
    <s v="3022648.38"/>
    <s v="2657273.3010989010989010989010989010989"/>
    <n v="3022648.3800000004"/>
    <s v="1.1375"/>
    <s v="USD"/>
    <x v="22"/>
    <s v="PRINCIPAL_FLOW"/>
    <n v="0"/>
    <s v="NONE"/>
    <n v="0"/>
    <n v="0"/>
    <s v="INFLOW_NON_GOV_LOANS"/>
    <s v="D_293550PN"/>
    <s v="SUMMIT"/>
    <s v="293550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5"/>
    <x v="1"/>
    <x v="0"/>
    <x v="11"/>
    <x v="6"/>
    <m/>
    <s v="-38896.93"/>
    <s v="-34195.103296703296703296703296703296703"/>
    <n v="-38896.93"/>
    <s v="1.1375"/>
    <s v="USD"/>
    <x v="22"/>
    <s v="INTEREST_AND_FEES"/>
    <n v="0"/>
    <s v="NONE"/>
    <n v="0"/>
    <n v="0"/>
    <s v="OUTFLOW_DEPOSITS_LOANS"/>
    <s v="D_293550PN"/>
    <s v="SUMMIT"/>
    <s v="293550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5"/>
    <x v="1"/>
    <x v="0"/>
    <x v="11"/>
    <x v="6"/>
    <m/>
    <s v="-49016.6"/>
    <s v="-43091.516483516483516483516483516483517"/>
    <n v="-49016.6"/>
    <s v="1.1375"/>
    <s v="USD"/>
    <x v="23"/>
    <s v="INTEREST_AND_FEES"/>
    <n v="0"/>
    <s v="NONE"/>
    <n v="0"/>
    <n v="0"/>
    <s v="OUTFLOW_DEPOSITS_LOANS"/>
    <s v="D_293550PN"/>
    <s v="SUMMIT"/>
    <s v="293550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5"/>
    <x v="1"/>
    <x v="5"/>
    <x v="29"/>
    <x v="6"/>
    <m/>
    <s v="3149363.56"/>
    <s v="2768671.26153846153846153846153846153846"/>
    <n v="3149363.5599999996"/>
    <s v="1.1375"/>
    <s v="USD"/>
    <x v="23"/>
    <s v="PRINCIPAL_FLOW"/>
    <n v="0"/>
    <s v="NONE"/>
    <n v="0"/>
    <n v="0"/>
    <s v="INFLOW_NON_GOV_LOANS"/>
    <s v="D_293550PN"/>
    <s v="SUMMIT"/>
    <s v="293550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1"/>
    <x v="0"/>
    <x v="0"/>
    <x v="1"/>
    <x v="1"/>
    <m/>
    <n v="-207625"/>
    <s v="-182527.47252747252747252747252747252747"/>
    <n v="-207625"/>
    <s v="1.1375"/>
    <s v="USD"/>
    <x v="57"/>
    <s v="INTEREST_AND_FEES"/>
    <n v="0"/>
    <s v="NONE"/>
    <n v="0"/>
    <n v="0"/>
    <s v="INFLOW_CENTRAL_GOV_INVESTMENTS"/>
    <n v="194060"/>
    <s v="SUMMIT"/>
    <m/>
    <d v="2016-06-15T00:00:00"/>
    <s v="AFS_GEN_U"/>
    <s v="AM_GICS_F"/>
    <s v="NONE"/>
    <s v="BONDS"/>
    <s v="Depfa Bank Plc"/>
    <n v="4101000279"/>
    <s v="Bond"/>
    <s v="Bond"/>
    <s v="DEPFAPLC_NY"/>
    <s v="DEPFA"/>
    <s v="US912828VG29"/>
    <m/>
    <s v="Not GIC"/>
  </r>
  <r>
    <x v="1"/>
    <x v="0"/>
    <x v="2"/>
    <x v="41"/>
    <x v="1"/>
    <m/>
    <n v="-83050000"/>
    <s v="-73010989.010989010989010989010989010989"/>
    <n v="-83050000"/>
    <s v="1.1375"/>
    <s v="USD"/>
    <x v="57"/>
    <s v="PRINCIPAL_FLOW"/>
    <n v="0"/>
    <s v="NONE"/>
    <n v="0"/>
    <n v="0"/>
    <s v="INFLOW_CENTRAL_GOV_INVESTMENTS"/>
    <n v="194060"/>
    <s v="SUMMIT"/>
    <m/>
    <d v="2016-06-15T00:00:00"/>
    <s v="AFS_GEN_U"/>
    <s v="AM_GICS_F"/>
    <s v="NONE"/>
    <s v="BONDS"/>
    <s v="Depfa Bank Plc"/>
    <n v="4101000279"/>
    <s v="Bond"/>
    <s v="Bond"/>
    <s v="DEPFAPLC_NY"/>
    <s v="DEPFA"/>
    <s v="US912828VG29"/>
    <m/>
    <s v="Not GIC"/>
  </r>
  <r>
    <x v="1"/>
    <x v="1"/>
    <x v="0"/>
    <x v="13"/>
    <x v="6"/>
    <s v="3M_San Sabia Capital Corporation"/>
    <s v="-25475.33"/>
    <s v="-22395.894505494505494505494505494505495"/>
    <n v="-25475.33"/>
    <s v="1.1375"/>
    <s v="USD"/>
    <x v="1"/>
    <s v="INTEREST_AND_FEES"/>
    <n v="0"/>
    <s v="NONE"/>
    <n v="0"/>
    <n v="0"/>
    <s v="OUTFLOW_DEPOSITS_LOANS"/>
    <s v="D_644376SA"/>
    <s v="SUMMIT"/>
    <s v="644376SA"/>
    <d v="1939-01-03T00:00:00"/>
    <s v="FV_SHORT_TM"/>
    <s v="AM_GICS_T"/>
    <s v="NONE"/>
    <s v="LOAN"/>
    <s v="New Mexico Mortgage Finance Authority"/>
    <n v="101000512"/>
    <s v="Lending"/>
    <s v="Loan"/>
    <s v="SANSABIA"/>
    <s v="DEPFA"/>
    <m/>
    <m/>
    <s v="GICS Deposit"/>
  </r>
  <r>
    <x v="1"/>
    <x v="1"/>
    <x v="1"/>
    <x v="19"/>
    <x v="6"/>
    <s v="3M_San Sabia Capital Corporation"/>
    <s v="-903886.3"/>
    <s v="-794625.31868131868131868131868131868132"/>
    <n v="-903886.29999999993"/>
    <s v="1.1375"/>
    <s v="USD"/>
    <x v="1"/>
    <s v="PRINCIPAL_FLOW"/>
    <n v="0"/>
    <s v="NONE"/>
    <n v="0"/>
    <n v="0"/>
    <s v="OUTFLOW_DEPOSITS_LOANS"/>
    <s v="D_644376SA"/>
    <s v="SUMMIT"/>
    <s v="644376SA"/>
    <d v="1939-01-03T00:00:00"/>
    <s v="FV_SHORT_TM"/>
    <s v="AM_GICS_T"/>
    <s v="NONE"/>
    <s v="LOAN"/>
    <s v="New Mexico Mortgage Finance Authority"/>
    <n v="101000512"/>
    <s v="Lending"/>
    <s v="Loan"/>
    <s v="SANSABIA"/>
    <s v="DEPFA"/>
    <m/>
    <m/>
    <s v="GICS Deposit"/>
  </r>
  <r>
    <x v="3"/>
    <x v="1"/>
    <x v="0"/>
    <x v="9"/>
    <x v="6"/>
    <s v="12M_San Sabia Capital Corporation"/>
    <n v="-19485"/>
    <s v="-17129.67032967032967032967032967032967"/>
    <n v="-19485"/>
    <s v="1.1375"/>
    <s v="USD"/>
    <x v="7"/>
    <s v="INTEREST_AND_FEES"/>
    <n v="0"/>
    <s v="NONE"/>
    <n v="0"/>
    <n v="0"/>
    <s v="OUTFLOW_DEPOSITS_LOANS"/>
    <s v="D_644376SA"/>
    <s v="SUMMIT"/>
    <s v="644376SA"/>
    <d v="1939-01-03T00:00:00"/>
    <s v="FV_SHORT_TM"/>
    <s v="AM_GICS_T"/>
    <s v="NONE"/>
    <s v="LOAN"/>
    <s v="New Mexico Mortgage Finance Authority"/>
    <n v="101000512"/>
    <s v="Lending"/>
    <s v="Loan"/>
    <s v="SANSABIA"/>
    <s v="DEPFA"/>
    <m/>
    <m/>
    <s v="GICS Deposit"/>
  </r>
  <r>
    <x v="4"/>
    <x v="1"/>
    <x v="0"/>
    <x v="10"/>
    <x v="6"/>
    <s v="18M_San Sabia Capital Corporation"/>
    <n v="-19485"/>
    <s v="-17129.67032967032967032967032967032967"/>
    <n v="-19485"/>
    <s v="1.1375"/>
    <s v="USD"/>
    <x v="13"/>
    <s v="INTEREST_AND_FEES"/>
    <n v="0"/>
    <s v="NONE"/>
    <n v="0"/>
    <n v="0"/>
    <s v="OUTFLOW_DEPOSITS_LOANS"/>
    <s v="D_644376SA"/>
    <s v="SUMMIT"/>
    <s v="644376SA"/>
    <d v="1939-01-03T00:00:00"/>
    <s v="FV_SHORT_TM"/>
    <s v="AM_GICS_T"/>
    <s v="NONE"/>
    <s v="LOAN"/>
    <s v="New Mexico Mortgage Finance Authority"/>
    <n v="101000512"/>
    <s v="Lending"/>
    <s v="Loan"/>
    <s v="SANSABIA"/>
    <s v="DEPFA"/>
    <m/>
    <m/>
    <s v="GICS Deposit"/>
  </r>
  <r>
    <x v="5"/>
    <x v="1"/>
    <x v="0"/>
    <x v="11"/>
    <x v="6"/>
    <s v="2Y_San Sabia Capital Corporation"/>
    <s v="-19376.75"/>
    <s v="-17034.505494505494505494505494505494506"/>
    <n v="-19376.75"/>
    <s v="1.1375"/>
    <s v="USD"/>
    <x v="19"/>
    <s v="INTEREST_AND_FEES"/>
    <n v="0"/>
    <s v="NONE"/>
    <n v="0"/>
    <n v="0"/>
    <s v="OUTFLOW_DEPOSITS_LOANS"/>
    <s v="D_644376SA"/>
    <s v="SUMMIT"/>
    <s v="644376SA"/>
    <d v="1939-01-03T00:00:00"/>
    <s v="FV_SHORT_TM"/>
    <s v="AM_GICS_T"/>
    <s v="NONE"/>
    <s v="LOAN"/>
    <s v="New Mexico Mortgage Finance Authority"/>
    <n v="101000512"/>
    <s v="Lending"/>
    <s v="Loan"/>
    <s v="SANSABIA"/>
    <s v="DEPFA"/>
    <m/>
    <m/>
    <s v="GICS Deposit"/>
  </r>
  <r>
    <x v="2"/>
    <x v="1"/>
    <x v="0"/>
    <x v="7"/>
    <x v="6"/>
    <m/>
    <s v="-237434.79"/>
    <s v="-208733.88131868131868131868131868131868"/>
    <n v="-237434.78999999998"/>
    <s v="1.1375"/>
    <s v="USD"/>
    <x v="5"/>
    <s v="INTEREST_AND_FEES"/>
    <n v="0"/>
    <s v="NONE"/>
    <n v="0"/>
    <n v="0"/>
    <s v="OUTFLOW_DEPOSITS_LOANS"/>
    <s v="D_293668PN"/>
    <s v="SUMMIT"/>
    <s v="293668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2"/>
    <x v="1"/>
    <x v="5"/>
    <x v="26"/>
    <x v="6"/>
    <m/>
    <s v="4073000.1"/>
    <s v="3580659.42857142857142857142857142857143"/>
    <n v="4073000.1"/>
    <s v="1.1375"/>
    <s v="USD"/>
    <x v="5"/>
    <s v="PRINCIPAL_FLOW"/>
    <n v="0"/>
    <s v="NONE"/>
    <n v="0"/>
    <n v="0"/>
    <s v="INFLOW_NON_GOV_LOANS"/>
    <s v="D_293668PN"/>
    <s v="SUMMIT"/>
    <s v="293668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3"/>
    <x v="1"/>
    <x v="0"/>
    <x v="9"/>
    <x v="6"/>
    <m/>
    <s v="-245770.48"/>
    <s v="-216061.96043956043956043956043956043956"/>
    <n v="-245770.47999999998"/>
    <s v="1.1375"/>
    <s v="USD"/>
    <x v="6"/>
    <s v="INTEREST_AND_FEES"/>
    <n v="0"/>
    <s v="NONE"/>
    <n v="0"/>
    <n v="0"/>
    <s v="OUTFLOW_DEPOSITS_LOANS"/>
    <s v="D_293668PN"/>
    <s v="SUMMIT"/>
    <s v="293668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3"/>
    <x v="1"/>
    <x v="5"/>
    <x v="27"/>
    <x v="6"/>
    <m/>
    <s v="4315993.39"/>
    <s v="3794279.9032967032967032967032967032967"/>
    <n v="4315993.3899999997"/>
    <s v="1.1375"/>
    <s v="USD"/>
    <x v="6"/>
    <s v="PRINCIPAL_FLOW"/>
    <n v="0"/>
    <s v="NONE"/>
    <n v="0"/>
    <n v="0"/>
    <s v="INFLOW_NON_GOV_LOANS"/>
    <s v="D_293668PN"/>
    <s v="SUMMIT"/>
    <s v="293668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3"/>
    <x v="1"/>
    <x v="5"/>
    <x v="27"/>
    <x v="6"/>
    <m/>
    <n v="-66900000"/>
    <s v="-58813186.813186813186813186813186813187"/>
    <n v="-66900000"/>
    <s v="1.1375"/>
    <s v="USD"/>
    <x v="132"/>
    <s v="PRINCIPAL_FLOW"/>
    <n v="0"/>
    <s v="NONE"/>
    <n v="0"/>
    <n v="0"/>
    <s v="OUTFLOW_DEPOSITS_LOANS"/>
    <s v="D_293668PN"/>
    <s v="SUMMIT"/>
    <s v="293668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3"/>
    <x v="1"/>
    <x v="5"/>
    <x v="27"/>
    <x v="6"/>
    <m/>
    <s v="6421839.39"/>
    <s v="5645573.09010989010989010989010989010989"/>
    <n v="6421839.3899999997"/>
    <s v="1.1375"/>
    <s v="USD"/>
    <x v="7"/>
    <s v="PRINCIPAL_FLOW"/>
    <n v="0"/>
    <s v="NONE"/>
    <n v="0"/>
    <n v="0"/>
    <s v="INFLOW_NON_GOV_LOANS"/>
    <s v="D_293668PN"/>
    <s v="SUMMIT"/>
    <s v="293668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3"/>
    <x v="1"/>
    <x v="0"/>
    <x v="9"/>
    <x v="6"/>
    <m/>
    <s v="-132200.43"/>
    <s v="-116220.15824175824175824175824175824176"/>
    <n v="-132200.43"/>
    <s v="1.1375"/>
    <s v="USD"/>
    <x v="7"/>
    <s v="INTEREST_AND_FEES"/>
    <n v="0"/>
    <s v="NONE"/>
    <n v="0"/>
    <n v="0"/>
    <s v="OUTFLOW_DEPOSITS_LOANS"/>
    <s v="D_293668PN"/>
    <s v="SUMMIT"/>
    <s v="293668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3"/>
    <x v="1"/>
    <x v="0"/>
    <x v="9"/>
    <x v="6"/>
    <m/>
    <s v="-26128.6"/>
    <s v="-22970.197802197802197802197802197802198"/>
    <n v="-26128.6"/>
    <s v="1.1375"/>
    <s v="USD"/>
    <x v="8"/>
    <s v="INTEREST_AND_FEES"/>
    <n v="0"/>
    <s v="NONE"/>
    <n v="0"/>
    <n v="0"/>
    <s v="OUTFLOW_DEPOSITS_LOANS"/>
    <s v="D_293668PN"/>
    <s v="SUMMIT"/>
    <s v="293668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3"/>
    <x v="1"/>
    <x v="5"/>
    <x v="27"/>
    <x v="6"/>
    <m/>
    <s v="7827008.14"/>
    <s v="6880886.27692307692307692307692307692308"/>
    <n v="7827008.1399999997"/>
    <s v="1.1375"/>
    <s v="USD"/>
    <x v="8"/>
    <s v="PRINCIPAL_FLOW"/>
    <n v="0"/>
    <s v="NONE"/>
    <n v="0"/>
    <n v="0"/>
    <s v="INFLOW_NON_GOV_LOANS"/>
    <s v="D_293668PN"/>
    <s v="SUMMIT"/>
    <s v="293668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3"/>
    <x v="1"/>
    <x v="0"/>
    <x v="9"/>
    <x v="6"/>
    <m/>
    <s v="-52368.61"/>
    <s v="-46038.338461538461538461538461538461539"/>
    <n v="-52368.61"/>
    <s v="1.1375"/>
    <s v="USD"/>
    <x v="9"/>
    <s v="INTEREST_AND_FEES"/>
    <n v="0"/>
    <s v="NONE"/>
    <n v="0"/>
    <n v="0"/>
    <s v="OUTFLOW_DEPOSITS_LOANS"/>
    <s v="D_293668PN"/>
    <s v="SUMMIT"/>
    <s v="293668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3"/>
    <x v="1"/>
    <x v="5"/>
    <x v="27"/>
    <x v="6"/>
    <m/>
    <s v="8309003.57"/>
    <s v="7304618.52307692307692307692307692307692"/>
    <n v="8309003.5699999994"/>
    <s v="1.1375"/>
    <s v="USD"/>
    <x v="9"/>
    <s v="PRINCIPAL_FLOW"/>
    <n v="0"/>
    <s v="NONE"/>
    <n v="0"/>
    <n v="0"/>
    <s v="INFLOW_NON_GOV_LOANS"/>
    <s v="D_293668PN"/>
    <s v="SUMMIT"/>
    <s v="293668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3"/>
    <x v="1"/>
    <x v="0"/>
    <x v="9"/>
    <x v="6"/>
    <m/>
    <s v="-91789.45"/>
    <s v="-80694.021978021978021978021978021978022"/>
    <n v="-91789.45"/>
    <s v="1.1375"/>
    <s v="USD"/>
    <x v="10"/>
    <s v="INTEREST_AND_FEES"/>
    <n v="0"/>
    <s v="NONE"/>
    <n v="0"/>
    <n v="0"/>
    <s v="OUTFLOW_DEPOSITS_LOANS"/>
    <s v="D_293668PN"/>
    <s v="SUMMIT"/>
    <s v="293668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3"/>
    <x v="1"/>
    <x v="5"/>
    <x v="27"/>
    <x v="6"/>
    <m/>
    <s v="7496523.37"/>
    <s v="6590350.21538461538461538461538461538462"/>
    <n v="7496523.3700000001"/>
    <s v="1.1375"/>
    <s v="USD"/>
    <x v="10"/>
    <s v="PRINCIPAL_FLOW"/>
    <n v="0"/>
    <s v="NONE"/>
    <n v="0"/>
    <n v="0"/>
    <s v="INFLOW_NON_GOV_LOANS"/>
    <s v="D_293668PN"/>
    <s v="SUMMIT"/>
    <s v="293668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3"/>
    <x v="1"/>
    <x v="5"/>
    <x v="27"/>
    <x v="6"/>
    <m/>
    <s v="7808825.63"/>
    <s v="6864901.65274725274725274725274725274725"/>
    <n v="7808825.6299999999"/>
    <s v="1.1375"/>
    <s v="USD"/>
    <x v="11"/>
    <s v="PRINCIPAL_FLOW"/>
    <n v="0"/>
    <s v="NONE"/>
    <n v="0"/>
    <n v="0"/>
    <s v="INFLOW_NON_GOV_LOANS"/>
    <s v="D_293668PN"/>
    <s v="SUMMIT"/>
    <s v="293668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3"/>
    <x v="1"/>
    <x v="0"/>
    <x v="9"/>
    <x v="6"/>
    <m/>
    <s v="-120398.34"/>
    <s v="-105844.69450549450549450549450549450549"/>
    <n v="-120398.34"/>
    <s v="1.1375"/>
    <s v="USD"/>
    <x v="11"/>
    <s v="INTEREST_AND_FEES"/>
    <n v="0"/>
    <s v="NONE"/>
    <n v="0"/>
    <n v="0"/>
    <s v="OUTFLOW_DEPOSITS_LOANS"/>
    <s v="D_293668PN"/>
    <s v="SUMMIT"/>
    <s v="293668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4"/>
    <x v="1"/>
    <x v="0"/>
    <x v="10"/>
    <x v="6"/>
    <m/>
    <s v="-154067.95"/>
    <s v="-135444.35164835164835164835164835164835"/>
    <n v="-154067.94999999998"/>
    <s v="1.1375"/>
    <s v="USD"/>
    <x v="12"/>
    <s v="INTEREST_AND_FEES"/>
    <n v="0"/>
    <s v="NONE"/>
    <n v="0"/>
    <n v="0"/>
    <s v="OUTFLOW_DEPOSITS_LOANS"/>
    <s v="D_293668PN"/>
    <s v="SUMMIT"/>
    <s v="293668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4"/>
    <x v="1"/>
    <x v="5"/>
    <x v="28"/>
    <x v="6"/>
    <m/>
    <s v="5126924.92"/>
    <s v="4507186.74285714285714285714285714285714"/>
    <n v="5126924.92"/>
    <s v="1.1375"/>
    <s v="USD"/>
    <x v="12"/>
    <s v="PRINCIPAL_FLOW"/>
    <n v="0"/>
    <s v="NONE"/>
    <n v="0"/>
    <n v="0"/>
    <s v="INFLOW_NON_GOV_LOANS"/>
    <s v="D_293668PN"/>
    <s v="SUMMIT"/>
    <s v="293668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4"/>
    <x v="1"/>
    <x v="0"/>
    <x v="10"/>
    <x v="6"/>
    <m/>
    <s v="-169286.86"/>
    <s v="-148823.61318681318681318681318681318681"/>
    <n v="-169286.86"/>
    <s v="1.1375"/>
    <s v="USD"/>
    <x v="13"/>
    <s v="INTEREST_AND_FEES"/>
    <n v="0"/>
    <s v="NONE"/>
    <n v="0"/>
    <n v="0"/>
    <s v="OUTFLOW_DEPOSITS_LOANS"/>
    <s v="D_293668PN"/>
    <s v="SUMMIT"/>
    <s v="293668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4"/>
    <x v="1"/>
    <x v="5"/>
    <x v="28"/>
    <x v="6"/>
    <m/>
    <s v="4093968.83"/>
    <s v="3599093.47692307692307692307692307692308"/>
    <n v="4093968.8299999996"/>
    <s v="1.1375"/>
    <s v="USD"/>
    <x v="13"/>
    <s v="PRINCIPAL_FLOW"/>
    <n v="0"/>
    <s v="NONE"/>
    <n v="0"/>
    <n v="0"/>
    <s v="INFLOW_NON_GOV_LOANS"/>
    <s v="D_293668PN"/>
    <s v="SUMMIT"/>
    <s v="293668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4"/>
    <x v="1"/>
    <x v="0"/>
    <x v="10"/>
    <x v="6"/>
    <m/>
    <s v="-191588.41"/>
    <s v="-168429.37142857142857142857142857142857"/>
    <n v="-191588.41"/>
    <s v="1.1375"/>
    <s v="USD"/>
    <x v="14"/>
    <s v="INTEREST_AND_FEES"/>
    <n v="0"/>
    <s v="NONE"/>
    <n v="0"/>
    <n v="0"/>
    <s v="OUTFLOW_DEPOSITS_LOANS"/>
    <s v="D_293668PN"/>
    <s v="SUMMIT"/>
    <s v="293668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4"/>
    <x v="1"/>
    <x v="5"/>
    <x v="28"/>
    <x v="6"/>
    <m/>
    <s v="4059816.1"/>
    <s v="3569069.0989010989010989010989010989011"/>
    <n v="4059816.1"/>
    <s v="1.1375"/>
    <s v="USD"/>
    <x v="14"/>
    <s v="PRINCIPAL_FLOW"/>
    <n v="0"/>
    <s v="NONE"/>
    <n v="0"/>
    <n v="0"/>
    <s v="INFLOW_NON_GOV_LOANS"/>
    <s v="D_293668PN"/>
    <s v="SUMMIT"/>
    <s v="293668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4"/>
    <x v="1"/>
    <x v="0"/>
    <x v="10"/>
    <x v="6"/>
    <m/>
    <s v="-208108.07"/>
    <s v="-182952.14945054945054945054945054945055"/>
    <n v="-208108.06999999998"/>
    <s v="1.1375"/>
    <s v="USD"/>
    <x v="15"/>
    <s v="INTEREST_AND_FEES"/>
    <n v="0"/>
    <s v="NONE"/>
    <n v="0"/>
    <n v="0"/>
    <s v="OUTFLOW_DEPOSITS_LOANS"/>
    <s v="D_293668PN"/>
    <s v="SUMMIT"/>
    <s v="293668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4"/>
    <x v="1"/>
    <x v="5"/>
    <x v="28"/>
    <x v="6"/>
    <m/>
    <s v="4361986.41"/>
    <s v="3834713.32747252747252747252747252747253"/>
    <n v="4361986.41"/>
    <s v="1.1375"/>
    <s v="USD"/>
    <x v="15"/>
    <s v="PRINCIPAL_FLOW"/>
    <n v="0"/>
    <s v="NONE"/>
    <n v="0"/>
    <n v="0"/>
    <s v="INFLOW_NON_GOV_LOANS"/>
    <s v="D_293668PN"/>
    <s v="SUMMIT"/>
    <s v="293668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4"/>
    <x v="1"/>
    <x v="5"/>
    <x v="28"/>
    <x v="6"/>
    <m/>
    <s v="4413060.53"/>
    <s v="3879613.65274725274725274725274725274725"/>
    <n v="4413060.53"/>
    <s v="1.1375"/>
    <s v="USD"/>
    <x v="16"/>
    <s v="PRINCIPAL_FLOW"/>
    <n v="0"/>
    <s v="NONE"/>
    <n v="0"/>
    <n v="0"/>
    <s v="INFLOW_NON_GOV_LOANS"/>
    <s v="D_293668PN"/>
    <s v="SUMMIT"/>
    <s v="293668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4"/>
    <x v="1"/>
    <x v="0"/>
    <x v="10"/>
    <x v="6"/>
    <m/>
    <s v="-219150.84"/>
    <s v="-192660.07912087912087912087912087912088"/>
    <n v="-219150.84"/>
    <s v="1.1375"/>
    <s v="USD"/>
    <x v="16"/>
    <s v="INTEREST_AND_FEES"/>
    <n v="0"/>
    <s v="NONE"/>
    <n v="0"/>
    <n v="0"/>
    <s v="OUTFLOW_DEPOSITS_LOANS"/>
    <s v="D_293668PN"/>
    <s v="SUMMIT"/>
    <s v="293668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4"/>
    <x v="1"/>
    <x v="0"/>
    <x v="10"/>
    <x v="6"/>
    <m/>
    <s v="-243814.34"/>
    <s v="-214342.27692307692307692307692307692308"/>
    <n v="-243814.34"/>
    <s v="1.1375"/>
    <s v="USD"/>
    <x v="17"/>
    <s v="INTEREST_AND_FEES"/>
    <n v="0"/>
    <s v="NONE"/>
    <n v="0"/>
    <n v="0"/>
    <s v="OUTFLOW_DEPOSITS_LOANS"/>
    <s v="D_293668PN"/>
    <s v="SUMMIT"/>
    <s v="293668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4"/>
    <x v="1"/>
    <x v="5"/>
    <x v="28"/>
    <x v="6"/>
    <m/>
    <s v="4365881.3"/>
    <s v="3838137.40659340659340659340659340659341"/>
    <n v="4365881.3"/>
    <s v="1.1375"/>
    <s v="USD"/>
    <x v="17"/>
    <s v="PRINCIPAL_FLOW"/>
    <n v="0"/>
    <s v="NONE"/>
    <n v="0"/>
    <n v="0"/>
    <s v="INFLOW_NON_GOV_LOANS"/>
    <s v="D_293668PN"/>
    <s v="SUMMIT"/>
    <s v="293668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5"/>
    <x v="1"/>
    <x v="0"/>
    <x v="11"/>
    <x v="6"/>
    <m/>
    <s v="-253141.36"/>
    <s v="-222541.85494505494505494505494505494505"/>
    <n v="-253141.36"/>
    <s v="1.1375"/>
    <s v="USD"/>
    <x v="18"/>
    <s v="INTEREST_AND_FEES"/>
    <n v="0"/>
    <s v="NONE"/>
    <n v="0"/>
    <n v="0"/>
    <s v="OUTFLOW_DEPOSITS_LOANS"/>
    <s v="D_293668PN"/>
    <s v="SUMMIT"/>
    <s v="293668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5"/>
    <x v="1"/>
    <x v="5"/>
    <x v="29"/>
    <x v="6"/>
    <m/>
    <s v="4615161.81"/>
    <s v="4057285.10769230769230769230769230769231"/>
    <n v="4615161.8099999996"/>
    <s v="1.1375"/>
    <s v="USD"/>
    <x v="18"/>
    <s v="PRINCIPAL_FLOW"/>
    <n v="0"/>
    <s v="NONE"/>
    <n v="0"/>
    <n v="0"/>
    <s v="INFLOW_NON_GOV_LOANS"/>
    <s v="D_293668PN"/>
    <s v="SUMMIT"/>
    <s v="293668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5"/>
    <x v="1"/>
    <x v="5"/>
    <x v="29"/>
    <x v="6"/>
    <m/>
    <n v="-68900000"/>
    <s v="-60571428.571428571428571428571428571429"/>
    <n v="-68900000"/>
    <s v="1.1375"/>
    <s v="USD"/>
    <x v="133"/>
    <s v="PRINCIPAL_FLOW"/>
    <n v="0"/>
    <s v="NONE"/>
    <n v="0"/>
    <n v="0"/>
    <s v="OUTFLOW_DEPOSITS_LOANS"/>
    <s v="D_293668PN"/>
    <s v="SUMMIT"/>
    <s v="293668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5"/>
    <x v="1"/>
    <x v="5"/>
    <x v="29"/>
    <x v="6"/>
    <m/>
    <s v="7103694.58"/>
    <s v="6245006.22417582417582417582417582417582"/>
    <n v="7103694.5799999991"/>
    <s v="1.1375"/>
    <s v="USD"/>
    <x v="19"/>
    <s v="PRINCIPAL_FLOW"/>
    <n v="0"/>
    <s v="NONE"/>
    <n v="0"/>
    <n v="0"/>
    <s v="INFLOW_NON_GOV_LOANS"/>
    <s v="D_293668PN"/>
    <s v="SUMMIT"/>
    <s v="293668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5"/>
    <x v="1"/>
    <x v="0"/>
    <x v="11"/>
    <x v="6"/>
    <m/>
    <s v="-137522.36"/>
    <s v="-120898.77802197802197802197802197802198"/>
    <n v="-137522.35999999999"/>
    <s v="1.1375"/>
    <s v="USD"/>
    <x v="19"/>
    <s v="INTEREST_AND_FEES"/>
    <n v="0"/>
    <s v="NONE"/>
    <n v="0"/>
    <n v="0"/>
    <s v="OUTFLOW_DEPOSITS_LOANS"/>
    <s v="D_293668PN"/>
    <s v="SUMMIT"/>
    <s v="293668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5"/>
    <x v="1"/>
    <x v="0"/>
    <x v="11"/>
    <x v="6"/>
    <m/>
    <s v="-28905.42"/>
    <s v="-25411.358241758241758241758241758241758"/>
    <n v="-28905.42"/>
    <s v="1.1375"/>
    <s v="USD"/>
    <x v="20"/>
    <s v="INTEREST_AND_FEES"/>
    <n v="0"/>
    <s v="NONE"/>
    <n v="0"/>
    <n v="0"/>
    <s v="OUTFLOW_DEPOSITS_LOANS"/>
    <s v="D_293668PN"/>
    <s v="SUMMIT"/>
    <s v="293668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5"/>
    <x v="1"/>
    <x v="5"/>
    <x v="29"/>
    <x v="6"/>
    <m/>
    <s v="8641794.49"/>
    <s v="7597181.96923076923076923076923076923077"/>
    <n v="8641794.4900000002"/>
    <s v="1.1375"/>
    <s v="USD"/>
    <x v="20"/>
    <s v="PRINCIPAL_FLOW"/>
    <n v="0"/>
    <s v="NONE"/>
    <n v="0"/>
    <n v="0"/>
    <s v="INFLOW_NON_GOV_LOANS"/>
    <s v="D_293668PN"/>
    <s v="SUMMIT"/>
    <s v="293668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5"/>
    <x v="1"/>
    <x v="0"/>
    <x v="11"/>
    <x v="6"/>
    <m/>
    <s v="-57869.2"/>
    <s v="-50874.021978021978021978021978021978022"/>
    <n v="-57869.2"/>
    <s v="1.1375"/>
    <s v="USD"/>
    <x v="21"/>
    <s v="INTEREST_AND_FEES"/>
    <n v="0"/>
    <s v="NONE"/>
    <n v="0"/>
    <n v="0"/>
    <s v="OUTFLOW_DEPOSITS_LOANS"/>
    <s v="D_293668PN"/>
    <s v="SUMMIT"/>
    <s v="293668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5"/>
    <x v="1"/>
    <x v="5"/>
    <x v="29"/>
    <x v="6"/>
    <m/>
    <s v="9192842.55"/>
    <s v="8081619.82417582417582417582417582417582"/>
    <n v="9192842.5500000007"/>
    <s v="1.1375"/>
    <s v="USD"/>
    <x v="21"/>
    <s v="PRINCIPAL_FLOW"/>
    <n v="0"/>
    <s v="NONE"/>
    <n v="0"/>
    <n v="0"/>
    <s v="INFLOW_NON_GOV_LOANS"/>
    <s v="D_293668PN"/>
    <s v="SUMMIT"/>
    <s v="293668PN"/>
    <d v="2026-12-15T00:00:00"/>
    <s v="LIAB_GEN_H"/>
    <s v="AM_GICS_F"/>
    <s v="NONE"/>
    <s v="LOAN"/>
    <s v="TEXAS MUNICIPAL GAS ACQUISITON &amp; SUPPLY CORP I"/>
    <n v="3101053970"/>
    <s v="Lending"/>
    <s v="Loan"/>
    <s v="DEPFAPLC_NY"/>
    <s v="DEPFA"/>
    <m/>
    <m/>
    <s v="GICS Deposit Collateralized"/>
  </r>
  <r>
    <x v="2"/>
    <x v="1"/>
    <x v="0"/>
    <x v="7"/>
    <x v="6"/>
    <s v="6M_San Sabia Capital Corporation"/>
    <s v="-6816.64"/>
    <s v="-5992.6505494505494505494505494505494505"/>
    <n v="-6816.6399999999994"/>
    <s v="1.1375"/>
    <s v="USD"/>
    <x v="113"/>
    <s v="INTEREST_AND_FEES"/>
    <n v="0"/>
    <s v="NONE"/>
    <n v="0"/>
    <n v="0"/>
    <s v="OUTFLOW_GENERAL_GOV_FIX_PERIOD_DEPOSITS"/>
    <s v="D_644388SA"/>
    <s v="SUMMIT"/>
    <s v="644388SA"/>
    <d v="1949-03-19T00:00:00"/>
    <s v="FV_SHORT_TM"/>
    <s v="AM_GICS_T"/>
    <s v="NONE"/>
    <s v="LOAN"/>
    <s v="Charles A. Beckett Associates Limited Partnership"/>
    <n v="3101057097"/>
    <s v="Lending"/>
    <s v="Loan"/>
    <s v="SANSABIA"/>
    <s v="DEPFA"/>
    <m/>
    <m/>
    <s v="GICS Deposit"/>
  </r>
  <r>
    <x v="2"/>
    <x v="1"/>
    <x v="1"/>
    <x v="6"/>
    <x v="6"/>
    <s v="6M_San Sabia Capital Corporation"/>
    <s v="320445.18"/>
    <s v="281710.048351648351648351648351648351648"/>
    <n v="320445.18"/>
    <s v="1.1375"/>
    <s v="USD"/>
    <x v="134"/>
    <s v="PRINCIPAL_FLOW"/>
    <n v="0"/>
    <s v="NONE"/>
    <n v="0"/>
    <n v="0"/>
    <s v="INFLOW_GENERAL_GOV_LENDINGS"/>
    <s v="D_644388SA"/>
    <s v="SUMMIT"/>
    <s v="644388SA"/>
    <d v="1949-03-19T00:00:00"/>
    <s v="FV_SHORT_TM"/>
    <s v="AM_GICS_T"/>
    <s v="NONE"/>
    <s v="LOAN"/>
    <s v="Charles A. Beckett Associates Limited Partnership"/>
    <n v="3101057097"/>
    <s v="Lending"/>
    <s v="Loan"/>
    <s v="SANSABIA"/>
    <s v="DEPFA"/>
    <m/>
    <m/>
    <s v="GICS Deposit"/>
  </r>
  <r>
    <x v="3"/>
    <x v="1"/>
    <x v="0"/>
    <x v="9"/>
    <x v="6"/>
    <s v="12M_San Sabia Capital Corporation"/>
    <s v="-13743.17"/>
    <s v="-12081.907692307692307692307692307692308"/>
    <n v="-13743.169999999998"/>
    <s v="1.1375"/>
    <s v="USD"/>
    <x v="118"/>
    <s v="INTEREST_AND_FEES"/>
    <n v="0"/>
    <s v="NONE"/>
    <n v="0"/>
    <n v="0"/>
    <s v="OUTFLOW_GENERAL_GOV_FIX_PERIOD_DEPOSITS"/>
    <s v="D_644388SA"/>
    <s v="SUMMIT"/>
    <s v="644388SA"/>
    <d v="1949-03-19T00:00:00"/>
    <s v="FV_SHORT_TM"/>
    <s v="AM_GICS_T"/>
    <s v="NONE"/>
    <s v="LOAN"/>
    <s v="Charles A. Beckett Associates Limited Partnership"/>
    <n v="3101057097"/>
    <s v="Lending"/>
    <s v="Loan"/>
    <s v="SANSABIA"/>
    <s v="DEPFA"/>
    <m/>
    <m/>
    <s v="GICS Deposit"/>
  </r>
  <r>
    <x v="4"/>
    <x v="1"/>
    <x v="0"/>
    <x v="10"/>
    <x v="6"/>
    <s v="18M_San Sabia Capital Corporation"/>
    <s v="-14130.28"/>
    <s v="-12422.224175824175824175824175824175824"/>
    <n v="-14130.28"/>
    <s v="1.1375"/>
    <s v="USD"/>
    <x v="123"/>
    <s v="INTEREST_AND_FEES"/>
    <n v="0"/>
    <s v="NONE"/>
    <n v="0"/>
    <n v="0"/>
    <s v="OUTFLOW_GENERAL_GOV_FIX_PERIOD_DEPOSITS"/>
    <s v="D_644388SA"/>
    <s v="SUMMIT"/>
    <s v="644388SA"/>
    <d v="1949-03-19T00:00:00"/>
    <s v="FV_SHORT_TM"/>
    <s v="AM_GICS_T"/>
    <s v="NONE"/>
    <s v="LOAN"/>
    <s v="Charles A. Beckett Associates Limited Partnership"/>
    <n v="3101057097"/>
    <s v="Lending"/>
    <s v="Loan"/>
    <s v="SANSABIA"/>
    <s v="DEPFA"/>
    <m/>
    <m/>
    <s v="GICS Deposit"/>
  </r>
  <r>
    <x v="5"/>
    <x v="1"/>
    <x v="0"/>
    <x v="11"/>
    <x v="6"/>
    <s v="2Y_San Sabia Capital Corporation"/>
    <n v="-13975"/>
    <s v="-12285.714285714285714285714285714285714"/>
    <n v="-13975"/>
    <s v="1.1375"/>
    <s v="USD"/>
    <x v="128"/>
    <s v="INTEREST_AND_FEES"/>
    <n v="0"/>
    <s v="NONE"/>
    <n v="0"/>
    <n v="0"/>
    <s v="OUTFLOW_GENERAL_GOV_FIX_PERIOD_DEPOSITS"/>
    <s v="D_644388SA"/>
    <s v="SUMMIT"/>
    <s v="644388SA"/>
    <d v="1949-03-19T00:00:00"/>
    <s v="FV_SHORT_TM"/>
    <s v="AM_GICS_T"/>
    <s v="NONE"/>
    <s v="LOAN"/>
    <s v="Charles A. Beckett Associates Limited Partnership"/>
    <n v="3101057097"/>
    <s v="Lending"/>
    <s v="Loan"/>
    <s v="SANSABIA"/>
    <s v="DEPFA"/>
    <m/>
    <m/>
    <s v="GICS Deposit"/>
  </r>
  <r>
    <x v="6"/>
    <x v="0"/>
    <x v="0"/>
    <x v="15"/>
    <x v="7"/>
    <m/>
    <s v="-22656.25"/>
    <s v="-19917.582417582417582417582417582417582"/>
    <n v="-22656.249999999996"/>
    <s v="1.1375"/>
    <s v="USD"/>
    <x v="43"/>
    <s v="INTEREST_AND_FEES"/>
    <n v="0"/>
    <s v="NONE"/>
    <n v="0"/>
    <n v="0"/>
    <s v="INFLOW_SEC_SALES_IN_MFIS"/>
    <n v="194026"/>
    <s v="SUMMIT"/>
    <m/>
    <d v="2029-05-15T00:00:00"/>
    <s v="LN_RC_GEN_U"/>
    <s v="AM_GICS_F"/>
    <s v="NONE"/>
    <s v="BONDS"/>
    <s v="Depfa Bank Plc"/>
    <n v="4101000279"/>
    <s v="Bond"/>
    <s v="Bond"/>
    <s v="DEPFAPLC_NY"/>
    <s v="DEPFA"/>
    <s v="US31359MEU36"/>
    <m/>
    <s v="Not GIC"/>
  </r>
  <r>
    <x v="3"/>
    <x v="0"/>
    <x v="0"/>
    <x v="3"/>
    <x v="3"/>
    <m/>
    <s v="-22656.25"/>
    <s v="-19917.582417582417582417582417582417582"/>
    <n v="-22656.249999999996"/>
    <s v="1.1375"/>
    <s v="USD"/>
    <x v="44"/>
    <s v="INTEREST_AND_FEES"/>
    <n v="0"/>
    <s v="NONE"/>
    <n v="0"/>
    <n v="0"/>
    <s v="INFLOW_SEC_SALES_IN_MFIS"/>
    <n v="194026"/>
    <s v="SUMMIT"/>
    <m/>
    <d v="2029-05-15T00:00:00"/>
    <s v="LN_RC_GEN_U"/>
    <s v="AM_GICS_F"/>
    <s v="NONE"/>
    <s v="BONDS"/>
    <s v="Depfa Bank Plc"/>
    <n v="4101000279"/>
    <s v="Bond"/>
    <s v="Bond"/>
    <s v="DEPFAPLC_NY"/>
    <s v="DEPFA"/>
    <s v="US31359MEU36"/>
    <m/>
    <s v="Not GIC"/>
  </r>
  <r>
    <x v="4"/>
    <x v="0"/>
    <x v="0"/>
    <x v="4"/>
    <x v="4"/>
    <m/>
    <s v="-22656.25"/>
    <s v="-19917.582417582417582417582417582417582"/>
    <n v="-22656.249999999996"/>
    <s v="1.1375"/>
    <s v="USD"/>
    <x v="45"/>
    <s v="INTEREST_AND_FEES"/>
    <n v="0"/>
    <s v="NONE"/>
    <n v="0"/>
    <n v="0"/>
    <s v="INFLOW_SEC_SALES_IN_MFIS"/>
    <n v="194026"/>
    <s v="SUMMIT"/>
    <m/>
    <d v="2029-05-15T00:00:00"/>
    <s v="LN_RC_GEN_U"/>
    <s v="AM_GICS_F"/>
    <s v="NONE"/>
    <s v="BONDS"/>
    <s v="Depfa Bank Plc"/>
    <n v="4101000279"/>
    <s v="Bond"/>
    <s v="Bond"/>
    <s v="DEPFAPLC_NY"/>
    <s v="DEPFA"/>
    <s v="US31359MEU36"/>
    <m/>
    <s v="Not GIC"/>
  </r>
  <r>
    <x v="5"/>
    <x v="0"/>
    <x v="0"/>
    <x v="5"/>
    <x v="5"/>
    <m/>
    <s v="-22656.25"/>
    <s v="-19917.582417582417582417582417582417582"/>
    <n v="-22656.249999999996"/>
    <s v="1.1375"/>
    <s v="USD"/>
    <x v="46"/>
    <s v="INTEREST_AND_FEES"/>
    <n v="0"/>
    <s v="NONE"/>
    <n v="0"/>
    <n v="0"/>
    <s v="INFLOW_SEC_SALES_IN_MFIS"/>
    <n v="194026"/>
    <s v="SUMMIT"/>
    <m/>
    <d v="2029-05-15T00:00:00"/>
    <s v="LN_RC_GEN_U"/>
    <s v="AM_GICS_F"/>
    <s v="NONE"/>
    <s v="BONDS"/>
    <s v="Depfa Bank Plc"/>
    <n v="4101000279"/>
    <s v="Bond"/>
    <s v="Bond"/>
    <s v="DEPFAPLC_NY"/>
    <s v="DEPFA"/>
    <s v="US31359MEU36"/>
    <m/>
    <s v="Not GIC"/>
  </r>
  <r>
    <x v="2"/>
    <x v="0"/>
    <x v="0"/>
    <x v="2"/>
    <x v="2"/>
    <s v="6M_San Sabia Capital Corporation"/>
    <s v="-5.17"/>
    <s v="-4.545054945054945054945054945054945055"/>
    <n v="-5.17"/>
    <s v="1.1375"/>
    <s v="USD"/>
    <x v="5"/>
    <s v="INTEREST_AND_FEES"/>
    <n v="0"/>
    <s v="NONE"/>
    <n v="0"/>
    <n v="0"/>
    <s v="IGNORED"/>
    <s v="957271SA"/>
    <s v="SUMMIT"/>
    <m/>
    <d v="1939-07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s v="-16.59"/>
    <s v="-14.584615384615384615384615384615384615"/>
    <n v="-16.59"/>
    <s v="1.1375"/>
    <s v="USD"/>
    <x v="6"/>
    <s v="INTEREST_AND_FEES"/>
    <n v="0"/>
    <s v="NONE"/>
    <n v="0"/>
    <n v="0"/>
    <s v="IGNORED"/>
    <s v="957271SA"/>
    <s v="SUMMIT"/>
    <m/>
    <d v="1939-07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s v="-25.86"/>
    <s v="-22.734065934065934065934065934065934066"/>
    <n v="-25.86"/>
    <s v="1.1375"/>
    <s v="USD"/>
    <x v="7"/>
    <s v="INTEREST_AND_FEES"/>
    <n v="0"/>
    <s v="NONE"/>
    <n v="0"/>
    <n v="0"/>
    <s v="IGNORED"/>
    <s v="957271SA"/>
    <s v="SUMMIT"/>
    <m/>
    <d v="1939-07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s v="-27.91"/>
    <s v="-24.536263736263736263736263736263736264"/>
    <n v="-27.91"/>
    <s v="1.1375"/>
    <s v="USD"/>
    <x v="8"/>
    <s v="INTEREST_AND_FEES"/>
    <n v="0"/>
    <s v="NONE"/>
    <n v="0"/>
    <n v="0"/>
    <s v="IGNORED"/>
    <s v="957271SA"/>
    <s v="SUMMIT"/>
    <m/>
    <d v="1939-07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s v="-37.11"/>
    <s v="-32.624175824175824175824175824175824176"/>
    <n v="-37.11"/>
    <s v="1.1375"/>
    <s v="USD"/>
    <x v="9"/>
    <s v="INTEREST_AND_FEES"/>
    <n v="0"/>
    <s v="NONE"/>
    <n v="0"/>
    <n v="0"/>
    <s v="IGNORED"/>
    <s v="957271SA"/>
    <s v="SUMMIT"/>
    <m/>
    <d v="1939-07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s v="-52.2"/>
    <s v="-45.89010989010989010989010989010989011"/>
    <n v="-52.199999999999996"/>
    <s v="1.1375"/>
    <s v="USD"/>
    <x v="10"/>
    <s v="INTEREST_AND_FEES"/>
    <n v="0"/>
    <s v="NONE"/>
    <n v="0"/>
    <n v="0"/>
    <s v="IGNORED"/>
    <s v="957271SA"/>
    <s v="SUMMIT"/>
    <m/>
    <d v="1939-07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s v="-47.47"/>
    <s v="-41.731868131868131868131868131868131868"/>
    <n v="-47.47"/>
    <s v="1.1375"/>
    <s v="USD"/>
    <x v="11"/>
    <s v="INTEREST_AND_FEES"/>
    <n v="0"/>
    <s v="NONE"/>
    <n v="0"/>
    <n v="0"/>
    <s v="IGNORED"/>
    <s v="957271SA"/>
    <s v="SUMMIT"/>
    <m/>
    <d v="1939-07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-71.57"/>
    <s v="-62.918681318681318681318681318681318681"/>
    <n v="-71.569999999999993"/>
    <s v="1.1375"/>
    <s v="USD"/>
    <x v="12"/>
    <s v="INTEREST_AND_FEES"/>
    <n v="0"/>
    <s v="NONE"/>
    <n v="0"/>
    <n v="0"/>
    <s v="IGNORED"/>
    <s v="957271SA"/>
    <s v="SUMMIT"/>
    <m/>
    <d v="1939-07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-74.84"/>
    <s v="-65.793406593406593406593406593406593407"/>
    <n v="-74.839999999999989"/>
    <s v="1.1375"/>
    <s v="USD"/>
    <x v="13"/>
    <s v="INTEREST_AND_FEES"/>
    <n v="0"/>
    <s v="NONE"/>
    <n v="0"/>
    <n v="0"/>
    <s v="IGNORED"/>
    <s v="957271SA"/>
    <s v="SUMMIT"/>
    <m/>
    <d v="1939-07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-77.61"/>
    <s v="-68.228571428571428571428571428571428571"/>
    <n v="-77.61"/>
    <s v="1.1375"/>
    <s v="USD"/>
    <x v="14"/>
    <s v="INTEREST_AND_FEES"/>
    <n v="0"/>
    <s v="NONE"/>
    <n v="0"/>
    <n v="0"/>
    <s v="IGNORED"/>
    <s v="957271SA"/>
    <s v="SUMMIT"/>
    <m/>
    <d v="1939-07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-77.62"/>
    <s v="-68.237362637362637362637362637362637363"/>
    <n v="-77.61999999999999"/>
    <s v="1.1375"/>
    <s v="USD"/>
    <x v="15"/>
    <s v="INTEREST_AND_FEES"/>
    <n v="0"/>
    <s v="NONE"/>
    <n v="0"/>
    <n v="0"/>
    <s v="IGNORED"/>
    <s v="957271SA"/>
    <s v="SUMMIT"/>
    <m/>
    <d v="1939-07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-72.61"/>
    <s v="-63.832967032967032967032967032967032967"/>
    <n v="-72.61"/>
    <s v="1.1375"/>
    <s v="USD"/>
    <x v="16"/>
    <s v="INTEREST_AND_FEES"/>
    <n v="0"/>
    <s v="NONE"/>
    <n v="0"/>
    <n v="0"/>
    <s v="IGNORED"/>
    <s v="957271SA"/>
    <s v="SUMMIT"/>
    <m/>
    <d v="1939-07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s v="-80.12"/>
    <s v="-70.435164835164835164835164835164835165"/>
    <n v="-80.12"/>
    <s v="1.1375"/>
    <s v="USD"/>
    <x v="17"/>
    <s v="INTEREST_AND_FEES"/>
    <n v="0"/>
    <s v="NONE"/>
    <n v="0"/>
    <n v="0"/>
    <s v="IGNORED"/>
    <s v="957271SA"/>
    <s v="SUMMIT"/>
    <m/>
    <d v="1939-07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-75.11"/>
    <s v="-66.030769230769230769230769230769230769"/>
    <n v="-75.11"/>
    <s v="1.1375"/>
    <s v="USD"/>
    <x v="18"/>
    <s v="INTEREST_AND_FEES"/>
    <n v="0"/>
    <s v="NONE"/>
    <n v="0"/>
    <n v="0"/>
    <s v="IGNORED"/>
    <s v="957271SA"/>
    <s v="SUMMIT"/>
    <m/>
    <d v="1939-07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-72.61"/>
    <s v="-63.832967032967032967032967032967032967"/>
    <n v="-72.61"/>
    <s v="1.1375"/>
    <s v="USD"/>
    <x v="19"/>
    <s v="INTEREST_AND_FEES"/>
    <n v="0"/>
    <s v="NONE"/>
    <n v="0"/>
    <n v="0"/>
    <s v="IGNORED"/>
    <s v="957271SA"/>
    <s v="SUMMIT"/>
    <m/>
    <d v="1939-07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2"/>
    <x v="0"/>
    <x v="0"/>
    <x v="2"/>
    <x v="2"/>
    <m/>
    <n v="-13750"/>
    <s v="-12087.912087912087912087912087912087912"/>
    <n v="-13749.999999999998"/>
    <s v="1.1375"/>
    <s v="USD"/>
    <x v="70"/>
    <s v="INTEREST_AND_FEES"/>
    <n v="0"/>
    <s v="NONE"/>
    <n v="0"/>
    <n v="0"/>
    <s v="INFLOW_CENTRAL_GOV_INVESTMENTS"/>
    <n v="194028"/>
    <s v="SUMMIT"/>
    <m/>
    <d v="2028-08-15T00:00:00"/>
    <s v="FV_SHORT_TM"/>
    <s v="AM_GICS_T"/>
    <s v="NONE"/>
    <s v="BONDS"/>
    <s v="Depfa Bank Plc"/>
    <n v="4101000279"/>
    <s v="Bond"/>
    <s v="Bond"/>
    <s v="DEPFAPLC_NY"/>
    <s v="DEPFA"/>
    <s v="US912810FE39"/>
    <m/>
    <s v="Not GIC"/>
  </r>
  <r>
    <x v="3"/>
    <x v="0"/>
    <x v="0"/>
    <x v="3"/>
    <x v="3"/>
    <m/>
    <n v="-13750"/>
    <s v="-12087.912087912087912087912087912087912"/>
    <n v="-13749.999999999998"/>
    <s v="1.1375"/>
    <s v="USD"/>
    <x v="71"/>
    <s v="INTEREST_AND_FEES"/>
    <n v="0"/>
    <s v="NONE"/>
    <n v="0"/>
    <n v="0"/>
    <s v="INFLOW_CENTRAL_GOV_INVESTMENTS"/>
    <n v="194028"/>
    <s v="SUMMIT"/>
    <m/>
    <d v="2028-08-15T00:00:00"/>
    <s v="FV_SHORT_TM"/>
    <s v="AM_GICS_T"/>
    <s v="NONE"/>
    <s v="BONDS"/>
    <s v="Depfa Bank Plc"/>
    <n v="4101000279"/>
    <s v="Bond"/>
    <s v="Bond"/>
    <s v="DEPFAPLC_NY"/>
    <s v="DEPFA"/>
    <s v="US912810FE39"/>
    <m/>
    <s v="Not GIC"/>
  </r>
  <r>
    <x v="4"/>
    <x v="0"/>
    <x v="0"/>
    <x v="4"/>
    <x v="4"/>
    <m/>
    <n v="-13750"/>
    <s v="-12087.912087912087912087912087912087912"/>
    <n v="-13749.999999999998"/>
    <s v="1.1375"/>
    <s v="USD"/>
    <x v="72"/>
    <s v="INTEREST_AND_FEES"/>
    <n v="0"/>
    <s v="NONE"/>
    <n v="0"/>
    <n v="0"/>
    <s v="INFLOW_CENTRAL_GOV_INVESTMENTS"/>
    <n v="194028"/>
    <s v="SUMMIT"/>
    <m/>
    <d v="2028-08-15T00:00:00"/>
    <s v="FV_SHORT_TM"/>
    <s v="AM_GICS_T"/>
    <s v="NONE"/>
    <s v="BONDS"/>
    <s v="Depfa Bank Plc"/>
    <n v="4101000279"/>
    <s v="Bond"/>
    <s v="Bond"/>
    <s v="DEPFAPLC_NY"/>
    <s v="DEPFA"/>
    <s v="US912810FE39"/>
    <m/>
    <s v="Not GIC"/>
  </r>
  <r>
    <x v="5"/>
    <x v="0"/>
    <x v="0"/>
    <x v="5"/>
    <x v="5"/>
    <m/>
    <n v="-13750"/>
    <s v="-12087.912087912087912087912087912087912"/>
    <n v="-13749.999999999998"/>
    <s v="1.1375"/>
    <s v="USD"/>
    <x v="73"/>
    <s v="INTEREST_AND_FEES"/>
    <n v="0"/>
    <s v="NONE"/>
    <n v="0"/>
    <n v="0"/>
    <s v="INFLOW_CENTRAL_GOV_INVESTMENTS"/>
    <n v="194028"/>
    <s v="SUMMIT"/>
    <m/>
    <d v="2028-08-15T00:00:00"/>
    <s v="FV_SHORT_TM"/>
    <s v="AM_GICS_T"/>
    <s v="NONE"/>
    <s v="BONDS"/>
    <s v="Depfa Bank Plc"/>
    <n v="4101000279"/>
    <s v="Bond"/>
    <s v="Bond"/>
    <s v="DEPFAPLC_NY"/>
    <s v="DEPFA"/>
    <s v="US912810FE39"/>
    <m/>
    <s v="Not GIC"/>
  </r>
  <r>
    <x v="6"/>
    <x v="0"/>
    <x v="0"/>
    <x v="15"/>
    <x v="7"/>
    <m/>
    <n v="-234375"/>
    <s v="-206043.95604395604395604395604395604396"/>
    <n v="-234375"/>
    <s v="1.1375"/>
    <s v="USD"/>
    <x v="43"/>
    <s v="INTEREST_AND_FEES"/>
    <n v="0"/>
    <s v="NONE"/>
    <n v="0"/>
    <n v="0"/>
    <s v="INFLOW_SEC_SALES_IN_MFIS"/>
    <n v="193120"/>
    <s v="SUMMIT"/>
    <m/>
    <d v="2029-05-15T00:00:00"/>
    <s v="LN_RC_GEN_U"/>
    <s v="AM_GICS_F"/>
    <s v="NONE"/>
    <s v="BONDS"/>
    <s v="Depfa Bank Plc"/>
    <n v="4101000279"/>
    <s v="Bond"/>
    <s v="Bond"/>
    <s v="DEPFAPLC_NY"/>
    <s v="DEPFA"/>
    <s v="US31359MEU36"/>
    <m/>
    <s v="Not GIC"/>
  </r>
  <r>
    <x v="3"/>
    <x v="0"/>
    <x v="0"/>
    <x v="3"/>
    <x v="3"/>
    <m/>
    <n v="-234375"/>
    <s v="-206043.95604395604395604395604395604396"/>
    <n v="-234375"/>
    <s v="1.1375"/>
    <s v="USD"/>
    <x v="44"/>
    <s v="INTEREST_AND_FEES"/>
    <n v="0"/>
    <s v="NONE"/>
    <n v="0"/>
    <n v="0"/>
    <s v="INFLOW_SEC_SALES_IN_MFIS"/>
    <n v="193120"/>
    <s v="SUMMIT"/>
    <m/>
    <d v="2029-05-15T00:00:00"/>
    <s v="LN_RC_GEN_U"/>
    <s v="AM_GICS_F"/>
    <s v="NONE"/>
    <s v="BONDS"/>
    <s v="Depfa Bank Plc"/>
    <n v="4101000279"/>
    <s v="Bond"/>
    <s v="Bond"/>
    <s v="DEPFAPLC_NY"/>
    <s v="DEPFA"/>
    <s v="US31359MEU36"/>
    <m/>
    <s v="Not GIC"/>
  </r>
  <r>
    <x v="4"/>
    <x v="0"/>
    <x v="0"/>
    <x v="4"/>
    <x v="4"/>
    <m/>
    <n v="-234375"/>
    <s v="-206043.95604395604395604395604395604396"/>
    <n v="-234375"/>
    <s v="1.1375"/>
    <s v="USD"/>
    <x v="45"/>
    <s v="INTEREST_AND_FEES"/>
    <n v="0"/>
    <s v="NONE"/>
    <n v="0"/>
    <n v="0"/>
    <s v="INFLOW_SEC_SALES_IN_MFIS"/>
    <n v="193120"/>
    <s v="SUMMIT"/>
    <m/>
    <d v="2029-05-15T00:00:00"/>
    <s v="LN_RC_GEN_U"/>
    <s v="AM_GICS_F"/>
    <s v="NONE"/>
    <s v="BONDS"/>
    <s v="Depfa Bank Plc"/>
    <n v="4101000279"/>
    <s v="Bond"/>
    <s v="Bond"/>
    <s v="DEPFAPLC_NY"/>
    <s v="DEPFA"/>
    <s v="US31359MEU36"/>
    <m/>
    <s v="Not GIC"/>
  </r>
  <r>
    <x v="5"/>
    <x v="0"/>
    <x v="0"/>
    <x v="5"/>
    <x v="5"/>
    <m/>
    <n v="-234375"/>
    <s v="-206043.95604395604395604395604395604396"/>
    <n v="-234375"/>
    <s v="1.1375"/>
    <s v="USD"/>
    <x v="46"/>
    <s v="INTEREST_AND_FEES"/>
    <n v="0"/>
    <s v="NONE"/>
    <n v="0"/>
    <n v="0"/>
    <s v="INFLOW_SEC_SALES_IN_MFIS"/>
    <n v="193120"/>
    <s v="SUMMIT"/>
    <m/>
    <d v="2029-05-15T00:00:00"/>
    <s v="LN_RC_GEN_U"/>
    <s v="AM_GICS_F"/>
    <s v="NONE"/>
    <s v="BONDS"/>
    <s v="Depfa Bank Plc"/>
    <n v="4101000279"/>
    <s v="Bond"/>
    <s v="Bond"/>
    <s v="DEPFAPLC_NY"/>
    <s v="DEPFA"/>
    <s v="US31359MEU36"/>
    <m/>
    <s v="Not GIC"/>
  </r>
  <r>
    <x v="3"/>
    <x v="1"/>
    <x v="0"/>
    <x v="9"/>
    <x v="6"/>
    <m/>
    <n v="0"/>
    <n v="0"/>
    <n v="0"/>
    <s v="1.1375"/>
    <s v="USD"/>
    <x v="27"/>
    <s v="INTEREST_AND_FEES"/>
    <n v="0"/>
    <s v="NONE"/>
    <n v="0"/>
    <n v="0"/>
    <s v="INFLOW_NON_GOV_INVESTMENTS"/>
    <n v="157751"/>
    <s v="SUMMIT"/>
    <m/>
    <d v="2017-07-16T00:00:00"/>
    <s v="LN_RCS_GEN_U"/>
    <s v="AM_BANKBND_L"/>
    <s v="NONE"/>
    <s v="BONDS"/>
    <s v="FMS Wertmanagement A├╢R"/>
    <n v="3101055606"/>
    <s v="Bond"/>
    <s v="Bond"/>
    <s v="DEPFAPLC_NY"/>
    <s v="DEPFA"/>
    <s v="US917546BN24_LF5"/>
    <m/>
    <s v="Not GIC"/>
  </r>
  <r>
    <x v="4"/>
    <x v="1"/>
    <x v="0"/>
    <x v="10"/>
    <x v="6"/>
    <m/>
    <n v="0"/>
    <n v="0"/>
    <n v="0"/>
    <s v="1.1375"/>
    <s v="USD"/>
    <x v="40"/>
    <s v="INTEREST_AND_FEES"/>
    <n v="0"/>
    <s v="NONE"/>
    <n v="0"/>
    <n v="0"/>
    <s v="INFLOW_NON_GOV_INVESTMENTS"/>
    <n v="157751"/>
    <s v="SUMMIT"/>
    <m/>
    <d v="2017-07-16T00:00:00"/>
    <s v="LN_RCS_GEN_U"/>
    <s v="AM_BANKBND_L"/>
    <s v="NONE"/>
    <s v="BONDS"/>
    <s v="FMS Wertmanagement A├╢R"/>
    <n v="3101055606"/>
    <s v="Bond"/>
    <s v="Bond"/>
    <s v="DEPFAPLC_NY"/>
    <s v="DEPFA"/>
    <s v="US917546BN24_LF5"/>
    <m/>
    <s v="Not GIC"/>
  </r>
  <r>
    <x v="4"/>
    <x v="1"/>
    <x v="0"/>
    <x v="10"/>
    <x v="6"/>
    <m/>
    <n v="0"/>
    <n v="0"/>
    <n v="0"/>
    <s v="1.1375"/>
    <s v="USD"/>
    <x v="75"/>
    <s v="INTEREST_AND_FEES"/>
    <n v="0"/>
    <s v="NONE"/>
    <n v="0"/>
    <n v="0"/>
    <s v="INFLOW_NON_GOV_INVESTMENTS"/>
    <n v="157751"/>
    <s v="SUMMIT"/>
    <m/>
    <d v="2017-07-16T00:00:00"/>
    <s v="LN_RCS_GEN_U"/>
    <s v="AM_BANKBND_L"/>
    <s v="NONE"/>
    <s v="BONDS"/>
    <s v="FMS Wertmanagement A├╢R"/>
    <n v="3101055606"/>
    <s v="Bond"/>
    <s v="Bond"/>
    <s v="DEPFAPLC_NY"/>
    <s v="DEPFA"/>
    <s v="US917546BN24_LF5"/>
    <m/>
    <s v="Not GIC"/>
  </r>
  <r>
    <x v="4"/>
    <x v="1"/>
    <x v="2"/>
    <x v="14"/>
    <x v="6"/>
    <m/>
    <n v="0"/>
    <n v="0"/>
    <n v="0"/>
    <s v="1.1375"/>
    <s v="USD"/>
    <x v="75"/>
    <s v="PRINCIPAL_FLOW"/>
    <n v="0"/>
    <s v="NONE"/>
    <n v="0"/>
    <n v="0"/>
    <s v="INFLOW_NON_GOV_INVESTMENTS"/>
    <n v="157751"/>
    <s v="SUMMIT"/>
    <m/>
    <d v="2017-07-16T00:00:00"/>
    <s v="LN_RCS_GEN_U"/>
    <s v="AM_BANKBND_L"/>
    <s v="NONE"/>
    <s v="BONDS"/>
    <s v="FMS Wertmanagement A├╢R"/>
    <n v="3101055606"/>
    <s v="Bond"/>
    <s v="Bond"/>
    <s v="DEPFAPLC_NY"/>
    <s v="DEPFA"/>
    <s v="US917546BN24_LF5"/>
    <m/>
    <s v="Not GIC"/>
  </r>
  <r>
    <x v="1"/>
    <x v="0"/>
    <x v="0"/>
    <x v="1"/>
    <x v="1"/>
    <s v="3M_San Sabia Capital Corporation"/>
    <s v="1172.16"/>
    <s v="1030.47032967032967032967032967032967033"/>
    <n v="1172.1599999999999"/>
    <s v="1.1375"/>
    <s v="USD"/>
    <x v="1"/>
    <s v="INTEREST_AND_FEES"/>
    <n v="0"/>
    <s v="NONE"/>
    <n v="0"/>
    <n v="0"/>
    <s v="IGNORED"/>
    <s v="957271SA"/>
    <s v="SUMMIT"/>
    <m/>
    <d v="1939-07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1"/>
    <x v="0"/>
    <x v="0"/>
    <x v="1"/>
    <x v="1"/>
    <s v="3M_San Sabia Capital Corporation"/>
    <s v="261.86"/>
    <s v="230.206593406593406593406593406593406593"/>
    <n v="261.86"/>
    <s v="1.1375"/>
    <s v="USD"/>
    <x v="1"/>
    <s v="INTEREST_AND_FEES"/>
    <n v="0"/>
    <s v="NONE"/>
    <n v="0"/>
    <n v="0"/>
    <s v="IGNORED"/>
    <s v="957271SA"/>
    <s v="SUMMIT"/>
    <m/>
    <d v="1939-07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1"/>
    <x v="0"/>
    <x v="0"/>
    <x v="1"/>
    <x v="1"/>
    <s v="3M_San Sabia Capital Corporation"/>
    <s v="4040.83"/>
    <s v="3552.37802197802197802197802197802197802"/>
    <n v="4040.83"/>
    <s v="1.1375"/>
    <s v="USD"/>
    <x v="1"/>
    <s v="INTEREST_AND_FEES"/>
    <n v="0"/>
    <s v="NONE"/>
    <n v="0"/>
    <n v="0"/>
    <s v="IGNORED"/>
    <s v="957271SA"/>
    <s v="SUMMIT"/>
    <m/>
    <d v="1939-07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1"/>
    <x v="0"/>
    <x v="0"/>
    <x v="1"/>
    <x v="1"/>
    <s v="3M_San Sabia Capital Corporation"/>
    <s v="2577.29"/>
    <s v="2265.74945054945054945054945054945054945"/>
    <n v="2577.29"/>
    <s v="1.1375"/>
    <s v="USD"/>
    <x v="1"/>
    <s v="INTEREST_AND_FEES"/>
    <n v="0"/>
    <s v="NONE"/>
    <n v="0"/>
    <n v="0"/>
    <s v="IGNORED"/>
    <s v="957271SA"/>
    <s v="SUMMIT"/>
    <m/>
    <d v="1939-07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3"/>
    <x v="0"/>
    <x v="0"/>
    <x v="3"/>
    <x v="3"/>
    <s v="12M_San Sabia Capital Corporation"/>
    <n v="6600"/>
    <s v="5802.1978021978021978021978021978021978"/>
    <n v="6600"/>
    <s v="1.1375"/>
    <s v="USD"/>
    <x v="7"/>
    <s v="INTEREST_AND_FEES"/>
    <n v="0"/>
    <s v="NONE"/>
    <n v="0"/>
    <n v="0"/>
    <s v="IGNORED"/>
    <s v="957271SA"/>
    <s v="SUMMIT"/>
    <m/>
    <d v="1939-07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4"/>
    <x v="0"/>
    <x v="0"/>
    <x v="4"/>
    <x v="4"/>
    <s v="18M_San Sabia Capital Corporation"/>
    <n v="6600"/>
    <s v="5802.1978021978021978021978021978021978"/>
    <n v="6600"/>
    <s v="1.1375"/>
    <s v="USD"/>
    <x v="13"/>
    <s v="INTEREST_AND_FEES"/>
    <n v="0"/>
    <s v="NONE"/>
    <n v="0"/>
    <n v="0"/>
    <s v="IGNORED"/>
    <s v="957271SA"/>
    <s v="SUMMIT"/>
    <m/>
    <d v="1939-07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6563.33"/>
    <s v="5769.96043956043956043956043956043956044"/>
    <n v="6563.329999999999"/>
    <s v="1.1375"/>
    <s v="USD"/>
    <x v="19"/>
    <s v="INTEREST_AND_FEES"/>
    <n v="0"/>
    <s v="NONE"/>
    <n v="0"/>
    <n v="0"/>
    <s v="IGNORED"/>
    <s v="957271SA"/>
    <s v="SUMMIT"/>
    <m/>
    <d v="1939-07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-82.63"/>
    <s v="-72.641758241758241758241758241758241758"/>
    <n v="-82.63"/>
    <s v="1.1375"/>
    <s v="USD"/>
    <x v="20"/>
    <s v="INTEREST_AND_FEES"/>
    <n v="0"/>
    <s v="NONE"/>
    <n v="0"/>
    <n v="0"/>
    <s v="IGNORED"/>
    <s v="957271SA"/>
    <s v="SUMMIT"/>
    <m/>
    <d v="1939-07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-70.1"/>
    <s v="-61.626373626373626373626373626373626374"/>
    <n v="-70.099999999999994"/>
    <s v="1.1375"/>
    <s v="USD"/>
    <x v="21"/>
    <s v="INTEREST_AND_FEES"/>
    <n v="0"/>
    <s v="NONE"/>
    <n v="0"/>
    <n v="0"/>
    <s v="IGNORED"/>
    <s v="957271SA"/>
    <s v="SUMMIT"/>
    <m/>
    <d v="1939-07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-72.61"/>
    <s v="-63.832967032967032967032967032967032967"/>
    <n v="-72.61"/>
    <s v="1.1375"/>
    <s v="USD"/>
    <x v="68"/>
    <s v="INTEREST_AND_FEES"/>
    <n v="0"/>
    <s v="NONE"/>
    <n v="0"/>
    <n v="0"/>
    <s v="IGNORED"/>
    <s v="957271SA"/>
    <s v="SUMMIT"/>
    <m/>
    <d v="1939-07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5"/>
    <x v="0"/>
    <x v="0"/>
    <x v="5"/>
    <x v="5"/>
    <s v="2Y_San Sabia Capital Corporation"/>
    <s v="-80.12"/>
    <s v="-70.435164835164835164835164835164835165"/>
    <n v="-80.12"/>
    <s v="1.1375"/>
    <s v="USD"/>
    <x v="23"/>
    <s v="INTEREST_AND_FEES"/>
    <n v="0"/>
    <s v="NONE"/>
    <n v="0"/>
    <n v="0"/>
    <s v="IGNORED"/>
    <s v="957271SA"/>
    <s v="SUMMIT"/>
    <m/>
    <d v="1939-07-01T00:00:00"/>
    <s v="FV_OPEN_DER"/>
    <s v="AM_GICSAB_T"/>
    <s v="INTRA_SUB_ENTITY"/>
    <s v="DERIVATES"/>
    <s v="Depfa Bank Plc"/>
    <n v="4101000279"/>
    <s v="Derivative"/>
    <s v="Swap"/>
    <s v="SANSABIA"/>
    <s v="DEPFA"/>
    <m/>
    <m/>
    <s v="Not GIC"/>
  </r>
  <r>
    <x v="7"/>
    <x v="0"/>
    <x v="0"/>
    <x v="16"/>
    <x v="8"/>
    <s v="1D_San Sabia Capital Corporation"/>
    <n v="0"/>
    <n v="0"/>
    <n v="0"/>
    <s v="1.1375"/>
    <s v="USD"/>
    <x v="88"/>
    <s v="INTEREST_AND_FEES"/>
    <n v="0"/>
    <s v="NONE"/>
    <n v="0"/>
    <n v="0"/>
    <s v="IGNORED"/>
    <s v="955065SA"/>
    <s v="SUMMIT"/>
    <m/>
    <d v="1999-12-31T00:00:00"/>
    <s v="LN_RC_GEN_U"/>
    <s v="TL_COLL_L"/>
    <s v="INTRA_SUB_ENTITY"/>
    <s v="COLLATERAL"/>
    <s v="Depfa Bank Plc"/>
    <n v="4101000279"/>
    <s v="Money Market"/>
    <s v="Collateral"/>
    <s v="SANSABIA"/>
    <s v="DEPFA"/>
    <s v="US31359MEU36"/>
    <m/>
    <s v="Not GIC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92" dataOnRows="1" applyNumberFormats="0" applyBorderFormats="0" applyFontFormats="0" applyPatternFormats="0" applyAlignmentFormats="0" applyWidthHeightFormats="1" dataCaption="Data" updatedVersion="4" minRefreshableVersion="3" asteriskTotals="1" showMemberPropertyTips="0" useAutoFormatting="1" itemPrintTitles="1" createdVersion="4" indent="0" compact="0" compactData="0" gridDropZones="1">
  <location ref="U45:V49" firstHeaderRow="2" firstDataRow="2" firstDataCol="1"/>
  <pivotFields count="35">
    <pivotField compact="0" outline="0" subtotalTop="0" showAll="0" includeNewItemsInFilter="1"/>
    <pivotField axis="axisRow" compact="0" outline="0" subtotalTop="0" showAll="0" includeNewItemsInFilter="1">
      <items count="10">
        <item x="0"/>
        <item h="1" x="1"/>
        <item x="2"/>
        <item m="1" x="8"/>
        <item m="1" x="4"/>
        <item m="1" x="5"/>
        <item m="1" x="3"/>
        <item m="1" x="7"/>
        <item m="1" x="6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howAll="0" defaultSubtotal="0"/>
    <pivotField compact="0" outline="0" showAll="0" defaultSubtotal="0"/>
    <pivotField compact="0" numFmtId="170" outline="0" showAll="0" defaultSubtotal="0"/>
    <pivotField compact="0" numFmtId="170" outline="0" showAll="0" defaultSubtotal="0"/>
    <pivotField dataField="1" compact="0" numFmtId="170" outline="0" showAll="0" defaultSubtotal="0"/>
    <pivotField compact="0" numFmtId="170" outline="0" showAll="0" defaultSubtotal="0"/>
    <pivotField compact="0" outline="0" showAll="0" defaultSubtotal="0"/>
    <pivotField compact="0" numFmtId="14" outline="0" subtotalTop="0" showAll="0" includeNewItemsInFilter="1"/>
    <pivotField compact="0" outline="0" subtotalTop="0" showAll="0" includeNewItemsInFilter="1"/>
    <pivotField compact="0" numFmtId="14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includeNewItemsInFilter="1"/>
    <pivotField compact="0" outline="0" subtotalTop="0" showAll="0" includeNewItemsInFilter="1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1"/>
  </rowFields>
  <rowItems count="3">
    <i>
      <x/>
    </i>
    <i>
      <x v="2"/>
    </i>
    <i t="grand">
      <x/>
    </i>
  </rowItems>
  <colItems count="1">
    <i/>
  </colItems>
  <dataFields count="1">
    <dataField name="Sum of AMOUNT_USD" fld="8" baseField="0" baseItem="0"/>
  </dataFields>
  <formats count="1">
    <format dxfId="4">
      <pivotArea outline="0" fieldPosition="0"/>
    </format>
  </formats>
  <pivotTableStyleInfo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5" cacheId="92" dataOnRows="1" applyNumberFormats="0" applyBorderFormats="0" applyFontFormats="0" applyPatternFormats="0" applyAlignmentFormats="0" applyWidthHeightFormats="1" dataCaption="Data" updatedVersion="4" minRefreshableVersion="3" asteriskTotals="1" showMemberPropertyTips="0" useAutoFormatting="1" itemPrintTitles="1" createdVersion="4" indent="0" compact="0" compactData="0" gridDropZones="1">
  <location ref="U53:FB97" firstHeaderRow="1" firstDataRow="2" firstDataCol="2"/>
  <pivotFields count="35"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37">
        <item m="1" x="88"/>
        <item m="1" x="86"/>
        <item x="8"/>
        <item x="27"/>
        <item x="9"/>
        <item m="1" x="67"/>
        <item m="1" x="65"/>
        <item x="14"/>
        <item m="1" x="102"/>
        <item m="1" x="43"/>
        <item x="28"/>
        <item x="10"/>
        <item m="1" x="81"/>
        <item m="1" x="80"/>
        <item m="1" x="66"/>
        <item x="32"/>
        <item x="22"/>
        <item m="1" x="84"/>
        <item m="1" x="68"/>
        <item m="1" x="87"/>
        <item x="35"/>
        <item m="1" x="133"/>
        <item x="36"/>
        <item x="38"/>
        <item m="1" x="62"/>
        <item m="1" x="136"/>
        <item m="1" x="120"/>
        <item m="1" x="108"/>
        <item x="40"/>
        <item x="29"/>
        <item x="11"/>
        <item m="1" x="59"/>
        <item x="23"/>
        <item x="1"/>
        <item x="18"/>
        <item m="1" x="121"/>
        <item x="19"/>
        <item x="25"/>
        <item x="13"/>
        <item m="1" x="119"/>
        <item x="34"/>
        <item m="1" x="64"/>
        <item x="24"/>
        <item x="12"/>
        <item m="1" x="91"/>
        <item m="1" x="89"/>
        <item m="1" x="131"/>
        <item m="1" x="126"/>
        <item m="1" x="49"/>
        <item m="1" x="73"/>
        <item m="1" x="130"/>
        <item m="1" x="78"/>
        <item m="1" x="74"/>
        <item m="1" x="135"/>
        <item m="1" x="85"/>
        <item x="2"/>
        <item x="33"/>
        <item m="1" x="51"/>
        <item x="6"/>
        <item x="26"/>
        <item x="7"/>
        <item m="1" x="50"/>
        <item m="1" x="98"/>
        <item m="1" x="93"/>
        <item x="30"/>
        <item m="1" x="71"/>
        <item m="1" x="54"/>
        <item m="1" x="109"/>
        <item m="1" x="77"/>
        <item m="1" x="129"/>
        <item m="1" x="134"/>
        <item m="1" x="60"/>
        <item m="1" x="117"/>
        <item m="1" x="116"/>
        <item m="1" x="55"/>
        <item x="37"/>
        <item m="1" x="105"/>
        <item m="1" x="95"/>
        <item m="1" x="99"/>
        <item m="1" x="92"/>
        <item m="1" x="94"/>
        <item x="0"/>
        <item m="1" x="63"/>
        <item m="1" x="90"/>
        <item m="1" x="112"/>
        <item m="1" x="125"/>
        <item m="1" x="52"/>
        <item m="1" x="53"/>
        <item m="1" x="57"/>
        <item x="20"/>
        <item x="21"/>
        <item m="1" x="110"/>
        <item x="15"/>
        <item m="1" x="56"/>
        <item m="1" x="76"/>
        <item m="1" x="132"/>
        <item m="1" x="42"/>
        <item x="31"/>
        <item m="1" x="114"/>
        <item m="1" x="96"/>
        <item m="1" x="128"/>
        <item m="1" x="45"/>
        <item m="1" x="115"/>
        <item m="1" x="97"/>
        <item m="1" x="79"/>
        <item x="17"/>
        <item x="16"/>
        <item m="1" x="122"/>
        <item m="1" x="72"/>
        <item x="3"/>
        <item m="1" x="100"/>
        <item m="1" x="104"/>
        <item m="1" x="69"/>
        <item m="1" x="75"/>
        <item m="1" x="127"/>
        <item m="1" x="44"/>
        <item m="1" x="101"/>
        <item x="39"/>
        <item m="1" x="70"/>
        <item m="1" x="47"/>
        <item m="1" x="46"/>
        <item m="1" x="82"/>
        <item m="1" x="83"/>
        <item m="1" x="106"/>
        <item m="1" x="103"/>
        <item m="1" x="123"/>
        <item m="1" x="107"/>
        <item m="1" x="113"/>
        <item m="1" x="58"/>
        <item m="1" x="61"/>
        <item m="1" x="124"/>
        <item x="5"/>
        <item x="4"/>
        <item m="1" x="48"/>
        <item m="1" x="118"/>
        <item x="41"/>
        <item m="1" x="111"/>
      </items>
    </pivotField>
    <pivotField axis="axisRow" compact="0" outline="0" showAll="0" defaultSubtotal="0">
      <items count="29">
        <item m="1" x="18"/>
        <item m="1" x="23"/>
        <item m="1" x="19"/>
        <item m="1" x="28"/>
        <item x="12"/>
        <item m="1" x="16"/>
        <item x="1"/>
        <item x="11"/>
        <item m="1" x="21"/>
        <item m="1" x="13"/>
        <item m="1" x="20"/>
        <item x="2"/>
        <item m="1" x="22"/>
        <item x="6"/>
        <item x="10"/>
        <item m="1" x="14"/>
        <item m="1" x="27"/>
        <item m="1" x="24"/>
        <item m="1" x="17"/>
        <item x="0"/>
        <item m="1" x="25"/>
        <item x="9"/>
        <item x="7"/>
        <item m="1" x="15"/>
        <item m="1" x="26"/>
        <item x="8"/>
        <item x="3"/>
        <item x="5"/>
        <item x="4"/>
      </items>
    </pivotField>
    <pivotField compact="0" outline="0" showAll="0" defaultSubtotal="0"/>
    <pivotField compact="0" numFmtId="170" outline="0" showAll="0" defaultSubtotal="0"/>
    <pivotField compact="0" numFmtId="170" outline="0" showAll="0" defaultSubtotal="0"/>
    <pivotField dataField="1" compact="0" numFmtId="170" outline="0" showAll="0" defaultSubtotal="0"/>
    <pivotField compact="0" outline="0" showAll="0" defaultSubtotal="0"/>
    <pivotField compact="0" outline="0" showAll="0" defaultSubtotal="0"/>
    <pivotField axis="axisCol" compact="0" numFmtId="14" outline="0" showAll="0" defaultSubtotal="0">
      <items count="611">
        <item m="1" x="466"/>
        <item m="1" x="227"/>
        <item m="1" x="478"/>
        <item m="1" x="241"/>
        <item m="1" x="383"/>
        <item m="1" x="389"/>
        <item m="1" x="392"/>
        <item m="1" x="166"/>
        <item m="1" x="399"/>
        <item m="1" x="180"/>
        <item m="1" x="413"/>
        <item m="1" x="423"/>
        <item m="1" x="198"/>
        <item m="1" x="446"/>
        <item m="1" x="456"/>
        <item m="1" x="219"/>
        <item m="1" x="242"/>
        <item m="1" x="500"/>
        <item m="1" x="519"/>
        <item m="1" x="394"/>
        <item m="1" x="168"/>
        <item m="1" x="401"/>
        <item m="1" x="174"/>
        <item m="1" x="415"/>
        <item m="1" x="200"/>
        <item m="1" x="435"/>
        <item m="1" x="458"/>
        <item m="1" x="470"/>
        <item m="1" x="252"/>
        <item m="1" x="261"/>
        <item m="1" x="513"/>
        <item m="1" x="272"/>
        <item m="1" x="279"/>
        <item m="1" x="407"/>
        <item m="1" x="186"/>
        <item m="1" x="203"/>
        <item m="1" x="438"/>
        <item m="1" x="209"/>
        <item m="1" x="482"/>
        <item m="1" x="504"/>
        <item m="1" x="267"/>
        <item m="1" x="541"/>
        <item m="1" x="552"/>
        <item m="1" x="303"/>
        <item m="1" x="430"/>
        <item m="1" x="205"/>
        <item m="1" x="442"/>
        <item m="1" x="210"/>
        <item m="1" x="450"/>
        <item m="1" x="473"/>
        <item m="1" x="234"/>
        <item m="1" x="245"/>
        <item m="1" x="494"/>
        <item m="1" x="264"/>
        <item m="1" x="525"/>
        <item m="1" x="543"/>
        <item m="1" x="304"/>
        <item m="1" x="561"/>
        <item m="1" x="315"/>
        <item m="1" x="452"/>
        <item m="1" x="215"/>
        <item m="1" x="461"/>
        <item m="1" x="486"/>
        <item m="1" x="255"/>
        <item m="1" x="507"/>
        <item m="1" x="527"/>
        <item m="1" x="533"/>
        <item m="1" x="282"/>
        <item m="1" x="562"/>
        <item m="1" x="309"/>
        <item m="1" x="575"/>
        <item m="1" x="320"/>
        <item m="1" x="586"/>
        <item m="1" x="594"/>
        <item m="1" x="475"/>
        <item m="1" x="237"/>
        <item m="1" x="247"/>
        <item m="1" x="256"/>
        <item m="1" x="508"/>
        <item m="1" x="284"/>
        <item m="1" x="545"/>
        <item m="1" x="565"/>
        <item m="1" x="576"/>
        <item m="1" x="596"/>
        <item m="1" x="338"/>
        <item m="1" x="600"/>
        <item m="1" x="498"/>
        <item m="1" x="258"/>
        <item m="1" x="511"/>
        <item m="1" x="265"/>
        <item m="1" x="275"/>
        <item m="1" x="286"/>
        <item m="1" x="546"/>
        <item m="1" x="298"/>
        <item m="1" x="567"/>
        <item m="1" x="577"/>
        <item m="1" x="317"/>
        <item m="1" x="581"/>
        <item m="1" x="331"/>
        <item m="1" x="601"/>
        <item m="1" x="135"/>
        <item m="1" x="354"/>
        <item m="1" x="517"/>
        <item m="1" x="270"/>
        <item m="1" x="530"/>
        <item m="1" x="289"/>
        <item m="1" x="556"/>
        <item m="1" x="319"/>
        <item m="1" x="582"/>
        <item m="1" x="324"/>
        <item m="1" x="589"/>
        <item m="1" x="342"/>
        <item m="1" x="347"/>
        <item m="1" x="605"/>
        <item m="1" x="137"/>
        <item m="1" x="362"/>
        <item m="1" x="144"/>
        <item m="1" x="538"/>
        <item m="1" x="549"/>
        <item m="1" x="557"/>
        <item m="1" x="307"/>
        <item m="1" x="590"/>
        <item m="1" x="602"/>
        <item m="1" x="607"/>
        <item m="1" x="352"/>
        <item m="1" x="367"/>
        <item m="1" x="559"/>
        <item m="1" x="572"/>
        <item m="1" x="314"/>
        <item m="1" x="327"/>
        <item m="1" x="592"/>
        <item m="1" x="336"/>
        <item m="1" x="599"/>
        <item m="1" x="344"/>
        <item m="1" x="609"/>
        <item m="1" x="357"/>
        <item m="1" x="140"/>
        <item m="1" x="364"/>
        <item m="1" x="375"/>
        <item m="1" x="157"/>
        <item m="1" x="161"/>
        <item m="1" x="360"/>
        <item m="1" x="143"/>
        <item m="1" x="370"/>
        <item m="1" x="148"/>
        <item m="1" x="376"/>
        <item m="1" x="154"/>
        <item m="1" x="163"/>
        <item m="1" x="397"/>
        <item m="1" x="171"/>
        <item m="1" x="411"/>
        <item m="1" x="190"/>
        <item m="1" x="197"/>
        <item m="1" x="212"/>
        <item m="1" x="454"/>
        <item m="1" x="217"/>
        <item m="1" x="465"/>
        <item m="1" x="226"/>
        <item m="1" x="371"/>
        <item m="1" x="150"/>
        <item m="1" x="378"/>
        <item m="1" x="155"/>
        <item m="1" x="382"/>
        <item m="1" x="172"/>
        <item m="1" x="404"/>
        <item m="1" x="422"/>
        <item m="1" x="433"/>
        <item m="1" x="228"/>
        <item m="1" x="479"/>
        <item m="1" x="384"/>
        <item m="1" x="158"/>
        <item m="1" x="164"/>
        <item m="1" x="393"/>
        <item m="1" x="167"/>
        <item m="1" x="406"/>
        <item m="1" x="181"/>
        <item m="1" x="414"/>
        <item m="1" x="193"/>
        <item m="1" x="424"/>
        <item m="1" x="208"/>
        <item m="1" x="457"/>
        <item m="1" x="220"/>
        <item m="1" x="480"/>
        <item m="1" x="251"/>
        <item m="1" x="501"/>
        <item m="1" x="520"/>
        <item m="1" x="395"/>
        <item m="1" x="169"/>
        <item m="1" x="185"/>
        <item m="1" x="417"/>
        <item m="1" x="426"/>
        <item m="1" x="449"/>
        <item m="1" x="459"/>
        <item m="1" x="221"/>
        <item m="1" x="472"/>
        <item m="1" x="244"/>
        <item m="1" x="253"/>
        <item m="1" x="502"/>
        <item m="1" x="522"/>
        <item m="1" x="280"/>
        <item m="1" x="408"/>
        <item m="1" x="194"/>
        <item m="1" x="429"/>
        <item m="1" x="204"/>
        <item m="1" x="440"/>
        <item m="1" x="232"/>
        <item m="1" x="484"/>
        <item m="1" x="505"/>
        <item m="1" x="515"/>
        <item m="1" x="542"/>
        <item m="1" x="295"/>
        <item m="1" x="553"/>
        <item m="1" x="432"/>
        <item m="1" x="444"/>
        <item m="1" x="211"/>
        <item m="1" x="223"/>
        <item m="1" x="474"/>
        <item m="1" x="235"/>
        <item m="1" x="485"/>
        <item m="1" x="246"/>
        <item m="1" x="506"/>
        <item m="1" x="269"/>
        <item m="1" x="526"/>
        <item m="1" x="281"/>
        <item m="1" x="554"/>
        <item m="1" x="574"/>
        <item m="1" x="316"/>
        <item m="1" x="453"/>
        <item m="1" x="216"/>
        <item m="1" x="463"/>
        <item m="1" x="236"/>
        <item m="1" x="496"/>
        <item m="1" x="516"/>
        <item m="1" x="528"/>
        <item m="1" x="274"/>
        <item m="1" x="534"/>
        <item m="1" x="297"/>
        <item m="1" x="564"/>
        <item m="1" x="310"/>
        <item m="1" x="580"/>
        <item m="1" x="321"/>
        <item m="1" x="587"/>
        <item m="1" x="330"/>
        <item m="1" x="595"/>
        <item m="1" x="477"/>
        <item m="1" x="239"/>
        <item m="1" x="488"/>
        <item m="1" x="248"/>
        <item m="1" x="497"/>
        <item m="1" x="257"/>
        <item m="1" x="535"/>
        <item m="1" x="285"/>
        <item m="1" x="555"/>
        <item m="1" x="566"/>
        <item m="1" x="312"/>
        <item m="1" x="597"/>
        <item m="1" x="339"/>
        <item m="1" x="604"/>
        <item m="1" x="499"/>
        <item m="1" x="259"/>
        <item m="1" x="512"/>
        <item m="1" x="276"/>
        <item m="1" x="287"/>
        <item m="1" x="547"/>
        <item m="1" x="306"/>
        <item m="1" x="568"/>
        <item m="1" x="578"/>
        <item m="1" x="318"/>
        <item m="1" x="588"/>
        <item m="1" x="332"/>
        <item m="1" x="341"/>
        <item m="1" x="350"/>
        <item m="1" x="355"/>
        <item m="1" x="518"/>
        <item m="1" x="537"/>
        <item m="1" x="290"/>
        <item m="1" x="548"/>
        <item m="1" x="301"/>
        <item m="1" x="579"/>
        <item m="1" x="583"/>
        <item m="1" x="598"/>
        <item m="1" x="348"/>
        <item m="1" x="356"/>
        <item m="1" x="138"/>
        <item m="1" x="141"/>
        <item m="1" x="363"/>
        <item m="1" x="540"/>
        <item m="1" x="292"/>
        <item m="1" x="550"/>
        <item m="1" x="302"/>
        <item m="1" x="558"/>
        <item m="1" x="326"/>
        <item m="1" x="343"/>
        <item m="1" x="608"/>
        <item m="1" x="145"/>
        <item m="1" x="374"/>
        <item m="1" x="560"/>
        <item m="1" x="308"/>
        <item m="1" x="573"/>
        <item m="1" x="584"/>
        <item m="1" x="328"/>
        <item m="1" x="593"/>
        <item m="1" x="337"/>
        <item m="1" x="349"/>
        <item m="1" x="610"/>
        <item m="1" x="136"/>
        <item m="1" x="358"/>
        <item m="1" x="142"/>
        <item m="1" x="365"/>
        <item m="1" x="369"/>
        <item m="1" x="381"/>
        <item m="1" x="162"/>
        <item m="1" x="361"/>
        <item m="1" x="146"/>
        <item m="1" x="149"/>
        <item m="1" x="377"/>
        <item m="1" x="387"/>
        <item m="1" x="165"/>
        <item m="1" x="398"/>
        <item m="1" x="178"/>
        <item m="1" x="412"/>
        <item m="1" x="421"/>
        <item m="1" x="445"/>
        <item m="1" x="455"/>
        <item m="1" x="218"/>
        <item m="1" x="467"/>
        <item m="1" x="373"/>
        <item m="1" x="152"/>
        <item m="1" x="379"/>
        <item m="1" x="156"/>
        <item m="1" x="400"/>
        <item m="1" x="173"/>
        <item m="1" x="192"/>
        <item m="1" x="199"/>
        <item m="1" x="434"/>
        <item m="1" x="385"/>
        <item m="1" x="490"/>
        <item m="1" x="402"/>
        <item m="1" x="175"/>
        <item m="1" x="191"/>
        <item m="1" x="229"/>
        <item m="1" x="334"/>
        <item m="1" x="260"/>
        <item m="1" x="183"/>
        <item m="1" x="391"/>
        <item m="1" x="469"/>
        <item m="1" x="159"/>
        <item m="1" x="416"/>
        <item m="1" x="436"/>
        <item m="1" x="230"/>
        <item m="1" x="448"/>
        <item m="1" x="243"/>
        <item m="1" x="471"/>
        <item m="1" x="250"/>
        <item m="1" x="213"/>
        <item m="1" x="425"/>
        <item m="1" x="201"/>
        <item m="1" x="266"/>
        <item m="1" x="396"/>
        <item m="1" x="177"/>
        <item m="1" x="521"/>
        <item m="1" x="187"/>
        <item m="1" x="262"/>
        <item m="1" x="514"/>
        <item m="1" x="418"/>
        <item m="1" x="410"/>
        <item m="1" x="254"/>
        <item m="1" x="532"/>
        <item m="1" x="294"/>
        <item m="1" x="273"/>
        <item m="1" x="483"/>
        <item m="1" x="214"/>
        <item m="1" x="492"/>
        <item m="1" x="460"/>
        <item m="1" x="231"/>
        <item m="1" x="439"/>
        <item m="1" x="523"/>
        <item m="1" x="189"/>
        <item m="1" x="419"/>
        <item m="1" x="195"/>
        <item m="1" x="428"/>
        <item x="93"/>
        <item x="69"/>
        <item x="2"/>
        <item x="1"/>
        <item x="0"/>
        <item x="85"/>
        <item x="98"/>
        <item m="1" x="386"/>
        <item x="32"/>
        <item m="1" x="529"/>
        <item x="70"/>
        <item x="109"/>
        <item x="111"/>
        <item x="63"/>
        <item m="1" x="544"/>
        <item m="1" x="462"/>
        <item m="1" x="283"/>
        <item m="1" x="238"/>
        <item m="1" x="322"/>
        <item m="1" x="224"/>
        <item x="89"/>
        <item x="31"/>
        <item x="43"/>
        <item m="1" x="509"/>
        <item m="1" x="489"/>
        <item x="30"/>
        <item x="97"/>
        <item m="1" x="249"/>
        <item m="1" x="487"/>
        <item m="1" x="206"/>
        <item m="1" x="476"/>
        <item x="84"/>
        <item x="110"/>
        <item x="57"/>
        <item m="1" x="563"/>
        <item m="1" x="495"/>
        <item m="1" x="431"/>
        <item x="59"/>
        <item m="1" x="311"/>
        <item m="1" x="340"/>
        <item x="3"/>
        <item x="33"/>
        <item m="1" x="271"/>
        <item x="130"/>
        <item m="1" x="345"/>
        <item m="1" x="531"/>
        <item x="112"/>
        <item m="1" x="536"/>
        <item m="1" x="277"/>
        <item x="113"/>
        <item m="1" x="300"/>
        <item m="1" x="569"/>
        <item x="78"/>
        <item m="1" x="325"/>
        <item x="4"/>
        <item m="1" x="351"/>
        <item m="1" x="299"/>
        <item m="1" x="606"/>
        <item m="1" x="333"/>
        <item x="34"/>
        <item m="1" x="291"/>
        <item m="1" x="539"/>
        <item m="1" x="278"/>
        <item m="1" x="570"/>
        <item x="99"/>
        <item x="25"/>
        <item m="1" x="551"/>
        <item x="6"/>
        <item x="44"/>
        <item m="1" x="293"/>
        <item m="1" x="335"/>
        <item x="5"/>
        <item x="114"/>
        <item x="115"/>
        <item m="1" x="139"/>
        <item m="1" x="368"/>
        <item m="1" x="591"/>
        <item x="90"/>
        <item m="1" x="603"/>
        <item m="1" x="359"/>
        <item x="94"/>
        <item x="86"/>
        <item x="35"/>
        <item x="7"/>
        <item m="1" x="585"/>
        <item m="1" x="329"/>
        <item m="1" x="153"/>
        <item x="76"/>
        <item x="100"/>
        <item m="1" x="366"/>
        <item x="132"/>
        <item x="60"/>
        <item x="37"/>
        <item x="36"/>
        <item x="8"/>
        <item m="1" x="179"/>
        <item x="92"/>
        <item x="101"/>
        <item m="1" x="372"/>
        <item x="64"/>
        <item m="1" x="468"/>
        <item m="1" x="151"/>
        <item m="1" x="388"/>
        <item m="1" x="405"/>
        <item m="1" x="147"/>
        <item x="116"/>
        <item m="1" x="380"/>
        <item m="1" x="207"/>
        <item x="71"/>
        <item x="117"/>
        <item m="1" x="182"/>
        <item x="38"/>
        <item x="9"/>
        <item m="1" x="491"/>
        <item m="1" x="170"/>
        <item m="1" x="481"/>
        <item m="1" x="403"/>
        <item m="1" x="160"/>
        <item m="1" x="176"/>
        <item m="1" x="427"/>
        <item m="1" x="437"/>
        <item m="1" x="447"/>
        <item x="79"/>
        <item x="39"/>
        <item m="1" x="409"/>
        <item x="10"/>
        <item m="1" x="222"/>
        <item x="118"/>
        <item m="1" x="263"/>
        <item m="1" x="202"/>
        <item m="1" x="503"/>
        <item x="102"/>
        <item m="1" x="188"/>
        <item x="12"/>
        <item x="40"/>
        <item x="27"/>
        <item m="1" x="233"/>
        <item m="1" x="420"/>
        <item m="1" x="493"/>
        <item m="1" x="196"/>
        <item x="11"/>
        <item x="45"/>
        <item m="1" x="225"/>
        <item x="77"/>
        <item m="1" x="464"/>
        <item m="1" x="305"/>
        <item m="1" x="524"/>
        <item x="120"/>
        <item x="119"/>
        <item m="1" x="441"/>
        <item x="95"/>
        <item x="61"/>
        <item x="80"/>
        <item x="87"/>
        <item m="1" x="296"/>
        <item x="19"/>
        <item x="68"/>
        <item x="15"/>
        <item x="21"/>
        <item x="13"/>
        <item x="41"/>
        <item x="49"/>
        <item x="50"/>
        <item x="51"/>
        <item x="28"/>
        <item x="52"/>
        <item x="53"/>
        <item x="54"/>
        <item x="55"/>
        <item x="74"/>
        <item x="48"/>
        <item m="1" x="268"/>
        <item x="75"/>
        <item x="96"/>
        <item x="46"/>
        <item x="14"/>
        <item x="16"/>
        <item x="17"/>
        <item x="18"/>
        <item x="20"/>
        <item x="58"/>
        <item x="72"/>
        <item x="73"/>
        <item m="1" x="346"/>
        <item x="56"/>
        <item x="131"/>
        <item x="22"/>
        <item m="1" x="288"/>
        <item m="1" x="184"/>
        <item x="91"/>
        <item x="66"/>
        <item x="67"/>
        <item x="81"/>
        <item x="82"/>
        <item x="83"/>
        <item x="134"/>
        <item x="123"/>
        <item x="128"/>
        <item m="1" x="240"/>
        <item x="65"/>
        <item x="62"/>
        <item m="1" x="510"/>
        <item m="1" x="571"/>
        <item m="1" x="390"/>
        <item m="1" x="443"/>
        <item x="47"/>
        <item x="121"/>
        <item x="122"/>
        <item x="124"/>
        <item x="125"/>
        <item x="126"/>
        <item x="127"/>
        <item x="129"/>
        <item x="42"/>
        <item m="1" x="323"/>
        <item x="103"/>
        <item x="104"/>
        <item x="105"/>
        <item x="106"/>
        <item x="107"/>
        <item x="108"/>
        <item x="133"/>
        <item m="1" x="451"/>
        <item x="24"/>
        <item x="26"/>
        <item m="1" x="313"/>
        <item x="29"/>
        <item x="23"/>
        <item m="1" x="353"/>
        <item x="88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multipleItemSelectionAllowed="1" showAll="0" defaultSubtotal="0"/>
    <pivotField compact="0" outline="0" showAll="0" defaultSubtotal="0"/>
    <pivotField compact="0" outline="0" subtotalTop="0" showAll="0" includeNewItemsInFilter="1"/>
    <pivotField compact="0" outline="0" subtotalTop="0" showAll="0" includeNewItemsInFilter="1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4"/>
    <field x="3"/>
  </rowFields>
  <rowItems count="43">
    <i>
      <x v="4"/>
      <x v="23"/>
    </i>
    <i>
      <x v="6"/>
      <x v="33"/>
    </i>
    <i r="1">
      <x v="97"/>
    </i>
    <i r="1">
      <x v="135"/>
    </i>
    <i>
      <x v="7"/>
      <x v="40"/>
    </i>
    <i>
      <x v="11"/>
      <x v="55"/>
    </i>
    <i r="1">
      <x v="75"/>
    </i>
    <i>
      <x v="13"/>
      <x v="2"/>
    </i>
    <i r="1">
      <x v="3"/>
    </i>
    <i r="1">
      <x v="4"/>
    </i>
    <i r="1">
      <x v="7"/>
    </i>
    <i r="1">
      <x v="10"/>
    </i>
    <i r="1">
      <x v="11"/>
    </i>
    <i r="1">
      <x v="15"/>
    </i>
    <i r="1">
      <x v="16"/>
    </i>
    <i r="1">
      <x v="20"/>
    </i>
    <i r="1">
      <x v="22"/>
    </i>
    <i r="1">
      <x v="28"/>
    </i>
    <i r="1">
      <x v="29"/>
    </i>
    <i r="1">
      <x v="30"/>
    </i>
    <i r="1">
      <x v="32"/>
    </i>
    <i r="1">
      <x v="34"/>
    </i>
    <i r="1">
      <x v="36"/>
    </i>
    <i r="1">
      <x v="37"/>
    </i>
    <i r="1">
      <x v="38"/>
    </i>
    <i r="1">
      <x v="42"/>
    </i>
    <i r="1">
      <x v="43"/>
    </i>
    <i r="1">
      <x v="56"/>
    </i>
    <i r="1">
      <x v="58"/>
    </i>
    <i r="1">
      <x v="59"/>
    </i>
    <i r="1">
      <x v="60"/>
    </i>
    <i r="1">
      <x v="117"/>
    </i>
    <i>
      <x v="14"/>
      <x v="64"/>
    </i>
    <i>
      <x v="19"/>
      <x v="81"/>
    </i>
    <i>
      <x v="21"/>
      <x v="89"/>
    </i>
    <i r="1">
      <x v="90"/>
    </i>
    <i>
      <x v="22"/>
      <x v="92"/>
    </i>
    <i>
      <x v="25"/>
      <x v="105"/>
    </i>
    <i r="1">
      <x v="106"/>
    </i>
    <i>
      <x v="26"/>
      <x v="109"/>
    </i>
    <i>
      <x v="27"/>
      <x v="131"/>
    </i>
    <i>
      <x v="28"/>
      <x v="132"/>
    </i>
    <i t="grand">
      <x/>
    </i>
  </rowItems>
  <colFields count="1">
    <field x="11"/>
  </colFields>
  <colItems count="136">
    <i>
      <x v="381"/>
    </i>
    <i>
      <x v="382"/>
    </i>
    <i>
      <x v="383"/>
    </i>
    <i>
      <x v="384"/>
    </i>
    <i>
      <x v="385"/>
    </i>
    <i>
      <x v="386"/>
    </i>
    <i>
      <x v="387"/>
    </i>
    <i>
      <x v="389"/>
    </i>
    <i>
      <x v="391"/>
    </i>
    <i>
      <x v="392"/>
    </i>
    <i>
      <x v="393"/>
    </i>
    <i>
      <x v="394"/>
    </i>
    <i>
      <x v="401"/>
    </i>
    <i>
      <x v="402"/>
    </i>
    <i>
      <x v="403"/>
    </i>
    <i>
      <x v="406"/>
    </i>
    <i>
      <x v="407"/>
    </i>
    <i>
      <x v="412"/>
    </i>
    <i>
      <x v="413"/>
    </i>
    <i>
      <x v="414"/>
    </i>
    <i>
      <x v="418"/>
    </i>
    <i>
      <x v="421"/>
    </i>
    <i>
      <x v="422"/>
    </i>
    <i>
      <x v="424"/>
    </i>
    <i>
      <x v="427"/>
    </i>
    <i>
      <x v="430"/>
    </i>
    <i>
      <x v="433"/>
    </i>
    <i>
      <x v="435"/>
    </i>
    <i>
      <x v="440"/>
    </i>
    <i>
      <x v="445"/>
    </i>
    <i>
      <x v="446"/>
    </i>
    <i>
      <x v="448"/>
    </i>
    <i>
      <x v="449"/>
    </i>
    <i>
      <x v="452"/>
    </i>
    <i>
      <x v="453"/>
    </i>
    <i>
      <x v="454"/>
    </i>
    <i>
      <x v="458"/>
    </i>
    <i>
      <x v="461"/>
    </i>
    <i>
      <x v="462"/>
    </i>
    <i>
      <x v="463"/>
    </i>
    <i>
      <x v="464"/>
    </i>
    <i>
      <x v="468"/>
    </i>
    <i>
      <x v="469"/>
    </i>
    <i>
      <x v="471"/>
    </i>
    <i>
      <x v="472"/>
    </i>
    <i>
      <x v="473"/>
    </i>
    <i>
      <x v="474"/>
    </i>
    <i>
      <x v="475"/>
    </i>
    <i>
      <x v="477"/>
    </i>
    <i>
      <x v="478"/>
    </i>
    <i>
      <x v="480"/>
    </i>
    <i>
      <x v="486"/>
    </i>
    <i>
      <x v="489"/>
    </i>
    <i>
      <x v="490"/>
    </i>
    <i>
      <x v="492"/>
    </i>
    <i>
      <x v="493"/>
    </i>
    <i>
      <x v="503"/>
    </i>
    <i>
      <x v="504"/>
    </i>
    <i>
      <x v="506"/>
    </i>
    <i>
      <x v="508"/>
    </i>
    <i>
      <x v="512"/>
    </i>
    <i>
      <x v="514"/>
    </i>
    <i>
      <x v="515"/>
    </i>
    <i>
      <x v="516"/>
    </i>
    <i>
      <x v="521"/>
    </i>
    <i>
      <x v="522"/>
    </i>
    <i>
      <x v="524"/>
    </i>
    <i>
      <x v="528"/>
    </i>
    <i>
      <x v="529"/>
    </i>
    <i>
      <x v="531"/>
    </i>
    <i>
      <x v="532"/>
    </i>
    <i>
      <x v="533"/>
    </i>
    <i>
      <x v="534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5"/>
    </i>
    <i>
      <x v="566"/>
    </i>
    <i>
      <x v="567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80"/>
    </i>
    <i>
      <x v="581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4"/>
    </i>
    <i>
      <x v="605"/>
    </i>
    <i>
      <x v="607"/>
    </i>
    <i>
      <x v="608"/>
    </i>
    <i>
      <x v="610"/>
    </i>
    <i t="grand">
      <x/>
    </i>
  </colItems>
  <dataFields count="1">
    <dataField name="Sum of AMOUNT_USD" fld="8" baseField="0" baseItem="0"/>
  </dataFields>
  <formats count="1">
    <format dxfId="5">
      <pivotArea outline="0" fieldPosition="0"/>
    </format>
  </formats>
  <pivotTableStyleInfo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ivotTable4" cacheId="92" dataOnRows="1" applyNumberFormats="0" applyBorderFormats="0" applyFontFormats="0" applyPatternFormats="0" applyAlignmentFormats="0" applyWidthHeightFormats="1" dataCaption="Data" updatedVersion="4" showMemberPropertyTips="0" useAutoFormatting="1" itemPrintTitles="1" createdVersion="1" indent="0" compact="0" compactData="0" gridDropZones="1">
  <location ref="U12:V19" firstHeaderRow="2" firstDataRow="2" firstDataCol="1" rowPageCount="1" colPageCount="1"/>
  <pivotFields count="35">
    <pivotField compact="0" outline="0" subtotalTop="0" showAll="0" includeNewItemsInFilter="1"/>
    <pivotField axis="axisPage" compact="0" outline="0" subtotalTop="0" showAll="0" includeNewItemsInFilter="1">
      <items count="10">
        <item x="0"/>
        <item x="1"/>
        <item x="2"/>
        <item m="1" x="8"/>
        <item m="1" x="4"/>
        <item m="1" x="5"/>
        <item m="1" x="3"/>
        <item m="1" x="7"/>
        <item m="1" x="6"/>
        <item t="default"/>
      </items>
    </pivotField>
    <pivotField axis="axisRow" compact="0" outline="0" subtotalTop="0" showAll="0" includeNewItemsInFilter="1">
      <items count="17">
        <item x="1"/>
        <item x="5"/>
        <item x="0"/>
        <item m="1" x="10"/>
        <item m="1" x="8"/>
        <item x="2"/>
        <item m="1" x="7"/>
        <item m="1" x="13"/>
        <item x="4"/>
        <item x="6"/>
        <item x="3"/>
        <item m="1" x="12"/>
        <item m="1" x="11"/>
        <item m="1" x="14"/>
        <item m="1" x="15"/>
        <item m="1" x="9"/>
        <item t="default"/>
      </items>
    </pivotField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numFmtId="170" outline="0" subtotalTop="0" showAll="0" includeNewItemsInFilter="1" defaultSubtotal="0"/>
    <pivotField compact="0" numFmtId="170" outline="0" subtotalTop="0" showAll="0" includeNewItemsInFilter="1" defaultSubtotal="0"/>
    <pivotField dataField="1" compact="0" numFmtId="17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numFmtId="14" outline="0" subtotalTop="0" showAll="0" includeNewItemsInFilter="1"/>
    <pivotField compact="0" outline="0" subtotalTop="0" showAll="0" includeNewItemsInFilter="1"/>
    <pivotField compact="0" numFmtId="17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numFmtId="14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</pivotFields>
  <rowFields count="1">
    <field x="2"/>
  </rowFields>
  <rowItems count="6">
    <i>
      <x/>
    </i>
    <i>
      <x v="1"/>
    </i>
    <i>
      <x v="2"/>
    </i>
    <i>
      <x v="5"/>
    </i>
    <i>
      <x v="9"/>
    </i>
    <i t="grand">
      <x/>
    </i>
  </rowItems>
  <colItems count="1">
    <i/>
  </colItems>
  <pageFields count="1">
    <pageField fld="1" item="1" hier="0"/>
  </pageFields>
  <dataFields count="1">
    <dataField name="Sum of AMOUNT_USD" fld="8" baseField="0" baseItem="0"/>
  </dataFields>
  <formats count="1">
    <format dxfId="6">
      <pivotArea outline="0" fieldPosition="0"/>
    </format>
  </formats>
  <pivotTableStyleInfo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PivotTable6" cacheId="92" dataOnRows="1" applyNumberFormats="0" applyBorderFormats="0" applyFontFormats="0" applyPatternFormats="0" applyAlignmentFormats="0" applyWidthHeightFormats="1" dataCaption="Data" updatedVersion="4" asteriskTotals="1" showMemberPropertyTips="0" useAutoFormatting="1" itemPrintTitles="1" createdVersion="1" indent="0" compact="0" compactData="0" gridDropZones="1">
  <location ref="U28:AG32" firstHeaderRow="1" firstDataRow="2" firstDataCol="1"/>
  <pivotFields count="35">
    <pivotField axis="axisCol" compact="0" outline="0" subtotalTop="0" showAll="0" includeNewItemsInFilter="1" sortType="ascending">
      <items count="15">
        <item x="3"/>
        <item x="4"/>
        <item x="7"/>
        <item x="9"/>
        <item x="8"/>
        <item x="10"/>
        <item x="5"/>
        <item x="6"/>
        <item x="1"/>
        <item x="0"/>
        <item m="1" x="11"/>
        <item m="1" x="13"/>
        <item x="2"/>
        <item m="1" x="12"/>
        <item t="default"/>
      </items>
    </pivotField>
    <pivotField axis="axisRow" compact="0" outline="0" subtotalTop="0" showAll="0" includeNewItemsInFilter="1">
      <items count="10">
        <item x="0"/>
        <item h="1" x="1"/>
        <item x="2"/>
        <item m="1" x="8"/>
        <item m="1" x="4"/>
        <item m="1" x="5"/>
        <item m="1" x="3"/>
        <item m="1" x="7"/>
        <item m="1" x="6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numFmtId="170" outline="0" subtotalTop="0" showAll="0" includeNewItemsInFilter="1" defaultSubtotal="0"/>
    <pivotField compact="0" numFmtId="170" outline="0" subtotalTop="0" showAll="0" includeNewItemsInFilter="1" defaultSubtotal="0"/>
    <pivotField dataField="1" compact="0" numFmtId="17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numFmtId="14" outline="0" subtotalTop="0" showAll="0" includeNewItemsInFilter="1" sortType="ascending" defaultSubtotal="0"/>
    <pivotField compact="0" outline="0" subtotalTop="0" showAll="0" includeNewItemsInFilter="1"/>
    <pivotField compact="0" numFmtId="17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numFmtId="14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numFmtId="14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</pivotFields>
  <rowFields count="1">
    <field x="1"/>
  </rowFields>
  <rowItems count="3">
    <i>
      <x/>
    </i>
    <i>
      <x v="2"/>
    </i>
    <i t="grand">
      <x/>
    </i>
  </rowItems>
  <colFields count="1">
    <field x="0"/>
  </colFields>
  <col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2"/>
    </i>
    <i t="grand">
      <x/>
    </i>
  </colItems>
  <dataFields count="1">
    <dataField name="Sum of AMOUNT_USD" fld="8" baseField="0" baseItem="0"/>
  </dataFields>
  <formats count="1">
    <format dxfId="7">
      <pivotArea outline="0" fieldPosition="0"/>
    </format>
  </formats>
  <pivotTableStyleInfo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PivotTable5" cacheId="92" dataOnRows="1" applyNumberFormats="0" applyBorderFormats="0" applyFontFormats="0" applyPatternFormats="0" applyAlignmentFormats="0" applyWidthHeightFormats="1" dataCaption="Data" updatedVersion="4" minRefreshableVersion="3" asteriskTotals="1" showMemberPropertyTips="0" useAutoFormatting="1" itemPrintTitles="1" createdVersion="4" indent="0" compact="0" compactData="0" gridDropZones="1">
  <location ref="U55:FB99" firstHeaderRow="1" firstDataRow="2" firstDataCol="2"/>
  <pivotFields count="35"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37">
        <item m="1" x="88"/>
        <item m="1" x="86"/>
        <item x="8"/>
        <item x="27"/>
        <item x="9"/>
        <item m="1" x="67"/>
        <item m="1" x="65"/>
        <item x="14"/>
        <item m="1" x="102"/>
        <item m="1" x="43"/>
        <item x="28"/>
        <item x="10"/>
        <item m="1" x="81"/>
        <item m="1" x="80"/>
        <item m="1" x="66"/>
        <item x="32"/>
        <item x="22"/>
        <item m="1" x="84"/>
        <item m="1" x="68"/>
        <item m="1" x="87"/>
        <item x="35"/>
        <item m="1" x="133"/>
        <item x="36"/>
        <item x="38"/>
        <item m="1" x="62"/>
        <item m="1" x="136"/>
        <item m="1" x="120"/>
        <item m="1" x="108"/>
        <item x="40"/>
        <item x="29"/>
        <item x="11"/>
        <item m="1" x="59"/>
        <item x="23"/>
        <item x="1"/>
        <item x="18"/>
        <item m="1" x="121"/>
        <item x="19"/>
        <item x="25"/>
        <item x="13"/>
        <item m="1" x="119"/>
        <item x="34"/>
        <item m="1" x="64"/>
        <item x="24"/>
        <item x="12"/>
        <item m="1" x="91"/>
        <item m="1" x="89"/>
        <item m="1" x="131"/>
        <item m="1" x="126"/>
        <item m="1" x="49"/>
        <item m="1" x="73"/>
        <item m="1" x="130"/>
        <item m="1" x="78"/>
        <item m="1" x="74"/>
        <item m="1" x="135"/>
        <item m="1" x="85"/>
        <item x="2"/>
        <item x="33"/>
        <item m="1" x="51"/>
        <item x="6"/>
        <item x="26"/>
        <item x="7"/>
        <item m="1" x="50"/>
        <item m="1" x="98"/>
        <item m="1" x="93"/>
        <item x="30"/>
        <item m="1" x="71"/>
        <item m="1" x="54"/>
        <item m="1" x="109"/>
        <item m="1" x="77"/>
        <item m="1" x="129"/>
        <item m="1" x="134"/>
        <item m="1" x="60"/>
        <item m="1" x="117"/>
        <item m="1" x="116"/>
        <item m="1" x="55"/>
        <item x="37"/>
        <item m="1" x="105"/>
        <item m="1" x="95"/>
        <item m="1" x="99"/>
        <item m="1" x="92"/>
        <item m="1" x="94"/>
        <item x="0"/>
        <item m="1" x="63"/>
        <item m="1" x="90"/>
        <item m="1" x="112"/>
        <item m="1" x="125"/>
        <item m="1" x="52"/>
        <item m="1" x="53"/>
        <item m="1" x="57"/>
        <item x="20"/>
        <item x="21"/>
        <item m="1" x="110"/>
        <item x="15"/>
        <item m="1" x="56"/>
        <item m="1" x="76"/>
        <item m="1" x="132"/>
        <item m="1" x="42"/>
        <item x="31"/>
        <item m="1" x="114"/>
        <item m="1" x="96"/>
        <item m="1" x="128"/>
        <item m="1" x="45"/>
        <item m="1" x="115"/>
        <item m="1" x="97"/>
        <item m="1" x="79"/>
        <item x="17"/>
        <item x="16"/>
        <item m="1" x="122"/>
        <item m="1" x="72"/>
        <item x="3"/>
        <item m="1" x="100"/>
        <item m="1" x="104"/>
        <item m="1" x="69"/>
        <item m="1" x="75"/>
        <item m="1" x="127"/>
        <item m="1" x="44"/>
        <item m="1" x="101"/>
        <item x="39"/>
        <item m="1" x="70"/>
        <item m="1" x="47"/>
        <item m="1" x="46"/>
        <item m="1" x="82"/>
        <item m="1" x="83"/>
        <item m="1" x="106"/>
        <item m="1" x="103"/>
        <item m="1" x="123"/>
        <item m="1" x="107"/>
        <item m="1" x="113"/>
        <item m="1" x="58"/>
        <item m="1" x="61"/>
        <item m="1" x="124"/>
        <item x="5"/>
        <item x="4"/>
        <item m="1" x="48"/>
        <item m="1" x="118"/>
        <item x="41"/>
        <item m="1" x="111"/>
      </items>
    </pivotField>
    <pivotField axis="axisRow" compact="0" outline="0" showAll="0" defaultSubtotal="0">
      <items count="29">
        <item m="1" x="18"/>
        <item m="1" x="23"/>
        <item m="1" x="19"/>
        <item m="1" x="28"/>
        <item x="12"/>
        <item m="1" x="16"/>
        <item x="1"/>
        <item x="11"/>
        <item m="1" x="21"/>
        <item m="1" x="13"/>
        <item m="1" x="20"/>
        <item x="2"/>
        <item m="1" x="22"/>
        <item x="6"/>
        <item x="10"/>
        <item m="1" x="14"/>
        <item m="1" x="27"/>
        <item m="1" x="24"/>
        <item m="1" x="17"/>
        <item x="0"/>
        <item m="1" x="25"/>
        <item x="9"/>
        <item x="7"/>
        <item m="1" x="15"/>
        <item m="1" x="26"/>
        <item x="8"/>
        <item x="3"/>
        <item x="5"/>
        <item x="4"/>
      </items>
    </pivotField>
    <pivotField compact="0" outline="0" showAll="0" defaultSubtotal="0"/>
    <pivotField compact="0" numFmtId="170" outline="0" showAll="0" defaultSubtotal="0"/>
    <pivotField compact="0" numFmtId="170" outline="0" showAll="0" defaultSubtotal="0"/>
    <pivotField dataField="1" compact="0" numFmtId="170" outline="0" showAll="0" defaultSubtotal="0"/>
    <pivotField compact="0" outline="0" showAll="0" defaultSubtotal="0"/>
    <pivotField compact="0" outline="0" showAll="0" defaultSubtotal="0"/>
    <pivotField axis="axisCol" compact="0" numFmtId="14" outline="0" showAll="0" defaultSubtotal="0">
      <items count="611">
        <item m="1" x="466"/>
        <item m="1" x="227"/>
        <item m="1" x="478"/>
        <item m="1" x="241"/>
        <item m="1" x="383"/>
        <item m="1" x="389"/>
        <item m="1" x="392"/>
        <item m="1" x="166"/>
        <item m="1" x="399"/>
        <item m="1" x="180"/>
        <item m="1" x="413"/>
        <item m="1" x="423"/>
        <item m="1" x="198"/>
        <item m="1" x="446"/>
        <item m="1" x="456"/>
        <item m="1" x="219"/>
        <item m="1" x="242"/>
        <item m="1" x="500"/>
        <item m="1" x="519"/>
        <item m="1" x="394"/>
        <item m="1" x="168"/>
        <item m="1" x="401"/>
        <item m="1" x="174"/>
        <item m="1" x="415"/>
        <item m="1" x="200"/>
        <item m="1" x="435"/>
        <item m="1" x="458"/>
        <item m="1" x="470"/>
        <item m="1" x="252"/>
        <item m="1" x="261"/>
        <item m="1" x="513"/>
        <item m="1" x="272"/>
        <item m="1" x="279"/>
        <item m="1" x="407"/>
        <item m="1" x="186"/>
        <item m="1" x="203"/>
        <item m="1" x="438"/>
        <item m="1" x="209"/>
        <item m="1" x="482"/>
        <item m="1" x="504"/>
        <item m="1" x="267"/>
        <item m="1" x="541"/>
        <item m="1" x="552"/>
        <item m="1" x="303"/>
        <item m="1" x="430"/>
        <item m="1" x="205"/>
        <item m="1" x="442"/>
        <item m="1" x="210"/>
        <item m="1" x="450"/>
        <item m="1" x="473"/>
        <item m="1" x="234"/>
        <item m="1" x="245"/>
        <item m="1" x="494"/>
        <item m="1" x="264"/>
        <item m="1" x="525"/>
        <item m="1" x="543"/>
        <item m="1" x="304"/>
        <item m="1" x="561"/>
        <item m="1" x="315"/>
        <item m="1" x="452"/>
        <item m="1" x="215"/>
        <item m="1" x="461"/>
        <item m="1" x="486"/>
        <item m="1" x="255"/>
        <item m="1" x="507"/>
        <item m="1" x="527"/>
        <item m="1" x="533"/>
        <item m="1" x="282"/>
        <item m="1" x="562"/>
        <item m="1" x="309"/>
        <item m="1" x="575"/>
        <item m="1" x="320"/>
        <item m="1" x="586"/>
        <item m="1" x="594"/>
        <item m="1" x="475"/>
        <item m="1" x="237"/>
        <item m="1" x="247"/>
        <item m="1" x="256"/>
        <item m="1" x="508"/>
        <item m="1" x="284"/>
        <item m="1" x="545"/>
        <item m="1" x="565"/>
        <item m="1" x="576"/>
        <item m="1" x="596"/>
        <item m="1" x="338"/>
        <item m="1" x="600"/>
        <item m="1" x="498"/>
        <item m="1" x="258"/>
        <item m="1" x="511"/>
        <item m="1" x="265"/>
        <item m="1" x="275"/>
        <item m="1" x="286"/>
        <item m="1" x="546"/>
        <item m="1" x="298"/>
        <item m="1" x="567"/>
        <item m="1" x="577"/>
        <item m="1" x="317"/>
        <item m="1" x="581"/>
        <item m="1" x="331"/>
        <item m="1" x="601"/>
        <item m="1" x="135"/>
        <item m="1" x="354"/>
        <item m="1" x="517"/>
        <item m="1" x="270"/>
        <item m="1" x="530"/>
        <item m="1" x="289"/>
        <item m="1" x="556"/>
        <item m="1" x="319"/>
        <item m="1" x="582"/>
        <item m="1" x="324"/>
        <item m="1" x="589"/>
        <item m="1" x="342"/>
        <item m="1" x="347"/>
        <item m="1" x="605"/>
        <item m="1" x="137"/>
        <item m="1" x="362"/>
        <item m="1" x="144"/>
        <item m="1" x="538"/>
        <item m="1" x="549"/>
        <item m="1" x="557"/>
        <item m="1" x="307"/>
        <item m="1" x="590"/>
        <item m="1" x="602"/>
        <item m="1" x="607"/>
        <item m="1" x="352"/>
        <item m="1" x="367"/>
        <item m="1" x="559"/>
        <item m="1" x="572"/>
        <item m="1" x="314"/>
        <item m="1" x="327"/>
        <item m="1" x="592"/>
        <item m="1" x="336"/>
        <item m="1" x="599"/>
        <item m="1" x="344"/>
        <item m="1" x="609"/>
        <item m="1" x="357"/>
        <item m="1" x="140"/>
        <item m="1" x="364"/>
        <item m="1" x="375"/>
        <item m="1" x="157"/>
        <item m="1" x="161"/>
        <item m="1" x="360"/>
        <item m="1" x="143"/>
        <item m="1" x="370"/>
        <item m="1" x="148"/>
        <item m="1" x="376"/>
        <item m="1" x="154"/>
        <item m="1" x="163"/>
        <item m="1" x="397"/>
        <item m="1" x="171"/>
        <item m="1" x="411"/>
        <item m="1" x="190"/>
        <item m="1" x="197"/>
        <item m="1" x="212"/>
        <item m="1" x="454"/>
        <item m="1" x="217"/>
        <item m="1" x="465"/>
        <item m="1" x="226"/>
        <item m="1" x="371"/>
        <item m="1" x="150"/>
        <item m="1" x="378"/>
        <item m="1" x="155"/>
        <item m="1" x="382"/>
        <item m="1" x="172"/>
        <item m="1" x="404"/>
        <item m="1" x="422"/>
        <item m="1" x="433"/>
        <item m="1" x="228"/>
        <item m="1" x="479"/>
        <item m="1" x="384"/>
        <item m="1" x="158"/>
        <item m="1" x="164"/>
        <item m="1" x="393"/>
        <item m="1" x="167"/>
        <item m="1" x="406"/>
        <item m="1" x="181"/>
        <item m="1" x="414"/>
        <item m="1" x="193"/>
        <item m="1" x="424"/>
        <item m="1" x="208"/>
        <item m="1" x="457"/>
        <item m="1" x="220"/>
        <item m="1" x="480"/>
        <item m="1" x="251"/>
        <item m="1" x="501"/>
        <item m="1" x="520"/>
        <item m="1" x="395"/>
        <item m="1" x="169"/>
        <item m="1" x="185"/>
        <item m="1" x="417"/>
        <item m="1" x="426"/>
        <item m="1" x="449"/>
        <item m="1" x="459"/>
        <item m="1" x="221"/>
        <item m="1" x="472"/>
        <item m="1" x="244"/>
        <item m="1" x="253"/>
        <item m="1" x="502"/>
        <item m="1" x="522"/>
        <item m="1" x="280"/>
        <item m="1" x="408"/>
        <item m="1" x="194"/>
        <item m="1" x="429"/>
        <item m="1" x="204"/>
        <item m="1" x="440"/>
        <item m="1" x="232"/>
        <item m="1" x="484"/>
        <item m="1" x="505"/>
        <item m="1" x="515"/>
        <item m="1" x="542"/>
        <item m="1" x="295"/>
        <item m="1" x="553"/>
        <item m="1" x="432"/>
        <item m="1" x="444"/>
        <item m="1" x="211"/>
        <item m="1" x="223"/>
        <item m="1" x="474"/>
        <item m="1" x="235"/>
        <item m="1" x="485"/>
        <item m="1" x="246"/>
        <item m="1" x="506"/>
        <item m="1" x="269"/>
        <item m="1" x="526"/>
        <item m="1" x="281"/>
        <item m="1" x="554"/>
        <item m="1" x="574"/>
        <item m="1" x="316"/>
        <item m="1" x="453"/>
        <item m="1" x="216"/>
        <item m="1" x="463"/>
        <item m="1" x="236"/>
        <item m="1" x="496"/>
        <item m="1" x="516"/>
        <item m="1" x="528"/>
        <item m="1" x="274"/>
        <item m="1" x="534"/>
        <item m="1" x="297"/>
        <item m="1" x="564"/>
        <item m="1" x="310"/>
        <item m="1" x="580"/>
        <item m="1" x="321"/>
        <item m="1" x="587"/>
        <item m="1" x="330"/>
        <item m="1" x="595"/>
        <item m="1" x="477"/>
        <item m="1" x="239"/>
        <item m="1" x="488"/>
        <item m="1" x="248"/>
        <item m="1" x="497"/>
        <item m="1" x="257"/>
        <item m="1" x="535"/>
        <item m="1" x="285"/>
        <item m="1" x="555"/>
        <item m="1" x="566"/>
        <item m="1" x="312"/>
        <item m="1" x="597"/>
        <item m="1" x="339"/>
        <item m="1" x="604"/>
        <item m="1" x="499"/>
        <item m="1" x="259"/>
        <item m="1" x="512"/>
        <item m="1" x="276"/>
        <item m="1" x="287"/>
        <item m="1" x="547"/>
        <item m="1" x="306"/>
        <item m="1" x="568"/>
        <item m="1" x="578"/>
        <item m="1" x="318"/>
        <item m="1" x="588"/>
        <item m="1" x="332"/>
        <item m="1" x="341"/>
        <item m="1" x="350"/>
        <item m="1" x="355"/>
        <item m="1" x="518"/>
        <item m="1" x="537"/>
        <item m="1" x="290"/>
        <item m="1" x="548"/>
        <item m="1" x="301"/>
        <item m="1" x="579"/>
        <item m="1" x="583"/>
        <item m="1" x="598"/>
        <item m="1" x="348"/>
        <item m="1" x="356"/>
        <item m="1" x="138"/>
        <item m="1" x="141"/>
        <item m="1" x="363"/>
        <item m="1" x="540"/>
        <item m="1" x="292"/>
        <item m="1" x="550"/>
        <item m="1" x="302"/>
        <item m="1" x="558"/>
        <item m="1" x="326"/>
        <item m="1" x="343"/>
        <item m="1" x="608"/>
        <item m="1" x="145"/>
        <item m="1" x="374"/>
        <item m="1" x="560"/>
        <item m="1" x="308"/>
        <item m="1" x="573"/>
        <item m="1" x="584"/>
        <item m="1" x="328"/>
        <item m="1" x="593"/>
        <item m="1" x="337"/>
        <item m="1" x="349"/>
        <item m="1" x="610"/>
        <item m="1" x="136"/>
        <item m="1" x="358"/>
        <item m="1" x="142"/>
        <item m="1" x="365"/>
        <item m="1" x="369"/>
        <item m="1" x="381"/>
        <item m="1" x="162"/>
        <item m="1" x="361"/>
        <item m="1" x="146"/>
        <item m="1" x="149"/>
        <item m="1" x="377"/>
        <item m="1" x="387"/>
        <item m="1" x="165"/>
        <item m="1" x="398"/>
        <item m="1" x="178"/>
        <item m="1" x="412"/>
        <item m="1" x="421"/>
        <item m="1" x="445"/>
        <item m="1" x="455"/>
        <item m="1" x="218"/>
        <item m="1" x="467"/>
        <item m="1" x="373"/>
        <item m="1" x="152"/>
        <item m="1" x="379"/>
        <item m="1" x="156"/>
        <item m="1" x="400"/>
        <item m="1" x="173"/>
        <item m="1" x="192"/>
        <item m="1" x="199"/>
        <item m="1" x="434"/>
        <item m="1" x="385"/>
        <item m="1" x="490"/>
        <item m="1" x="402"/>
        <item m="1" x="175"/>
        <item m="1" x="191"/>
        <item m="1" x="229"/>
        <item m="1" x="334"/>
        <item m="1" x="260"/>
        <item m="1" x="183"/>
        <item m="1" x="391"/>
        <item m="1" x="469"/>
        <item m="1" x="159"/>
        <item m="1" x="416"/>
        <item m="1" x="436"/>
        <item m="1" x="230"/>
        <item m="1" x="448"/>
        <item m="1" x="243"/>
        <item m="1" x="471"/>
        <item m="1" x="250"/>
        <item m="1" x="213"/>
        <item m="1" x="425"/>
        <item m="1" x="201"/>
        <item m="1" x="266"/>
        <item m="1" x="396"/>
        <item m="1" x="177"/>
        <item m="1" x="521"/>
        <item m="1" x="187"/>
        <item m="1" x="262"/>
        <item m="1" x="514"/>
        <item m="1" x="418"/>
        <item m="1" x="410"/>
        <item m="1" x="254"/>
        <item m="1" x="532"/>
        <item m="1" x="294"/>
        <item m="1" x="273"/>
        <item m="1" x="483"/>
        <item m="1" x="214"/>
        <item m="1" x="492"/>
        <item m="1" x="460"/>
        <item m="1" x="231"/>
        <item m="1" x="439"/>
        <item m="1" x="523"/>
        <item m="1" x="189"/>
        <item m="1" x="419"/>
        <item m="1" x="195"/>
        <item m="1" x="428"/>
        <item x="93"/>
        <item x="69"/>
        <item x="2"/>
        <item x="1"/>
        <item x="0"/>
        <item x="85"/>
        <item x="98"/>
        <item m="1" x="386"/>
        <item x="32"/>
        <item m="1" x="529"/>
        <item x="70"/>
        <item x="109"/>
        <item x="111"/>
        <item x="63"/>
        <item m="1" x="544"/>
        <item m="1" x="462"/>
        <item m="1" x="283"/>
        <item m="1" x="238"/>
        <item m="1" x="322"/>
        <item m="1" x="224"/>
        <item x="89"/>
        <item x="31"/>
        <item x="43"/>
        <item m="1" x="509"/>
        <item m="1" x="489"/>
        <item x="30"/>
        <item x="97"/>
        <item m="1" x="249"/>
        <item m="1" x="487"/>
        <item m="1" x="206"/>
        <item m="1" x="476"/>
        <item x="84"/>
        <item x="110"/>
        <item x="57"/>
        <item m="1" x="563"/>
        <item m="1" x="495"/>
        <item m="1" x="431"/>
        <item x="59"/>
        <item m="1" x="311"/>
        <item m="1" x="340"/>
        <item x="3"/>
        <item x="33"/>
        <item m="1" x="271"/>
        <item x="130"/>
        <item m="1" x="345"/>
        <item m="1" x="531"/>
        <item x="112"/>
        <item m="1" x="536"/>
        <item m="1" x="277"/>
        <item x="113"/>
        <item m="1" x="300"/>
        <item m="1" x="569"/>
        <item x="78"/>
        <item m="1" x="325"/>
        <item x="4"/>
        <item m="1" x="351"/>
        <item m="1" x="299"/>
        <item m="1" x="606"/>
        <item m="1" x="333"/>
        <item x="34"/>
        <item m="1" x="291"/>
        <item m="1" x="539"/>
        <item m="1" x="278"/>
        <item m="1" x="570"/>
        <item x="99"/>
        <item x="25"/>
        <item m="1" x="551"/>
        <item x="6"/>
        <item x="44"/>
        <item m="1" x="293"/>
        <item m="1" x="335"/>
        <item x="5"/>
        <item x="114"/>
        <item x="115"/>
        <item m="1" x="139"/>
        <item m="1" x="368"/>
        <item m="1" x="591"/>
        <item x="90"/>
        <item m="1" x="603"/>
        <item m="1" x="359"/>
        <item x="94"/>
        <item x="86"/>
        <item x="35"/>
        <item x="7"/>
        <item m="1" x="585"/>
        <item m="1" x="329"/>
        <item m="1" x="153"/>
        <item x="76"/>
        <item x="100"/>
        <item m="1" x="366"/>
        <item x="132"/>
        <item x="60"/>
        <item x="37"/>
        <item x="36"/>
        <item x="8"/>
        <item m="1" x="179"/>
        <item x="92"/>
        <item x="101"/>
        <item m="1" x="372"/>
        <item x="64"/>
        <item m="1" x="468"/>
        <item m="1" x="151"/>
        <item m="1" x="388"/>
        <item m="1" x="405"/>
        <item m="1" x="147"/>
        <item x="116"/>
        <item m="1" x="380"/>
        <item m="1" x="207"/>
        <item x="71"/>
        <item x="117"/>
        <item m="1" x="182"/>
        <item x="38"/>
        <item x="9"/>
        <item m="1" x="491"/>
        <item m="1" x="170"/>
        <item m="1" x="481"/>
        <item m="1" x="403"/>
        <item m="1" x="160"/>
        <item m="1" x="176"/>
        <item m="1" x="427"/>
        <item m="1" x="437"/>
        <item m="1" x="447"/>
        <item x="79"/>
        <item x="39"/>
        <item m="1" x="409"/>
        <item x="10"/>
        <item m="1" x="222"/>
        <item x="118"/>
        <item m="1" x="263"/>
        <item m="1" x="202"/>
        <item m="1" x="503"/>
        <item x="102"/>
        <item m="1" x="188"/>
        <item x="12"/>
        <item x="40"/>
        <item x="27"/>
        <item m="1" x="233"/>
        <item m="1" x="420"/>
        <item m="1" x="493"/>
        <item m="1" x="196"/>
        <item x="11"/>
        <item x="45"/>
        <item m="1" x="225"/>
        <item x="77"/>
        <item m="1" x="464"/>
        <item m="1" x="305"/>
        <item m="1" x="524"/>
        <item x="120"/>
        <item x="119"/>
        <item m="1" x="441"/>
        <item x="95"/>
        <item x="61"/>
        <item x="80"/>
        <item x="87"/>
        <item m="1" x="296"/>
        <item x="19"/>
        <item x="68"/>
        <item x="15"/>
        <item x="21"/>
        <item x="13"/>
        <item x="41"/>
        <item x="49"/>
        <item x="50"/>
        <item x="51"/>
        <item x="28"/>
        <item x="52"/>
        <item x="53"/>
        <item x="54"/>
        <item x="55"/>
        <item x="74"/>
        <item x="48"/>
        <item m="1" x="268"/>
        <item x="75"/>
        <item x="96"/>
        <item x="46"/>
        <item x="14"/>
        <item x="16"/>
        <item x="17"/>
        <item x="18"/>
        <item x="20"/>
        <item x="58"/>
        <item x="72"/>
        <item x="73"/>
        <item m="1" x="346"/>
        <item x="56"/>
        <item x="131"/>
        <item x="22"/>
        <item m="1" x="288"/>
        <item m="1" x="184"/>
        <item x="91"/>
        <item x="66"/>
        <item x="67"/>
        <item x="81"/>
        <item x="82"/>
        <item x="83"/>
        <item x="134"/>
        <item x="123"/>
        <item x="128"/>
        <item m="1" x="240"/>
        <item x="65"/>
        <item x="62"/>
        <item m="1" x="510"/>
        <item m="1" x="571"/>
        <item m="1" x="390"/>
        <item m="1" x="443"/>
        <item x="47"/>
        <item x="121"/>
        <item x="122"/>
        <item x="124"/>
        <item x="125"/>
        <item x="126"/>
        <item x="127"/>
        <item x="129"/>
        <item x="42"/>
        <item m="1" x="323"/>
        <item x="103"/>
        <item x="104"/>
        <item x="105"/>
        <item x="106"/>
        <item x="107"/>
        <item x="108"/>
        <item x="133"/>
        <item m="1" x="451"/>
        <item x="24"/>
        <item x="26"/>
        <item m="1" x="313"/>
        <item x="29"/>
        <item x="23"/>
        <item m="1" x="353"/>
        <item x="88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multipleItemSelectionAllowed="1" showAll="0" defaultSubtotal="0"/>
    <pivotField compact="0" outline="0" showAll="0" defaultSubtotal="0"/>
    <pivotField compact="0" outline="0" subtotalTop="0" showAll="0" includeNewItemsInFilter="1"/>
    <pivotField compact="0" outline="0" subtotalTop="0" showAll="0" includeNewItemsInFilter="1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4"/>
    <field x="3"/>
  </rowFields>
  <rowItems count="43">
    <i>
      <x v="4"/>
      <x v="23"/>
    </i>
    <i>
      <x v="6"/>
      <x v="33"/>
    </i>
    <i r="1">
      <x v="97"/>
    </i>
    <i r="1">
      <x v="135"/>
    </i>
    <i>
      <x v="7"/>
      <x v="40"/>
    </i>
    <i>
      <x v="11"/>
      <x v="55"/>
    </i>
    <i r="1">
      <x v="75"/>
    </i>
    <i>
      <x v="13"/>
      <x v="2"/>
    </i>
    <i r="1">
      <x v="3"/>
    </i>
    <i r="1">
      <x v="4"/>
    </i>
    <i r="1">
      <x v="7"/>
    </i>
    <i r="1">
      <x v="10"/>
    </i>
    <i r="1">
      <x v="11"/>
    </i>
    <i r="1">
      <x v="15"/>
    </i>
    <i r="1">
      <x v="16"/>
    </i>
    <i r="1">
      <x v="20"/>
    </i>
    <i r="1">
      <x v="22"/>
    </i>
    <i r="1">
      <x v="28"/>
    </i>
    <i r="1">
      <x v="29"/>
    </i>
    <i r="1">
      <x v="30"/>
    </i>
    <i r="1">
      <x v="32"/>
    </i>
    <i r="1">
      <x v="34"/>
    </i>
    <i r="1">
      <x v="36"/>
    </i>
    <i r="1">
      <x v="37"/>
    </i>
    <i r="1">
      <x v="38"/>
    </i>
    <i r="1">
      <x v="42"/>
    </i>
    <i r="1">
      <x v="43"/>
    </i>
    <i r="1">
      <x v="56"/>
    </i>
    <i r="1">
      <x v="58"/>
    </i>
    <i r="1">
      <x v="59"/>
    </i>
    <i r="1">
      <x v="60"/>
    </i>
    <i r="1">
      <x v="117"/>
    </i>
    <i>
      <x v="14"/>
      <x v="64"/>
    </i>
    <i>
      <x v="19"/>
      <x v="81"/>
    </i>
    <i>
      <x v="21"/>
      <x v="89"/>
    </i>
    <i r="1">
      <x v="90"/>
    </i>
    <i>
      <x v="22"/>
      <x v="92"/>
    </i>
    <i>
      <x v="25"/>
      <x v="105"/>
    </i>
    <i r="1">
      <x v="106"/>
    </i>
    <i>
      <x v="26"/>
      <x v="109"/>
    </i>
    <i>
      <x v="27"/>
      <x v="131"/>
    </i>
    <i>
      <x v="28"/>
      <x v="132"/>
    </i>
    <i t="grand">
      <x/>
    </i>
  </rowItems>
  <colFields count="1">
    <field x="11"/>
  </colFields>
  <colItems count="136">
    <i>
      <x v="381"/>
    </i>
    <i>
      <x v="382"/>
    </i>
    <i>
      <x v="383"/>
    </i>
    <i>
      <x v="384"/>
    </i>
    <i>
      <x v="385"/>
    </i>
    <i>
      <x v="386"/>
    </i>
    <i>
      <x v="387"/>
    </i>
    <i>
      <x v="389"/>
    </i>
    <i>
      <x v="391"/>
    </i>
    <i>
      <x v="392"/>
    </i>
    <i>
      <x v="393"/>
    </i>
    <i>
      <x v="394"/>
    </i>
    <i>
      <x v="401"/>
    </i>
    <i>
      <x v="402"/>
    </i>
    <i>
      <x v="403"/>
    </i>
    <i>
      <x v="406"/>
    </i>
    <i>
      <x v="407"/>
    </i>
    <i>
      <x v="412"/>
    </i>
    <i>
      <x v="413"/>
    </i>
    <i>
      <x v="414"/>
    </i>
    <i>
      <x v="418"/>
    </i>
    <i>
      <x v="421"/>
    </i>
    <i>
      <x v="422"/>
    </i>
    <i>
      <x v="424"/>
    </i>
    <i>
      <x v="427"/>
    </i>
    <i>
      <x v="430"/>
    </i>
    <i>
      <x v="433"/>
    </i>
    <i>
      <x v="435"/>
    </i>
    <i>
      <x v="440"/>
    </i>
    <i>
      <x v="445"/>
    </i>
    <i>
      <x v="446"/>
    </i>
    <i>
      <x v="448"/>
    </i>
    <i>
      <x v="449"/>
    </i>
    <i>
      <x v="452"/>
    </i>
    <i>
      <x v="453"/>
    </i>
    <i>
      <x v="454"/>
    </i>
    <i>
      <x v="458"/>
    </i>
    <i>
      <x v="461"/>
    </i>
    <i>
      <x v="462"/>
    </i>
    <i>
      <x v="463"/>
    </i>
    <i>
      <x v="464"/>
    </i>
    <i>
      <x v="468"/>
    </i>
    <i>
      <x v="469"/>
    </i>
    <i>
      <x v="471"/>
    </i>
    <i>
      <x v="472"/>
    </i>
    <i>
      <x v="473"/>
    </i>
    <i>
      <x v="474"/>
    </i>
    <i>
      <x v="475"/>
    </i>
    <i>
      <x v="477"/>
    </i>
    <i>
      <x v="478"/>
    </i>
    <i>
      <x v="480"/>
    </i>
    <i>
      <x v="486"/>
    </i>
    <i>
      <x v="489"/>
    </i>
    <i>
      <x v="490"/>
    </i>
    <i>
      <x v="492"/>
    </i>
    <i>
      <x v="493"/>
    </i>
    <i>
      <x v="503"/>
    </i>
    <i>
      <x v="504"/>
    </i>
    <i>
      <x v="506"/>
    </i>
    <i>
      <x v="508"/>
    </i>
    <i>
      <x v="512"/>
    </i>
    <i>
      <x v="514"/>
    </i>
    <i>
      <x v="515"/>
    </i>
    <i>
      <x v="516"/>
    </i>
    <i>
      <x v="521"/>
    </i>
    <i>
      <x v="522"/>
    </i>
    <i>
      <x v="524"/>
    </i>
    <i>
      <x v="528"/>
    </i>
    <i>
      <x v="529"/>
    </i>
    <i>
      <x v="531"/>
    </i>
    <i>
      <x v="532"/>
    </i>
    <i>
      <x v="533"/>
    </i>
    <i>
      <x v="534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5"/>
    </i>
    <i>
      <x v="566"/>
    </i>
    <i>
      <x v="567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80"/>
    </i>
    <i>
      <x v="581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4"/>
    </i>
    <i>
      <x v="605"/>
    </i>
    <i>
      <x v="607"/>
    </i>
    <i>
      <x v="608"/>
    </i>
    <i>
      <x v="610"/>
    </i>
    <i t="grand">
      <x/>
    </i>
  </colItems>
  <dataFields count="1">
    <dataField name="Sum of AMOUNT_USD" fld="8" baseField="0" baseItem="0"/>
  </dataFields>
  <formats count="1">
    <format dxfId="0">
      <pivotArea outline="0" fieldPosition="0"/>
    </format>
  </formats>
  <pivotTableStyleInfo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PivotTable1" cacheId="92" dataOnRows="1" applyNumberFormats="0" applyBorderFormats="0" applyFontFormats="0" applyPatternFormats="0" applyAlignmentFormats="0" applyWidthHeightFormats="1" dataCaption="Data" updatedVersion="4" minRefreshableVersion="3" asteriskTotals="1" showMemberPropertyTips="0" useAutoFormatting="1" itemPrintTitles="1" createdVersion="4" indent="0" compact="0" compactData="0" gridDropZones="1">
  <location ref="U44:V48" firstHeaderRow="2" firstDataRow="2" firstDataCol="1"/>
  <pivotFields count="35">
    <pivotField compact="0" outline="0" subtotalTop="0" showAll="0" includeNewItemsInFilter="1"/>
    <pivotField axis="axisRow" compact="0" outline="0" subtotalTop="0" showAll="0" includeNewItemsInFilter="1">
      <items count="10">
        <item x="0"/>
        <item h="1" x="1"/>
        <item x="2"/>
        <item m="1" x="8"/>
        <item m="1" x="4"/>
        <item m="1" x="5"/>
        <item m="1" x="3"/>
        <item m="1" x="7"/>
        <item m="1" x="6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howAll="0" defaultSubtotal="0"/>
    <pivotField compact="0" outline="0" showAll="0" defaultSubtotal="0"/>
    <pivotField compact="0" numFmtId="170" outline="0" showAll="0" defaultSubtotal="0"/>
    <pivotField compact="0" numFmtId="170" outline="0" showAll="0" defaultSubtotal="0"/>
    <pivotField dataField="1" compact="0" numFmtId="170" outline="0" showAll="0" defaultSubtotal="0"/>
    <pivotField compact="0" numFmtId="170" outline="0" showAll="0" defaultSubtotal="0"/>
    <pivotField compact="0" outline="0" showAll="0" defaultSubtotal="0"/>
    <pivotField compact="0" numFmtId="14" outline="0" subtotalTop="0" showAll="0" includeNewItemsInFilter="1"/>
    <pivotField compact="0" outline="0" subtotalTop="0" showAll="0" includeNewItemsInFilter="1"/>
    <pivotField compact="0" numFmtId="14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includeNewItemsInFilter="1"/>
    <pivotField compact="0" outline="0" subtotalTop="0" showAll="0" includeNewItemsInFilter="1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1"/>
  </rowFields>
  <rowItems count="3">
    <i>
      <x/>
    </i>
    <i>
      <x v="2"/>
    </i>
    <i t="grand">
      <x/>
    </i>
  </rowItems>
  <colItems count="1">
    <i/>
  </colItems>
  <dataFields count="1">
    <dataField name="Sum of AMOUNT_USD" fld="8" baseField="0" baseItem="0"/>
  </dataFields>
  <formats count="1">
    <format dxfId="1">
      <pivotArea outline="0" fieldPosition="0"/>
    </format>
  </formats>
  <pivotTableStyleInfo showRowHeaders="1" showColHeaders="1" showRowStripes="0" showColStripes="0" showLastColumn="1"/>
</pivotTableDefinition>
</file>

<file path=xl/pivotTables/pivotTable7.xml><?xml version="1.0" encoding="utf-8"?>
<pivotTableDefinition xmlns="http://schemas.openxmlformats.org/spreadsheetml/2006/main" name="PivotTable6" cacheId="92" dataOnRows="1" applyNumberFormats="0" applyBorderFormats="0" applyFontFormats="0" applyPatternFormats="0" applyAlignmentFormats="0" applyWidthHeightFormats="1" dataCaption="Data" updatedVersion="4" asteriskTotals="1" showMemberPropertyTips="0" useAutoFormatting="1" itemPrintTitles="1" createdVersion="1" indent="0" compact="0" compactData="0" gridDropZones="1">
  <location ref="U28:AG32" firstHeaderRow="1" firstDataRow="2" firstDataCol="1"/>
  <pivotFields count="35">
    <pivotField axis="axisCol" compact="0" outline="0" subtotalTop="0" showAll="0" includeNewItemsInFilter="1" sortType="ascending">
      <items count="15">
        <item x="3"/>
        <item x="4"/>
        <item x="7"/>
        <item x="9"/>
        <item x="8"/>
        <item x="10"/>
        <item x="5"/>
        <item x="6"/>
        <item x="1"/>
        <item x="0"/>
        <item m="1" x="11"/>
        <item m="1" x="13"/>
        <item x="2"/>
        <item m="1" x="12"/>
        <item t="default"/>
      </items>
    </pivotField>
    <pivotField axis="axisRow" compact="0" outline="0" subtotalTop="0" showAll="0" includeNewItemsInFilter="1">
      <items count="10">
        <item x="0"/>
        <item h="1" x="1"/>
        <item x="2"/>
        <item m="1" x="8"/>
        <item m="1" x="4"/>
        <item m="1" x="5"/>
        <item m="1" x="3"/>
        <item m="1" x="7"/>
        <item m="1" x="6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numFmtId="170" outline="0" subtotalTop="0" showAll="0" includeNewItemsInFilter="1" defaultSubtotal="0"/>
    <pivotField compact="0" numFmtId="170" outline="0" subtotalTop="0" showAll="0" includeNewItemsInFilter="1" defaultSubtotal="0"/>
    <pivotField dataField="1" compact="0" numFmtId="17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numFmtId="14" outline="0" subtotalTop="0" showAll="0" includeNewItemsInFilter="1" sortType="ascending" defaultSubtotal="0"/>
    <pivotField compact="0" outline="0" subtotalTop="0" showAll="0" includeNewItemsInFilter="1"/>
    <pivotField compact="0" numFmtId="17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numFmtId="14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numFmtId="14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</pivotFields>
  <rowFields count="1">
    <field x="1"/>
  </rowFields>
  <rowItems count="3">
    <i>
      <x/>
    </i>
    <i>
      <x v="2"/>
    </i>
    <i t="grand">
      <x/>
    </i>
  </rowItems>
  <colFields count="1">
    <field x="0"/>
  </colFields>
  <col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2"/>
    </i>
    <i t="grand">
      <x/>
    </i>
  </colItems>
  <dataFields count="1">
    <dataField name="Sum of AMOUNT_USD" fld="8" baseField="0" baseItem="0"/>
  </dataFields>
  <formats count="1">
    <format dxfId="2">
      <pivotArea outline="0" fieldPosition="0"/>
    </format>
  </formats>
  <pivotTableStyleInfo showRowHeaders="1" showColHeaders="1" showRowStripes="0" showColStripes="0" showLastColumn="1"/>
</pivotTableDefinition>
</file>

<file path=xl/pivotTables/pivotTable8.xml><?xml version="1.0" encoding="utf-8"?>
<pivotTableDefinition xmlns="http://schemas.openxmlformats.org/spreadsheetml/2006/main" name="PivotTable4" cacheId="92" dataOnRows="1" applyNumberFormats="0" applyBorderFormats="0" applyFontFormats="0" applyPatternFormats="0" applyAlignmentFormats="0" applyWidthHeightFormats="1" dataCaption="Data" updatedVersion="4" showMemberPropertyTips="0" useAutoFormatting="1" itemPrintTitles="1" createdVersion="1" indent="0" compact="0" compactData="0" gridDropZones="1">
  <location ref="U12:V19" firstHeaderRow="2" firstDataRow="2" firstDataCol="1" rowPageCount="1" colPageCount="1"/>
  <pivotFields count="35">
    <pivotField compact="0" outline="0" subtotalTop="0" showAll="0" includeNewItemsInFilter="1"/>
    <pivotField axis="axisPage" compact="0" outline="0" subtotalTop="0" showAll="0" includeNewItemsInFilter="1">
      <items count="10">
        <item x="0"/>
        <item x="1"/>
        <item x="2"/>
        <item m="1" x="8"/>
        <item m="1" x="4"/>
        <item m="1" x="5"/>
        <item m="1" x="3"/>
        <item m="1" x="7"/>
        <item m="1" x="6"/>
        <item t="default"/>
      </items>
    </pivotField>
    <pivotField axis="axisRow" compact="0" outline="0" subtotalTop="0" showAll="0" includeNewItemsInFilter="1">
      <items count="17">
        <item x="1"/>
        <item x="5"/>
        <item x="0"/>
        <item m="1" x="10"/>
        <item m="1" x="8"/>
        <item x="2"/>
        <item m="1" x="7"/>
        <item m="1" x="13"/>
        <item x="4"/>
        <item x="6"/>
        <item x="3"/>
        <item m="1" x="12"/>
        <item m="1" x="11"/>
        <item m="1" x="14"/>
        <item m="1" x="15"/>
        <item m="1" x="9"/>
        <item t="default"/>
      </items>
    </pivotField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numFmtId="170" outline="0" subtotalTop="0" showAll="0" includeNewItemsInFilter="1" defaultSubtotal="0"/>
    <pivotField compact="0" numFmtId="170" outline="0" subtotalTop="0" showAll="0" includeNewItemsInFilter="1" defaultSubtotal="0"/>
    <pivotField dataField="1" compact="0" numFmtId="17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numFmtId="14" outline="0" subtotalTop="0" showAll="0" includeNewItemsInFilter="1"/>
    <pivotField compact="0" outline="0" subtotalTop="0" showAll="0" includeNewItemsInFilter="1"/>
    <pivotField compact="0" numFmtId="17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numFmtId="14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</pivotFields>
  <rowFields count="1">
    <field x="2"/>
  </rowFields>
  <rowItems count="6">
    <i>
      <x/>
    </i>
    <i>
      <x v="1"/>
    </i>
    <i>
      <x v="2"/>
    </i>
    <i>
      <x v="5"/>
    </i>
    <i>
      <x v="9"/>
    </i>
    <i t="grand">
      <x/>
    </i>
  </rowItems>
  <colItems count="1">
    <i/>
  </colItems>
  <pageFields count="1">
    <pageField fld="1" item="1" hier="0"/>
  </pageFields>
  <dataFields count="1">
    <dataField name="Sum of AMOUNT_USD" fld="8" baseField="0" baseItem="0"/>
  </dataFields>
  <formats count="1">
    <format dxfId="3">
      <pivotArea outline="0" fieldPosition="0"/>
    </format>
  </formats>
  <pivotTableStyleInfo showRowHeaders="1" showColHeaders="1" showRowStripes="0" showColStripes="0" showLastColumn="1"/>
</pivotTableDefinition>
</file>

<file path=xl/queryTables/queryTable1.xml><?xml version="1.0" encoding="utf-8"?>
<queryTable xmlns="http://schemas.openxmlformats.org/spreadsheetml/2006/main" name="ExternalData_1" connectionId="19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1" connectionId="18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file:///\\stdpdedcfs001\dfs_shares03\DFS_001840_DP_USNY_Interdepartment_Liquidity\Liquidity\Import\LRS_Data_LiquiReports\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../../../../../../../../../../../../../dfs_shares/001840_DP_USNY_Interdepartment_Liquidity/Liquidity/Import/LRS_Data_LiquiReports/" TargetMode="External"/><Relationship Id="rId1" Type="http://schemas.openxmlformats.org/officeDocument/2006/relationships/hyperlink" Target="../../../../../../../../../../../../../../../../dfs_shares/001840_DP_USNY_Interdepartment_Liquidity/Liquidity/Excel%20Data/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openxmlformats.org/officeDocument/2006/relationships/ctrlProp" Target="../ctrlProps/ctrlProp3.xml"/><Relationship Id="rId4" Type="http://schemas.openxmlformats.org/officeDocument/2006/relationships/hyperlink" Target="LRS_Data_LiquiReports/" TargetMode="Externa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printerSettings" Target="../printerSettings/printerSettings2.bin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Relationship Id="rId5" Type="http://schemas.openxmlformats.org/officeDocument/2006/relationships/printerSettings" Target="../printerSettings/printerSettings3.bin"/><Relationship Id="rId4" Type="http://schemas.openxmlformats.org/officeDocument/2006/relationships/pivotTable" Target="../pivotTables/pivotTable8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67"/>
  <sheetViews>
    <sheetView tabSelected="1" workbookViewId="0">
      <selection activeCell="F6" sqref="F6"/>
    </sheetView>
  </sheetViews>
  <sheetFormatPr defaultRowHeight="12.75"/>
  <cols>
    <col min="1" max="1" width="6.5703125" style="17" customWidth="1"/>
    <col min="2" max="2" width="5.140625" style="17" customWidth="1"/>
    <col min="3" max="3" width="33.7109375" style="17" customWidth="1"/>
    <col min="4" max="4" width="17" style="17" customWidth="1"/>
    <col min="5" max="5" width="9.140625" style="17"/>
    <col min="6" max="6" width="21.42578125" style="17" customWidth="1"/>
    <col min="7" max="7" width="9.140625" style="17"/>
    <col min="8" max="10" width="16.85546875" style="17" customWidth="1"/>
    <col min="11" max="16384" width="9.140625" style="17"/>
  </cols>
  <sheetData>
    <row r="1" spans="1:18" ht="20.25">
      <c r="A1" s="252" t="s">
        <v>1782</v>
      </c>
      <c r="B1" s="252"/>
      <c r="C1" s="253"/>
      <c r="D1" s="253"/>
      <c r="E1" s="254"/>
      <c r="F1" s="254"/>
      <c r="G1" s="254"/>
      <c r="H1" s="254"/>
      <c r="I1" s="254"/>
      <c r="J1" s="254"/>
      <c r="K1" s="254"/>
      <c r="L1" s="254"/>
      <c r="M1" s="107"/>
      <c r="N1" s="107"/>
      <c r="O1" s="107"/>
      <c r="P1" s="107"/>
      <c r="Q1" s="107"/>
      <c r="R1" s="107"/>
    </row>
    <row r="2" spans="1:18" ht="21" thickBot="1">
      <c r="A2" s="255"/>
      <c r="B2" s="255"/>
      <c r="C2" s="255"/>
      <c r="D2" s="255"/>
      <c r="E2" s="255"/>
      <c r="F2" s="255"/>
      <c r="G2" s="255"/>
      <c r="H2" s="255"/>
      <c r="I2" s="255"/>
      <c r="J2" s="255"/>
      <c r="K2" s="255"/>
      <c r="L2" s="255"/>
      <c r="M2" s="107"/>
      <c r="N2" s="107"/>
      <c r="O2" s="107"/>
      <c r="P2" s="107"/>
      <c r="Q2" s="107"/>
      <c r="R2" s="107"/>
    </row>
    <row r="3" spans="1:18" ht="13.5" thickTop="1"/>
    <row r="4" spans="1:18">
      <c r="B4" s="243" t="s">
        <v>343</v>
      </c>
    </row>
    <row r="5" spans="1:18">
      <c r="B5" s="243" t="s">
        <v>344</v>
      </c>
    </row>
    <row r="6" spans="1:18" ht="13.5" thickBot="1">
      <c r="H6" s="249" t="s">
        <v>68</v>
      </c>
      <c r="I6" s="250"/>
      <c r="J6" s="251"/>
    </row>
    <row r="7" spans="1:18" ht="16.5" thickBot="1">
      <c r="A7" s="17">
        <v>1</v>
      </c>
      <c r="C7" s="108" t="s">
        <v>293</v>
      </c>
      <c r="D7" s="244">
        <v>42522</v>
      </c>
      <c r="H7" s="91" t="s">
        <v>145</v>
      </c>
      <c r="I7" s="91" t="s">
        <v>74</v>
      </c>
      <c r="J7" s="92" t="s">
        <v>73</v>
      </c>
    </row>
    <row r="8" spans="1:18" ht="13.5" thickBot="1">
      <c r="C8" s="152" t="s">
        <v>294</v>
      </c>
      <c r="D8" s="153">
        <f>Report_date-1</f>
        <v>42521</v>
      </c>
      <c r="H8" s="93"/>
      <c r="I8" s="94"/>
      <c r="J8" s="67"/>
    </row>
    <row r="9" spans="1:18">
      <c r="C9" s="99"/>
      <c r="D9" s="100"/>
      <c r="H9" s="67"/>
      <c r="I9" s="67"/>
      <c r="J9" s="67"/>
    </row>
    <row r="10" spans="1:18">
      <c r="C10" s="99"/>
      <c r="D10" s="100"/>
      <c r="H10" s="67"/>
      <c r="I10" s="67"/>
      <c r="J10" s="67"/>
    </row>
    <row r="11" spans="1:18" ht="16.5" customHeight="1" thickBot="1">
      <c r="A11" s="17">
        <v>2</v>
      </c>
      <c r="C11" s="247" t="s">
        <v>244</v>
      </c>
      <c r="D11" s="247"/>
      <c r="E11" s="248"/>
      <c r="F11" s="248"/>
      <c r="H11" s="67"/>
      <c r="I11" s="67"/>
      <c r="J11" s="67"/>
    </row>
    <row r="12" spans="1:18" ht="16.5" thickTop="1">
      <c r="A12" s="101"/>
      <c r="B12" s="101"/>
      <c r="C12" s="102"/>
      <c r="D12" s="102"/>
      <c r="E12" s="103"/>
      <c r="H12" s="67"/>
      <c r="I12" s="67"/>
      <c r="J12" s="67"/>
    </row>
    <row r="13" spans="1:18" ht="13.5" thickBot="1">
      <c r="C13" s="104"/>
      <c r="D13" s="104" t="s">
        <v>245</v>
      </c>
      <c r="E13" s="105"/>
      <c r="F13" s="105" t="s">
        <v>246</v>
      </c>
      <c r="H13" s="67"/>
      <c r="I13" s="67"/>
      <c r="J13" s="67"/>
    </row>
    <row r="14" spans="1:18" ht="15">
      <c r="C14" s="98" t="s">
        <v>243</v>
      </c>
      <c r="D14" s="109">
        <v>61797176.799999997</v>
      </c>
      <c r="F14" s="114">
        <f>Nostro_Balance__USD*1</f>
        <v>61797176.799999997</v>
      </c>
      <c r="H14" s="67"/>
      <c r="I14" s="67"/>
      <c r="J14" s="67"/>
    </row>
    <row r="15" spans="1:18" ht="15">
      <c r="C15" s="96" t="s">
        <v>80</v>
      </c>
      <c r="D15" s="110">
        <v>0</v>
      </c>
      <c r="F15" s="114">
        <f>IF(CADEUR_FX_Rate=0,0,(D15/CADEUR_FX_Rate)*USDEUR_FX_Rate)</f>
        <v>0</v>
      </c>
      <c r="H15" s="67"/>
      <c r="I15" s="67"/>
      <c r="J15" s="67"/>
    </row>
    <row r="16" spans="1:18" ht="15.75" thickBot="1">
      <c r="C16" s="97" t="s">
        <v>93</v>
      </c>
      <c r="D16" s="111">
        <v>327317.46999999997</v>
      </c>
      <c r="F16" s="112">
        <f>D16*USDEUR_FX_Rate</f>
        <v>372323.62212499994</v>
      </c>
      <c r="H16" s="67"/>
      <c r="I16" s="67"/>
      <c r="J16" s="67"/>
    </row>
    <row r="17" spans="1:10" ht="18" thickBot="1">
      <c r="C17" s="97"/>
      <c r="D17" s="106"/>
      <c r="E17" s="101"/>
      <c r="F17" s="126">
        <f>SUM(F14:F16)</f>
        <v>62169500.422124997</v>
      </c>
      <c r="H17" s="67"/>
      <c r="I17" s="67"/>
      <c r="J17" s="67"/>
    </row>
    <row r="18" spans="1:10" ht="13.5" thickTop="1">
      <c r="C18" s="97"/>
      <c r="D18" s="106"/>
      <c r="E18" s="101"/>
      <c r="F18" s="101"/>
      <c r="H18" s="67"/>
      <c r="I18" s="67"/>
      <c r="J18" s="67"/>
    </row>
    <row r="19" spans="1:10" ht="13.5" thickBot="1">
      <c r="C19" s="99"/>
      <c r="D19" s="100"/>
      <c r="H19" s="67"/>
      <c r="I19" s="67"/>
      <c r="J19" s="67"/>
    </row>
    <row r="20" spans="1:10">
      <c r="A20" s="17">
        <v>3</v>
      </c>
      <c r="C20" s="115" t="s">
        <v>153</v>
      </c>
      <c r="D20" s="241">
        <v>1.1375</v>
      </c>
      <c r="H20" s="67"/>
      <c r="I20" s="67"/>
      <c r="J20" s="67"/>
    </row>
    <row r="21" spans="1:10" ht="13.5" thickBot="1">
      <c r="C21" s="115" t="s">
        <v>242</v>
      </c>
      <c r="D21" s="242">
        <v>0</v>
      </c>
      <c r="H21" s="67"/>
      <c r="I21" s="67"/>
      <c r="J21" s="67"/>
    </row>
    <row r="22" spans="1:10">
      <c r="H22" s="67"/>
      <c r="I22" s="67"/>
      <c r="J22" s="67"/>
    </row>
    <row r="23" spans="1:10">
      <c r="H23" s="67"/>
      <c r="I23" s="67"/>
      <c r="J23" s="67"/>
    </row>
    <row r="24" spans="1:10">
      <c r="H24" s="67"/>
      <c r="I24" s="67"/>
      <c r="J24" s="67"/>
    </row>
    <row r="25" spans="1:10">
      <c r="A25" s="17">
        <v>4</v>
      </c>
      <c r="C25" s="115" t="s">
        <v>247</v>
      </c>
      <c r="F25" s="231"/>
      <c r="H25" s="67"/>
      <c r="I25" s="67"/>
      <c r="J25" s="67"/>
    </row>
    <row r="26" spans="1:10">
      <c r="H26" s="67"/>
      <c r="I26" s="67"/>
      <c r="J26" s="67"/>
    </row>
    <row r="27" spans="1:10">
      <c r="H27" s="67"/>
      <c r="I27" s="67"/>
      <c r="J27" s="67"/>
    </row>
    <row r="28" spans="1:10">
      <c r="H28" s="67"/>
      <c r="I28" s="67"/>
      <c r="J28" s="67"/>
    </row>
    <row r="29" spans="1:10">
      <c r="A29" s="17">
        <v>5</v>
      </c>
      <c r="C29" s="115" t="s">
        <v>326</v>
      </c>
      <c r="F29" s="232"/>
      <c r="H29" s="67"/>
      <c r="I29" s="67"/>
      <c r="J29" s="67"/>
    </row>
    <row r="30" spans="1:10">
      <c r="H30" s="67"/>
      <c r="I30" s="67"/>
      <c r="J30" s="67"/>
    </row>
    <row r="31" spans="1:10">
      <c r="H31" s="67"/>
      <c r="I31" s="67"/>
      <c r="J31" s="67"/>
    </row>
    <row r="32" spans="1:10">
      <c r="A32" s="17">
        <v>6</v>
      </c>
      <c r="C32" s="115" t="s">
        <v>327</v>
      </c>
      <c r="F32" s="232"/>
      <c r="H32" s="67"/>
      <c r="I32" s="67"/>
      <c r="J32" s="67"/>
    </row>
    <row r="33" spans="3:13">
      <c r="H33" s="67"/>
      <c r="I33" s="67"/>
      <c r="J33" s="67"/>
    </row>
    <row r="34" spans="3:13">
      <c r="H34" s="68"/>
      <c r="I34" s="68"/>
      <c r="J34" s="68"/>
    </row>
    <row r="42" spans="3:13" ht="13.5" thickBot="1">
      <c r="C42" s="118" t="s">
        <v>256</v>
      </c>
      <c r="D42" s="119"/>
      <c r="E42" s="116" t="s">
        <v>331</v>
      </c>
      <c r="M42" s="234" t="s">
        <v>333</v>
      </c>
    </row>
    <row r="43" spans="3:13">
      <c r="C43" s="120" t="s">
        <v>249</v>
      </c>
      <c r="D43" s="121"/>
      <c r="E43" s="131" t="s">
        <v>1783</v>
      </c>
      <c r="F43" s="127"/>
      <c r="G43" s="127"/>
      <c r="H43" s="127"/>
      <c r="I43" s="127"/>
      <c r="J43" s="127"/>
      <c r="K43" s="128"/>
      <c r="M43" s="235"/>
    </row>
    <row r="44" spans="3:13">
      <c r="C44" s="122" t="s">
        <v>252</v>
      </c>
      <c r="D44" s="117"/>
      <c r="E44" s="117" t="str">
        <f>TEXT(Input_File_Date,"MM.DD.YYYY")</f>
        <v>05.31.2016</v>
      </c>
      <c r="F44" s="27"/>
      <c r="G44" s="27"/>
      <c r="H44" s="27"/>
      <c r="I44" s="27"/>
      <c r="J44" s="27"/>
      <c r="K44" s="113"/>
      <c r="M44" s="235" t="s">
        <v>332</v>
      </c>
    </row>
    <row r="45" spans="3:13">
      <c r="C45" s="122" t="s">
        <v>257</v>
      </c>
      <c r="D45" s="117"/>
      <c r="E45" s="117" t="str">
        <f>"NYLiquidity.sql_"&amp;TEXT(Input_File_Date,"YYYY-MM-DD")&amp;"_"</f>
        <v>NYLiquidity.sql_2016-05-31_</v>
      </c>
      <c r="F45" s="27"/>
      <c r="G45" s="27"/>
      <c r="H45" s="27"/>
      <c r="I45" s="27"/>
      <c r="J45" s="27"/>
      <c r="K45" s="113"/>
    </row>
    <row r="46" spans="3:13">
      <c r="C46" s="122"/>
      <c r="D46" s="117"/>
      <c r="E46" s="117"/>
      <c r="F46" s="27"/>
      <c r="G46" s="27"/>
      <c r="H46" s="27"/>
      <c r="I46" s="27"/>
      <c r="J46" s="27"/>
      <c r="K46" s="113"/>
    </row>
    <row r="47" spans="3:13" ht="13.5" thickBot="1">
      <c r="C47" s="123"/>
      <c r="D47" s="124"/>
      <c r="E47" s="124"/>
      <c r="F47" s="129"/>
      <c r="G47" s="129"/>
      <c r="H47" s="129"/>
      <c r="I47" s="129"/>
      <c r="J47" s="129"/>
      <c r="K47" s="130"/>
    </row>
    <row r="48" spans="3:13">
      <c r="C48" s="117"/>
      <c r="D48" s="117"/>
      <c r="E48" s="117"/>
      <c r="F48" s="27"/>
      <c r="G48" s="27"/>
      <c r="H48" s="27"/>
      <c r="I48" s="27"/>
      <c r="J48" s="27"/>
      <c r="K48" s="27"/>
    </row>
    <row r="50" spans="3:11" ht="13.5" thickBot="1">
      <c r="C50" s="118" t="s">
        <v>248</v>
      </c>
      <c r="D50" s="119"/>
      <c r="E50" s="116"/>
    </row>
    <row r="51" spans="3:11">
      <c r="C51" s="120" t="s">
        <v>249</v>
      </c>
      <c r="D51" s="121"/>
      <c r="E51" s="131" t="s">
        <v>1784</v>
      </c>
      <c r="F51" s="127"/>
      <c r="G51" s="127"/>
      <c r="H51" s="127"/>
      <c r="I51" s="127"/>
      <c r="J51" s="127"/>
      <c r="K51" s="128"/>
    </row>
    <row r="52" spans="3:11">
      <c r="C52" s="122" t="s">
        <v>250</v>
      </c>
      <c r="D52" s="117"/>
      <c r="E52" s="117" t="str">
        <f>TEXT(Report_date,"YYYY")</f>
        <v>2016</v>
      </c>
      <c r="F52" s="27"/>
      <c r="G52" s="27"/>
      <c r="H52" s="27"/>
      <c r="I52" s="27"/>
      <c r="J52" s="27"/>
      <c r="K52" s="113"/>
    </row>
    <row r="53" spans="3:11">
      <c r="C53" s="122" t="s">
        <v>251</v>
      </c>
      <c r="D53" s="117"/>
      <c r="E53" s="117" t="str">
        <f>TEXT(Report_date,"MMM YYYY")</f>
        <v>Jun 2016</v>
      </c>
      <c r="F53" s="27"/>
      <c r="G53" s="27"/>
      <c r="H53" s="27"/>
      <c r="I53" s="27"/>
      <c r="J53" s="27"/>
      <c r="K53" s="113"/>
    </row>
    <row r="54" spans="3:11">
      <c r="C54" s="122" t="s">
        <v>252</v>
      </c>
      <c r="D54" s="117"/>
      <c r="E54" s="117" t="str">
        <f>TEXT(Report_date,"MM.DD.YYYY")</f>
        <v>06.01.2016</v>
      </c>
      <c r="F54" s="27"/>
      <c r="G54" s="27"/>
      <c r="H54" s="27"/>
      <c r="I54" s="27"/>
      <c r="J54" s="27"/>
      <c r="K54" s="113"/>
    </row>
    <row r="55" spans="3:11">
      <c r="C55" s="122" t="s">
        <v>253</v>
      </c>
      <c r="D55" s="117"/>
      <c r="E55" s="117" t="str">
        <f>TEXT(Report_date,"YYYYMMdd")</f>
        <v>20160601</v>
      </c>
      <c r="F55" s="27"/>
      <c r="G55" s="27"/>
      <c r="H55" s="27"/>
      <c r="I55" s="27"/>
      <c r="J55" s="27"/>
      <c r="K55" s="113"/>
    </row>
    <row r="56" spans="3:11">
      <c r="C56" s="122" t="s">
        <v>254</v>
      </c>
      <c r="D56" s="117"/>
      <c r="E56" s="117" t="str">
        <f>E55&amp;".new.v2.NY - XXXXNY_BranchBase&amp;Risk_LiquidityReport.xlsm"</f>
        <v>20160601.new.v2.NY - XXXXNY_BranchBase&amp;Risk_LiquidityReport.xlsm</v>
      </c>
      <c r="F56" s="27"/>
      <c r="G56" s="27"/>
      <c r="H56" s="27"/>
      <c r="I56" s="27"/>
      <c r="J56" s="27"/>
      <c r="K56" s="113"/>
    </row>
    <row r="57" spans="3:11">
      <c r="C57" s="122" t="s">
        <v>255</v>
      </c>
      <c r="D57" s="117"/>
      <c r="E57" s="117" t="str">
        <f>E55&amp;".new.v2.NY - XXXXNY_BranchBase&amp;Risk_LiquidityReport.pdf"</f>
        <v>20160601.new.v2.NY - XXXXNY_BranchBase&amp;Risk_LiquidityReport.pdf</v>
      </c>
      <c r="F57" s="27"/>
      <c r="G57" s="27"/>
      <c r="H57" s="27"/>
      <c r="I57" s="27"/>
      <c r="J57" s="27"/>
      <c r="K57" s="113"/>
    </row>
    <row r="58" spans="3:11">
      <c r="C58" s="122"/>
      <c r="D58" s="117"/>
      <c r="E58" s="117"/>
      <c r="F58" s="27"/>
      <c r="G58" s="27"/>
      <c r="H58" s="27"/>
      <c r="I58" s="27"/>
      <c r="J58" s="27"/>
      <c r="K58" s="113"/>
    </row>
    <row r="59" spans="3:11" ht="13.5" thickBot="1">
      <c r="C59" s="123"/>
      <c r="D59" s="124"/>
      <c r="E59" s="124"/>
      <c r="F59" s="129"/>
      <c r="G59" s="129"/>
      <c r="H59" s="129"/>
      <c r="I59" s="129"/>
      <c r="J59" s="129"/>
      <c r="K59" s="130"/>
    </row>
    <row r="62" spans="3:11" ht="13.5" thickBot="1">
      <c r="C62" s="118" t="s">
        <v>258</v>
      </c>
      <c r="D62" s="119"/>
      <c r="E62" s="116"/>
    </row>
    <row r="63" spans="3:11">
      <c r="C63" s="133" t="s">
        <v>259</v>
      </c>
      <c r="D63" s="121"/>
      <c r="E63" s="131" t="str">
        <f>"\\XXXX.loc\dfs_shares\001831_DP_USNY_Interdepartment\PnL Reports\000_Setup Files\600_GIC_Notional\GIC_Notional_Processed\GIC_Current_Notional_asof_"&amp;TEXT(Report_date,"yyyymmdd")&amp;".xls"</f>
        <v>\\XXXX.loc\dfs_shares\001831_DP_USNY_Interdepartment\PnL Reports\000_Setup Files\600_GIC_Notional\GIC_Notional_Processed\GIC_Current_Notional_asof_20160601.xls</v>
      </c>
      <c r="F63" s="127"/>
      <c r="G63" s="127"/>
      <c r="H63" s="127"/>
      <c r="I63" s="127"/>
      <c r="J63" s="127"/>
      <c r="K63" s="128"/>
    </row>
    <row r="64" spans="3:11">
      <c r="C64" s="134" t="s">
        <v>260</v>
      </c>
      <c r="D64" s="117"/>
      <c r="E64" s="117" t="str">
        <f>"\\XXXX.loc\dfs_shares\001831_DP_USNY_Interdepartment\PnL Reports\000_Setup Files\600_GIC_Notional\GIC_Notional_Processed\GIC_Current_Notional_asof_"&amp;TEXT(Report_date-1,"yyyymmdd")&amp;".xls"</f>
        <v>\\XXXX.loc\dfs_shares\001831_DP_USNY_Interdepartment\PnL Reports\000_Setup Files\600_GIC_Notional\GIC_Notional_Processed\GIC_Current_Notional_asof_20160531.xls</v>
      </c>
      <c r="F64" s="27"/>
      <c r="G64" s="27"/>
      <c r="H64" s="27"/>
      <c r="I64" s="27"/>
      <c r="J64" s="27"/>
      <c r="K64" s="113"/>
    </row>
    <row r="65" spans="3:11">
      <c r="C65" s="134" t="s">
        <v>261</v>
      </c>
      <c r="D65" s="117"/>
      <c r="E65" s="117" t="s">
        <v>1785</v>
      </c>
      <c r="F65" s="27"/>
      <c r="G65" s="27"/>
      <c r="H65" s="27"/>
      <c r="I65" s="27"/>
      <c r="J65" s="27"/>
      <c r="K65" s="113"/>
    </row>
    <row r="66" spans="3:11">
      <c r="C66" s="122"/>
      <c r="D66" s="117"/>
      <c r="E66" s="117"/>
      <c r="F66" s="27"/>
      <c r="G66" s="27"/>
      <c r="H66" s="27"/>
      <c r="I66" s="27"/>
      <c r="J66" s="27"/>
      <c r="K66" s="113"/>
    </row>
    <row r="67" spans="3:11" ht="13.5" thickBot="1">
      <c r="C67" s="123"/>
      <c r="D67" s="124"/>
      <c r="E67" s="124"/>
      <c r="F67" s="129"/>
      <c r="G67" s="129"/>
      <c r="H67" s="129"/>
      <c r="I67" s="129"/>
      <c r="J67" s="129"/>
      <c r="K67" s="130"/>
    </row>
  </sheetData>
  <mergeCells count="3">
    <mergeCell ref="C11:F11"/>
    <mergeCell ref="H6:J6"/>
    <mergeCell ref="A1:L2"/>
  </mergeCells>
  <phoneticPr fontId="7" type="noConversion"/>
  <hyperlinks>
    <hyperlink ref="E51" r:id="rId1" display="\\hre.loc\DFS_SHARES\001840_DP_USNY_Interdepartment_Liquidity\Liquidity\Excel Data\"/>
    <hyperlink ref="E63" r:id="rId2" display="\\hre.loc\dfs_shares\001840_DP_USNY_Interdepartment_Liquidity\Liquidity\Import\LRS_Data_LiquiReports\"/>
    <hyperlink ref="M44" r:id="rId3"/>
    <hyperlink ref="E43" r:id="rId4" display="\\depfa.loc\dfs_shares\001840_DP_USNY_Interdepartment_Liquidity\Liquidity\Import\LRS_Data_LiquiReports\"/>
  </hyperlinks>
  <pageMargins left="0.75" right="0.75" top="1" bottom="1" header="0.5" footer="0.5"/>
  <pageSetup paperSize="9" orientation="portrait" r:id="rId5"/>
  <headerFooter alignWithMargins="0">
    <oddHeader>&amp;CBASE Liquidity Report DEPFA - New York   As of start of day:   April  07, 2014</oddHeader>
  </headerFooter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8" name="Button 1">
              <controlPr defaultSize="0" print="0" autoFill="0" autoPict="0" macro="[0]!CheckCSV_Data_andBringIn">
                <anchor moveWithCells="1" sizeWithCells="1">
                  <from>
                    <xdr:col>2</xdr:col>
                    <xdr:colOff>2133600</xdr:colOff>
                    <xdr:row>24</xdr:row>
                    <xdr:rowOff>28575</xdr:rowOff>
                  </from>
                  <to>
                    <xdr:col>4</xdr:col>
                    <xdr:colOff>485775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9" name="Button 2">
              <controlPr defaultSize="0" print="0" autoFill="0" autoPict="0" macro="[0]!SaveRiskReport">
                <anchor moveWithCells="1" sizeWithCells="1">
                  <from>
                    <xdr:col>2</xdr:col>
                    <xdr:colOff>2152650</xdr:colOff>
                    <xdr:row>27</xdr:row>
                    <xdr:rowOff>142875</xdr:rowOff>
                  </from>
                  <to>
                    <xdr:col>4</xdr:col>
                    <xdr:colOff>504825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10" name="Button 3">
              <controlPr defaultSize="0" print="0" autoFill="0" autoPict="0" macro="[0]!PrintPDFCreator">
                <anchor moveWithCells="1" sizeWithCells="1">
                  <from>
                    <xdr:col>2</xdr:col>
                    <xdr:colOff>2181225</xdr:colOff>
                    <xdr:row>30</xdr:row>
                    <xdr:rowOff>152400</xdr:rowOff>
                  </from>
                  <to>
                    <xdr:col>4</xdr:col>
                    <xdr:colOff>533400</xdr:colOff>
                    <xdr:row>32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indexed="44"/>
    <pageSetUpPr fitToPage="1"/>
  </sheetPr>
  <dimension ref="A1:NB120"/>
  <sheetViews>
    <sheetView view="pageBreakPreview" zoomScale="85" zoomScaleNormal="85" zoomScaleSheetLayoutView="85" workbookViewId="0">
      <pane xSplit="4" ySplit="7" topLeftCell="E8" activePane="bottomRight" state="frozen"/>
      <selection pane="topRight" activeCell="D1" sqref="D1"/>
      <selection pane="bottomLeft" activeCell="A8" sqref="A8"/>
      <selection pane="bottomRight" activeCell="C4" sqref="C4:L4"/>
    </sheetView>
  </sheetViews>
  <sheetFormatPr defaultRowHeight="12" outlineLevelRow="1"/>
  <cols>
    <col min="1" max="1" width="4.85546875" style="9" customWidth="1"/>
    <col min="2" max="2" width="1.5703125" style="9" customWidth="1"/>
    <col min="3" max="3" width="14.140625" style="151" customWidth="1"/>
    <col min="4" max="4" width="38.5703125" style="151" customWidth="1"/>
    <col min="5" max="10" width="8.85546875" style="151" bestFit="1" customWidth="1"/>
    <col min="11" max="11" width="7.85546875" style="151" bestFit="1" customWidth="1"/>
    <col min="12" max="13" width="8.85546875" style="151" bestFit="1" customWidth="1"/>
    <col min="14" max="14" width="9.85546875" style="151" bestFit="1" customWidth="1"/>
    <col min="15" max="15" width="8.85546875" style="151" bestFit="1" customWidth="1"/>
    <col min="16" max="16" width="9.85546875" style="151" bestFit="1" customWidth="1"/>
    <col min="17" max="17" width="9.140625" style="151" customWidth="1"/>
    <col min="18" max="18" width="0.85546875" style="2" customWidth="1"/>
    <col min="19" max="20" width="9.140625" style="151"/>
    <col min="21" max="21" width="26.42578125" style="151" customWidth="1"/>
    <col min="22" max="22" width="37.42578125" style="151" customWidth="1"/>
    <col min="23" max="157" width="17.28515625" style="151" customWidth="1"/>
    <col min="158" max="158" width="11.85546875" style="151" customWidth="1"/>
    <col min="159" max="161" width="17.28515625" style="151" customWidth="1"/>
    <col min="162" max="162" width="11.85546875" style="151" customWidth="1"/>
    <col min="163" max="189" width="17.28515625" style="151" customWidth="1"/>
    <col min="190" max="190" width="11.85546875" style="151" customWidth="1"/>
    <col min="191" max="220" width="17.28515625" style="151" customWidth="1"/>
    <col min="221" max="260" width="17.28515625" style="151" bestFit="1" customWidth="1"/>
    <col min="261" max="261" width="17.28515625" style="151" customWidth="1"/>
    <col min="262" max="272" width="17.28515625" style="151" bestFit="1" customWidth="1"/>
    <col min="273" max="273" width="11.28515625" style="151" customWidth="1"/>
    <col min="274" max="276" width="17.28515625" style="151" bestFit="1" customWidth="1"/>
    <col min="277" max="277" width="11.28515625" style="151" customWidth="1"/>
    <col min="278" max="279" width="17.28515625" style="151" bestFit="1" customWidth="1"/>
    <col min="280" max="281" width="17.28515625" style="151" customWidth="1"/>
    <col min="282" max="283" width="11.28515625" style="151" customWidth="1"/>
    <col min="284" max="292" width="17.28515625" style="151" bestFit="1" customWidth="1"/>
    <col min="293" max="293" width="11.28515625" style="151" customWidth="1"/>
    <col min="294" max="295" width="17.28515625" style="151" bestFit="1" customWidth="1"/>
    <col min="296" max="296" width="11.85546875" style="151" customWidth="1"/>
    <col min="297" max="305" width="17.28515625" style="151" bestFit="1" customWidth="1"/>
    <col min="306" max="307" width="17.28515625" style="151" customWidth="1"/>
    <col min="308" max="308" width="11.28515625" style="151" customWidth="1"/>
    <col min="309" max="358" width="17.28515625" style="151" bestFit="1" customWidth="1"/>
    <col min="359" max="359" width="17.28515625" style="151" customWidth="1"/>
    <col min="360" max="360" width="17.28515625" style="151" bestFit="1" customWidth="1"/>
    <col min="361" max="362" width="17.28515625" style="151" customWidth="1"/>
    <col min="363" max="363" width="17.28515625" style="151" bestFit="1" customWidth="1"/>
    <col min="364" max="364" width="11.28515625" style="151" bestFit="1" customWidth="1"/>
    <col min="365" max="16384" width="9.140625" style="151"/>
  </cols>
  <sheetData>
    <row r="1" spans="1:27">
      <c r="A1" s="3"/>
      <c r="B1" s="3"/>
      <c r="D1" s="14" t="s">
        <v>97</v>
      </c>
      <c r="E1" s="1">
        <f t="shared" ref="E1:Q1" si="0">WORKDAY(E2+1,-1)</f>
        <v>42522</v>
      </c>
      <c r="F1" s="1">
        <f t="shared" si="0"/>
        <v>42524</v>
      </c>
      <c r="G1" s="1">
        <f t="shared" si="0"/>
        <v>42527</v>
      </c>
      <c r="H1" s="1">
        <f t="shared" si="0"/>
        <v>42528</v>
      </c>
      <c r="I1" s="1">
        <f t="shared" si="0"/>
        <v>42529</v>
      </c>
      <c r="J1" s="1">
        <f t="shared" si="0"/>
        <v>42536</v>
      </c>
      <c r="K1" s="1">
        <f t="shared" si="0"/>
        <v>42543</v>
      </c>
      <c r="L1" s="1">
        <f t="shared" si="0"/>
        <v>42552</v>
      </c>
      <c r="M1" s="1">
        <f t="shared" si="0"/>
        <v>42614</v>
      </c>
      <c r="N1" s="1">
        <f t="shared" si="0"/>
        <v>42705</v>
      </c>
      <c r="O1" s="1">
        <f t="shared" si="0"/>
        <v>42887</v>
      </c>
      <c r="P1" s="1">
        <f t="shared" si="0"/>
        <v>43070</v>
      </c>
      <c r="Q1" s="1">
        <f t="shared" si="0"/>
        <v>43252</v>
      </c>
    </row>
    <row r="2" spans="1:27">
      <c r="A2" s="3"/>
      <c r="B2" s="3"/>
      <c r="C2" s="2"/>
      <c r="D2" s="9" t="s">
        <v>98</v>
      </c>
      <c r="E2" s="1">
        <f>VLOOKUP(E6,Lookups!$B:$C,2,0)</f>
        <v>42522</v>
      </c>
      <c r="F2" s="1">
        <f>VLOOKUP(F6,Lookups!$B:$C,2,0)</f>
        <v>42524</v>
      </c>
      <c r="G2" s="1">
        <f>VLOOKUP(G6,Lookups!$B:$C,2,0)</f>
        <v>42527</v>
      </c>
      <c r="H2" s="1">
        <f>VLOOKUP(H6,Lookups!$B:$C,2,0)</f>
        <v>42528</v>
      </c>
      <c r="I2" s="1">
        <f>VLOOKUP(I6,Lookups!$B:$C,2,0)</f>
        <v>42529</v>
      </c>
      <c r="J2" s="1">
        <f>VLOOKUP(J6,Lookups!$B:$C,2,0)</f>
        <v>42536</v>
      </c>
      <c r="K2" s="1">
        <f>VLOOKUP(K6,Lookups!$B:$C,2,0)</f>
        <v>42543</v>
      </c>
      <c r="L2" s="1">
        <f>VLOOKUP(L6,Lookups!$B:$C,2,0)</f>
        <v>42552</v>
      </c>
      <c r="M2" s="1">
        <f>VLOOKUP(M6,Lookups!$B:$C,2,0)</f>
        <v>42614</v>
      </c>
      <c r="N2" s="1">
        <f>VLOOKUP(N6,Lookups!$B:$C,2,0)</f>
        <v>42705</v>
      </c>
      <c r="O2" s="1">
        <f>VLOOKUP(O6,Lookups!$B:$C,2,0)</f>
        <v>42887</v>
      </c>
      <c r="P2" s="1">
        <f>VLOOKUP(P6,Lookups!$B:$C,2,0)</f>
        <v>43070</v>
      </c>
      <c r="Q2" s="1">
        <f>VLOOKUP(Q6,Lookups!$B:$C,2,0)</f>
        <v>43252</v>
      </c>
    </row>
    <row r="3" spans="1:27" ht="19.149999999999999" customHeight="1">
      <c r="A3" s="3"/>
      <c r="B3" s="3"/>
      <c r="C3" s="259" t="s">
        <v>1780</v>
      </c>
      <c r="D3" s="260"/>
      <c r="E3" s="260"/>
      <c r="F3" s="260"/>
      <c r="G3" s="260"/>
      <c r="H3" s="260"/>
      <c r="I3" s="260"/>
      <c r="J3" s="260"/>
      <c r="K3" s="260"/>
      <c r="L3" s="260"/>
      <c r="M3" s="4"/>
      <c r="N3" s="4"/>
      <c r="O3" s="4"/>
      <c r="P3" s="4"/>
      <c r="Q3" s="4"/>
    </row>
    <row r="4" spans="1:27" ht="19.149999999999999" customHeight="1">
      <c r="A4" s="3"/>
      <c r="B4" s="3"/>
      <c r="C4" s="261" t="str">
        <f>"As of start of day:   "&amp;TEXT(Report_date,"Mmmm  dd, yyyy")</f>
        <v>As of start of day:   June  01, 2016</v>
      </c>
      <c r="D4" s="262"/>
      <c r="E4" s="262"/>
      <c r="F4" s="262"/>
      <c r="G4" s="262"/>
      <c r="H4" s="262"/>
      <c r="I4" s="262"/>
      <c r="J4" s="262"/>
      <c r="K4" s="262"/>
      <c r="L4" s="262"/>
      <c r="M4" s="4"/>
      <c r="N4" s="5" t="s">
        <v>99</v>
      </c>
      <c r="O4" s="5" t="s">
        <v>100</v>
      </c>
      <c r="P4" s="5"/>
      <c r="Q4" s="5" t="s">
        <v>58</v>
      </c>
    </row>
    <row r="5" spans="1:27">
      <c r="A5" s="3"/>
      <c r="B5" s="3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</row>
    <row r="6" spans="1:27">
      <c r="A6" s="3"/>
      <c r="B6" s="3"/>
      <c r="C6" s="2"/>
      <c r="D6" s="2"/>
      <c r="E6" s="157" t="s">
        <v>101</v>
      </c>
      <c r="F6" s="158" t="s">
        <v>102</v>
      </c>
      <c r="G6" s="158" t="s">
        <v>103</v>
      </c>
      <c r="H6" s="158" t="s">
        <v>104</v>
      </c>
      <c r="I6" s="158" t="s">
        <v>105</v>
      </c>
      <c r="J6" s="158" t="s">
        <v>106</v>
      </c>
      <c r="K6" s="158" t="s">
        <v>107</v>
      </c>
      <c r="L6" s="158" t="s">
        <v>108</v>
      </c>
      <c r="M6" s="158" t="s">
        <v>109</v>
      </c>
      <c r="N6" s="158" t="s">
        <v>110</v>
      </c>
      <c r="O6" s="158" t="s">
        <v>111</v>
      </c>
      <c r="P6" s="158" t="s">
        <v>112</v>
      </c>
      <c r="Q6" s="158" t="s">
        <v>113</v>
      </c>
    </row>
    <row r="7" spans="1:27">
      <c r="A7" s="3"/>
      <c r="B7" s="3"/>
      <c r="C7" s="2"/>
      <c r="D7" s="2"/>
      <c r="E7" s="159">
        <f>VLOOKUP(E6,Lookups!$B$4:$C$16,2,0)</f>
        <v>42523</v>
      </c>
      <c r="F7" s="159">
        <f>VLOOKUP(F6,Lookups!$B:$C,2,0)</f>
        <v>42524</v>
      </c>
      <c r="G7" s="159">
        <f>VLOOKUP(G6,Lookups!$B:$C,2,0)</f>
        <v>42527</v>
      </c>
      <c r="H7" s="159">
        <f>VLOOKUP(H6,Lookups!$B:$C,2,0)</f>
        <v>42528</v>
      </c>
      <c r="I7" s="159">
        <f>VLOOKUP(I6,Lookups!$B:$C,2,0)</f>
        <v>42529</v>
      </c>
      <c r="J7" s="159">
        <f>VLOOKUP(J6,Lookups!$B:$C,2,0)</f>
        <v>42536</v>
      </c>
      <c r="K7" s="159">
        <f>VLOOKUP(K6,Lookups!$B:$C,2,0)</f>
        <v>42543</v>
      </c>
      <c r="L7" s="159">
        <f>VLOOKUP(L6,Lookups!$B:$C,2,0)</f>
        <v>42552</v>
      </c>
      <c r="M7" s="159">
        <f>VLOOKUP(M6,Lookups!$B:$C,2,0)</f>
        <v>42614</v>
      </c>
      <c r="N7" s="159">
        <f>VLOOKUP(N6,Lookups!$B:$C,2,0)</f>
        <v>42705</v>
      </c>
      <c r="O7" s="159">
        <f>VLOOKUP(O6,Lookups!$B:$C,2,0)</f>
        <v>42887</v>
      </c>
      <c r="P7" s="159">
        <f>VLOOKUP(P6,Lookups!$B:$C,2,0)</f>
        <v>43070</v>
      </c>
      <c r="Q7" s="159">
        <f>VLOOKUP(Q6,Lookups!$B:$C,2,0)</f>
        <v>43252</v>
      </c>
    </row>
    <row r="8" spans="1:27" s="2" customFormat="1">
      <c r="A8" s="3"/>
      <c r="B8" s="3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</row>
    <row r="9" spans="1:27">
      <c r="A9" s="7"/>
      <c r="B9" s="7"/>
      <c r="C9" s="256" t="s">
        <v>114</v>
      </c>
      <c r="D9" s="43" t="s">
        <v>115</v>
      </c>
      <c r="E9" s="51">
        <f>Total_Nostro_USD/1000000</f>
        <v>62.169500422124997</v>
      </c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44"/>
    </row>
    <row r="10" spans="1:27" ht="12.75" outlineLevel="1">
      <c r="A10" s="7"/>
      <c r="B10" s="7"/>
      <c r="C10" s="263"/>
      <c r="D10" s="8" t="s">
        <v>116</v>
      </c>
      <c r="E10" s="238">
        <f>1*SUMIF('XXXXPLC_NY Query output'!$D:$D,E$6&amp;"_"&amp;"Ext"&amp;"_"&amp;$D10,'XXXXPLC_NY Query output'!$I:$I)/1000000</f>
        <v>30</v>
      </c>
      <c r="F10" s="6">
        <f>1*SUMIF('XXXXPLC_NY Query output'!$D:$D,F$6&amp;"_"&amp;"Ext"&amp;"_"&amp;$D10,'XXXXPLC_NY Query output'!$I:$I)/1000000</f>
        <v>0</v>
      </c>
      <c r="G10" s="6">
        <f>1*SUMIF('XXXXPLC_NY Query output'!$D:$D,G$6&amp;"_"&amp;"Ext"&amp;"_"&amp;$D10,'XXXXPLC_NY Query output'!$I:$I)/1000000</f>
        <v>0</v>
      </c>
      <c r="H10" s="6">
        <f>1*SUMIF('XXXXPLC_NY Query output'!$D:$D,H$6&amp;"_"&amp;"Ext"&amp;"_"&amp;$D10,'XXXXPLC_NY Query output'!$I:$I)/1000000</f>
        <v>0</v>
      </c>
      <c r="I10" s="6">
        <f>1*SUMIF('XXXXPLC_NY Query output'!$D:$D,I$6&amp;"_"&amp;"Ext"&amp;"_"&amp;$D10,'XXXXPLC_NY Query output'!$I:$I)/1000000</f>
        <v>0</v>
      </c>
      <c r="J10" s="6">
        <f>1*SUMIF('XXXXPLC_NY Query output'!$D:$D,J$6&amp;"_"&amp;"Ext"&amp;"_"&amp;$D10,'XXXXPLC_NY Query output'!$I:$I)/1000000</f>
        <v>0</v>
      </c>
      <c r="K10" s="6">
        <f>1*SUMIF('XXXXPLC_NY Query output'!$D:$D,K$6&amp;"_"&amp;"Ext"&amp;"_"&amp;$D10,'XXXXPLC_NY Query output'!$I:$I)/1000000</f>
        <v>0</v>
      </c>
      <c r="L10" s="6">
        <f>1*SUMIF('XXXXPLC_NY Query output'!$D:$D,L$6&amp;"_"&amp;"Ext"&amp;"_"&amp;$D10,'XXXXPLC_NY Query output'!$I:$I)/1000000</f>
        <v>0</v>
      </c>
      <c r="M10" s="6">
        <f>1*SUMIF('XXXXPLC_NY Query output'!$D:$D,M$6&amp;"_"&amp;"Ext"&amp;"_"&amp;$D10,'XXXXPLC_NY Query output'!$I:$I)/1000000</f>
        <v>216.5</v>
      </c>
      <c r="N10" s="6">
        <f>1*SUMIF('XXXXPLC_NY Query output'!$D:$D,N$6&amp;"_"&amp;"Ext"&amp;"_"&amp;$D10,'XXXXPLC_NY Query output'!$I:$I)/1000000</f>
        <v>0</v>
      </c>
      <c r="O10" s="6">
        <f>1*SUMIF('XXXXPLC_NY Query output'!$D:$D,O$6&amp;"_"&amp;"Ext"&amp;"_"&amp;$D10,'XXXXPLC_NY Query output'!$I:$I)/1000000</f>
        <v>0</v>
      </c>
      <c r="P10" s="6">
        <f>1*SUMIF('XXXXPLC_NY Query output'!$D:$D,P$6&amp;"_"&amp;"Ext"&amp;"_"&amp;$D10,'XXXXPLC_NY Query output'!$I:$I)/1000000</f>
        <v>0</v>
      </c>
      <c r="Q10" s="46">
        <f>1*SUMIF('XXXXPLC_NY Query output'!$D:$D,Q$6&amp;"_"&amp;"Ext"&amp;"_"&amp;$D10,'XXXXPLC_NY Query output'!$I:$I)/1000000</f>
        <v>0</v>
      </c>
      <c r="U10" s="85" t="s">
        <v>152</v>
      </c>
      <c r="V10" s="86" t="s">
        <v>66</v>
      </c>
      <c r="W10"/>
    </row>
    <row r="11" spans="1:27" ht="12.75" outlineLevel="1">
      <c r="A11" s="7"/>
      <c r="B11" s="7"/>
      <c r="C11" s="263"/>
      <c r="D11" s="8" t="s">
        <v>117</v>
      </c>
      <c r="E11" s="238">
        <f>1*SUMIF('XXXXPLC_NY Query output'!$D:$D,E$6&amp;"_"&amp;"Ext"&amp;"_"&amp;$D11,'XXXXPLC_NY Query output'!$I:$I)/1000000</f>
        <v>0</v>
      </c>
      <c r="F11" s="6">
        <f>1*SUMIF('XXXXPLC_NY Query output'!$D:$D,F$6&amp;"_"&amp;"Ext"&amp;"_"&amp;$D11,'XXXXPLC_NY Query output'!$I:$I)/1000000</f>
        <v>0</v>
      </c>
      <c r="G11" s="6">
        <f>1*SUMIF('XXXXPLC_NY Query output'!$D:$D,G$6&amp;"_"&amp;"Ext"&amp;"_"&amp;$D11,'XXXXPLC_NY Query output'!$I:$I)/1000000</f>
        <v>0</v>
      </c>
      <c r="H11" s="6">
        <f>1*SUMIF('XXXXPLC_NY Query output'!$D:$D,H$6&amp;"_"&amp;"Ext"&amp;"_"&amp;$D11,'XXXXPLC_NY Query output'!$I:$I)/1000000</f>
        <v>0</v>
      </c>
      <c r="I11" s="6">
        <f>1*SUMIF('XXXXPLC_NY Query output'!$D:$D,I$6&amp;"_"&amp;"Ext"&amp;"_"&amp;$D11,'XXXXPLC_NY Query output'!$I:$I)/1000000</f>
        <v>0</v>
      </c>
      <c r="J11" s="6">
        <f>1*SUMIF('XXXXPLC_NY Query output'!$D:$D,J$6&amp;"_"&amp;"Ext"&amp;"_"&amp;$D11,'XXXXPLC_NY Query output'!$I:$I)/1000000</f>
        <v>0</v>
      </c>
      <c r="K11" s="6">
        <f>1*SUMIF('XXXXPLC_NY Query output'!$D:$D,K$6&amp;"_"&amp;"Ext"&amp;"_"&amp;$D11,'XXXXPLC_NY Query output'!$I:$I)/1000000</f>
        <v>0</v>
      </c>
      <c r="L11" s="6">
        <f>1*SUMIF('XXXXPLC_NY Query output'!$D:$D,L$6&amp;"_"&amp;"Ext"&amp;"_"&amp;$D11,'XXXXPLC_NY Query output'!$I:$I)/1000000</f>
        <v>0</v>
      </c>
      <c r="M11" s="6">
        <f>1*SUMIF('XXXXPLC_NY Query output'!$D:$D,M$6&amp;"_"&amp;"Ext"&amp;"_"&amp;$D11,'XXXXPLC_NY Query output'!$I:$I)/1000000</f>
        <v>0</v>
      </c>
      <c r="N11" s="6">
        <f>1*SUMIF('XXXXPLC_NY Query output'!$D:$D,N$6&amp;"_"&amp;"Ext"&amp;"_"&amp;$D11,'XXXXPLC_NY Query output'!$I:$I)/1000000</f>
        <v>0</v>
      </c>
      <c r="O11" s="6">
        <f>1*SUMIF('XXXXPLC_NY Query output'!$D:$D,O$6&amp;"_"&amp;"Ext"&amp;"_"&amp;$D11,'XXXXPLC_NY Query output'!$I:$I)/1000000</f>
        <v>0</v>
      </c>
      <c r="P11" s="6">
        <f>1*SUMIF('XXXXPLC_NY Query output'!$D:$D,P$6&amp;"_"&amp;"Ext"&amp;"_"&amp;$D11,'XXXXPLC_NY Query output'!$I:$I)/1000000</f>
        <v>0</v>
      </c>
      <c r="Q11" s="46">
        <f>1*SUMIF('XXXXPLC_NY Query output'!$D:$D,Q$6&amp;"_"&amp;"Ext"&amp;"_"&amp;$D11,'XXXXPLC_NY Query output'!$I:$I)/1000000</f>
        <v>0</v>
      </c>
      <c r="U11"/>
      <c r="V11"/>
      <c r="W11"/>
    </row>
    <row r="12" spans="1:27" ht="12.75" outlineLevel="1">
      <c r="A12" s="7"/>
      <c r="B12" s="7"/>
      <c r="C12" s="263"/>
      <c r="D12" s="8" t="s">
        <v>118</v>
      </c>
      <c r="E12" s="238">
        <f>1*SUMIF('XXXXPLC_NY Query output'!$D:$D,E$6&amp;"_"&amp;"Ext"&amp;"_"&amp;$D12,'XXXXPLC_NY Query output'!$I:$I)/1000000</f>
        <v>0</v>
      </c>
      <c r="F12" s="6">
        <f>1*SUMIF('XXXXPLC_NY Query output'!$D:$D,F$6&amp;"_"&amp;"Ext"&amp;"_"&amp;$D12,'XXXXPLC_NY Query output'!$I:$I)/1000000</f>
        <v>0</v>
      </c>
      <c r="G12" s="6">
        <f>1*SUMIF('XXXXPLC_NY Query output'!$D:$D,G$6&amp;"_"&amp;"Ext"&amp;"_"&amp;$D12,'XXXXPLC_NY Query output'!$I:$I)/1000000</f>
        <v>0</v>
      </c>
      <c r="H12" s="6">
        <f>1*SUMIF('XXXXPLC_NY Query output'!$D:$D,H$6&amp;"_"&amp;"Ext"&amp;"_"&amp;$D12,'XXXXPLC_NY Query output'!$I:$I)/1000000</f>
        <v>0</v>
      </c>
      <c r="I12" s="6">
        <f>1*SUMIF('XXXXPLC_NY Query output'!$D:$D,I$6&amp;"_"&amp;"Ext"&amp;"_"&amp;$D12,'XXXXPLC_NY Query output'!$I:$I)/1000000</f>
        <v>0</v>
      </c>
      <c r="J12" s="6">
        <f>1*SUMIF('XXXXPLC_NY Query output'!$D:$D,J$6&amp;"_"&amp;"Ext"&amp;"_"&amp;$D12,'XXXXPLC_NY Query output'!$I:$I)/1000000</f>
        <v>0</v>
      </c>
      <c r="K12" s="6">
        <f>1*SUMIF('XXXXPLC_NY Query output'!$D:$D,K$6&amp;"_"&amp;"Ext"&amp;"_"&amp;$D12,'XXXXPLC_NY Query output'!$I:$I)/1000000</f>
        <v>0</v>
      </c>
      <c r="L12" s="6">
        <f>1*SUMIF('XXXXPLC_NY Query output'!$D:$D,L$6&amp;"_"&amp;"Ext"&amp;"_"&amp;$D12,'XXXXPLC_NY Query output'!$I:$I)/1000000</f>
        <v>0</v>
      </c>
      <c r="M12" s="6">
        <f>1*SUMIF('XXXXPLC_NY Query output'!$D:$D,M$6&amp;"_"&amp;"Ext"&amp;"_"&amp;$D12,'XXXXPLC_NY Query output'!$I:$I)/1000000</f>
        <v>0</v>
      </c>
      <c r="N12" s="6">
        <f>1*SUMIF('XXXXPLC_NY Query output'!$D:$D,N$6&amp;"_"&amp;"Ext"&amp;"_"&amp;$D12,'XXXXPLC_NY Query output'!$I:$I)/1000000</f>
        <v>0</v>
      </c>
      <c r="O12" s="6">
        <f>1*SUMIF('XXXXPLC_NY Query output'!$D:$D,O$6&amp;"_"&amp;"Ext"&amp;"_"&amp;$D12,'XXXXPLC_NY Query output'!$I:$I)/1000000</f>
        <v>0</v>
      </c>
      <c r="P12" s="6">
        <f>1*SUMIF('XXXXPLC_NY Query output'!$D:$D,P$6&amp;"_"&amp;"Ext"&amp;"_"&amp;$D12,'XXXXPLC_NY Query output'!$I:$I)/1000000</f>
        <v>0</v>
      </c>
      <c r="Q12" s="46">
        <f>1*SUMIF('XXXXPLC_NY Query output'!$D:$D,Q$6&amp;"_"&amp;"Ext"&amp;"_"&amp;$D12,'XXXXPLC_NY Query output'!$I:$I)/1000000</f>
        <v>0</v>
      </c>
      <c r="U12" s="80" t="s">
        <v>266</v>
      </c>
      <c r="V12" s="81"/>
      <c r="W12"/>
      <c r="X12"/>
      <c r="Y12"/>
      <c r="Z12"/>
      <c r="AA12"/>
    </row>
    <row r="13" spans="1:27" ht="12.75" outlineLevel="1">
      <c r="A13" s="7"/>
      <c r="B13" s="7"/>
      <c r="C13" s="263"/>
      <c r="D13" s="8" t="s">
        <v>69</v>
      </c>
      <c r="E13" s="238">
        <f>1*SUMIF('XXXXPLC_NY Query output'!$D:$D,E$6&amp;"_"&amp;"Ext"&amp;"_"&amp;$D13,'XXXXPLC_NY Query output'!$I:$I)/1000000</f>
        <v>0</v>
      </c>
      <c r="F13" s="6">
        <f>1*SUMIF('XXXXPLC_NY Query output'!$D:$D,F$6&amp;"_"&amp;"Ext"&amp;"_"&amp;$D13,'XXXXPLC_NY Query output'!$I:$I)/1000000</f>
        <v>0</v>
      </c>
      <c r="G13" s="6">
        <f>1*SUMIF('XXXXPLC_NY Query output'!$D:$D,G$6&amp;"_"&amp;"Ext"&amp;"_"&amp;$D13,'XXXXPLC_NY Query output'!$I:$I)/1000000</f>
        <v>0</v>
      </c>
      <c r="H13" s="6">
        <f>1*SUMIF('XXXXPLC_NY Query output'!$D:$D,H$6&amp;"_"&amp;"Ext"&amp;"_"&amp;$D13,'XXXXPLC_NY Query output'!$I:$I)/1000000</f>
        <v>0</v>
      </c>
      <c r="I13" s="6">
        <f>1*SUMIF('XXXXPLC_NY Query output'!$D:$D,I$6&amp;"_"&amp;"Ext"&amp;"_"&amp;$D13,'XXXXPLC_NY Query output'!$I:$I)/1000000</f>
        <v>0</v>
      </c>
      <c r="J13" s="6">
        <f>1*SUMIF('XXXXPLC_NY Query output'!$D:$D,J$6&amp;"_"&amp;"Ext"&amp;"_"&amp;$D13,'XXXXPLC_NY Query output'!$I:$I)/1000000</f>
        <v>0</v>
      </c>
      <c r="K13" s="6">
        <f>1*SUMIF('XXXXPLC_NY Query output'!$D:$D,K$6&amp;"_"&amp;"Ext"&amp;"_"&amp;$D13,'XXXXPLC_NY Query output'!$I:$I)/1000000</f>
        <v>0</v>
      </c>
      <c r="L13" s="6">
        <f>1*SUMIF('XXXXPLC_NY Query output'!$D:$D,L$6&amp;"_"&amp;"Ext"&amp;"_"&amp;$D13,'XXXXPLC_NY Query output'!$I:$I)/1000000</f>
        <v>0</v>
      </c>
      <c r="M13" s="6">
        <f>1*SUMIF('XXXXPLC_NY Query output'!$D:$D,M$6&amp;"_"&amp;"Ext"&amp;"_"&amp;$D13,'XXXXPLC_NY Query output'!$I:$I)/1000000</f>
        <v>0</v>
      </c>
      <c r="N13" s="6">
        <f>1*SUMIF('XXXXPLC_NY Query output'!$D:$D,N$6&amp;"_"&amp;"Ext"&amp;"_"&amp;$D13,'XXXXPLC_NY Query output'!$I:$I)/1000000</f>
        <v>0</v>
      </c>
      <c r="O13" s="6">
        <f>1*SUMIF('XXXXPLC_NY Query output'!$D:$D,O$6&amp;"_"&amp;"Ext"&amp;"_"&amp;$D13,'XXXXPLC_NY Query output'!$I:$I)/1000000</f>
        <v>0</v>
      </c>
      <c r="P13" s="6">
        <f>1*SUMIF('XXXXPLC_NY Query output'!$D:$D,P$6&amp;"_"&amp;"Ext"&amp;"_"&amp;$D13,'XXXXPLC_NY Query output'!$I:$I)/1000000</f>
        <v>0</v>
      </c>
      <c r="Q13" s="46">
        <f>1*SUMIF('XXXXPLC_NY Query output'!$D:$D,Q$6&amp;"_"&amp;"Ext"&amp;"_"&amp;$D13,'XXXXPLC_NY Query output'!$I:$I)/1000000</f>
        <v>0</v>
      </c>
      <c r="U13" s="80" t="s">
        <v>150</v>
      </c>
      <c r="V13" s="81" t="s">
        <v>62</v>
      </c>
      <c r="W13"/>
      <c r="X13"/>
      <c r="Y13"/>
      <c r="Z13"/>
      <c r="AA13"/>
    </row>
    <row r="14" spans="1:27" ht="12.75" outlineLevel="1">
      <c r="A14" s="7"/>
      <c r="B14" s="7"/>
      <c r="C14" s="263"/>
      <c r="D14" s="8" t="s">
        <v>172</v>
      </c>
      <c r="E14" s="238">
        <f>1*SUMIF('XXXXPLC_NY Query output'!$D:$D,E$6&amp;"_"&amp;"Ext"&amp;"_"&amp;$D14,'XXXXPLC_NY Query output'!$I:$I)/1000000</f>
        <v>0</v>
      </c>
      <c r="F14" s="6">
        <f>1*SUMIF('XXXXPLC_NY Query output'!$D:$D,F$6&amp;"_"&amp;"Ext"&amp;"_"&amp;$D14,'XXXXPLC_NY Query output'!$I:$I)/1000000</f>
        <v>0</v>
      </c>
      <c r="G14" s="6">
        <f>1*SUMIF('XXXXPLC_NY Query output'!$D:$D,G$6&amp;"_"&amp;"Ext"&amp;"_"&amp;$D14,'XXXXPLC_NY Query output'!$I:$I)/1000000</f>
        <v>0</v>
      </c>
      <c r="H14" s="6">
        <f>1*SUMIF('XXXXPLC_NY Query output'!$D:$D,H$6&amp;"_"&amp;"Ext"&amp;"_"&amp;$D14,'XXXXPLC_NY Query output'!$I:$I)/1000000</f>
        <v>0</v>
      </c>
      <c r="I14" s="6">
        <f>1*SUMIF('XXXXPLC_NY Query output'!$D:$D,I$6&amp;"_"&amp;"Ext"&amp;"_"&amp;$D14,'XXXXPLC_NY Query output'!$I:$I)/1000000</f>
        <v>0</v>
      </c>
      <c r="J14" s="6">
        <f>1*SUMIF('XXXXPLC_NY Query output'!$D:$D,J$6&amp;"_"&amp;"Ext"&amp;"_"&amp;$D14,'XXXXPLC_NY Query output'!$I:$I)/1000000</f>
        <v>0</v>
      </c>
      <c r="K14" s="6">
        <f>1*SUMIF('XXXXPLC_NY Query output'!$D:$D,K$6&amp;"_"&amp;"Ext"&amp;"_"&amp;$D14,'XXXXPLC_NY Query output'!$I:$I)/1000000</f>
        <v>15.19182161</v>
      </c>
      <c r="L14" s="6">
        <f>1*SUMIF('XXXXPLC_NY Query output'!$D:$D,L$6&amp;"_"&amp;"Ext"&amp;"_"&amp;$D14,'XXXXPLC_NY Query output'!$I:$I)/1000000</f>
        <v>0</v>
      </c>
      <c r="M14" s="6">
        <f>1*SUMIF('XXXXPLC_NY Query output'!$D:$D,M$6&amp;"_"&amp;"Ext"&amp;"_"&amp;$D14,'XXXXPLC_NY Query output'!$I:$I)/1000000</f>
        <v>-49.312721619999998</v>
      </c>
      <c r="N14" s="6">
        <f>1*SUMIF('XXXXPLC_NY Query output'!$D:$D,N$6&amp;"_"&amp;"Ext"&amp;"_"&amp;$D14,'XXXXPLC_NY Query output'!$I:$I)/1000000</f>
        <v>47.925815019999995</v>
      </c>
      <c r="O14" s="6">
        <f>1*SUMIF('XXXXPLC_NY Query output'!$D:$D,O$6&amp;"_"&amp;"Ext"&amp;"_"&amp;$D14,'XXXXPLC_NY Query output'!$I:$I)/1000000</f>
        <v>-13.317687779999993</v>
      </c>
      <c r="P14" s="6">
        <f>1*SUMIF('XXXXPLC_NY Query output'!$D:$D,P$6&amp;"_"&amp;"Ext"&amp;"_"&amp;$D14,'XXXXPLC_NY Query output'!$I:$I)/1000000</f>
        <v>17.638308349999999</v>
      </c>
      <c r="Q14" s="46">
        <f>1*SUMIF('XXXXPLC_NY Query output'!$D:$D,Q$6&amp;"_"&amp;"Ext"&amp;"_"&amp;$D14,'XXXXPLC_NY Query output'!$I:$I)/1000000</f>
        <v>-15.440056440000008</v>
      </c>
      <c r="U14" s="82" t="s">
        <v>265</v>
      </c>
      <c r="V14" s="87">
        <v>-2174986.0700000003</v>
      </c>
      <c r="W14"/>
      <c r="X14"/>
      <c r="Y14"/>
      <c r="Z14"/>
      <c r="AA14"/>
    </row>
    <row r="15" spans="1:27" ht="12.75" outlineLevel="1">
      <c r="A15" s="7"/>
      <c r="B15" s="7"/>
      <c r="C15" s="263"/>
      <c r="D15" s="8" t="s">
        <v>190</v>
      </c>
      <c r="E15" s="238">
        <f>1*SUMIF('XXXXPLC_NY Query output'!$D:$D,E$6&amp;"_"&amp;"Ext"&amp;"_"&amp;$D15,'XXXXPLC_NY Query output'!$I:$I)/1000000</f>
        <v>0</v>
      </c>
      <c r="F15" s="6">
        <f>1*SUMIF('XXXXPLC_NY Query output'!$D:$D,F$6&amp;"_"&amp;"Ext"&amp;"_"&amp;$D15,'XXXXPLC_NY Query output'!$I:$I)/1000000</f>
        <v>0</v>
      </c>
      <c r="G15" s="6">
        <f>1*SUMIF('XXXXPLC_NY Query output'!$D:$D,G$6&amp;"_"&amp;"Ext"&amp;"_"&amp;$D15,'XXXXPLC_NY Query output'!$I:$I)/1000000</f>
        <v>0</v>
      </c>
      <c r="H15" s="6">
        <f>1*SUMIF('XXXXPLC_NY Query output'!$D:$D,H$6&amp;"_"&amp;"Ext"&amp;"_"&amp;$D15,'XXXXPLC_NY Query output'!$I:$I)/1000000</f>
        <v>0</v>
      </c>
      <c r="I15" s="6">
        <f>1*SUMIF('XXXXPLC_NY Query output'!$D:$D,I$6&amp;"_"&amp;"Ext"&amp;"_"&amp;$D15,'XXXXPLC_NY Query output'!$I:$I)/1000000</f>
        <v>0</v>
      </c>
      <c r="J15" s="6">
        <f>1*SUMIF('XXXXPLC_NY Query output'!$D:$D,J$6&amp;"_"&amp;"Ext"&amp;"_"&amp;$D15,'XXXXPLC_NY Query output'!$I:$I)/1000000</f>
        <v>0</v>
      </c>
      <c r="K15" s="6">
        <f>1*SUMIF('XXXXPLC_NY Query output'!$D:$D,K$6&amp;"_"&amp;"Ext"&amp;"_"&amp;$D15,'XXXXPLC_NY Query output'!$I:$I)/1000000</f>
        <v>0</v>
      </c>
      <c r="L15" s="6">
        <f>1*SUMIF('XXXXPLC_NY Query output'!$D:$D,L$6&amp;"_"&amp;"Ext"&amp;"_"&amp;$D15,'XXXXPLC_NY Query output'!$I:$I)/1000000</f>
        <v>0</v>
      </c>
      <c r="M15" s="6">
        <f>1*SUMIF('XXXXPLC_NY Query output'!$D:$D,M$6&amp;"_"&amp;"Ext"&amp;"_"&amp;$D15,'XXXXPLC_NY Query output'!$I:$I)/1000000</f>
        <v>-1.0967400199999997</v>
      </c>
      <c r="N15" s="6">
        <f>1*SUMIF('XXXXPLC_NY Query output'!$D:$D,N$6&amp;"_"&amp;"Ext"&amp;"_"&amp;$D15,'XXXXPLC_NY Query output'!$I:$I)/1000000</f>
        <v>1.32175395</v>
      </c>
      <c r="O15" s="6">
        <f>1*SUMIF('XXXXPLC_NY Query output'!$D:$D,O$6&amp;"_"&amp;"Ext"&amp;"_"&amp;$D15,'XXXXPLC_NY Query output'!$I:$I)/1000000</f>
        <v>-1.9</v>
      </c>
      <c r="P15" s="6">
        <f>1*SUMIF('XXXXPLC_NY Query output'!$D:$D,P$6&amp;"_"&amp;"Ext"&amp;"_"&amp;$D15,'XXXXPLC_NY Query output'!$I:$I)/1000000</f>
        <v>0</v>
      </c>
      <c r="Q15" s="46">
        <f>1*SUMIF('XXXXPLC_NY Query output'!$D:$D,Q$6&amp;"_"&amp;"Ext"&amp;"_"&amp;$D15,'XXXXPLC_NY Query output'!$I:$I)/1000000</f>
        <v>-0.5</v>
      </c>
      <c r="U15" s="83" t="s">
        <v>264</v>
      </c>
      <c r="V15" s="88">
        <v>2685479.1400000062</v>
      </c>
      <c r="W15"/>
      <c r="X15"/>
      <c r="Y15"/>
      <c r="Z15"/>
      <c r="AA15"/>
    </row>
    <row r="16" spans="1:27" ht="12.75" outlineLevel="1">
      <c r="A16" s="7"/>
      <c r="B16" s="7"/>
      <c r="C16" s="263"/>
      <c r="D16" s="8" t="s">
        <v>79</v>
      </c>
      <c r="E16" s="238">
        <f>1*SUMIF('XXXXPLC_NY Query output'!$D:$D,E$6&amp;"_"&amp;"Ext"&amp;"_"&amp;$D16,'XXXXPLC_NY Query output'!$I:$I)/1000000</f>
        <v>0</v>
      </c>
      <c r="F16" s="6">
        <f>1*SUMIF('XXXXPLC_NY Query output'!$D:$D,F$6&amp;"_"&amp;"Ext"&amp;"_"&amp;$D16,'XXXXPLC_NY Query output'!$I:$I)/1000000</f>
        <v>0</v>
      </c>
      <c r="G16" s="6">
        <f>1*SUMIF('XXXXPLC_NY Query output'!$D:$D,G$6&amp;"_"&amp;"Ext"&amp;"_"&amp;$D16,'XXXXPLC_NY Query output'!$I:$I)/1000000</f>
        <v>0</v>
      </c>
      <c r="H16" s="6">
        <f>1*SUMIF('XXXXPLC_NY Query output'!$D:$D,H$6&amp;"_"&amp;"Ext"&amp;"_"&amp;$D16,'XXXXPLC_NY Query output'!$I:$I)/1000000</f>
        <v>0</v>
      </c>
      <c r="I16" s="6">
        <f>1*SUMIF('XXXXPLC_NY Query output'!$D:$D,I$6&amp;"_"&amp;"Ext"&amp;"_"&amp;$D16,'XXXXPLC_NY Query output'!$I:$I)/1000000</f>
        <v>0</v>
      </c>
      <c r="J16" s="6">
        <f>1*SUMIF('XXXXPLC_NY Query output'!$D:$D,J$6&amp;"_"&amp;"Ext"&amp;"_"&amp;$D16,'XXXXPLC_NY Query output'!$I:$I)/1000000</f>
        <v>0</v>
      </c>
      <c r="K16" s="6">
        <f>1*SUMIF('XXXXPLC_NY Query output'!$D:$D,K$6&amp;"_"&amp;"Ext"&amp;"_"&amp;$D16,'XXXXPLC_NY Query output'!$I:$I)/1000000</f>
        <v>0</v>
      </c>
      <c r="L16" s="6">
        <f>1*SUMIF('XXXXPLC_NY Query output'!$D:$D,L$6&amp;"_"&amp;"Ext"&amp;"_"&amp;$D16,'XXXXPLC_NY Query output'!$I:$I)/1000000</f>
        <v>0</v>
      </c>
      <c r="M16" s="6">
        <f>1*SUMIF('XXXXPLC_NY Query output'!$D:$D,M$6&amp;"_"&amp;"Ext"&amp;"_"&amp;$D16,'XXXXPLC_NY Query output'!$I:$I)/1000000</f>
        <v>0</v>
      </c>
      <c r="N16" s="6">
        <f>1*SUMIF('XXXXPLC_NY Query output'!$D:$D,N$6&amp;"_"&amp;"Ext"&amp;"_"&amp;$D16,'XXXXPLC_NY Query output'!$I:$I)/1000000</f>
        <v>0</v>
      </c>
      <c r="O16" s="6">
        <f>1*SUMIF('XXXXPLC_NY Query output'!$D:$D,O$6&amp;"_"&amp;"Ext"&amp;"_"&amp;$D16,'XXXXPLC_NY Query output'!$I:$I)/1000000</f>
        <v>0</v>
      </c>
      <c r="P16" s="6">
        <f>1*SUMIF('XXXXPLC_NY Query output'!$D:$D,P$6&amp;"_"&amp;"Ext"&amp;"_"&amp;$D16,'XXXXPLC_NY Query output'!$I:$I)/1000000</f>
        <v>0</v>
      </c>
      <c r="Q16" s="46">
        <f>1*SUMIF('XXXXPLC_NY Query output'!$D:$D,Q$6&amp;"_"&amp;"Ext"&amp;"_"&amp;$D16,'XXXXPLC_NY Query output'!$I:$I)/1000000</f>
        <v>0</v>
      </c>
      <c r="U16" s="83" t="s">
        <v>126</v>
      </c>
      <c r="V16" s="88">
        <v>6654529.7999999961</v>
      </c>
      <c r="W16"/>
      <c r="X16"/>
      <c r="Y16"/>
      <c r="Z16"/>
      <c r="AA16"/>
    </row>
    <row r="17" spans="1:33" ht="12.75" outlineLevel="1">
      <c r="A17" s="7"/>
      <c r="B17" s="7"/>
      <c r="C17" s="263"/>
      <c r="D17" s="8" t="s">
        <v>70</v>
      </c>
      <c r="E17" s="238">
        <f>1*SUMIF('XXXXPLC_NY Query output'!$D:$D,E$6&amp;"_"&amp;"Ext"&amp;"_"&amp;$D17,'XXXXPLC_NY Query output'!$I:$I)/1000000</f>
        <v>0</v>
      </c>
      <c r="F17" s="6">
        <f>1*SUMIF('XXXXPLC_NY Query output'!$D:$D,F$6&amp;"_"&amp;"Ext"&amp;"_"&amp;$D17,'XXXXPLC_NY Query output'!$I:$I)/1000000</f>
        <v>0</v>
      </c>
      <c r="G17" s="6">
        <f>1*SUMIF('XXXXPLC_NY Query output'!$D:$D,G$6&amp;"_"&amp;"Ext"&amp;"_"&amp;$D17,'XXXXPLC_NY Query output'!$I:$I)/1000000</f>
        <v>0</v>
      </c>
      <c r="H17" s="6">
        <f>1*SUMIF('XXXXPLC_NY Query output'!$D:$D,H$6&amp;"_"&amp;"Ext"&amp;"_"&amp;$D17,'XXXXPLC_NY Query output'!$I:$I)/1000000</f>
        <v>0</v>
      </c>
      <c r="I17" s="6">
        <f>1*SUMIF('XXXXPLC_NY Query output'!$D:$D,I$6&amp;"_"&amp;"Ext"&amp;"_"&amp;$D17,'XXXXPLC_NY Query output'!$I:$I)/1000000</f>
        <v>0</v>
      </c>
      <c r="J17" s="6">
        <f>1*SUMIF('XXXXPLC_NY Query output'!$D:$D,J$6&amp;"_"&amp;"Ext"&amp;"_"&amp;$D17,'XXXXPLC_NY Query output'!$I:$I)/1000000</f>
        <v>0</v>
      </c>
      <c r="K17" s="6">
        <f>1*SUMIF('XXXXPLC_NY Query output'!$D:$D,K$6&amp;"_"&amp;"Ext"&amp;"_"&amp;$D17,'XXXXPLC_NY Query output'!$I:$I)/1000000</f>
        <v>0</v>
      </c>
      <c r="L17" s="6">
        <f>1*SUMIF('XXXXPLC_NY Query output'!$D:$D,L$6&amp;"_"&amp;"Ext"&amp;"_"&amp;$D17,'XXXXPLC_NY Query output'!$I:$I)/1000000</f>
        <v>0</v>
      </c>
      <c r="M17" s="6">
        <f>1*SUMIF('XXXXPLC_NY Query output'!$D:$D,M$6&amp;"_"&amp;"Ext"&amp;"_"&amp;$D17,'XXXXPLC_NY Query output'!$I:$I)/1000000</f>
        <v>0</v>
      </c>
      <c r="N17" s="6">
        <f>1*SUMIF('XXXXPLC_NY Query output'!$D:$D,N$6&amp;"_"&amp;"Ext"&amp;"_"&amp;$D17,'XXXXPLC_NY Query output'!$I:$I)/1000000</f>
        <v>0</v>
      </c>
      <c r="O17" s="6">
        <f>1*SUMIF('XXXXPLC_NY Query output'!$D:$D,O$6&amp;"_"&amp;"Ext"&amp;"_"&amp;$D17,'XXXXPLC_NY Query output'!$I:$I)/1000000</f>
        <v>0</v>
      </c>
      <c r="P17" s="6">
        <f>1*SUMIF('XXXXPLC_NY Query output'!$D:$D,P$6&amp;"_"&amp;"Ext"&amp;"_"&amp;$D17,'XXXXPLC_NY Query output'!$I:$I)/1000000</f>
        <v>0</v>
      </c>
      <c r="Q17" s="46">
        <f>1*SUMIF('XXXXPLC_NY Query output'!$D:$D,Q$6&amp;"_"&amp;"Ext"&amp;"_"&amp;$D17,'XXXXPLC_NY Query output'!$I:$I)/1000000</f>
        <v>0</v>
      </c>
      <c r="U17" s="83" t="s">
        <v>116</v>
      </c>
      <c r="V17" s="88">
        <v>246500000</v>
      </c>
      <c r="W17"/>
      <c r="X17"/>
      <c r="Y17"/>
      <c r="Z17"/>
      <c r="AA17"/>
    </row>
    <row r="18" spans="1:33" ht="12.75" outlineLevel="1">
      <c r="A18" s="7"/>
      <c r="B18" s="7"/>
      <c r="C18" s="263"/>
      <c r="D18" s="8" t="s">
        <v>71</v>
      </c>
      <c r="E18" s="238">
        <f>1*SUMIF('XXXXPLC_NY Query output'!$D:$D,E$6&amp;"_"&amp;"Ext"&amp;"_"&amp;$D18,'XXXXPLC_NY Query output'!$I:$I)/1000000</f>
        <v>0</v>
      </c>
      <c r="F18" s="6">
        <f>1*SUMIF('XXXXPLC_NY Query output'!$D:$D,F$6&amp;"_"&amp;"Ext"&amp;"_"&amp;$D18,'XXXXPLC_NY Query output'!$I:$I)/1000000</f>
        <v>0</v>
      </c>
      <c r="G18" s="6">
        <f>1*SUMIF('XXXXPLC_NY Query output'!$D:$D,G$6&amp;"_"&amp;"Ext"&amp;"_"&amp;$D18,'XXXXPLC_NY Query output'!$I:$I)/1000000</f>
        <v>0</v>
      </c>
      <c r="H18" s="6">
        <f>1*SUMIF('XXXXPLC_NY Query output'!$D:$D,H$6&amp;"_"&amp;"Ext"&amp;"_"&amp;$D18,'XXXXPLC_NY Query output'!$I:$I)/1000000</f>
        <v>0</v>
      </c>
      <c r="I18" s="6">
        <f>1*SUMIF('XXXXPLC_NY Query output'!$D:$D,I$6&amp;"_"&amp;"Ext"&amp;"_"&amp;$D18,'XXXXPLC_NY Query output'!$I:$I)/1000000</f>
        <v>0</v>
      </c>
      <c r="J18" s="6">
        <f>1*SUMIF('XXXXPLC_NY Query output'!$D:$D,J$6&amp;"_"&amp;"Ext"&amp;"_"&amp;$D18,'XXXXPLC_NY Query output'!$I:$I)/1000000</f>
        <v>0</v>
      </c>
      <c r="K18" s="6">
        <f>1*SUMIF('XXXXPLC_NY Query output'!$D:$D,K$6&amp;"_"&amp;"Ext"&amp;"_"&amp;$D18,'XXXXPLC_NY Query output'!$I:$I)/1000000</f>
        <v>0</v>
      </c>
      <c r="L18" s="6">
        <f>1*SUMIF('XXXXPLC_NY Query output'!$D:$D,L$6&amp;"_"&amp;"Ext"&amp;"_"&amp;$D18,'XXXXPLC_NY Query output'!$I:$I)/1000000</f>
        <v>0</v>
      </c>
      <c r="M18" s="6">
        <f>1*SUMIF('XXXXPLC_NY Query output'!$D:$D,M$6&amp;"_"&amp;"Ext"&amp;"_"&amp;$D18,'XXXXPLC_NY Query output'!$I:$I)/1000000</f>
        <v>0</v>
      </c>
      <c r="N18" s="6">
        <f>1*SUMIF('XXXXPLC_NY Query output'!$D:$D,N$6&amp;"_"&amp;"Ext"&amp;"_"&amp;$D18,'XXXXPLC_NY Query output'!$I:$I)/1000000</f>
        <v>0</v>
      </c>
      <c r="O18" s="6">
        <f>1*SUMIF('XXXXPLC_NY Query output'!$D:$D,O$6&amp;"_"&amp;"Ext"&amp;"_"&amp;$D18,'XXXXPLC_NY Query output'!$I:$I)/1000000</f>
        <v>0</v>
      </c>
      <c r="P18" s="6">
        <f>1*SUMIF('XXXXPLC_NY Query output'!$D:$D,P$6&amp;"_"&amp;"Ext"&amp;"_"&amp;$D18,'XXXXPLC_NY Query output'!$I:$I)/1000000</f>
        <v>0</v>
      </c>
      <c r="Q18" s="46">
        <f>1*SUMIF('XXXXPLC_NY Query output'!$D:$D,Q$6&amp;"_"&amp;"Ext"&amp;"_"&amp;$D18,'XXXXPLC_NY Query output'!$I:$I)/1000000</f>
        <v>0</v>
      </c>
      <c r="U18" s="83" t="s">
        <v>67</v>
      </c>
      <c r="V18" s="88">
        <v>9000000</v>
      </c>
      <c r="W18"/>
      <c r="X18"/>
      <c r="Y18"/>
      <c r="Z18"/>
      <c r="AA18"/>
    </row>
    <row r="19" spans="1:33" ht="12.75" outlineLevel="1">
      <c r="A19" s="7"/>
      <c r="B19" s="7"/>
      <c r="C19" s="263"/>
      <c r="D19" s="8" t="s">
        <v>64</v>
      </c>
      <c r="E19" s="238">
        <f>1*SUMIF('XXXXPLC_NY Query output'!$D:$D,E$6&amp;"_"&amp;"Ext"&amp;"_"&amp;$D19,'XXXXPLC_NY Query output'!$I:$I)/1000000</f>
        <v>0</v>
      </c>
      <c r="F19" s="6">
        <f>1*SUMIF('XXXXPLC_NY Query output'!$D:$D,F$6&amp;"_"&amp;"Ext"&amp;"_"&amp;$D19,'XXXXPLC_NY Query output'!$I:$I)/1000000</f>
        <v>0</v>
      </c>
      <c r="G19" s="6">
        <f>1*SUMIF('XXXXPLC_NY Query output'!$D:$D,G$6&amp;"_"&amp;"Ext"&amp;"_"&amp;$D19,'XXXXPLC_NY Query output'!$I:$I)/1000000</f>
        <v>0</v>
      </c>
      <c r="H19" s="6">
        <f>1*SUMIF('XXXXPLC_NY Query output'!$D:$D,H$6&amp;"_"&amp;"Ext"&amp;"_"&amp;$D19,'XXXXPLC_NY Query output'!$I:$I)/1000000</f>
        <v>0</v>
      </c>
      <c r="I19" s="6">
        <f>1*SUMIF('XXXXPLC_NY Query output'!$D:$D,I$6&amp;"_"&amp;"Ext"&amp;"_"&amp;$D19,'XXXXPLC_NY Query output'!$I:$I)/1000000</f>
        <v>0</v>
      </c>
      <c r="J19" s="6">
        <f>1*SUMIF('XXXXPLC_NY Query output'!$D:$D,J$6&amp;"_"&amp;"Ext"&amp;"_"&amp;$D19,'XXXXPLC_NY Query output'!$I:$I)/1000000</f>
        <v>0</v>
      </c>
      <c r="K19" s="6">
        <f>1*SUMIF('XXXXPLC_NY Query output'!$D:$D,K$6&amp;"_"&amp;"Ext"&amp;"_"&amp;$D19,'XXXXPLC_NY Query output'!$I:$I)/1000000</f>
        <v>0</v>
      </c>
      <c r="L19" s="6">
        <f>1*SUMIF('XXXXPLC_NY Query output'!$D:$D,L$6&amp;"_"&amp;"Ext"&amp;"_"&amp;$D19,'XXXXPLC_NY Query output'!$I:$I)/1000000</f>
        <v>0</v>
      </c>
      <c r="M19" s="6">
        <f>1*SUMIF('XXXXPLC_NY Query output'!$D:$D,M$6&amp;"_"&amp;"Ext"&amp;"_"&amp;$D19,'XXXXPLC_NY Query output'!$I:$I)/1000000</f>
        <v>0</v>
      </c>
      <c r="N19" s="6">
        <f>1*SUMIF('XXXXPLC_NY Query output'!$D:$D,N$6&amp;"_"&amp;"Ext"&amp;"_"&amp;$D19,'XXXXPLC_NY Query output'!$I:$I)/1000000</f>
        <v>0</v>
      </c>
      <c r="O19" s="6">
        <f>1*SUMIF('XXXXPLC_NY Query output'!$D:$D,O$6&amp;"_"&amp;"Ext"&amp;"_"&amp;$D19,'XXXXPLC_NY Query output'!$I:$I)/1000000</f>
        <v>0</v>
      </c>
      <c r="P19" s="6">
        <f>1*SUMIF('XXXXPLC_NY Query output'!$D:$D,P$6&amp;"_"&amp;"Ext"&amp;"_"&amp;$D19,'XXXXPLC_NY Query output'!$I:$I)/1000000</f>
        <v>0</v>
      </c>
      <c r="Q19" s="46">
        <f>1*SUMIF('XXXXPLC_NY Query output'!$D:$D,Q$6&amp;"_"&amp;"Ext"&amp;"_"&amp;$D19,'XXXXPLC_NY Query output'!$I:$I)/1000000</f>
        <v>0</v>
      </c>
      <c r="U19" s="84" t="s">
        <v>63</v>
      </c>
      <c r="V19" s="89">
        <v>262665022.87</v>
      </c>
      <c r="W19"/>
      <c r="X19"/>
      <c r="Y19"/>
      <c r="Z19"/>
      <c r="AA19"/>
    </row>
    <row r="20" spans="1:33" ht="12.75" outlineLevel="1">
      <c r="A20" s="7"/>
      <c r="B20" s="7"/>
      <c r="C20" s="263"/>
      <c r="D20" s="8" t="s">
        <v>65</v>
      </c>
      <c r="E20" s="238">
        <f>1*SUMIF('XXXXPLC_NY Query output'!$D:$D,E$6&amp;"_"&amp;"Ext"&amp;"_"&amp;$D20,'XXXXPLC_NY Query output'!$I:$I)/1000000</f>
        <v>0</v>
      </c>
      <c r="F20" s="6">
        <f>1*SUMIF('XXXXPLC_NY Query output'!$D:$D,F$6&amp;"_"&amp;"Ext"&amp;"_"&amp;$D20,'XXXXPLC_NY Query output'!$I:$I)/1000000</f>
        <v>0</v>
      </c>
      <c r="G20" s="6">
        <f>1*SUMIF('XXXXPLC_NY Query output'!$D:$D,G$6&amp;"_"&amp;"Ext"&amp;"_"&amp;$D20,'XXXXPLC_NY Query output'!$I:$I)/1000000</f>
        <v>0</v>
      </c>
      <c r="H20" s="6">
        <f>1*SUMIF('XXXXPLC_NY Query output'!$D:$D,H$6&amp;"_"&amp;"Ext"&amp;"_"&amp;$D20,'XXXXPLC_NY Query output'!$I:$I)/1000000</f>
        <v>0</v>
      </c>
      <c r="I20" s="6">
        <f>1*SUMIF('XXXXPLC_NY Query output'!$D:$D,I$6&amp;"_"&amp;"Ext"&amp;"_"&amp;$D20,'XXXXPLC_NY Query output'!$I:$I)/1000000</f>
        <v>0</v>
      </c>
      <c r="J20" s="6">
        <f>1*SUMIF('XXXXPLC_NY Query output'!$D:$D,J$6&amp;"_"&amp;"Ext"&amp;"_"&amp;$D20,'XXXXPLC_NY Query output'!$I:$I)/1000000</f>
        <v>0</v>
      </c>
      <c r="K20" s="6">
        <f>1*SUMIF('XXXXPLC_NY Query output'!$D:$D,K$6&amp;"_"&amp;"Ext"&amp;"_"&amp;$D20,'XXXXPLC_NY Query output'!$I:$I)/1000000</f>
        <v>0</v>
      </c>
      <c r="L20" s="6">
        <f>1*SUMIF('XXXXPLC_NY Query output'!$D:$D,L$6&amp;"_"&amp;"Ext"&amp;"_"&amp;$D20,'XXXXPLC_NY Query output'!$I:$I)/1000000</f>
        <v>0</v>
      </c>
      <c r="M20" s="6">
        <f>1*SUMIF('XXXXPLC_NY Query output'!$D:$D,M$6&amp;"_"&amp;"Ext"&amp;"_"&amp;$D20,'XXXXPLC_NY Query output'!$I:$I)/1000000</f>
        <v>0</v>
      </c>
      <c r="N20" s="6">
        <f>1*SUMIF('XXXXPLC_NY Query output'!$D:$D,N$6&amp;"_"&amp;"Ext"&amp;"_"&amp;$D20,'XXXXPLC_NY Query output'!$I:$I)/1000000</f>
        <v>0</v>
      </c>
      <c r="O20" s="6">
        <f>1*SUMIF('XXXXPLC_NY Query output'!$D:$D,O$6&amp;"_"&amp;"Ext"&amp;"_"&amp;$D20,'XXXXPLC_NY Query output'!$I:$I)/1000000</f>
        <v>0</v>
      </c>
      <c r="P20" s="6">
        <f>1*SUMIF('XXXXPLC_NY Query output'!$D:$D,P$6&amp;"_"&amp;"Ext"&amp;"_"&amp;$D20,'XXXXPLC_NY Query output'!$I:$I)/1000000</f>
        <v>0</v>
      </c>
      <c r="Q20" s="46">
        <f>1*SUMIF('XXXXPLC_NY Query output'!$D:$D,Q$6&amp;"_"&amp;"Ext"&amp;"_"&amp;$D20,'XXXXPLC_NY Query output'!$I:$I)/1000000</f>
        <v>0</v>
      </c>
      <c r="U20"/>
      <c r="V20"/>
      <c r="W20"/>
      <c r="X20"/>
      <c r="Y20"/>
      <c r="Z20"/>
      <c r="AA20"/>
    </row>
    <row r="21" spans="1:33" ht="12.75" outlineLevel="1">
      <c r="A21" s="7"/>
      <c r="B21" s="7"/>
      <c r="C21" s="263"/>
      <c r="D21" s="8" t="s">
        <v>94</v>
      </c>
      <c r="E21" s="238">
        <f>1*SUMIF('XXXXPLC_NY Query output'!$D:$D,E$6&amp;"_"&amp;"Ext"&amp;"_"&amp;$D21,'XXXXPLC_NY Query output'!$I:$I)/1000000</f>
        <v>0</v>
      </c>
      <c r="F21" s="6">
        <f>1*SUMIF('XXXXPLC_NY Query output'!$D:$D,F$6&amp;"_"&amp;"Ext"&amp;"_"&amp;$D21,'XXXXPLC_NY Query output'!$I:$I)/1000000</f>
        <v>0</v>
      </c>
      <c r="G21" s="6">
        <f>1*SUMIF('XXXXPLC_NY Query output'!$D:$D,G$6&amp;"_"&amp;"Ext"&amp;"_"&amp;$D21,'XXXXPLC_NY Query output'!$I:$I)/1000000</f>
        <v>0</v>
      </c>
      <c r="H21" s="6">
        <f>1*SUMIF('XXXXPLC_NY Query output'!$D:$D,H$6&amp;"_"&amp;"Ext"&amp;"_"&amp;$D21,'XXXXPLC_NY Query output'!$I:$I)/1000000</f>
        <v>0</v>
      </c>
      <c r="I21" s="6">
        <f>1*SUMIF('XXXXPLC_NY Query output'!$D:$D,I$6&amp;"_"&amp;"Ext"&amp;"_"&amp;$D21,'XXXXPLC_NY Query output'!$I:$I)/1000000</f>
        <v>0</v>
      </c>
      <c r="J21" s="6">
        <f>1*SUMIF('XXXXPLC_NY Query output'!$D:$D,J$6&amp;"_"&amp;"Ext"&amp;"_"&amp;$D21,'XXXXPLC_NY Query output'!$I:$I)/1000000</f>
        <v>0</v>
      </c>
      <c r="K21" s="6">
        <f>1*SUMIF('XXXXPLC_NY Query output'!$D:$D,K$6&amp;"_"&amp;"Ext"&amp;"_"&amp;$D21,'XXXXPLC_NY Query output'!$I:$I)/1000000</f>
        <v>0</v>
      </c>
      <c r="L21" s="6">
        <f>1*SUMIF('XXXXPLC_NY Query output'!$D:$D,L$6&amp;"_"&amp;"Ext"&amp;"_"&amp;$D21,'XXXXPLC_NY Query output'!$I:$I)/1000000</f>
        <v>0</v>
      </c>
      <c r="M21" s="6">
        <f>1*SUMIF('XXXXPLC_NY Query output'!$D:$D,M$6&amp;"_"&amp;"Ext"&amp;"_"&amp;$D21,'XXXXPLC_NY Query output'!$I:$I)/1000000</f>
        <v>0</v>
      </c>
      <c r="N21" s="6">
        <f>1*SUMIF('XXXXPLC_NY Query output'!$D:$D,N$6&amp;"_"&amp;"Ext"&amp;"_"&amp;$D21,'XXXXPLC_NY Query output'!$I:$I)/1000000</f>
        <v>0</v>
      </c>
      <c r="O21" s="6">
        <f>1*SUMIF('XXXXPLC_NY Query output'!$D:$D,O$6&amp;"_"&amp;"Ext"&amp;"_"&amp;$D21,'XXXXPLC_NY Query output'!$I:$I)/1000000</f>
        <v>0</v>
      </c>
      <c r="P21" s="6">
        <f>1*SUMIF('XXXXPLC_NY Query output'!$D:$D,P$6&amp;"_"&amp;"Ext"&amp;"_"&amp;$D21,'XXXXPLC_NY Query output'!$I:$I)/1000000</f>
        <v>0</v>
      </c>
      <c r="Q21" s="46">
        <f>1*SUMIF('XXXXPLC_NY Query output'!$D:$D,Q$6&amp;"_"&amp;"Ext"&amp;"_"&amp;$D21,'XXXXPLC_NY Query output'!$I:$I)/1000000</f>
        <v>0</v>
      </c>
      <c r="U21"/>
      <c r="V21"/>
      <c r="W21"/>
      <c r="X21"/>
      <c r="Y21"/>
      <c r="Z21"/>
      <c r="AA21"/>
    </row>
    <row r="22" spans="1:33" ht="12.75" outlineLevel="1">
      <c r="A22" s="7"/>
      <c r="B22" s="7"/>
      <c r="C22" s="263"/>
      <c r="D22" s="8" t="s">
        <v>72</v>
      </c>
      <c r="E22" s="238">
        <f>1*SUMIF('XXXXPLC_NY Query output'!$D:$D,E$6&amp;"_"&amp;"Ext"&amp;"_"&amp;$D22,'XXXXPLC_NY Query output'!$I:$I)/1000000</f>
        <v>0</v>
      </c>
      <c r="F22" s="6">
        <f>1*SUMIF('XXXXPLC_NY Query output'!$D:$D,F$6&amp;"_"&amp;"Ext"&amp;"_"&amp;$D22,'XXXXPLC_NY Query output'!$I:$I)/1000000</f>
        <v>0</v>
      </c>
      <c r="G22" s="6">
        <f>1*SUMIF('XXXXPLC_NY Query output'!$D:$D,G$6&amp;"_"&amp;"Ext"&amp;"_"&amp;$D22,'XXXXPLC_NY Query output'!$I:$I)/1000000</f>
        <v>0</v>
      </c>
      <c r="H22" s="6">
        <f>1*SUMIF('XXXXPLC_NY Query output'!$D:$D,H$6&amp;"_"&amp;"Ext"&amp;"_"&amp;$D22,'XXXXPLC_NY Query output'!$I:$I)/1000000</f>
        <v>0</v>
      </c>
      <c r="I22" s="6">
        <f>1*SUMIF('XXXXPLC_NY Query output'!$D:$D,I$6&amp;"_"&amp;"Ext"&amp;"_"&amp;$D22,'XXXXPLC_NY Query output'!$I:$I)/1000000</f>
        <v>0</v>
      </c>
      <c r="J22" s="6">
        <f>1*SUMIF('XXXXPLC_NY Query output'!$D:$D,J$6&amp;"_"&amp;"Ext"&amp;"_"&amp;$D22,'XXXXPLC_NY Query output'!$I:$I)/1000000</f>
        <v>0</v>
      </c>
      <c r="K22" s="6">
        <f>1*SUMIF('XXXXPLC_NY Query output'!$D:$D,K$6&amp;"_"&amp;"Ext"&amp;"_"&amp;$D22,'XXXXPLC_NY Query output'!$I:$I)/1000000</f>
        <v>0</v>
      </c>
      <c r="L22" s="6">
        <f>1*SUMIF('XXXXPLC_NY Query output'!$D:$D,L$6&amp;"_"&amp;"Ext"&amp;"_"&amp;$D22,'XXXXPLC_NY Query output'!$I:$I)/1000000</f>
        <v>0</v>
      </c>
      <c r="M22" s="6">
        <f>1*SUMIF('XXXXPLC_NY Query output'!$D:$D,M$6&amp;"_"&amp;"Ext"&amp;"_"&amp;$D22,'XXXXPLC_NY Query output'!$I:$I)/1000000</f>
        <v>0</v>
      </c>
      <c r="N22" s="6">
        <f>1*SUMIF('XXXXPLC_NY Query output'!$D:$D,N$6&amp;"_"&amp;"Ext"&amp;"_"&amp;$D22,'XXXXPLC_NY Query output'!$I:$I)/1000000</f>
        <v>0</v>
      </c>
      <c r="O22" s="6">
        <f>1*SUMIF('XXXXPLC_NY Query output'!$D:$D,O$6&amp;"_"&amp;"Ext"&amp;"_"&amp;$D22,'XXXXPLC_NY Query output'!$I:$I)/1000000</f>
        <v>0</v>
      </c>
      <c r="P22" s="6">
        <f>1*SUMIF('XXXXPLC_NY Query output'!$D:$D,P$6&amp;"_"&amp;"Ext"&amp;"_"&amp;$D22,'XXXXPLC_NY Query output'!$I:$I)/1000000</f>
        <v>0</v>
      </c>
      <c r="Q22" s="46">
        <f>1*SUMIF('XXXXPLC_NY Query output'!$D:$D,Q$6&amp;"_"&amp;"Ext"&amp;"_"&amp;$D22,'XXXXPLC_NY Query output'!$I:$I)/1000000</f>
        <v>0</v>
      </c>
      <c r="U22"/>
      <c r="V22"/>
      <c r="W22"/>
      <c r="X22"/>
      <c r="Y22"/>
      <c r="Z22"/>
      <c r="AA22"/>
    </row>
    <row r="23" spans="1:33" ht="12.75" outlineLevel="1">
      <c r="A23" s="7"/>
      <c r="B23" s="7"/>
      <c r="C23" s="263"/>
      <c r="D23" s="8" t="s">
        <v>119</v>
      </c>
      <c r="E23" s="238">
        <f>1*SUMIF('XXXXPLC_NY Query output'!$D:$D,E$6&amp;"_"&amp;"Ext"&amp;"_"&amp;$D23,'XXXXPLC_NY Query output'!$I:$I)/1000000</f>
        <v>0</v>
      </c>
      <c r="F23" s="6">
        <f>1*SUMIF('XXXXPLC_NY Query output'!$D:$D,F$6&amp;"_"&amp;"Ext"&amp;"_"&amp;$D23,'XXXXPLC_NY Query output'!$I:$I)/1000000</f>
        <v>0</v>
      </c>
      <c r="G23" s="6">
        <f>1*SUMIF('XXXXPLC_NY Query output'!$D:$D,G$6&amp;"_"&amp;"Ext"&amp;"_"&amp;$D23,'XXXXPLC_NY Query output'!$I:$I)/1000000</f>
        <v>0</v>
      </c>
      <c r="H23" s="6">
        <f>1*SUMIF('XXXXPLC_NY Query output'!$D:$D,H$6&amp;"_"&amp;"Ext"&amp;"_"&amp;$D23,'XXXXPLC_NY Query output'!$I:$I)/1000000</f>
        <v>0</v>
      </c>
      <c r="I23" s="6">
        <f>1*SUMIF('XXXXPLC_NY Query output'!$D:$D,I$6&amp;"_"&amp;"Ext"&amp;"_"&amp;$D23,'XXXXPLC_NY Query output'!$I:$I)/1000000</f>
        <v>0</v>
      </c>
      <c r="J23" s="6">
        <f>1*SUMIF('XXXXPLC_NY Query output'!$D:$D,J$6&amp;"_"&amp;"Ext"&amp;"_"&amp;$D23,'XXXXPLC_NY Query output'!$I:$I)/1000000</f>
        <v>0</v>
      </c>
      <c r="K23" s="6">
        <f>1*SUMIF('XXXXPLC_NY Query output'!$D:$D,K$6&amp;"_"&amp;"Ext"&amp;"_"&amp;$D23,'XXXXPLC_NY Query output'!$I:$I)/1000000</f>
        <v>0</v>
      </c>
      <c r="L23" s="6">
        <f>1*SUMIF('XXXXPLC_NY Query output'!$D:$D,L$6&amp;"_"&amp;"Ext"&amp;"_"&amp;$D23,'XXXXPLC_NY Query output'!$I:$I)/1000000</f>
        <v>0</v>
      </c>
      <c r="M23" s="6">
        <f>1*SUMIF('XXXXPLC_NY Query output'!$D:$D,M$6&amp;"_"&amp;"Ext"&amp;"_"&amp;$D23,'XXXXPLC_NY Query output'!$I:$I)/1000000</f>
        <v>0</v>
      </c>
      <c r="N23" s="6">
        <f>1*SUMIF('XXXXPLC_NY Query output'!$D:$D,N$6&amp;"_"&amp;"Ext"&amp;"_"&amp;$D23,'XXXXPLC_NY Query output'!$I:$I)/1000000</f>
        <v>0</v>
      </c>
      <c r="O23" s="6">
        <f>1*SUMIF('XXXXPLC_NY Query output'!$D:$D,O$6&amp;"_"&amp;"Ext"&amp;"_"&amp;$D23,'XXXXPLC_NY Query output'!$I:$I)/1000000</f>
        <v>0</v>
      </c>
      <c r="P23" s="6">
        <f>1*SUMIF('XXXXPLC_NY Query output'!$D:$D,P$6&amp;"_"&amp;"Ext"&amp;"_"&amp;$D23,'XXXXPLC_NY Query output'!$I:$I)/1000000</f>
        <v>0</v>
      </c>
      <c r="Q23" s="46">
        <f>1*SUMIF('XXXXPLC_NY Query output'!$D:$D,Q$6&amp;"_"&amp;"Ext"&amp;"_"&amp;$D23,'XXXXPLC_NY Query output'!$I:$I)/1000000</f>
        <v>0</v>
      </c>
      <c r="U23"/>
      <c r="V23"/>
      <c r="W23"/>
      <c r="X23"/>
      <c r="Y23"/>
      <c r="Z23"/>
      <c r="AA23"/>
    </row>
    <row r="24" spans="1:33" ht="12.75" outlineLevel="1">
      <c r="A24" s="7"/>
      <c r="B24" s="7"/>
      <c r="C24" s="263"/>
      <c r="D24" s="8" t="s">
        <v>120</v>
      </c>
      <c r="E24" s="238">
        <f>1*SUMIF('XXXXPLC_NY Query output'!$D:$D,E$6&amp;"_"&amp;"Ext"&amp;"_"&amp;$D24,'XXXXPLC_NY Query output'!$I:$I)/1000000</f>
        <v>0</v>
      </c>
      <c r="F24" s="6">
        <f>1*SUMIF('XXXXPLC_NY Query output'!$D:$D,F$6&amp;"_"&amp;"Ext"&amp;"_"&amp;$D24,'XXXXPLC_NY Query output'!$I:$I)/1000000</f>
        <v>0</v>
      </c>
      <c r="G24" s="6">
        <f>1*SUMIF('XXXXPLC_NY Query output'!$D:$D,G$6&amp;"_"&amp;"Ext"&amp;"_"&amp;$D24,'XXXXPLC_NY Query output'!$I:$I)/1000000</f>
        <v>0</v>
      </c>
      <c r="H24" s="6">
        <f>1*SUMIF('XXXXPLC_NY Query output'!$D:$D,H$6&amp;"_"&amp;"Ext"&amp;"_"&amp;$D24,'XXXXPLC_NY Query output'!$I:$I)/1000000</f>
        <v>0</v>
      </c>
      <c r="I24" s="6">
        <f>1*SUMIF('XXXXPLC_NY Query output'!$D:$D,I$6&amp;"_"&amp;"Ext"&amp;"_"&amp;$D24,'XXXXPLC_NY Query output'!$I:$I)/1000000</f>
        <v>0</v>
      </c>
      <c r="J24" s="6">
        <f>1*SUMIF('XXXXPLC_NY Query output'!$D:$D,J$6&amp;"_"&amp;"Ext"&amp;"_"&amp;$D24,'XXXXPLC_NY Query output'!$I:$I)/1000000</f>
        <v>0</v>
      </c>
      <c r="K24" s="6">
        <f>1*SUMIF('XXXXPLC_NY Query output'!$D:$D,K$6&amp;"_"&amp;"Ext"&amp;"_"&amp;$D24,'XXXXPLC_NY Query output'!$I:$I)/1000000</f>
        <v>0</v>
      </c>
      <c r="L24" s="6">
        <f>1*SUMIF('XXXXPLC_NY Query output'!$D:$D,L$6&amp;"_"&amp;"Ext"&amp;"_"&amp;$D24,'XXXXPLC_NY Query output'!$I:$I)/1000000</f>
        <v>0</v>
      </c>
      <c r="M24" s="6">
        <f>1*SUMIF('XXXXPLC_NY Query output'!$D:$D,M$6&amp;"_"&amp;"Ext"&amp;"_"&amp;$D24,'XXXXPLC_NY Query output'!$I:$I)/1000000</f>
        <v>0</v>
      </c>
      <c r="N24" s="6">
        <f>1*SUMIF('XXXXPLC_NY Query output'!$D:$D,N$6&amp;"_"&amp;"Ext"&amp;"_"&amp;$D24,'XXXXPLC_NY Query output'!$I:$I)/1000000</f>
        <v>0</v>
      </c>
      <c r="O24" s="6">
        <f>1*SUMIF('XXXXPLC_NY Query output'!$D:$D,O$6&amp;"_"&amp;"Ext"&amp;"_"&amp;$D24,'XXXXPLC_NY Query output'!$I:$I)/1000000</f>
        <v>0</v>
      </c>
      <c r="P24" s="6">
        <f>1*SUMIF('XXXXPLC_NY Query output'!$D:$D,P$6&amp;"_"&amp;"Ext"&amp;"_"&amp;$D24,'XXXXPLC_NY Query output'!$I:$I)/1000000</f>
        <v>0</v>
      </c>
      <c r="Q24" s="46">
        <f>1*SUMIF('XXXXPLC_NY Query output'!$D:$D,Q$6&amp;"_"&amp;"Ext"&amp;"_"&amp;$D24,'XXXXPLC_NY Query output'!$I:$I)/1000000</f>
        <v>0</v>
      </c>
      <c r="U24"/>
      <c r="V24"/>
      <c r="W24" s="90"/>
    </row>
    <row r="25" spans="1:33" ht="12.75" outlineLevel="1">
      <c r="A25" s="7"/>
      <c r="B25" s="7"/>
      <c r="C25" s="263"/>
      <c r="D25" s="8" t="s">
        <v>121</v>
      </c>
      <c r="E25" s="238">
        <f>1*SUMIF('XXXXPLC_NY Query output'!$D:$D,E$6&amp;"_"&amp;"Ext"&amp;"_"&amp;$D25,'XXXXPLC_NY Query output'!$I:$I)/1000000</f>
        <v>0</v>
      </c>
      <c r="F25" s="6">
        <f>1*SUMIF('XXXXPLC_NY Query output'!$D:$D,F$6&amp;"_"&amp;"Ext"&amp;"_"&amp;$D25,'XXXXPLC_NY Query output'!$I:$I)/1000000</f>
        <v>0</v>
      </c>
      <c r="G25" s="6">
        <f>1*SUMIF('XXXXPLC_NY Query output'!$D:$D,G$6&amp;"_"&amp;"Ext"&amp;"_"&amp;$D25,'XXXXPLC_NY Query output'!$I:$I)/1000000</f>
        <v>0</v>
      </c>
      <c r="H25" s="6">
        <f>1*SUMIF('XXXXPLC_NY Query output'!$D:$D,H$6&amp;"_"&amp;"Ext"&amp;"_"&amp;$D25,'XXXXPLC_NY Query output'!$I:$I)/1000000</f>
        <v>0</v>
      </c>
      <c r="I25" s="6">
        <f>1*SUMIF('XXXXPLC_NY Query output'!$D:$D,I$6&amp;"_"&amp;"Ext"&amp;"_"&amp;$D25,'XXXXPLC_NY Query output'!$I:$I)/1000000</f>
        <v>0</v>
      </c>
      <c r="J25" s="6">
        <f>1*SUMIF('XXXXPLC_NY Query output'!$D:$D,J$6&amp;"_"&amp;"Ext"&amp;"_"&amp;$D25,'XXXXPLC_NY Query output'!$I:$I)/1000000</f>
        <v>0</v>
      </c>
      <c r="K25" s="6">
        <f>1*SUMIF('XXXXPLC_NY Query output'!$D:$D,K$6&amp;"_"&amp;"Ext"&amp;"_"&amp;$D25,'XXXXPLC_NY Query output'!$I:$I)/1000000</f>
        <v>0</v>
      </c>
      <c r="L25" s="6">
        <f>1*SUMIF('XXXXPLC_NY Query output'!$D:$D,L$6&amp;"_"&amp;"Ext"&amp;"_"&amp;$D25,'XXXXPLC_NY Query output'!$I:$I)/1000000</f>
        <v>0</v>
      </c>
      <c r="M25" s="6">
        <f>1*SUMIF('XXXXPLC_NY Query output'!$D:$D,M$6&amp;"_"&amp;"Ext"&amp;"_"&amp;$D25,'XXXXPLC_NY Query output'!$I:$I)/1000000</f>
        <v>0</v>
      </c>
      <c r="N25" s="6">
        <f>1*SUMIF('XXXXPLC_NY Query output'!$D:$D,N$6&amp;"_"&amp;"Ext"&amp;"_"&amp;$D25,'XXXXPLC_NY Query output'!$I:$I)/1000000</f>
        <v>0</v>
      </c>
      <c r="O25" s="6">
        <f>1*SUMIF('XXXXPLC_NY Query output'!$D:$D,O$6&amp;"_"&amp;"Ext"&amp;"_"&amp;$D25,'XXXXPLC_NY Query output'!$I:$I)/1000000</f>
        <v>0</v>
      </c>
      <c r="P25" s="6">
        <f>1*SUMIF('XXXXPLC_NY Query output'!$D:$D,P$6&amp;"_"&amp;"Ext"&amp;"_"&amp;$D25,'XXXXPLC_NY Query output'!$I:$I)/1000000</f>
        <v>0</v>
      </c>
      <c r="Q25" s="46">
        <f>1*SUMIF('XXXXPLC_NY Query output'!$D:$D,Q$6&amp;"_"&amp;"Ext"&amp;"_"&amp;$D25,'XXXXPLC_NY Query output'!$I:$I)/1000000</f>
        <v>0</v>
      </c>
      <c r="U25"/>
      <c r="V25"/>
      <c r="W25" s="90"/>
    </row>
    <row r="26" spans="1:33" ht="12.75" outlineLevel="1">
      <c r="A26" s="7"/>
      <c r="B26" s="7"/>
      <c r="C26" s="263"/>
      <c r="D26" s="160" t="s">
        <v>122</v>
      </c>
      <c r="E26" s="238">
        <f>1*SUMIF('XXXXPLC_NY Query output'!$D:$D,E$6&amp;"_"&amp;"Ext"&amp;"_"&amp;$D26,'XXXXPLC_NY Query output'!$I:$I)/1000000</f>
        <v>0</v>
      </c>
      <c r="F26" s="6">
        <f>1*SUMIF('XXXXPLC_NY Query output'!$D:$D,F$6&amp;"_"&amp;"Ext"&amp;"_"&amp;$D26,'XXXXPLC_NY Query output'!$I:$I)/1000000</f>
        <v>0</v>
      </c>
      <c r="G26" s="6">
        <f>1*SUMIF('XXXXPLC_NY Query output'!$D:$D,G$6&amp;"_"&amp;"Ext"&amp;"_"&amp;$D26,'XXXXPLC_NY Query output'!$I:$I)/1000000</f>
        <v>0</v>
      </c>
      <c r="H26" s="6">
        <f>1*SUMIF('XXXXPLC_NY Query output'!$D:$D,H$6&amp;"_"&amp;"Ext"&amp;"_"&amp;$D26,'XXXXPLC_NY Query output'!$I:$I)/1000000</f>
        <v>0</v>
      </c>
      <c r="I26" s="6">
        <f>1*SUMIF('XXXXPLC_NY Query output'!$D:$D,I$6&amp;"_"&amp;"Ext"&amp;"_"&amp;$D26,'XXXXPLC_NY Query output'!$I:$I)/1000000</f>
        <v>0</v>
      </c>
      <c r="J26" s="6">
        <f>1*SUMIF('XXXXPLC_NY Query output'!$D:$D,J$6&amp;"_"&amp;"Ext"&amp;"_"&amp;$D26,'XXXXPLC_NY Query output'!$I:$I)/1000000</f>
        <v>0</v>
      </c>
      <c r="K26" s="6">
        <f>1*SUMIF('XXXXPLC_NY Query output'!$D:$D,K$6&amp;"_"&amp;"Ext"&amp;"_"&amp;$D26,'XXXXPLC_NY Query output'!$I:$I)/1000000</f>
        <v>0</v>
      </c>
      <c r="L26" s="6">
        <f>1*SUMIF('XXXXPLC_NY Query output'!$D:$D,L$6&amp;"_"&amp;"Ext"&amp;"_"&amp;$D26,'XXXXPLC_NY Query output'!$I:$I)/1000000</f>
        <v>0</v>
      </c>
      <c r="M26" s="6">
        <f>1*SUMIF('XXXXPLC_NY Query output'!$D:$D,M$6&amp;"_"&amp;"Ext"&amp;"_"&amp;$D26,'XXXXPLC_NY Query output'!$I:$I)/1000000</f>
        <v>0</v>
      </c>
      <c r="N26" s="6">
        <f>1*SUMIF('XXXXPLC_NY Query output'!$D:$D,N$6&amp;"_"&amp;"Ext"&amp;"_"&amp;$D26,'XXXXPLC_NY Query output'!$I:$I)/1000000</f>
        <v>0</v>
      </c>
      <c r="O26" s="6">
        <f>1*SUMIF('XXXXPLC_NY Query output'!$D:$D,O$6&amp;"_"&amp;"Ext"&amp;"_"&amp;$D26,'XXXXPLC_NY Query output'!$I:$I)/1000000</f>
        <v>0</v>
      </c>
      <c r="P26" s="6">
        <f>1*SUMIF('XXXXPLC_NY Query output'!$D:$D,P$6&amp;"_"&amp;"Ext"&amp;"_"&amp;$D26,'XXXXPLC_NY Query output'!$I:$I)/1000000</f>
        <v>0</v>
      </c>
      <c r="Q26" s="46">
        <f>1*SUMIF('XXXXPLC_NY Query output'!$D:$D,Q$6&amp;"_"&amp;"Ext"&amp;"_"&amp;$D26,'XXXXPLC_NY Query output'!$I:$I)/1000000</f>
        <v>0</v>
      </c>
      <c r="U26"/>
      <c r="V26"/>
      <c r="W26"/>
    </row>
    <row r="27" spans="1:33" ht="12.75" outlineLevel="1">
      <c r="A27" s="7"/>
      <c r="B27" s="7"/>
      <c r="C27" s="263"/>
      <c r="D27" s="160" t="s">
        <v>123</v>
      </c>
      <c r="E27" s="238">
        <f>1*SUMIF('XXXXPLC_NY Query output'!$D:$D,E$6&amp;"_"&amp;"Ext"&amp;"_"&amp;$D27,'XXXXPLC_NY Query output'!$I:$I)/1000000</f>
        <v>0</v>
      </c>
      <c r="F27" s="6">
        <f>1*SUMIF('XXXXPLC_NY Query output'!$D:$D,F$6&amp;"_"&amp;"Ext"&amp;"_"&amp;$D27,'XXXXPLC_NY Query output'!$I:$I)/1000000</f>
        <v>0</v>
      </c>
      <c r="G27" s="6">
        <f>1*SUMIF('XXXXPLC_NY Query output'!$D:$D,G$6&amp;"_"&amp;"Ext"&amp;"_"&amp;$D27,'XXXXPLC_NY Query output'!$I:$I)/1000000</f>
        <v>0</v>
      </c>
      <c r="H27" s="6">
        <f>1*SUMIF('XXXXPLC_NY Query output'!$D:$D,H$6&amp;"_"&amp;"Ext"&amp;"_"&amp;$D27,'XXXXPLC_NY Query output'!$I:$I)/1000000</f>
        <v>0</v>
      </c>
      <c r="I27" s="6">
        <f>1*SUMIF('XXXXPLC_NY Query output'!$D:$D,I$6&amp;"_"&amp;"Ext"&amp;"_"&amp;$D27,'XXXXPLC_NY Query output'!$I:$I)/1000000</f>
        <v>0</v>
      </c>
      <c r="J27" s="6">
        <f>1*SUMIF('XXXXPLC_NY Query output'!$D:$D,J$6&amp;"_"&amp;"Ext"&amp;"_"&amp;$D27,'XXXXPLC_NY Query output'!$I:$I)/1000000</f>
        <v>0</v>
      </c>
      <c r="K27" s="6">
        <f>1*SUMIF('XXXXPLC_NY Query output'!$D:$D,K$6&amp;"_"&amp;"Ext"&amp;"_"&amp;$D27,'XXXXPLC_NY Query output'!$I:$I)/1000000</f>
        <v>0</v>
      </c>
      <c r="L27" s="6">
        <f>1*SUMIF('XXXXPLC_NY Query output'!$D:$D,L$6&amp;"_"&amp;"Ext"&amp;"_"&amp;$D27,'XXXXPLC_NY Query output'!$I:$I)/1000000</f>
        <v>0</v>
      </c>
      <c r="M27" s="6">
        <f>1*SUMIF('XXXXPLC_NY Query output'!$D:$D,M$6&amp;"_"&amp;"Ext"&amp;"_"&amp;$D27,'XXXXPLC_NY Query output'!$I:$I)/1000000</f>
        <v>0</v>
      </c>
      <c r="N27" s="6">
        <f>1*SUMIF('XXXXPLC_NY Query output'!$D:$D,N$6&amp;"_"&amp;"Ext"&amp;"_"&amp;$D27,'XXXXPLC_NY Query output'!$I:$I)/1000000</f>
        <v>0</v>
      </c>
      <c r="O27" s="6">
        <f>1*SUMIF('XXXXPLC_NY Query output'!$D:$D,O$6&amp;"_"&amp;"Ext"&amp;"_"&amp;$D27,'XXXXPLC_NY Query output'!$I:$I)/1000000</f>
        <v>0</v>
      </c>
      <c r="P27" s="6">
        <f>1*SUMIF('XXXXPLC_NY Query output'!$D:$D,P$6&amp;"_"&amp;"Ext"&amp;"_"&amp;$D27,'XXXXPLC_NY Query output'!$I:$I)/1000000</f>
        <v>0</v>
      </c>
      <c r="Q27" s="46">
        <f>1*SUMIF('XXXXPLC_NY Query output'!$D:$D,Q$6&amp;"_"&amp;"Ext"&amp;"_"&amp;$D27,'XXXXPLC_NY Query output'!$I:$I)/1000000</f>
        <v>0</v>
      </c>
      <c r="U27"/>
      <c r="V27"/>
      <c r="W27"/>
    </row>
    <row r="28" spans="1:33" ht="12.75" outlineLevel="1">
      <c r="A28" s="7"/>
      <c r="B28" s="7"/>
      <c r="C28" s="263"/>
      <c r="D28" s="160" t="s">
        <v>92</v>
      </c>
      <c r="E28" s="238">
        <f>1*SUMIF('XXXXPLC_NY Query output'!$D:$D,E$6&amp;"_"&amp;"Ext"&amp;"_"&amp;$D28,'XXXXPLC_NY Query output'!$I:$I)/1000000</f>
        <v>0</v>
      </c>
      <c r="F28" s="6">
        <f>1*SUMIF('XXXXPLC_NY Query output'!$D:$D,F$6&amp;"_"&amp;"Ext"&amp;"_"&amp;$D28,'XXXXPLC_NY Query output'!$I:$I)/1000000</f>
        <v>0</v>
      </c>
      <c r="G28" s="6">
        <f>1*SUMIF('XXXXPLC_NY Query output'!$D:$D,G$6&amp;"_"&amp;"Ext"&amp;"_"&amp;$D28,'XXXXPLC_NY Query output'!$I:$I)/1000000</f>
        <v>0</v>
      </c>
      <c r="H28" s="6">
        <f>1*SUMIF('XXXXPLC_NY Query output'!$D:$D,H$6&amp;"_"&amp;"Ext"&amp;"_"&amp;$D28,'XXXXPLC_NY Query output'!$I:$I)/1000000</f>
        <v>0</v>
      </c>
      <c r="I28" s="6">
        <f>1*SUMIF('XXXXPLC_NY Query output'!$D:$D,I$6&amp;"_"&amp;"Ext"&amp;"_"&amp;$D28,'XXXXPLC_NY Query output'!$I:$I)/1000000</f>
        <v>0</v>
      </c>
      <c r="J28" s="6">
        <f>1*SUMIF('XXXXPLC_NY Query output'!$D:$D,J$6&amp;"_"&amp;"Ext"&amp;"_"&amp;$D28,'XXXXPLC_NY Query output'!$I:$I)/1000000</f>
        <v>0</v>
      </c>
      <c r="K28" s="6">
        <f>1*SUMIF('XXXXPLC_NY Query output'!$D:$D,K$6&amp;"_"&amp;"Ext"&amp;"_"&amp;$D28,'XXXXPLC_NY Query output'!$I:$I)/1000000</f>
        <v>0</v>
      </c>
      <c r="L28" s="6">
        <f>1*SUMIF('XXXXPLC_NY Query output'!$D:$D,L$6&amp;"_"&amp;"Ext"&amp;"_"&amp;$D28,'XXXXPLC_NY Query output'!$I:$I)/1000000</f>
        <v>0</v>
      </c>
      <c r="M28" s="6">
        <f>1*SUMIF('XXXXPLC_NY Query output'!$D:$D,M$6&amp;"_"&amp;"Ext"&amp;"_"&amp;$D28,'XXXXPLC_NY Query output'!$I:$I)/1000000</f>
        <v>0</v>
      </c>
      <c r="N28" s="6">
        <f>1*SUMIF('XXXXPLC_NY Query output'!$D:$D,N$6&amp;"_"&amp;"Ext"&amp;"_"&amp;$D28,'XXXXPLC_NY Query output'!$I:$I)/1000000</f>
        <v>0</v>
      </c>
      <c r="O28" s="6">
        <f>1*SUMIF('XXXXPLC_NY Query output'!$D:$D,O$6&amp;"_"&amp;"Ext"&amp;"_"&amp;$D28,'XXXXPLC_NY Query output'!$I:$I)/1000000</f>
        <v>0</v>
      </c>
      <c r="P28" s="6">
        <f>1*SUMIF('XXXXPLC_NY Query output'!$D:$D,P$6&amp;"_"&amp;"Ext"&amp;"_"&amp;$D28,'XXXXPLC_NY Query output'!$I:$I)/1000000</f>
        <v>0</v>
      </c>
      <c r="Q28" s="46">
        <f>1*SUMIF('XXXXPLC_NY Query output'!$D:$D,Q$6&amp;"_"&amp;"Ext"&amp;"_"&amp;$D28,'XXXXPLC_NY Query output'!$I:$I)/1000000</f>
        <v>0</v>
      </c>
      <c r="U28" s="80" t="s">
        <v>266</v>
      </c>
      <c r="V28" s="80" t="s">
        <v>146</v>
      </c>
      <c r="W28" s="138"/>
      <c r="X28" s="138"/>
      <c r="Y28" s="138"/>
      <c r="Z28" s="138"/>
      <c r="AA28" s="138"/>
      <c r="AB28" s="138"/>
      <c r="AC28" s="138"/>
      <c r="AD28" s="138"/>
      <c r="AE28" s="138"/>
      <c r="AF28" s="138"/>
      <c r="AG28" s="139"/>
    </row>
    <row r="29" spans="1:33" ht="12.75" outlineLevel="1">
      <c r="A29" s="7"/>
      <c r="B29" s="7"/>
      <c r="C29" s="263"/>
      <c r="D29" s="160" t="s">
        <v>95</v>
      </c>
      <c r="E29" s="238">
        <f>1*SUMIF('XXXXPLC_NY Query output'!$D:$D,E$6&amp;"_"&amp;"Ext"&amp;"_"&amp;$D29,'XXXXPLC_NY Query output'!$I:$I)/1000000</f>
        <v>0</v>
      </c>
      <c r="F29" s="6">
        <f>1*SUMIF('XXXXPLC_NY Query output'!$D:$D,F$6&amp;"_"&amp;"Ext"&amp;"_"&amp;$D29,'XXXXPLC_NY Query output'!$I:$I)/1000000</f>
        <v>0</v>
      </c>
      <c r="G29" s="6">
        <f>1*SUMIF('XXXXPLC_NY Query output'!$D:$D,G$6&amp;"_"&amp;"Ext"&amp;"_"&amp;$D29,'XXXXPLC_NY Query output'!$I:$I)/1000000</f>
        <v>0</v>
      </c>
      <c r="H29" s="6">
        <f>1*SUMIF('XXXXPLC_NY Query output'!$D:$D,H$6&amp;"_"&amp;"Ext"&amp;"_"&amp;$D29,'XXXXPLC_NY Query output'!$I:$I)/1000000</f>
        <v>0</v>
      </c>
      <c r="I29" s="6">
        <f>1*SUMIF('XXXXPLC_NY Query output'!$D:$D,I$6&amp;"_"&amp;"Ext"&amp;"_"&amp;$D29,'XXXXPLC_NY Query output'!$I:$I)/1000000</f>
        <v>0</v>
      </c>
      <c r="J29" s="6">
        <f>1*SUMIF('XXXXPLC_NY Query output'!$D:$D,J$6&amp;"_"&amp;"Ext"&amp;"_"&amp;$D29,'XXXXPLC_NY Query output'!$I:$I)/1000000</f>
        <v>0</v>
      </c>
      <c r="K29" s="6">
        <f>1*SUMIF('XXXXPLC_NY Query output'!$D:$D,K$6&amp;"_"&amp;"Ext"&amp;"_"&amp;$D29,'XXXXPLC_NY Query output'!$I:$I)/1000000</f>
        <v>0</v>
      </c>
      <c r="L29" s="6">
        <f>1*SUMIF('XXXXPLC_NY Query output'!$D:$D,L$6&amp;"_"&amp;"Ext"&amp;"_"&amp;$D29,'XXXXPLC_NY Query output'!$I:$I)/1000000</f>
        <v>0</v>
      </c>
      <c r="M29" s="6">
        <f>1*SUMIF('XXXXPLC_NY Query output'!$D:$D,M$6&amp;"_"&amp;"Ext"&amp;"_"&amp;$D29,'XXXXPLC_NY Query output'!$I:$I)/1000000</f>
        <v>0</v>
      </c>
      <c r="N29" s="6">
        <f>1*SUMIF('XXXXPLC_NY Query output'!$D:$D,N$6&amp;"_"&amp;"Ext"&amp;"_"&amp;$D29,'XXXXPLC_NY Query output'!$I:$I)/1000000</f>
        <v>0</v>
      </c>
      <c r="O29" s="6">
        <f>1*SUMIF('XXXXPLC_NY Query output'!$D:$D,O$6&amp;"_"&amp;"Ext"&amp;"_"&amp;$D29,'XXXXPLC_NY Query output'!$I:$I)/1000000</f>
        <v>0</v>
      </c>
      <c r="P29" s="6">
        <f>1*SUMIF('XXXXPLC_NY Query output'!$D:$D,P$6&amp;"_"&amp;"Ext"&amp;"_"&amp;$D29,'XXXXPLC_NY Query output'!$I:$I)/1000000</f>
        <v>0</v>
      </c>
      <c r="Q29" s="46">
        <f>1*SUMIF('XXXXPLC_NY Query output'!$D:$D,Q$6&amp;"_"&amp;"Ext"&amp;"_"&amp;$D29,'XXXXPLC_NY Query output'!$I:$I)/1000000</f>
        <v>0</v>
      </c>
      <c r="U29" s="80" t="s">
        <v>152</v>
      </c>
      <c r="V29" s="82" t="s">
        <v>111</v>
      </c>
      <c r="W29" s="141" t="s">
        <v>112</v>
      </c>
      <c r="X29" s="141" t="s">
        <v>101</v>
      </c>
      <c r="Y29" s="141" t="s">
        <v>108</v>
      </c>
      <c r="Z29" s="141" t="s">
        <v>102</v>
      </c>
      <c r="AA29" s="141" t="s">
        <v>106</v>
      </c>
      <c r="AB29" s="141" t="s">
        <v>113</v>
      </c>
      <c r="AC29" s="141" t="s">
        <v>103</v>
      </c>
      <c r="AD29" s="141" t="s">
        <v>109</v>
      </c>
      <c r="AE29" s="141" t="s">
        <v>107</v>
      </c>
      <c r="AF29" s="141" t="s">
        <v>110</v>
      </c>
      <c r="AG29" s="81" t="s">
        <v>63</v>
      </c>
    </row>
    <row r="30" spans="1:33" ht="12.75" outlineLevel="1">
      <c r="A30" s="7"/>
      <c r="B30" s="7"/>
      <c r="C30" s="263"/>
      <c r="D30" s="160" t="s">
        <v>67</v>
      </c>
      <c r="E30" s="238">
        <f>1*SUMIF('XXXXPLC_NY Query output'!$D:$D,E$6&amp;"_"&amp;"Ext"&amp;"_"&amp;$D30,'XXXXPLC_NY Query output'!$I:$I)/1000000</f>
        <v>0</v>
      </c>
      <c r="F30" s="6">
        <f>1*SUMIF('XXXXPLC_NY Query output'!$D:$D,F$6&amp;"_"&amp;"Ext"&amp;"_"&amp;$D30,'XXXXPLC_NY Query output'!$I:$I)/1000000</f>
        <v>9</v>
      </c>
      <c r="G30" s="6">
        <f>1*SUMIF('XXXXPLC_NY Query output'!$D:$D,G$6&amp;"_"&amp;"Ext"&amp;"_"&amp;$D30,'XXXXPLC_NY Query output'!$I:$I)/1000000</f>
        <v>0</v>
      </c>
      <c r="H30" s="6">
        <f>1*SUMIF('XXXXPLC_NY Query output'!$D:$D,H$6&amp;"_"&amp;"Ext"&amp;"_"&amp;$D30,'XXXXPLC_NY Query output'!$I:$I)/1000000</f>
        <v>0</v>
      </c>
      <c r="I30" s="6">
        <f>1*SUMIF('XXXXPLC_NY Query output'!$D:$D,I$6&amp;"_"&amp;"Ext"&amp;"_"&amp;$D30,'XXXXPLC_NY Query output'!$I:$I)/1000000</f>
        <v>0</v>
      </c>
      <c r="J30" s="6">
        <f>1*SUMIF('XXXXPLC_NY Query output'!$D:$D,J$6&amp;"_"&amp;"Ext"&amp;"_"&amp;$D30,'XXXXPLC_NY Query output'!$I:$I)/1000000</f>
        <v>0</v>
      </c>
      <c r="K30" s="6">
        <f>1*SUMIF('XXXXPLC_NY Query output'!$D:$D,K$6&amp;"_"&amp;"Ext"&amp;"_"&amp;$D30,'XXXXPLC_NY Query output'!$I:$I)/1000000</f>
        <v>0</v>
      </c>
      <c r="L30" s="6">
        <f>1*SUMIF('XXXXPLC_NY Query output'!$D:$D,L$6&amp;"_"&amp;"Ext"&amp;"_"&amp;$D30,'XXXXPLC_NY Query output'!$I:$I)/1000000</f>
        <v>0</v>
      </c>
      <c r="M30" s="6">
        <f>1*SUMIF('XXXXPLC_NY Query output'!$D:$D,M$6&amp;"_"&amp;"Ext"&amp;"_"&amp;$D30,'XXXXPLC_NY Query output'!$I:$I)/1000000</f>
        <v>0</v>
      </c>
      <c r="N30" s="6">
        <f>1*SUMIF('XXXXPLC_NY Query output'!$D:$D,N$6&amp;"_"&amp;"Ext"&amp;"_"&amp;$D30,'XXXXPLC_NY Query output'!$I:$I)/1000000</f>
        <v>0</v>
      </c>
      <c r="O30" s="6">
        <f>1*SUMIF('XXXXPLC_NY Query output'!$D:$D,O$6&amp;"_"&amp;"Ext"&amp;"_"&amp;$D30,'XXXXPLC_NY Query output'!$I:$I)/1000000</f>
        <v>0</v>
      </c>
      <c r="P30" s="6">
        <f>1*SUMIF('XXXXPLC_NY Query output'!$D:$D,P$6&amp;"_"&amp;"Ext"&amp;"_"&amp;$D30,'XXXXPLC_NY Query output'!$I:$I)/1000000</f>
        <v>0</v>
      </c>
      <c r="Q30" s="46">
        <f>1*SUMIF('XXXXPLC_NY Query output'!$D:$D,Q$6&amp;"_"&amp;"Ext"&amp;"_"&amp;$D30,'XXXXPLC_NY Query output'!$I:$I)/1000000</f>
        <v>0</v>
      </c>
      <c r="U30" s="82" t="s">
        <v>78</v>
      </c>
      <c r="V30" s="140">
        <v>-1519099.7100000002</v>
      </c>
      <c r="W30" s="142">
        <v>-819230.96000000066</v>
      </c>
      <c r="X30" s="142">
        <v>-221938.8900000006</v>
      </c>
      <c r="Y30" s="142">
        <v>-88837.02</v>
      </c>
      <c r="Z30" s="142"/>
      <c r="AA30" s="142">
        <v>86.16</v>
      </c>
      <c r="AB30" s="142">
        <v>-1516255.6799999997</v>
      </c>
      <c r="AC30" s="142">
        <v>-1826562.5</v>
      </c>
      <c r="AD30" s="142">
        <v>-82854062.690000027</v>
      </c>
      <c r="AE30" s="142">
        <v>380089.00000000006</v>
      </c>
      <c r="AF30" s="142">
        <v>-100519583.94000003</v>
      </c>
      <c r="AG30" s="87">
        <v>-188985396.23000005</v>
      </c>
    </row>
    <row r="31" spans="1:33" ht="12.75" outlineLevel="1">
      <c r="A31" s="7"/>
      <c r="B31" s="7"/>
      <c r="C31" s="263"/>
      <c r="D31" s="160" t="s">
        <v>124</v>
      </c>
      <c r="E31" s="238">
        <f>1*SUMIF('XXXXPLC_NY Query output'!$D:$D,E$6&amp;"_"&amp;"Ext"&amp;"_"&amp;$D31,'XXXXPLC_NY Query output'!$I:$I)/1000000</f>
        <v>0</v>
      </c>
      <c r="F31" s="6">
        <f>1*SUMIF('XXXXPLC_NY Query output'!$D:$D,F$6&amp;"_"&amp;"Ext"&amp;"_"&amp;$D31,'XXXXPLC_NY Query output'!$I:$I)/1000000</f>
        <v>0</v>
      </c>
      <c r="G31" s="6">
        <f>1*SUMIF('XXXXPLC_NY Query output'!$D:$D,G$6&amp;"_"&amp;"Ext"&amp;"_"&amp;$D31,'XXXXPLC_NY Query output'!$I:$I)/1000000</f>
        <v>0</v>
      </c>
      <c r="H31" s="6">
        <f>1*SUMIF('XXXXPLC_NY Query output'!$D:$D,H$6&amp;"_"&amp;"Ext"&amp;"_"&amp;$D31,'XXXXPLC_NY Query output'!$I:$I)/1000000</f>
        <v>0</v>
      </c>
      <c r="I31" s="6">
        <f>1*SUMIF('XXXXPLC_NY Query output'!$D:$D,I$6&amp;"_"&amp;"Ext"&amp;"_"&amp;$D31,'XXXXPLC_NY Query output'!$I:$I)/1000000</f>
        <v>0</v>
      </c>
      <c r="J31" s="6">
        <f>1*SUMIF('XXXXPLC_NY Query output'!$D:$D,J$6&amp;"_"&amp;"Ext"&amp;"_"&amp;$D31,'XXXXPLC_NY Query output'!$I:$I)/1000000</f>
        <v>0</v>
      </c>
      <c r="K31" s="6">
        <f>1*SUMIF('XXXXPLC_NY Query output'!$D:$D,K$6&amp;"_"&amp;"Ext"&amp;"_"&amp;$D31,'XXXXPLC_NY Query output'!$I:$I)/1000000</f>
        <v>0</v>
      </c>
      <c r="L31" s="6">
        <f>1*SUMIF('XXXXPLC_NY Query output'!$D:$D,L$6&amp;"_"&amp;"Ext"&amp;"_"&amp;$D31,'XXXXPLC_NY Query output'!$I:$I)/1000000</f>
        <v>0</v>
      </c>
      <c r="M31" s="6">
        <f>1*SUMIF('XXXXPLC_NY Query output'!$D:$D,M$6&amp;"_"&amp;"Ext"&amp;"_"&amp;$D31,'XXXXPLC_NY Query output'!$I:$I)/1000000</f>
        <v>0</v>
      </c>
      <c r="N31" s="6">
        <f>1*SUMIF('XXXXPLC_NY Query output'!$D:$D,N$6&amp;"_"&amp;"Ext"&amp;"_"&amp;$D31,'XXXXPLC_NY Query output'!$I:$I)/1000000</f>
        <v>0</v>
      </c>
      <c r="O31" s="6">
        <f>1*SUMIF('XXXXPLC_NY Query output'!$D:$D,O$6&amp;"_"&amp;"Ext"&amp;"_"&amp;$D31,'XXXXPLC_NY Query output'!$I:$I)/1000000</f>
        <v>0</v>
      </c>
      <c r="P31" s="6">
        <f>1*SUMIF('XXXXPLC_NY Query output'!$D:$D,P$6&amp;"_"&amp;"Ext"&amp;"_"&amp;$D31,'XXXXPLC_NY Query output'!$I:$I)/1000000</f>
        <v>0</v>
      </c>
      <c r="Q31" s="46">
        <f>1*SUMIF('XXXXPLC_NY Query output'!$D:$D,Q$6&amp;"_"&amp;"Ext"&amp;"_"&amp;$D31,'XXXXPLC_NY Query output'!$I:$I)/1000000</f>
        <v>0</v>
      </c>
      <c r="U31" s="83" t="s">
        <v>263</v>
      </c>
      <c r="V31" s="143"/>
      <c r="W31" s="90"/>
      <c r="X31" s="90"/>
      <c r="Y31" s="90"/>
      <c r="Z31" s="90">
        <v>-9021000</v>
      </c>
      <c r="AA31" s="90"/>
      <c r="AB31" s="90"/>
      <c r="AC31" s="90"/>
      <c r="AD31" s="90">
        <v>9375</v>
      </c>
      <c r="AE31" s="90"/>
      <c r="AF31" s="90"/>
      <c r="AG31" s="88">
        <v>-9011625</v>
      </c>
    </row>
    <row r="32" spans="1:33" ht="12.75" outlineLevel="1">
      <c r="A32" s="7"/>
      <c r="B32" s="7"/>
      <c r="C32" s="263"/>
      <c r="D32" s="160" t="s">
        <v>125</v>
      </c>
      <c r="E32" s="238">
        <f>1*SUMIF('XXXXPLC_NY Query output'!$D:$D,E$6&amp;"_"&amp;"Ext"&amp;"_"&amp;$D32,'XXXXPLC_NY Query output'!$I:$I)/1000000</f>
        <v>0</v>
      </c>
      <c r="F32" s="6">
        <f>1*SUMIF('XXXXPLC_NY Query output'!$D:$D,F$6&amp;"_"&amp;"Ext"&amp;"_"&amp;$D32,'XXXXPLC_NY Query output'!$I:$I)/1000000</f>
        <v>0</v>
      </c>
      <c r="G32" s="6">
        <f>1*SUMIF('XXXXPLC_NY Query output'!$D:$D,G$6&amp;"_"&amp;"Ext"&amp;"_"&amp;$D32,'XXXXPLC_NY Query output'!$I:$I)/1000000</f>
        <v>0</v>
      </c>
      <c r="H32" s="6">
        <f>1*SUMIF('XXXXPLC_NY Query output'!$D:$D,H$6&amp;"_"&amp;"Ext"&amp;"_"&amp;$D32,'XXXXPLC_NY Query output'!$I:$I)/1000000</f>
        <v>0</v>
      </c>
      <c r="I32" s="6">
        <f>1*SUMIF('XXXXPLC_NY Query output'!$D:$D,I$6&amp;"_"&amp;"Ext"&amp;"_"&amp;$D32,'XXXXPLC_NY Query output'!$I:$I)/1000000</f>
        <v>0</v>
      </c>
      <c r="J32" s="6">
        <f>1*SUMIF('XXXXPLC_NY Query output'!$D:$D,J$6&amp;"_"&amp;"Ext"&amp;"_"&amp;$D32,'XXXXPLC_NY Query output'!$I:$I)/1000000</f>
        <v>0</v>
      </c>
      <c r="K32" s="6">
        <f>1*SUMIF('XXXXPLC_NY Query output'!$D:$D,K$6&amp;"_"&amp;"Ext"&amp;"_"&amp;$D32,'XXXXPLC_NY Query output'!$I:$I)/1000000</f>
        <v>0</v>
      </c>
      <c r="L32" s="6">
        <f>1*SUMIF('XXXXPLC_NY Query output'!$D:$D,L$6&amp;"_"&amp;"Ext"&amp;"_"&amp;$D32,'XXXXPLC_NY Query output'!$I:$I)/1000000</f>
        <v>0</v>
      </c>
      <c r="M32" s="6">
        <f>1*SUMIF('XXXXPLC_NY Query output'!$D:$D,M$6&amp;"_"&amp;"Ext"&amp;"_"&amp;$D32,'XXXXPLC_NY Query output'!$I:$I)/1000000</f>
        <v>0</v>
      </c>
      <c r="N32" s="6">
        <f>1*SUMIF('XXXXPLC_NY Query output'!$D:$D,N$6&amp;"_"&amp;"Ext"&amp;"_"&amp;$D32,'XXXXPLC_NY Query output'!$I:$I)/1000000</f>
        <v>0</v>
      </c>
      <c r="O32" s="6">
        <f>1*SUMIF('XXXXPLC_NY Query output'!$D:$D,O$6&amp;"_"&amp;"Ext"&amp;"_"&amp;$D32,'XXXXPLC_NY Query output'!$I:$I)/1000000</f>
        <v>0</v>
      </c>
      <c r="P32" s="6">
        <f>1*SUMIF('XXXXPLC_NY Query output'!$D:$D,P$6&amp;"_"&amp;"Ext"&amp;"_"&amp;$D32,'XXXXPLC_NY Query output'!$I:$I)/1000000</f>
        <v>0</v>
      </c>
      <c r="Q32" s="46">
        <f>1*SUMIF('XXXXPLC_NY Query output'!$D:$D,Q$6&amp;"_"&amp;"Ext"&amp;"_"&amp;$D32,'XXXXPLC_NY Query output'!$I:$I)/1000000</f>
        <v>0</v>
      </c>
      <c r="U32" s="84" t="s">
        <v>63</v>
      </c>
      <c r="V32" s="144">
        <v>-1519099.7100000002</v>
      </c>
      <c r="W32" s="145">
        <v>-819230.96000000066</v>
      </c>
      <c r="X32" s="145">
        <v>-221938.8900000006</v>
      </c>
      <c r="Y32" s="145">
        <v>-88837.02</v>
      </c>
      <c r="Z32" s="145">
        <v>-9021000</v>
      </c>
      <c r="AA32" s="145">
        <v>86.16</v>
      </c>
      <c r="AB32" s="145">
        <v>-1516255.6799999997</v>
      </c>
      <c r="AC32" s="145">
        <v>-1826562.5</v>
      </c>
      <c r="AD32" s="145">
        <v>-82844687.690000027</v>
      </c>
      <c r="AE32" s="145">
        <v>380089.00000000006</v>
      </c>
      <c r="AF32" s="145">
        <v>-100519583.94000003</v>
      </c>
      <c r="AG32" s="89">
        <v>-197997021.23000005</v>
      </c>
    </row>
    <row r="33" spans="1:220" ht="12.75" outlineLevel="1">
      <c r="A33" s="7"/>
      <c r="B33" s="7"/>
      <c r="C33" s="263"/>
      <c r="D33" s="160" t="s">
        <v>126</v>
      </c>
      <c r="E33" s="238">
        <f>1*SUMIF('XXXXPLC_NY Query output'!$D:$D,E$6&amp;"_"&amp;"Ext"&amp;"_"&amp;$D33,'XXXXPLC_NY Query output'!$I:$I)/1000000</f>
        <v>0</v>
      </c>
      <c r="F33" s="6">
        <f>1*SUMIF('XXXXPLC_NY Query output'!$D:$D,F$6&amp;"_"&amp;"Ext"&amp;"_"&amp;$D33,'XXXXPLC_NY Query output'!$I:$I)/1000000</f>
        <v>2.1000000000000001E-2</v>
      </c>
      <c r="G33" s="6">
        <f>1*SUMIF('XXXXPLC_NY Query output'!$D:$D,G$6&amp;"_"&amp;"Ext"&amp;"_"&amp;$D33,'XXXXPLC_NY Query output'!$I:$I)/1000000</f>
        <v>2.4301124999999999</v>
      </c>
      <c r="H33" s="6">
        <f>1*SUMIF('XXXXPLC_NY Query output'!$D:$D,H$6&amp;"_"&amp;"Ext"&amp;"_"&amp;$D33,'XXXXPLC_NY Query output'!$I:$I)/1000000</f>
        <v>0</v>
      </c>
      <c r="I33" s="6">
        <f>1*SUMIF('XXXXPLC_NY Query output'!$D:$D,I$6&amp;"_"&amp;"Ext"&amp;"_"&amp;$D33,'XXXXPLC_NY Query output'!$I:$I)/1000000</f>
        <v>0</v>
      </c>
      <c r="J33" s="6">
        <f>1*SUMIF('XXXXPLC_NY Query output'!$D:$D,J$6&amp;"_"&amp;"Ext"&amp;"_"&amp;$D33,'XXXXPLC_NY Query output'!$I:$I)/1000000</f>
        <v>0</v>
      </c>
      <c r="K33" s="6">
        <f>1*SUMIF('XXXXPLC_NY Query output'!$D:$D,K$6&amp;"_"&amp;"Ext"&amp;"_"&amp;$D33,'XXXXPLC_NY Query output'!$I:$I)/1000000</f>
        <v>-0.55067675999999999</v>
      </c>
      <c r="L33" s="6">
        <f>1*SUMIF('XXXXPLC_NY Query output'!$D:$D,L$6&amp;"_"&amp;"Ext"&amp;"_"&amp;$D33,'XXXXPLC_NY Query output'!$I:$I)/1000000</f>
        <v>0.75187499999999996</v>
      </c>
      <c r="M33" s="6">
        <f>1*SUMIF('XXXXPLC_NY Query output'!$D:$D,M$6&amp;"_"&amp;"Ext"&amp;"_"&amp;$D33,'XXXXPLC_NY Query output'!$I:$I)/1000000</f>
        <v>-0.40653909000000016</v>
      </c>
      <c r="N33" s="6">
        <f>1*SUMIF('XXXXPLC_NY Query output'!$D:$D,N$6&amp;"_"&amp;"Ext"&amp;"_"&amp;$D33,'XXXXPLC_NY Query output'!$I:$I)/1000000</f>
        <v>0.13096868000000006</v>
      </c>
      <c r="O33" s="6">
        <f>1*SUMIF('XXXXPLC_NY Query output'!$D:$D,O$6&amp;"_"&amp;"Ext"&amp;"_"&amp;$D33,'XXXXPLC_NY Query output'!$I:$I)/1000000</f>
        <v>1.9199817400000003</v>
      </c>
      <c r="P33" s="6">
        <f>1*SUMIF('XXXXPLC_NY Query output'!$D:$D,P$6&amp;"_"&amp;"Ext"&amp;"_"&amp;$D33,'XXXXPLC_NY Query output'!$I:$I)/1000000</f>
        <v>0.92562414000000004</v>
      </c>
      <c r="Q33" s="46">
        <f>1*SUMIF('XXXXPLC_NY Query output'!$D:$D,Q$6&amp;"_"&amp;"Ext"&amp;"_"&amp;$D33,'XXXXPLC_NY Query output'!$I:$I)/1000000</f>
        <v>1.4321835899999997</v>
      </c>
      <c r="U33"/>
      <c r="V33"/>
      <c r="W33"/>
      <c r="X33"/>
      <c r="Y33"/>
      <c r="Z33"/>
      <c r="AA33"/>
      <c r="AB33"/>
      <c r="AC33"/>
      <c r="AD33"/>
      <c r="AE33"/>
      <c r="AF33"/>
    </row>
    <row r="34" spans="1:220" ht="12.75" outlineLevel="1">
      <c r="A34" s="7"/>
      <c r="B34" s="7"/>
      <c r="C34" s="263"/>
      <c r="D34" s="160" t="s">
        <v>127</v>
      </c>
      <c r="E34" s="238">
        <f>1*SUMIF('XXXXPLC_NY Query output'!$D:$D,E$6&amp;"_"&amp;"Ext"&amp;"_"&amp;$D34,'XXXXPLC_NY Query output'!$I:$I)/1000000</f>
        <v>0</v>
      </c>
      <c r="F34" s="6">
        <f>1*SUMIF('XXXXPLC_NY Query output'!$D:$D,F$6&amp;"_"&amp;"Ext"&amp;"_"&amp;$D34,'XXXXPLC_NY Query output'!$I:$I)/1000000</f>
        <v>0</v>
      </c>
      <c r="G34" s="6">
        <f>1*SUMIF('XXXXPLC_NY Query output'!$D:$D,G$6&amp;"_"&amp;"Ext"&amp;"_"&amp;$D34,'XXXXPLC_NY Query output'!$I:$I)/1000000</f>
        <v>0</v>
      </c>
      <c r="H34" s="6">
        <f>1*SUMIF('XXXXPLC_NY Query output'!$D:$D,H$6&amp;"_"&amp;"Ext"&amp;"_"&amp;$D34,'XXXXPLC_NY Query output'!$I:$I)/1000000</f>
        <v>0</v>
      </c>
      <c r="I34" s="6">
        <f>1*SUMIF('XXXXPLC_NY Query output'!$D:$D,I$6&amp;"_"&amp;"Ext"&amp;"_"&amp;$D34,'XXXXPLC_NY Query output'!$I:$I)/1000000</f>
        <v>0</v>
      </c>
      <c r="J34" s="6">
        <f>1*SUMIF('XXXXPLC_NY Query output'!$D:$D,J$6&amp;"_"&amp;"Ext"&amp;"_"&amp;$D34,'XXXXPLC_NY Query output'!$I:$I)/1000000</f>
        <v>0</v>
      </c>
      <c r="K34" s="6">
        <f>1*SUMIF('XXXXPLC_NY Query output'!$D:$D,K$6&amp;"_"&amp;"Ext"&amp;"_"&amp;$D34,'XXXXPLC_NY Query output'!$I:$I)/1000000</f>
        <v>0</v>
      </c>
      <c r="L34" s="6">
        <f>1*SUMIF('XXXXPLC_NY Query output'!$D:$D,L$6&amp;"_"&amp;"Ext"&amp;"_"&amp;$D34,'XXXXPLC_NY Query output'!$I:$I)/1000000</f>
        <v>0</v>
      </c>
      <c r="M34" s="6">
        <f>1*SUMIF('XXXXPLC_NY Query output'!$D:$D,M$6&amp;"_"&amp;"Ext"&amp;"_"&amp;$D34,'XXXXPLC_NY Query output'!$I:$I)/1000000</f>
        <v>0</v>
      </c>
      <c r="N34" s="6">
        <f>1*SUMIF('XXXXPLC_NY Query output'!$D:$D,N$6&amp;"_"&amp;"Ext"&amp;"_"&amp;$D34,'XXXXPLC_NY Query output'!$I:$I)/1000000</f>
        <v>0</v>
      </c>
      <c r="O34" s="6">
        <f>1*SUMIF('XXXXPLC_NY Query output'!$D:$D,O$6&amp;"_"&amp;"Ext"&amp;"_"&amp;$D34,'XXXXPLC_NY Query output'!$I:$I)/1000000</f>
        <v>0</v>
      </c>
      <c r="P34" s="6">
        <f>1*SUMIF('XXXXPLC_NY Query output'!$D:$D,P$6&amp;"_"&amp;"Ext"&amp;"_"&amp;$D34,'XXXXPLC_NY Query output'!$I:$I)/1000000</f>
        <v>0</v>
      </c>
      <c r="Q34" s="46">
        <f>1*SUMIF('XXXXPLC_NY Query output'!$D:$D,Q$6&amp;"_"&amp;"Ext"&amp;"_"&amp;$D34,'XXXXPLC_NY Query output'!$I:$I)/1000000</f>
        <v>0</v>
      </c>
      <c r="U34"/>
      <c r="V34"/>
      <c r="W34"/>
      <c r="X34"/>
      <c r="Y34"/>
      <c r="Z34"/>
      <c r="AA34"/>
      <c r="AB34"/>
      <c r="AC34"/>
      <c r="AD34"/>
      <c r="AE34"/>
      <c r="AF34"/>
    </row>
    <row r="35" spans="1:220" ht="12.75" outlineLevel="1">
      <c r="A35" s="7"/>
      <c r="B35" s="7"/>
      <c r="C35" s="263"/>
      <c r="D35" s="160"/>
      <c r="E35" s="238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46"/>
      <c r="U35"/>
      <c r="V35"/>
      <c r="W35"/>
      <c r="X35"/>
      <c r="Y35"/>
      <c r="Z35"/>
      <c r="AA35"/>
      <c r="AB35"/>
      <c r="AC35"/>
      <c r="AD35"/>
      <c r="AE35"/>
      <c r="AF35"/>
    </row>
    <row r="36" spans="1:220" ht="12.75" outlineLevel="1">
      <c r="A36" s="7"/>
      <c r="B36" s="7"/>
      <c r="C36" s="263"/>
      <c r="D36" s="160" t="s">
        <v>156</v>
      </c>
      <c r="E36" s="238">
        <f>1*SUMIF('XXXXPLC_NY Query output'!$E:$E,E$6&amp;"_San Sabia Capital Corporation",'XXXXPLC_NY Query output'!$I:$I)/1000000</f>
        <v>0</v>
      </c>
      <c r="F36" s="6">
        <f>1*SUMIF('XXXXPLC_NY Query output'!$E:$E,F$6&amp;"_San Sabia Capital Corporation",'XXXXPLC_NY Query output'!$I:$I)/1000000</f>
        <v>-9.0210000000000008</v>
      </c>
      <c r="G36" s="6">
        <f>1*SUMIF('XXXXPLC_NY Query output'!$E:$E,G$6&amp;"_San Sabia Capital Corporation",'XXXXPLC_NY Query output'!$I:$I)/1000000</f>
        <v>0</v>
      </c>
      <c r="H36" s="6">
        <f>1*SUMIF('XXXXPLC_NY Query output'!$E:$E,H$6&amp;"_San Sabia Capital Corporation",'XXXXPLC_NY Query output'!$I:$I)/1000000</f>
        <v>0</v>
      </c>
      <c r="I36" s="6">
        <f>1*SUMIF('XXXXPLC_NY Query output'!$E:$E,I$6&amp;"_San Sabia Capital Corporation",'XXXXPLC_NY Query output'!$I:$I)/1000000</f>
        <v>0</v>
      </c>
      <c r="J36" s="6">
        <f>1*SUMIF('XXXXPLC_NY Query output'!$E:$E,J$6&amp;"_San Sabia Capital Corporation",'XXXXPLC_NY Query output'!$I:$I)/1000000</f>
        <v>0</v>
      </c>
      <c r="K36" s="6">
        <f>1*SUMIF('XXXXPLC_NY Query output'!$E:$E,K$6&amp;"_San Sabia Capital Corporation",'XXXXPLC_NY Query output'!$I:$I)/1000000</f>
        <v>0</v>
      </c>
      <c r="L36" s="6">
        <f>1*SUMIF('XXXXPLC_NY Query output'!$E:$E,L$6&amp;"_San Sabia Capital Corporation",'XXXXPLC_NY Query output'!$I:$I)/1000000</f>
        <v>0</v>
      </c>
      <c r="M36" s="6">
        <f>1*SUMIF('XXXXPLC_NY Query output'!$E:$E,M$6&amp;"_San Sabia Capital Corporation",'XXXXPLC_NY Query output'!$I:$I)/1000000</f>
        <v>9.3749999999999997E-3</v>
      </c>
      <c r="N36" s="6">
        <f>1*SUMIF('XXXXPLC_NY Query output'!$E:$E,N$6&amp;"_San Sabia Capital Corporation",'XXXXPLC_NY Query output'!$I:$I)/1000000</f>
        <v>0</v>
      </c>
      <c r="O36" s="6">
        <f>1*SUMIF('XXXXPLC_NY Query output'!$E:$E,O$6&amp;"_San Sabia Capital Corporation",'XXXXPLC_NY Query output'!$I:$I)/1000000</f>
        <v>0</v>
      </c>
      <c r="P36" s="6">
        <f>1*SUMIF('XXXXPLC_NY Query output'!$E:$E,P$6&amp;"_San Sabia Capital Corporation",'XXXXPLC_NY Query output'!$I:$I)/1000000</f>
        <v>0</v>
      </c>
      <c r="Q36" s="46">
        <f>1*SUMIF('XXXXPLC_NY Query output'!$E:$E,Q$6&amp;"_San Sabia Capital Corporation",'XXXXPLC_NY Query output'!$I:$I)/1000000</f>
        <v>0</v>
      </c>
      <c r="U36"/>
      <c r="V36"/>
      <c r="W36"/>
      <c r="X36"/>
      <c r="Y36"/>
      <c r="Z36"/>
      <c r="AA36"/>
      <c r="AB36"/>
      <c r="AC36"/>
      <c r="AD36"/>
      <c r="AE36"/>
      <c r="AF36"/>
    </row>
    <row r="37" spans="1:220" ht="12.75" outlineLevel="1">
      <c r="A37" s="7"/>
      <c r="B37" s="7"/>
      <c r="C37" s="263"/>
      <c r="D37" s="160" t="s">
        <v>151</v>
      </c>
      <c r="E37" s="238">
        <f>1*SUMIF('XXXXPLC_NY Query output'!$E:$E,E$6&amp;"_Depfa Bank Plc",'XXXXPLC_NY Query output'!$I:$I)/1000000</f>
        <v>-0.22193889000000058</v>
      </c>
      <c r="F37" s="6">
        <f>1*SUMIF('XXXXPLC_NY Query output'!$E:$E,F$6&amp;"_Depfa Bank Plc",'XXXXPLC_NY Query output'!$I:$I)/1000000</f>
        <v>0</v>
      </c>
      <c r="G37" s="6">
        <f>1*SUMIF('XXXXPLC_NY Query output'!$E:$E,G$6&amp;"_Depfa Bank Plc",'XXXXPLC_NY Query output'!$I:$I)/1000000</f>
        <v>-1.8265625000000001</v>
      </c>
      <c r="H37" s="6">
        <f>1*SUMIF('XXXXPLC_NY Query output'!$E:$E,H$6&amp;"_Depfa Bank Plc",'XXXXPLC_NY Query output'!$I:$I)/1000000</f>
        <v>0</v>
      </c>
      <c r="I37" s="6">
        <f>1*SUMIF('XXXXPLC_NY Query output'!$E:$E,I$6&amp;"_Depfa Bank Plc",'XXXXPLC_NY Query output'!$I:$I)/1000000</f>
        <v>0</v>
      </c>
      <c r="J37" s="6">
        <f>1*SUMIF('XXXXPLC_NY Query output'!$E:$E,J$6&amp;"_Depfa Bank Plc",'XXXXPLC_NY Query output'!$I:$I)/1000000</f>
        <v>8.6160000000000002E-5</v>
      </c>
      <c r="K37" s="6">
        <f>1*SUMIF('XXXXPLC_NY Query output'!$E:$E,K$6&amp;"_Depfa Bank Plc",'XXXXPLC_NY Query output'!$I:$I)/1000000</f>
        <v>0.38008900000000007</v>
      </c>
      <c r="L37" s="6">
        <f>1*SUMIF('XXXXPLC_NY Query output'!$E:$E,L$6&amp;"_Depfa Bank Plc",'XXXXPLC_NY Query output'!$I:$I)/1000000</f>
        <v>-8.8837020000000003E-2</v>
      </c>
      <c r="M37" s="6">
        <f>1*SUMIF('XXXXPLC_NY Query output'!$E:$E,M$6&amp;"_Depfa Bank Plc",'XXXXPLC_NY Query output'!$I:$I)/1000000</f>
        <v>-82.854062689999992</v>
      </c>
      <c r="N37" s="6">
        <f>1*SUMIF('XXXXPLC_NY Query output'!$E:$E,N$6&amp;"_Depfa Bank Plc",'XXXXPLC_NY Query output'!$I:$I)/1000000</f>
        <v>-100.51958394000003</v>
      </c>
      <c r="O37" s="6">
        <f>1*SUMIF('XXXXPLC_NY Query output'!$E:$E,O$6&amp;"_Depfa Bank Plc",'XXXXPLC_NY Query output'!$I:$I)/1000000</f>
        <v>-1.519099709999999</v>
      </c>
      <c r="P37" s="6">
        <f>1*SUMIF('XXXXPLC_NY Query output'!$E:$E,P$6&amp;"_Depfa Bank Plc",'XXXXPLC_NY Query output'!$I:$I)/1000000</f>
        <v>-0.81923096000000051</v>
      </c>
      <c r="Q37" s="46">
        <f>1*SUMIF('XXXXPLC_NY Query output'!$E:$E,Q$6&amp;"_Depfa Bank Plc",'XXXXPLC_NY Query output'!$I:$I)/1000000</f>
        <v>-1.5162556800000009</v>
      </c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</row>
    <row r="38" spans="1:220" ht="12.75" outlineLevel="1">
      <c r="A38" s="7"/>
      <c r="B38" s="7"/>
      <c r="C38" s="263"/>
      <c r="D38" s="160"/>
      <c r="E38" s="239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46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</row>
    <row r="39" spans="1:220" ht="12.75">
      <c r="C39" s="263"/>
      <c r="D39" s="161" t="s">
        <v>128</v>
      </c>
      <c r="E39" s="47">
        <f>SUM(E9:E34,E36:E37)</f>
        <v>91.947561532124993</v>
      </c>
      <c r="F39" s="33">
        <f t="shared" ref="F39:Q39" si="1">SUM(F9:F34,F36:F37)</f>
        <v>0</v>
      </c>
      <c r="G39" s="33">
        <f t="shared" si="1"/>
        <v>0.60354999999999981</v>
      </c>
      <c r="H39" s="33">
        <f t="shared" si="1"/>
        <v>0</v>
      </c>
      <c r="I39" s="33">
        <f t="shared" si="1"/>
        <v>0</v>
      </c>
      <c r="J39" s="33">
        <f t="shared" si="1"/>
        <v>8.6160000000000002E-5</v>
      </c>
      <c r="K39" s="33">
        <f t="shared" si="1"/>
        <v>15.02123385</v>
      </c>
      <c r="L39" s="33">
        <f t="shared" si="1"/>
        <v>0.66303797999999992</v>
      </c>
      <c r="M39" s="33">
        <f t="shared" si="1"/>
        <v>82.839311580000029</v>
      </c>
      <c r="N39" s="33">
        <f t="shared" si="1"/>
        <v>-51.141046290000034</v>
      </c>
      <c r="O39" s="33">
        <f t="shared" si="1"/>
        <v>-14.816805749999991</v>
      </c>
      <c r="P39" s="33">
        <f t="shared" si="1"/>
        <v>17.74470153</v>
      </c>
      <c r="Q39" s="48">
        <f t="shared" si="1"/>
        <v>-16.024128530000009</v>
      </c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</row>
    <row r="40" spans="1:220" ht="15">
      <c r="C40" s="264"/>
      <c r="D40" s="162" t="s">
        <v>129</v>
      </c>
      <c r="E40" s="49">
        <f>E39</f>
        <v>91.947561532124993</v>
      </c>
      <c r="F40" s="34">
        <f t="shared" ref="F40:Q40" si="2">E40+F39</f>
        <v>91.947561532124993</v>
      </c>
      <c r="G40" s="34">
        <f t="shared" si="2"/>
        <v>92.551111532124992</v>
      </c>
      <c r="H40" s="34">
        <f t="shared" si="2"/>
        <v>92.551111532124992</v>
      </c>
      <c r="I40" s="34">
        <f t="shared" si="2"/>
        <v>92.551111532124992</v>
      </c>
      <c r="J40" s="34">
        <f t="shared" si="2"/>
        <v>92.551197692124987</v>
      </c>
      <c r="K40" s="34">
        <f t="shared" si="2"/>
        <v>107.57243154212499</v>
      </c>
      <c r="L40" s="34">
        <f t="shared" si="2"/>
        <v>108.23546952212499</v>
      </c>
      <c r="M40" s="34">
        <f t="shared" si="2"/>
        <v>191.07478110212503</v>
      </c>
      <c r="N40" s="34">
        <f t="shared" si="2"/>
        <v>139.93373481212501</v>
      </c>
      <c r="O40" s="34">
        <f t="shared" si="2"/>
        <v>125.11692906212502</v>
      </c>
      <c r="P40" s="34">
        <f t="shared" si="2"/>
        <v>142.86163059212504</v>
      </c>
      <c r="Q40" s="50">
        <f t="shared" si="2"/>
        <v>126.83750206212503</v>
      </c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</row>
    <row r="41" spans="1:220" ht="12.75">
      <c r="A41" s="3"/>
      <c r="B41" s="3"/>
      <c r="C41" s="2"/>
      <c r="D41" s="163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</row>
    <row r="42" spans="1:220" ht="36.75" customHeight="1">
      <c r="A42" s="3"/>
      <c r="B42" s="3"/>
      <c r="C42" s="265" t="s">
        <v>295</v>
      </c>
      <c r="D42" s="95" t="s">
        <v>154</v>
      </c>
      <c r="E42" s="64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6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</row>
    <row r="43" spans="1:220" ht="34.5" customHeight="1">
      <c r="A43" s="3"/>
      <c r="B43" s="3"/>
      <c r="C43" s="266"/>
      <c r="D43" s="164" t="s">
        <v>263</v>
      </c>
      <c r="E43" s="154">
        <f>1*SUMIF('XXXXPLC_NY Query output'!$F:$F,E$6&amp;"_San Sabia Capital Corporation",'XXXXPLC_NY Query output'!$I:$I)/1000000</f>
        <v>0</v>
      </c>
      <c r="F43" s="155">
        <f>1*SUMIF('XXXXPLC_NY Query output'!$F:$F,F$6&amp;"_San Sabia Capital Corporation",'XXXXPLC_NY Query output'!$I:$I)/1000000</f>
        <v>9.0210000000000008</v>
      </c>
      <c r="G43" s="155">
        <f>1*SUMIF('XXXXPLC_NY Query output'!$F:$F,G$6&amp;"_San Sabia Capital Corporation",'XXXXPLC_NY Query output'!$I:$I)/1000000</f>
        <v>0</v>
      </c>
      <c r="H43" s="155">
        <f>1*SUMIF('XXXXPLC_NY Query output'!$F:$F,H$6&amp;"_San Sabia Capital Corporation",'XXXXPLC_NY Query output'!$I:$I)/1000000</f>
        <v>0</v>
      </c>
      <c r="I43" s="155">
        <f>1*SUMIF('XXXXPLC_NY Query output'!$F:$F,I$6&amp;"_San Sabia Capital Corporation",'XXXXPLC_NY Query output'!$I:$I)/1000000</f>
        <v>0</v>
      </c>
      <c r="J43" s="155">
        <f>1*SUMIF('XXXXPLC_NY Query output'!$F:$F,J$6&amp;"_San Sabia Capital Corporation",'XXXXPLC_NY Query output'!$I:$I)/1000000</f>
        <v>8.6160000000000002E-5</v>
      </c>
      <c r="K43" s="155">
        <f>1*SUMIF('XXXXPLC_NY Query output'!$F:$F,K$6&amp;"_San Sabia Capital Corporation",'XXXXPLC_NY Query output'!$I:$I)/1000000</f>
        <v>2.6214000000000001E-4</v>
      </c>
      <c r="L43" s="155">
        <f>1*SUMIF('XXXXPLC_NY Query output'!$F:$F,L$6&amp;"_San Sabia Capital Corporation",'XXXXPLC_NY Query output'!$I:$I)/1000000</f>
        <v>0</v>
      </c>
      <c r="M43" s="155">
        <f>1*SUMIF('XXXXPLC_NY Query output'!$F:$F,M$6&amp;"_San Sabia Capital Corporation",'XXXXPLC_NY Query output'!$I:$I)/1000000</f>
        <v>-1.7344645299999997</v>
      </c>
      <c r="N43" s="155">
        <f>1*SUMIF('XXXXPLC_NY Query output'!$F:$F,N$6&amp;"_San Sabia Capital Corporation",'XXXXPLC_NY Query output'!$I:$I)/1000000</f>
        <v>1.0891716100000002</v>
      </c>
      <c r="O43" s="155">
        <f>1*SUMIF('XXXXPLC_NY Query output'!$F:$F,O$6&amp;"_San Sabia Capital Corporation",'XXXXPLC_NY Query output'!$I:$I)/1000000</f>
        <v>-1.6186639699999998</v>
      </c>
      <c r="P43" s="155">
        <f>1*SUMIF('XXXXPLC_NY Query output'!$F:$F,P$6&amp;"_San Sabia Capital Corporation",'XXXXPLC_NY Query output'!$I:$I)/1000000</f>
        <v>-2.9142979999999929E-2</v>
      </c>
      <c r="Q43" s="156">
        <f>1*SUMIF('XXXXPLC_NY Query output'!$F:$F,Q$6&amp;"_San Sabia Capital Corporation",'XXXXPLC_NY Query output'!$I:$I)/1000000</f>
        <v>-0.52562964999999995</v>
      </c>
    </row>
    <row r="44" spans="1:220" ht="9" customHeight="1">
      <c r="A44" s="3"/>
      <c r="B44" s="3"/>
      <c r="C44" s="267"/>
      <c r="D44" s="165"/>
      <c r="E44" s="137"/>
      <c r="F44" s="135"/>
      <c r="G44" s="135"/>
      <c r="H44" s="135"/>
      <c r="I44" s="135"/>
      <c r="J44" s="135"/>
      <c r="K44" s="135"/>
      <c r="L44" s="135"/>
      <c r="M44" s="135"/>
      <c r="N44" s="135"/>
      <c r="O44" s="135"/>
      <c r="P44" s="135"/>
      <c r="Q44" s="136"/>
      <c r="W44"/>
      <c r="X44"/>
      <c r="Y44"/>
      <c r="Z44"/>
      <c r="AA44"/>
    </row>
    <row r="45" spans="1:220" ht="12.75">
      <c r="A45" s="3"/>
      <c r="B45" s="3"/>
      <c r="C45" s="2"/>
      <c r="D45" s="163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U45" s="80" t="s">
        <v>266</v>
      </c>
      <c r="V45" s="81"/>
      <c r="W45"/>
      <c r="X45"/>
      <c r="Y45"/>
      <c r="Z45"/>
      <c r="AA45"/>
    </row>
    <row r="46" spans="1:220" ht="14.25">
      <c r="C46" s="256" t="s">
        <v>130</v>
      </c>
      <c r="D46" s="166"/>
      <c r="E46" s="51"/>
      <c r="F46" s="35"/>
      <c r="G46" s="35"/>
      <c r="H46" s="35"/>
      <c r="I46" s="35"/>
      <c r="J46" s="35"/>
      <c r="K46" s="35"/>
      <c r="L46" s="35"/>
      <c r="M46" s="35"/>
      <c r="N46" s="35"/>
      <c r="O46" s="35"/>
      <c r="P46" s="36"/>
      <c r="Q46" s="52"/>
      <c r="U46" s="80" t="s">
        <v>152</v>
      </c>
      <c r="V46" s="81" t="s">
        <v>62</v>
      </c>
      <c r="W46"/>
      <c r="X46"/>
      <c r="Y46"/>
      <c r="Z46"/>
      <c r="AA46"/>
    </row>
    <row r="47" spans="1:220" ht="14.25">
      <c r="C47" s="268"/>
      <c r="D47" s="167" t="s">
        <v>59</v>
      </c>
      <c r="E47" s="45"/>
      <c r="F47" s="6"/>
      <c r="G47" s="6"/>
      <c r="H47" s="6"/>
      <c r="I47" s="6"/>
      <c r="J47" s="6"/>
      <c r="K47" s="6"/>
      <c r="L47" s="6"/>
      <c r="M47" s="6"/>
      <c r="N47" s="6"/>
      <c r="O47" s="6"/>
      <c r="P47" s="13"/>
      <c r="Q47" s="53"/>
      <c r="U47" s="82" t="s">
        <v>78</v>
      </c>
      <c r="V47" s="87">
        <v>-188985396.22999996</v>
      </c>
      <c r="W47"/>
      <c r="X47"/>
      <c r="Y47"/>
      <c r="Z47"/>
      <c r="AA47"/>
    </row>
    <row r="48" spans="1:220" ht="14.25">
      <c r="A48" s="10"/>
      <c r="B48" s="10"/>
      <c r="C48" s="268"/>
      <c r="D48" s="167" t="s">
        <v>60</v>
      </c>
      <c r="E48" s="45"/>
      <c r="F48" s="6"/>
      <c r="G48" s="6"/>
      <c r="H48" s="6"/>
      <c r="I48" s="6"/>
      <c r="J48" s="6"/>
      <c r="K48" s="6"/>
      <c r="L48" s="6"/>
      <c r="M48" s="6"/>
      <c r="N48" s="6"/>
      <c r="O48" s="6"/>
      <c r="P48" s="13"/>
      <c r="Q48" s="53"/>
      <c r="U48" s="83" t="s">
        <v>263</v>
      </c>
      <c r="V48" s="88">
        <v>-9011625</v>
      </c>
      <c r="W48" s="90"/>
    </row>
    <row r="49" spans="1:366" ht="14.25">
      <c r="C49" s="268"/>
      <c r="D49" s="167" t="s">
        <v>61</v>
      </c>
      <c r="E49" s="45"/>
      <c r="F49" s="6"/>
      <c r="G49" s="6"/>
      <c r="H49" s="6"/>
      <c r="I49" s="6"/>
      <c r="J49" s="6"/>
      <c r="K49" s="6"/>
      <c r="L49" s="6"/>
      <c r="M49" s="6"/>
      <c r="N49" s="6"/>
      <c r="O49" s="6"/>
      <c r="P49" s="13"/>
      <c r="Q49" s="53"/>
      <c r="U49" s="84" t="s">
        <v>63</v>
      </c>
      <c r="V49" s="89">
        <v>-197997021.22999996</v>
      </c>
    </row>
    <row r="50" spans="1:366" ht="12.75">
      <c r="C50" s="268"/>
      <c r="D50" s="168"/>
      <c r="E50" s="45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46"/>
      <c r="U50"/>
      <c r="V50"/>
    </row>
    <row r="51" spans="1:366" ht="9.75" customHeight="1">
      <c r="C51" s="268"/>
      <c r="D51" s="169" t="s">
        <v>68</v>
      </c>
      <c r="E51" s="45">
        <f>SUMIF(Inputs!$H:$H,E$7,Inputs!$I:$I)/1000000</f>
        <v>0</v>
      </c>
      <c r="F51" s="6">
        <f>SUMIF(Inputs!$H:$H,F$7,Inputs!$I:$I)/1000000</f>
        <v>0</v>
      </c>
      <c r="G51" s="6">
        <f>SUMIF(Inputs!$H:$H,G$7,Inputs!$I:$I)/1000000</f>
        <v>0</v>
      </c>
      <c r="H51" s="6">
        <f>SUMIF(Inputs!$H:$H,H$7,Inputs!$I:$I)/1000000</f>
        <v>0</v>
      </c>
      <c r="I51" s="6">
        <f>SUMIF(Inputs!$H:$H,I$7,Inputs!$I:$I)/1000000</f>
        <v>0</v>
      </c>
      <c r="J51" s="6">
        <f>SUMIF(Inputs!$H:$H,"&lt;="&amp;J$7,Inputs!$I:$I)/1000000 - SUM($E51:I51)</f>
        <v>0</v>
      </c>
      <c r="K51" s="6">
        <f>SUMIF(Inputs!$H:$H,"&lt;="&amp;K$7,Inputs!$I:$I)/1000000 - SUM($E51:J51)</f>
        <v>0</v>
      </c>
      <c r="L51" s="6">
        <f>SUMIF(Inputs!$H:$H,"&lt;="&amp;L$7,Inputs!$I:$I)/1000000 - SUM($E51:K51)</f>
        <v>0</v>
      </c>
      <c r="M51" s="6">
        <f>SUMIF(Inputs!$H:$H,"&lt;="&amp;M$7,Inputs!$I:$I)/1000000 - SUM($E51:L51)</f>
        <v>0</v>
      </c>
      <c r="N51" s="6">
        <f>SUMIF(Inputs!$H:$H,"&lt;="&amp;N$7,Inputs!$I:$I)/1000000 - SUM($E51:M51)</f>
        <v>0</v>
      </c>
      <c r="O51" s="6">
        <f>SUMIF(Inputs!$H:$H,"&lt;="&amp;O$7,Inputs!$I:$I)/1000000 - SUM($E51:N51)</f>
        <v>0</v>
      </c>
      <c r="P51" s="6">
        <f>SUMIF(Inputs!$H:$H,"&lt;="&amp;P$7,Inputs!$I:$I)/1000000 - SUM($E51:O51)</f>
        <v>0</v>
      </c>
      <c r="Q51" s="46">
        <f>SUMIF(Inputs!$H:$H,"&lt;="&amp;Q$7,Inputs!$I:$I)/1000000 - SUM($E51:P51)</f>
        <v>0</v>
      </c>
      <c r="U51"/>
      <c r="V51"/>
    </row>
    <row r="52" spans="1:366" ht="9" customHeight="1">
      <c r="C52" s="268"/>
      <c r="D52" s="167"/>
      <c r="E52" s="45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46"/>
      <c r="U52"/>
      <c r="V52"/>
    </row>
    <row r="53" spans="1:366" ht="12.75">
      <c r="C53" s="268"/>
      <c r="D53" s="167"/>
      <c r="E53" s="45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46"/>
      <c r="U53" s="80" t="s">
        <v>266</v>
      </c>
      <c r="V53" s="138"/>
      <c r="W53" s="80" t="s">
        <v>267</v>
      </c>
      <c r="X53" s="138"/>
      <c r="Y53" s="138"/>
      <c r="Z53" s="138"/>
      <c r="AA53" s="138"/>
      <c r="AB53" s="138"/>
      <c r="AC53" s="138"/>
      <c r="AD53" s="138"/>
      <c r="AE53" s="138"/>
      <c r="AF53" s="138"/>
      <c r="AG53" s="138"/>
      <c r="AH53" s="138"/>
      <c r="AI53" s="138"/>
      <c r="AJ53" s="138"/>
      <c r="AK53" s="138"/>
      <c r="AL53" s="138"/>
      <c r="AM53" s="138"/>
      <c r="AN53" s="138"/>
      <c r="AO53" s="138"/>
      <c r="AP53" s="138"/>
      <c r="AQ53" s="138"/>
      <c r="AR53" s="138"/>
      <c r="AS53" s="138"/>
      <c r="AT53" s="138"/>
      <c r="AU53" s="138"/>
      <c r="AV53" s="138"/>
      <c r="AW53" s="138"/>
      <c r="AX53" s="138"/>
      <c r="AY53" s="138"/>
      <c r="AZ53" s="138"/>
      <c r="BA53" s="138"/>
      <c r="BB53" s="138"/>
      <c r="BC53" s="138"/>
      <c r="BD53" s="138"/>
      <c r="BE53" s="138"/>
      <c r="BF53" s="138"/>
      <c r="BG53" s="138"/>
      <c r="BH53" s="138"/>
      <c r="BI53" s="138"/>
      <c r="BJ53" s="138"/>
      <c r="BK53" s="138"/>
      <c r="BL53" s="138"/>
      <c r="BM53" s="138"/>
      <c r="BN53" s="138"/>
      <c r="BO53" s="138"/>
      <c r="BP53" s="138"/>
      <c r="BQ53" s="138"/>
      <c r="BR53" s="138"/>
      <c r="BS53" s="138"/>
      <c r="BT53" s="138"/>
      <c r="BU53" s="138"/>
      <c r="BV53" s="138"/>
      <c r="BW53" s="138"/>
      <c r="BX53" s="138"/>
      <c r="BY53" s="138"/>
      <c r="BZ53" s="138"/>
      <c r="CA53" s="138"/>
      <c r="CB53" s="138"/>
      <c r="CC53" s="138"/>
      <c r="CD53" s="138"/>
      <c r="CE53" s="138"/>
      <c r="CF53" s="138"/>
      <c r="CG53" s="138"/>
      <c r="CH53" s="138"/>
      <c r="CI53" s="138"/>
      <c r="CJ53" s="138"/>
      <c r="CK53" s="138"/>
      <c r="CL53" s="138"/>
      <c r="CM53" s="138"/>
      <c r="CN53" s="138"/>
      <c r="CO53" s="138"/>
      <c r="CP53" s="138"/>
      <c r="CQ53" s="138"/>
      <c r="CR53" s="138"/>
      <c r="CS53" s="138"/>
      <c r="CT53" s="138"/>
      <c r="CU53" s="138"/>
      <c r="CV53" s="138"/>
      <c r="CW53" s="138"/>
      <c r="CX53" s="138"/>
      <c r="CY53" s="138"/>
      <c r="CZ53" s="138"/>
      <c r="DA53" s="138"/>
      <c r="DB53" s="138"/>
      <c r="DC53" s="138"/>
      <c r="DD53" s="138"/>
      <c r="DE53" s="138"/>
      <c r="DF53" s="138"/>
      <c r="DG53" s="138"/>
      <c r="DH53" s="138"/>
      <c r="DI53" s="138"/>
      <c r="DJ53" s="138"/>
      <c r="DK53" s="138"/>
      <c r="DL53" s="138"/>
      <c r="DM53" s="138"/>
      <c r="DN53" s="138"/>
      <c r="DO53" s="138"/>
      <c r="DP53" s="138"/>
      <c r="DQ53" s="138"/>
      <c r="DR53" s="138"/>
      <c r="DS53" s="138"/>
      <c r="DT53" s="138"/>
      <c r="DU53" s="138"/>
      <c r="DV53" s="138"/>
      <c r="DW53" s="138"/>
      <c r="DX53" s="138"/>
      <c r="DY53" s="138"/>
      <c r="DZ53" s="138"/>
      <c r="EA53" s="138"/>
      <c r="EB53" s="138"/>
      <c r="EC53" s="138"/>
      <c r="ED53" s="138"/>
      <c r="EE53" s="138"/>
      <c r="EF53" s="138"/>
      <c r="EG53" s="138"/>
      <c r="EH53" s="138"/>
      <c r="EI53" s="138"/>
      <c r="EJ53" s="138"/>
      <c r="EK53" s="138"/>
      <c r="EL53" s="138"/>
      <c r="EM53" s="138"/>
      <c r="EN53" s="138"/>
      <c r="EO53" s="138"/>
      <c r="EP53" s="138"/>
      <c r="EQ53" s="138"/>
      <c r="ER53" s="138"/>
      <c r="ES53" s="138"/>
      <c r="ET53" s="138"/>
      <c r="EU53" s="138"/>
      <c r="EV53" s="138"/>
      <c r="EW53" s="138"/>
      <c r="EX53" s="138"/>
      <c r="EY53" s="138"/>
      <c r="EZ53" s="138"/>
      <c r="FA53" s="138"/>
      <c r="FB53" s="139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</row>
    <row r="54" spans="1:366" ht="12.75">
      <c r="C54" s="268"/>
      <c r="D54" s="161" t="s">
        <v>131</v>
      </c>
      <c r="E54" s="47">
        <f t="shared" ref="E54:Q54" si="3">SUM(E46:E49,E51)</f>
        <v>0</v>
      </c>
      <c r="F54" s="33">
        <f t="shared" si="3"/>
        <v>0</v>
      </c>
      <c r="G54" s="33">
        <f t="shared" si="3"/>
        <v>0</v>
      </c>
      <c r="H54" s="33">
        <f t="shared" si="3"/>
        <v>0</v>
      </c>
      <c r="I54" s="33">
        <f t="shared" si="3"/>
        <v>0</v>
      </c>
      <c r="J54" s="33">
        <f t="shared" si="3"/>
        <v>0</v>
      </c>
      <c r="K54" s="33">
        <f t="shared" si="3"/>
        <v>0</v>
      </c>
      <c r="L54" s="33">
        <f t="shared" si="3"/>
        <v>0</v>
      </c>
      <c r="M54" s="33">
        <f t="shared" si="3"/>
        <v>0</v>
      </c>
      <c r="N54" s="33">
        <f t="shared" si="3"/>
        <v>0</v>
      </c>
      <c r="O54" s="33">
        <f t="shared" si="3"/>
        <v>0</v>
      </c>
      <c r="P54" s="33">
        <f t="shared" si="3"/>
        <v>0</v>
      </c>
      <c r="Q54" s="48">
        <f t="shared" si="3"/>
        <v>0</v>
      </c>
      <c r="U54" s="80" t="s">
        <v>269</v>
      </c>
      <c r="V54" s="80" t="s">
        <v>268</v>
      </c>
      <c r="W54" s="146">
        <v>42541</v>
      </c>
      <c r="X54" s="147">
        <v>42569</v>
      </c>
      <c r="Y54" s="147">
        <v>42580</v>
      </c>
      <c r="Z54" s="147">
        <v>42551</v>
      </c>
      <c r="AA54" s="147">
        <v>42521</v>
      </c>
      <c r="AB54" s="147">
        <v>42530</v>
      </c>
      <c r="AC54" s="147">
        <v>42584</v>
      </c>
      <c r="AD54" s="147">
        <v>42583</v>
      </c>
      <c r="AE54" s="147">
        <v>42597</v>
      </c>
      <c r="AF54" s="147">
        <v>42509</v>
      </c>
      <c r="AG54" s="147">
        <v>42570</v>
      </c>
      <c r="AH54" s="147">
        <v>42578</v>
      </c>
      <c r="AI54" s="147">
        <v>42576</v>
      </c>
      <c r="AJ54" s="147">
        <v>42552</v>
      </c>
      <c r="AK54" s="147">
        <v>42506</v>
      </c>
      <c r="AL54" s="147">
        <v>42522</v>
      </c>
      <c r="AM54" s="147">
        <v>42594</v>
      </c>
      <c r="AN54" s="147">
        <v>42535</v>
      </c>
      <c r="AO54" s="147">
        <v>42538</v>
      </c>
      <c r="AP54" s="147">
        <v>42536</v>
      </c>
      <c r="AQ54" s="147">
        <v>42531</v>
      </c>
      <c r="AR54" s="147">
        <v>42613</v>
      </c>
      <c r="AS54" s="147">
        <v>42614</v>
      </c>
      <c r="AT54" s="147">
        <v>42611</v>
      </c>
      <c r="AU54" s="147">
        <v>42601</v>
      </c>
      <c r="AV54" s="147">
        <v>42632</v>
      </c>
      <c r="AW54" s="147">
        <v>42627</v>
      </c>
      <c r="AX54" s="147">
        <v>42643</v>
      </c>
      <c r="AY54" s="147">
        <v>42646</v>
      </c>
      <c r="AZ54" s="147">
        <v>42644</v>
      </c>
      <c r="BA54" s="147">
        <v>42675</v>
      </c>
      <c r="BB54" s="147">
        <v>42704</v>
      </c>
      <c r="BC54" s="147">
        <v>42689</v>
      </c>
      <c r="BD54" s="147">
        <v>42674</v>
      </c>
      <c r="BE54" s="147">
        <v>42662</v>
      </c>
      <c r="BF54" s="147">
        <v>42692</v>
      </c>
      <c r="BG54" s="147">
        <v>42668</v>
      </c>
      <c r="BH54" s="147">
        <v>42723</v>
      </c>
      <c r="BI54" s="147">
        <v>42713</v>
      </c>
      <c r="BJ54" s="147">
        <v>42705</v>
      </c>
      <c r="BK54" s="147">
        <v>42734</v>
      </c>
      <c r="BL54" s="147">
        <v>42718</v>
      </c>
      <c r="BM54" s="147">
        <v>42736</v>
      </c>
      <c r="BN54" s="147">
        <v>42719</v>
      </c>
      <c r="BO54" s="147">
        <v>42716</v>
      </c>
      <c r="BP54" s="147">
        <v>42767</v>
      </c>
      <c r="BQ54" s="147">
        <v>42738</v>
      </c>
      <c r="BR54" s="147">
        <v>42766</v>
      </c>
      <c r="BS54" s="147">
        <v>42765</v>
      </c>
      <c r="BT54" s="147">
        <v>42768</v>
      </c>
      <c r="BU54" s="147">
        <v>42762</v>
      </c>
      <c r="BV54" s="147">
        <v>42754</v>
      </c>
      <c r="BW54" s="147">
        <v>42781</v>
      </c>
      <c r="BX54" s="147">
        <v>42783</v>
      </c>
      <c r="BY54" s="147">
        <v>42795</v>
      </c>
      <c r="BZ54" s="147">
        <v>42794</v>
      </c>
      <c r="CA54" s="147">
        <v>42808</v>
      </c>
      <c r="CB54" s="147">
        <v>42828</v>
      </c>
      <c r="CC54" s="147">
        <v>42825</v>
      </c>
      <c r="CD54" s="147">
        <v>42811</v>
      </c>
      <c r="CE54" s="147">
        <v>42826</v>
      </c>
      <c r="CF54" s="147">
        <v>42886</v>
      </c>
      <c r="CG54" s="147">
        <v>42887</v>
      </c>
      <c r="CH54" s="147">
        <v>42856</v>
      </c>
      <c r="CI54" s="147">
        <v>42853</v>
      </c>
      <c r="CJ54" s="147">
        <v>42870</v>
      </c>
      <c r="CK54" s="147">
        <v>42857</v>
      </c>
      <c r="CL54" s="147">
        <v>42874</v>
      </c>
      <c r="CM54" s="147">
        <v>42844</v>
      </c>
      <c r="CN54" s="147">
        <v>42905</v>
      </c>
      <c r="CO54" s="147">
        <v>42898</v>
      </c>
      <c r="CP54" s="147">
        <v>42900</v>
      </c>
      <c r="CQ54" s="147">
        <v>42895</v>
      </c>
      <c r="CR54" s="147">
        <v>43098</v>
      </c>
      <c r="CS54" s="147">
        <v>43188</v>
      </c>
      <c r="CT54" s="147">
        <v>42978</v>
      </c>
      <c r="CU54" s="147">
        <v>43159</v>
      </c>
      <c r="CV54" s="147">
        <v>42916</v>
      </c>
      <c r="CW54" s="147">
        <v>42919</v>
      </c>
      <c r="CX54" s="147">
        <v>42948</v>
      </c>
      <c r="CY54" s="147">
        <v>42979</v>
      </c>
      <c r="CZ54" s="147">
        <v>43010</v>
      </c>
      <c r="DA54" s="147">
        <v>43040</v>
      </c>
      <c r="DB54" s="147">
        <v>43070</v>
      </c>
      <c r="DC54" s="147">
        <v>43102</v>
      </c>
      <c r="DD54" s="147">
        <v>43132</v>
      </c>
      <c r="DE54" s="147">
        <v>43160</v>
      </c>
      <c r="DF54" s="147">
        <v>43193</v>
      </c>
      <c r="DG54" s="147">
        <v>42549</v>
      </c>
      <c r="DH54" s="147">
        <v>42933</v>
      </c>
      <c r="DI54" s="147">
        <v>43088</v>
      </c>
      <c r="DJ54" s="147">
        <v>43054</v>
      </c>
      <c r="DK54" s="147">
        <v>42947</v>
      </c>
      <c r="DL54" s="147">
        <v>43007</v>
      </c>
      <c r="DM54" s="147">
        <v>43039</v>
      </c>
      <c r="DN54" s="147">
        <v>43069</v>
      </c>
      <c r="DO54" s="147">
        <v>43131</v>
      </c>
      <c r="DP54" s="147">
        <v>42503</v>
      </c>
      <c r="DQ54" s="147">
        <v>42962</v>
      </c>
      <c r="DR54" s="147">
        <v>43146</v>
      </c>
      <c r="DS54" s="147">
        <v>43192</v>
      </c>
      <c r="DT54" s="147">
        <v>43161</v>
      </c>
      <c r="DU54" s="147">
        <v>43189</v>
      </c>
      <c r="DV54" s="147">
        <v>43038</v>
      </c>
      <c r="DW54" s="147">
        <v>43129</v>
      </c>
      <c r="DX54" s="147">
        <v>42608</v>
      </c>
      <c r="DY54" s="147">
        <v>42992</v>
      </c>
      <c r="DZ54" s="147">
        <v>43083</v>
      </c>
      <c r="EA54" s="147">
        <v>43173</v>
      </c>
      <c r="EB54" s="147">
        <v>42634</v>
      </c>
      <c r="EC54" s="147">
        <v>42997</v>
      </c>
      <c r="ED54" s="147">
        <v>43178</v>
      </c>
      <c r="EE54" s="147">
        <v>42943</v>
      </c>
      <c r="EF54" s="147">
        <v>43080</v>
      </c>
      <c r="EG54" s="147">
        <v>42502</v>
      </c>
      <c r="EH54" s="147">
        <v>42935</v>
      </c>
      <c r="EI54" s="147">
        <v>42965</v>
      </c>
      <c r="EJ54" s="147">
        <v>43027</v>
      </c>
      <c r="EK54" s="147">
        <v>43056</v>
      </c>
      <c r="EL54" s="147">
        <v>43119</v>
      </c>
      <c r="EM54" s="147">
        <v>43147</v>
      </c>
      <c r="EN54" s="147">
        <v>43209</v>
      </c>
      <c r="EO54" s="147">
        <v>42951</v>
      </c>
      <c r="EP54" s="147">
        <v>42917</v>
      </c>
      <c r="EQ54" s="147">
        <v>42949</v>
      </c>
      <c r="ER54" s="147">
        <v>43009</v>
      </c>
      <c r="ES54" s="147">
        <v>43101</v>
      </c>
      <c r="ET54" s="147">
        <v>43133</v>
      </c>
      <c r="EU54" s="147">
        <v>43191</v>
      </c>
      <c r="EV54" s="147">
        <v>43084</v>
      </c>
      <c r="EW54" s="147">
        <v>42657</v>
      </c>
      <c r="EX54" s="147">
        <v>42839</v>
      </c>
      <c r="EY54" s="147">
        <v>43221</v>
      </c>
      <c r="EZ54" s="147">
        <v>43220</v>
      </c>
      <c r="FA54" s="147">
        <v>42501</v>
      </c>
      <c r="FB54" s="148" t="s">
        <v>63</v>
      </c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</row>
    <row r="55" spans="1:366" ht="15">
      <c r="C55" s="269"/>
      <c r="D55" s="162" t="s">
        <v>132</v>
      </c>
      <c r="E55" s="49">
        <f>E54</f>
        <v>0</v>
      </c>
      <c r="F55" s="34">
        <f t="shared" ref="F55:Q55" si="4">E55+F54</f>
        <v>0</v>
      </c>
      <c r="G55" s="34">
        <f t="shared" si="4"/>
        <v>0</v>
      </c>
      <c r="H55" s="34">
        <f t="shared" si="4"/>
        <v>0</v>
      </c>
      <c r="I55" s="34">
        <f t="shared" si="4"/>
        <v>0</v>
      </c>
      <c r="J55" s="34">
        <f t="shared" si="4"/>
        <v>0</v>
      </c>
      <c r="K55" s="34">
        <f t="shared" si="4"/>
        <v>0</v>
      </c>
      <c r="L55" s="34">
        <f t="shared" si="4"/>
        <v>0</v>
      </c>
      <c r="M55" s="34">
        <f t="shared" si="4"/>
        <v>0</v>
      </c>
      <c r="N55" s="34">
        <f t="shared" si="4"/>
        <v>0</v>
      </c>
      <c r="O55" s="34">
        <f t="shared" si="4"/>
        <v>0</v>
      </c>
      <c r="P55" s="34">
        <f t="shared" si="4"/>
        <v>0</v>
      </c>
      <c r="Q55" s="50">
        <f t="shared" si="4"/>
        <v>0</v>
      </c>
      <c r="U55" s="82" t="s">
        <v>883</v>
      </c>
      <c r="V55" s="82" t="s">
        <v>882</v>
      </c>
      <c r="W55" s="140"/>
      <c r="X55" s="142"/>
      <c r="Y55" s="142"/>
      <c r="Z55" s="142"/>
      <c r="AA55" s="142"/>
      <c r="AB55" s="142"/>
      <c r="AC55" s="142"/>
      <c r="AD55" s="142"/>
      <c r="AE55" s="142"/>
      <c r="AF55" s="142">
        <v>86.16</v>
      </c>
      <c r="AG55" s="142"/>
      <c r="AH55" s="142"/>
      <c r="AI55" s="142"/>
      <c r="AJ55" s="142"/>
      <c r="AK55" s="142"/>
      <c r="AL55" s="142"/>
      <c r="AM55" s="142"/>
      <c r="AN55" s="142"/>
      <c r="AO55" s="142"/>
      <c r="AP55" s="142"/>
      <c r="AQ55" s="142"/>
      <c r="AR55" s="142"/>
      <c r="AS55" s="142"/>
      <c r="AT55" s="142"/>
      <c r="AU55" s="142"/>
      <c r="AV55" s="142"/>
      <c r="AW55" s="142"/>
      <c r="AX55" s="142"/>
      <c r="AY55" s="142"/>
      <c r="AZ55" s="142"/>
      <c r="BA55" s="142"/>
      <c r="BB55" s="142"/>
      <c r="BC55" s="142"/>
      <c r="BD55" s="142"/>
      <c r="BE55" s="142"/>
      <c r="BF55" s="142"/>
      <c r="BG55" s="142"/>
      <c r="BH55" s="142"/>
      <c r="BI55" s="142"/>
      <c r="BJ55" s="142"/>
      <c r="BK55" s="142"/>
      <c r="BL55" s="142"/>
      <c r="BM55" s="142"/>
      <c r="BN55" s="142"/>
      <c r="BO55" s="142"/>
      <c r="BP55" s="142"/>
      <c r="BQ55" s="142"/>
      <c r="BR55" s="142"/>
      <c r="BS55" s="142"/>
      <c r="BT55" s="142"/>
      <c r="BU55" s="142"/>
      <c r="BV55" s="142"/>
      <c r="BW55" s="142"/>
      <c r="BX55" s="142"/>
      <c r="BY55" s="142"/>
      <c r="BZ55" s="142"/>
      <c r="CA55" s="142"/>
      <c r="CB55" s="142"/>
      <c r="CC55" s="142"/>
      <c r="CD55" s="142"/>
      <c r="CE55" s="142"/>
      <c r="CF55" s="142"/>
      <c r="CG55" s="142"/>
      <c r="CH55" s="142"/>
      <c r="CI55" s="142"/>
      <c r="CJ55" s="142"/>
      <c r="CK55" s="142"/>
      <c r="CL55" s="142"/>
      <c r="CM55" s="142"/>
      <c r="CN55" s="142"/>
      <c r="CO55" s="142"/>
      <c r="CP55" s="142"/>
      <c r="CQ55" s="142"/>
      <c r="CR55" s="142"/>
      <c r="CS55" s="142"/>
      <c r="CT55" s="142"/>
      <c r="CU55" s="142"/>
      <c r="CV55" s="142"/>
      <c r="CW55" s="142"/>
      <c r="CX55" s="142"/>
      <c r="CY55" s="142"/>
      <c r="CZ55" s="142"/>
      <c r="DA55" s="142"/>
      <c r="DB55" s="142"/>
      <c r="DC55" s="142"/>
      <c r="DD55" s="142"/>
      <c r="DE55" s="142"/>
      <c r="DF55" s="142"/>
      <c r="DG55" s="142"/>
      <c r="DH55" s="142"/>
      <c r="DI55" s="142"/>
      <c r="DJ55" s="142"/>
      <c r="DK55" s="142"/>
      <c r="DL55" s="142"/>
      <c r="DM55" s="142"/>
      <c r="DN55" s="142"/>
      <c r="DO55" s="142"/>
      <c r="DP55" s="142"/>
      <c r="DQ55" s="142"/>
      <c r="DR55" s="142"/>
      <c r="DS55" s="142"/>
      <c r="DT55" s="142"/>
      <c r="DU55" s="142"/>
      <c r="DV55" s="142"/>
      <c r="DW55" s="142"/>
      <c r="DX55" s="142"/>
      <c r="DY55" s="142"/>
      <c r="DZ55" s="142"/>
      <c r="EA55" s="142"/>
      <c r="EB55" s="142"/>
      <c r="EC55" s="142"/>
      <c r="ED55" s="142"/>
      <c r="EE55" s="142"/>
      <c r="EF55" s="142"/>
      <c r="EG55" s="142"/>
      <c r="EH55" s="142"/>
      <c r="EI55" s="142"/>
      <c r="EJ55" s="142"/>
      <c r="EK55" s="142"/>
      <c r="EL55" s="142"/>
      <c r="EM55" s="142"/>
      <c r="EN55" s="142"/>
      <c r="EO55" s="142"/>
      <c r="EP55" s="142"/>
      <c r="EQ55" s="142"/>
      <c r="ER55" s="142"/>
      <c r="ES55" s="142"/>
      <c r="ET55" s="142"/>
      <c r="EU55" s="142"/>
      <c r="EV55" s="142"/>
      <c r="EW55" s="142"/>
      <c r="EX55" s="142"/>
      <c r="EY55" s="142"/>
      <c r="EZ55" s="142"/>
      <c r="FA55" s="142"/>
      <c r="FB55" s="87">
        <v>86.16</v>
      </c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</row>
    <row r="56" spans="1:366" ht="13.5" customHeight="1">
      <c r="C56" s="2"/>
      <c r="D56" s="163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U56" s="82" t="s">
        <v>336</v>
      </c>
      <c r="V56" s="82" t="s">
        <v>337</v>
      </c>
      <c r="W56" s="140"/>
      <c r="X56" s="142"/>
      <c r="Y56" s="142">
        <v>368013.33</v>
      </c>
      <c r="Z56" s="142">
        <v>403011.68999999994</v>
      </c>
      <c r="AA56" s="142"/>
      <c r="AB56" s="142"/>
      <c r="AC56" s="142"/>
      <c r="AD56" s="142">
        <v>-693.66</v>
      </c>
      <c r="AE56" s="142"/>
      <c r="AF56" s="142"/>
      <c r="AG56" s="142">
        <v>88.05</v>
      </c>
      <c r="AH56" s="142"/>
      <c r="AI56" s="142"/>
      <c r="AJ56" s="142">
        <v>258060.71000000002</v>
      </c>
      <c r="AK56" s="142"/>
      <c r="AL56" s="142"/>
      <c r="AM56" s="142"/>
      <c r="AN56" s="142"/>
      <c r="AO56" s="142">
        <v>82.19</v>
      </c>
      <c r="AP56" s="142">
        <v>-207625</v>
      </c>
      <c r="AQ56" s="142"/>
      <c r="AR56" s="142"/>
      <c r="AS56" s="142"/>
      <c r="AT56" s="142"/>
      <c r="AU56" s="142"/>
      <c r="AV56" s="142"/>
      <c r="AW56" s="142"/>
      <c r="AX56" s="142"/>
      <c r="AY56" s="142"/>
      <c r="AZ56" s="142"/>
      <c r="BA56" s="142"/>
      <c r="BB56" s="142"/>
      <c r="BC56" s="142"/>
      <c r="BD56" s="142"/>
      <c r="BE56" s="142"/>
      <c r="BF56" s="142"/>
      <c r="BG56" s="142"/>
      <c r="BH56" s="142"/>
      <c r="BI56" s="142"/>
      <c r="BJ56" s="142"/>
      <c r="BK56" s="142"/>
      <c r="BL56" s="142"/>
      <c r="BM56" s="142"/>
      <c r="BN56" s="142"/>
      <c r="BO56" s="142"/>
      <c r="BP56" s="142"/>
      <c r="BQ56" s="142"/>
      <c r="BR56" s="142"/>
      <c r="BS56" s="142"/>
      <c r="BT56" s="142"/>
      <c r="BU56" s="142"/>
      <c r="BV56" s="142"/>
      <c r="BW56" s="142"/>
      <c r="BX56" s="142"/>
      <c r="BY56" s="142"/>
      <c r="BZ56" s="142"/>
      <c r="CA56" s="142"/>
      <c r="CB56" s="142"/>
      <c r="CC56" s="142"/>
      <c r="CD56" s="142"/>
      <c r="CE56" s="142"/>
      <c r="CF56" s="142"/>
      <c r="CG56" s="142"/>
      <c r="CH56" s="142"/>
      <c r="CI56" s="142"/>
      <c r="CJ56" s="142"/>
      <c r="CK56" s="142"/>
      <c r="CL56" s="142"/>
      <c r="CM56" s="142"/>
      <c r="CN56" s="142"/>
      <c r="CO56" s="142"/>
      <c r="CP56" s="142"/>
      <c r="CQ56" s="142"/>
      <c r="CR56" s="142"/>
      <c r="CS56" s="142"/>
      <c r="CT56" s="142"/>
      <c r="CU56" s="142"/>
      <c r="CV56" s="142"/>
      <c r="CW56" s="142"/>
      <c r="CX56" s="142"/>
      <c r="CY56" s="142"/>
      <c r="CZ56" s="142"/>
      <c r="DA56" s="142"/>
      <c r="DB56" s="142"/>
      <c r="DC56" s="142"/>
      <c r="DD56" s="142"/>
      <c r="DE56" s="142"/>
      <c r="DF56" s="142"/>
      <c r="DG56" s="142"/>
      <c r="DH56" s="142"/>
      <c r="DI56" s="142"/>
      <c r="DJ56" s="142"/>
      <c r="DK56" s="142"/>
      <c r="DL56" s="142"/>
      <c r="DM56" s="142"/>
      <c r="DN56" s="142"/>
      <c r="DO56" s="142"/>
      <c r="DP56" s="142"/>
      <c r="DQ56" s="142"/>
      <c r="DR56" s="142"/>
      <c r="DS56" s="142"/>
      <c r="DT56" s="142"/>
      <c r="DU56" s="142"/>
      <c r="DV56" s="142"/>
      <c r="DW56" s="142"/>
      <c r="DX56" s="142"/>
      <c r="DY56" s="142"/>
      <c r="DZ56" s="142"/>
      <c r="EA56" s="142"/>
      <c r="EB56" s="142"/>
      <c r="EC56" s="142"/>
      <c r="ED56" s="142"/>
      <c r="EE56" s="142"/>
      <c r="EF56" s="142"/>
      <c r="EG56" s="142"/>
      <c r="EH56" s="142"/>
      <c r="EI56" s="142"/>
      <c r="EJ56" s="142"/>
      <c r="EK56" s="142"/>
      <c r="EL56" s="142"/>
      <c r="EM56" s="142"/>
      <c r="EN56" s="142"/>
      <c r="EO56" s="142"/>
      <c r="EP56" s="142"/>
      <c r="EQ56" s="142"/>
      <c r="ER56" s="142"/>
      <c r="ES56" s="142"/>
      <c r="ET56" s="142"/>
      <c r="EU56" s="142"/>
      <c r="EV56" s="142"/>
      <c r="EW56" s="142"/>
      <c r="EX56" s="142"/>
      <c r="EY56" s="142"/>
      <c r="EZ56" s="142"/>
      <c r="FA56" s="142"/>
      <c r="FB56" s="87">
        <v>820937.31</v>
      </c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</row>
    <row r="57" spans="1:366" ht="13.5" customHeight="1">
      <c r="C57" s="11"/>
      <c r="D57" s="170" t="s">
        <v>133</v>
      </c>
      <c r="E57" s="54">
        <f t="shared" ref="E57:Q57" si="5">SUM(E55,E40)</f>
        <v>91.947561532124993</v>
      </c>
      <c r="F57" s="37">
        <f t="shared" si="5"/>
        <v>91.947561532124993</v>
      </c>
      <c r="G57" s="37">
        <f t="shared" si="5"/>
        <v>92.551111532124992</v>
      </c>
      <c r="H57" s="37">
        <f t="shared" si="5"/>
        <v>92.551111532124992</v>
      </c>
      <c r="I57" s="37">
        <f t="shared" si="5"/>
        <v>92.551111532124992</v>
      </c>
      <c r="J57" s="37">
        <f t="shared" si="5"/>
        <v>92.551197692124987</v>
      </c>
      <c r="K57" s="37">
        <f t="shared" si="5"/>
        <v>107.57243154212499</v>
      </c>
      <c r="L57" s="37">
        <f t="shared" si="5"/>
        <v>108.23546952212499</v>
      </c>
      <c r="M57" s="37">
        <f t="shared" si="5"/>
        <v>191.07478110212503</v>
      </c>
      <c r="N57" s="37">
        <f t="shared" si="5"/>
        <v>139.93373481212501</v>
      </c>
      <c r="O57" s="37">
        <f t="shared" si="5"/>
        <v>125.11692906212502</v>
      </c>
      <c r="P57" s="37">
        <f t="shared" si="5"/>
        <v>142.86163059212504</v>
      </c>
      <c r="Q57" s="55">
        <f t="shared" si="5"/>
        <v>126.83750206212503</v>
      </c>
      <c r="U57" s="150"/>
      <c r="V57" s="83" t="s">
        <v>335</v>
      </c>
      <c r="W57" s="143"/>
      <c r="X57" s="90"/>
      <c r="Y57" s="90"/>
      <c r="Z57" s="90">
        <v>-624999.99999999988</v>
      </c>
      <c r="AA57" s="90"/>
      <c r="AB57" s="90"/>
      <c r="AC57" s="90"/>
      <c r="AD57" s="90"/>
      <c r="AE57" s="90"/>
      <c r="AF57" s="90"/>
      <c r="AG57" s="90"/>
      <c r="AH57" s="90"/>
      <c r="AI57" s="90"/>
      <c r="AJ57" s="90"/>
      <c r="AK57" s="90"/>
      <c r="AL57" s="90"/>
      <c r="AM57" s="90"/>
      <c r="AN57" s="90"/>
      <c r="AO57" s="90"/>
      <c r="AP57" s="90"/>
      <c r="AQ57" s="90"/>
      <c r="AR57" s="90"/>
      <c r="AS57" s="90"/>
      <c r="AT57" s="90"/>
      <c r="AU57" s="90"/>
      <c r="AV57" s="90"/>
      <c r="AW57" s="90"/>
      <c r="AX57" s="90"/>
      <c r="AY57" s="90"/>
      <c r="AZ57" s="90"/>
      <c r="BA57" s="90"/>
      <c r="BB57" s="90"/>
      <c r="BC57" s="90"/>
      <c r="BD57" s="90"/>
      <c r="BE57" s="90"/>
      <c r="BF57" s="90"/>
      <c r="BG57" s="90"/>
      <c r="BH57" s="90"/>
      <c r="BI57" s="90"/>
      <c r="BJ57" s="90"/>
      <c r="BK57" s="90"/>
      <c r="BL57" s="90"/>
      <c r="BM57" s="90"/>
      <c r="BN57" s="90"/>
      <c r="BO57" s="90"/>
      <c r="BP57" s="90"/>
      <c r="BQ57" s="90"/>
      <c r="BR57" s="90"/>
      <c r="BS57" s="90"/>
      <c r="BT57" s="90"/>
      <c r="BU57" s="90"/>
      <c r="BV57" s="90"/>
      <c r="BW57" s="90"/>
      <c r="BX57" s="90"/>
      <c r="BY57" s="90"/>
      <c r="BZ57" s="90"/>
      <c r="CA57" s="90"/>
      <c r="CB57" s="90"/>
      <c r="CC57" s="90"/>
      <c r="CD57" s="90"/>
      <c r="CE57" s="90"/>
      <c r="CF57" s="90"/>
      <c r="CG57" s="90"/>
      <c r="CH57" s="90"/>
      <c r="CI57" s="90"/>
      <c r="CJ57" s="90"/>
      <c r="CK57" s="90"/>
      <c r="CL57" s="90"/>
      <c r="CM57" s="90"/>
      <c r="CN57" s="90"/>
      <c r="CO57" s="90"/>
      <c r="CP57" s="90"/>
      <c r="CQ57" s="90"/>
      <c r="CR57" s="90"/>
      <c r="CS57" s="90"/>
      <c r="CT57" s="90"/>
      <c r="CU57" s="90"/>
      <c r="CV57" s="90"/>
      <c r="CW57" s="90"/>
      <c r="CX57" s="90"/>
      <c r="CY57" s="90"/>
      <c r="CZ57" s="90"/>
      <c r="DA57" s="90"/>
      <c r="DB57" s="90"/>
      <c r="DC57" s="90"/>
      <c r="DD57" s="90"/>
      <c r="DE57" s="90"/>
      <c r="DF57" s="90"/>
      <c r="DG57" s="90"/>
      <c r="DH57" s="90"/>
      <c r="DI57" s="90"/>
      <c r="DJ57" s="90"/>
      <c r="DK57" s="90"/>
      <c r="DL57" s="90"/>
      <c r="DM57" s="90"/>
      <c r="DN57" s="90"/>
      <c r="DO57" s="90"/>
      <c r="DP57" s="90"/>
      <c r="DQ57" s="90"/>
      <c r="DR57" s="90"/>
      <c r="DS57" s="90"/>
      <c r="DT57" s="90"/>
      <c r="DU57" s="90"/>
      <c r="DV57" s="90"/>
      <c r="DW57" s="90"/>
      <c r="DX57" s="90"/>
      <c r="DY57" s="90"/>
      <c r="DZ57" s="90"/>
      <c r="EA57" s="90"/>
      <c r="EB57" s="90"/>
      <c r="EC57" s="90"/>
      <c r="ED57" s="90"/>
      <c r="EE57" s="90"/>
      <c r="EF57" s="90"/>
      <c r="EG57" s="90"/>
      <c r="EH57" s="90"/>
      <c r="EI57" s="90"/>
      <c r="EJ57" s="90"/>
      <c r="EK57" s="90"/>
      <c r="EL57" s="90"/>
      <c r="EM57" s="90"/>
      <c r="EN57" s="90"/>
      <c r="EO57" s="90"/>
      <c r="EP57" s="90"/>
      <c r="EQ57" s="90"/>
      <c r="ER57" s="90"/>
      <c r="ES57" s="90"/>
      <c r="ET57" s="90"/>
      <c r="EU57" s="90"/>
      <c r="EV57" s="90"/>
      <c r="EW57" s="90"/>
      <c r="EX57" s="90"/>
      <c r="EY57" s="90"/>
      <c r="EZ57" s="90"/>
      <c r="FA57" s="90"/>
      <c r="FB57" s="88">
        <v>-624999.99999999988</v>
      </c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</row>
    <row r="58" spans="1:366" ht="12.75">
      <c r="C58" s="2"/>
      <c r="D58" s="163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U58" s="150"/>
      <c r="V58" s="83" t="s">
        <v>884</v>
      </c>
      <c r="W58" s="143"/>
      <c r="X58" s="90"/>
      <c r="Y58" s="90"/>
      <c r="Z58" s="90"/>
      <c r="AA58" s="90"/>
      <c r="AB58" s="90"/>
      <c r="AC58" s="90"/>
      <c r="AD58" s="90"/>
      <c r="AE58" s="90"/>
      <c r="AF58" s="90"/>
      <c r="AG58" s="90"/>
      <c r="AH58" s="90"/>
      <c r="AI58" s="90"/>
      <c r="AJ58" s="90"/>
      <c r="AK58" s="90"/>
      <c r="AL58" s="90"/>
      <c r="AM58" s="90"/>
      <c r="AN58" s="90"/>
      <c r="AO58" s="90"/>
      <c r="AP58" s="90">
        <v>-83050000</v>
      </c>
      <c r="AQ58" s="90"/>
      <c r="AR58" s="90"/>
      <c r="AS58" s="90"/>
      <c r="AT58" s="90"/>
      <c r="AU58" s="90"/>
      <c r="AV58" s="90"/>
      <c r="AW58" s="90"/>
      <c r="AX58" s="90"/>
      <c r="AY58" s="90"/>
      <c r="AZ58" s="90"/>
      <c r="BA58" s="90"/>
      <c r="BB58" s="90"/>
      <c r="BC58" s="90"/>
      <c r="BD58" s="90"/>
      <c r="BE58" s="90"/>
      <c r="BF58" s="90"/>
      <c r="BG58" s="90"/>
      <c r="BH58" s="90"/>
      <c r="BI58" s="90"/>
      <c r="BJ58" s="90"/>
      <c r="BK58" s="90"/>
      <c r="BL58" s="90"/>
      <c r="BM58" s="90"/>
      <c r="BN58" s="90"/>
      <c r="BO58" s="90"/>
      <c r="BP58" s="90"/>
      <c r="BQ58" s="90"/>
      <c r="BR58" s="90"/>
      <c r="BS58" s="90"/>
      <c r="BT58" s="90"/>
      <c r="BU58" s="90"/>
      <c r="BV58" s="90"/>
      <c r="BW58" s="90"/>
      <c r="BX58" s="90"/>
      <c r="BY58" s="90"/>
      <c r="BZ58" s="90"/>
      <c r="CA58" s="90"/>
      <c r="CB58" s="90"/>
      <c r="CC58" s="90"/>
      <c r="CD58" s="90"/>
      <c r="CE58" s="90"/>
      <c r="CF58" s="90"/>
      <c r="CG58" s="90"/>
      <c r="CH58" s="90"/>
      <c r="CI58" s="90"/>
      <c r="CJ58" s="90"/>
      <c r="CK58" s="90"/>
      <c r="CL58" s="90"/>
      <c r="CM58" s="90"/>
      <c r="CN58" s="90"/>
      <c r="CO58" s="90"/>
      <c r="CP58" s="90"/>
      <c r="CQ58" s="90"/>
      <c r="CR58" s="90"/>
      <c r="CS58" s="90"/>
      <c r="CT58" s="90"/>
      <c r="CU58" s="90"/>
      <c r="CV58" s="90"/>
      <c r="CW58" s="90"/>
      <c r="CX58" s="90"/>
      <c r="CY58" s="90"/>
      <c r="CZ58" s="90"/>
      <c r="DA58" s="90"/>
      <c r="DB58" s="90"/>
      <c r="DC58" s="90"/>
      <c r="DD58" s="90"/>
      <c r="DE58" s="90"/>
      <c r="DF58" s="90"/>
      <c r="DG58" s="90"/>
      <c r="DH58" s="90"/>
      <c r="DI58" s="90"/>
      <c r="DJ58" s="90"/>
      <c r="DK58" s="90"/>
      <c r="DL58" s="90"/>
      <c r="DM58" s="90"/>
      <c r="DN58" s="90"/>
      <c r="DO58" s="90"/>
      <c r="DP58" s="90"/>
      <c r="DQ58" s="90"/>
      <c r="DR58" s="90"/>
      <c r="DS58" s="90"/>
      <c r="DT58" s="90"/>
      <c r="DU58" s="90"/>
      <c r="DV58" s="90"/>
      <c r="DW58" s="90"/>
      <c r="DX58" s="90"/>
      <c r="DY58" s="90"/>
      <c r="DZ58" s="90"/>
      <c r="EA58" s="90"/>
      <c r="EB58" s="90"/>
      <c r="EC58" s="90"/>
      <c r="ED58" s="90"/>
      <c r="EE58" s="90"/>
      <c r="EF58" s="90"/>
      <c r="EG58" s="90"/>
      <c r="EH58" s="90"/>
      <c r="EI58" s="90"/>
      <c r="EJ58" s="90"/>
      <c r="EK58" s="90"/>
      <c r="EL58" s="90"/>
      <c r="EM58" s="90"/>
      <c r="EN58" s="90"/>
      <c r="EO58" s="90"/>
      <c r="EP58" s="90"/>
      <c r="EQ58" s="90"/>
      <c r="ER58" s="90"/>
      <c r="ES58" s="90"/>
      <c r="ET58" s="90"/>
      <c r="EU58" s="90"/>
      <c r="EV58" s="90"/>
      <c r="EW58" s="90"/>
      <c r="EX58" s="90"/>
      <c r="EY58" s="90"/>
      <c r="EZ58" s="90"/>
      <c r="FA58" s="90"/>
      <c r="FB58" s="88">
        <v>-83050000</v>
      </c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</row>
    <row r="59" spans="1:366" ht="14.25">
      <c r="C59" s="256" t="s">
        <v>134</v>
      </c>
      <c r="D59" s="166" t="s">
        <v>135</v>
      </c>
      <c r="E59" s="51"/>
      <c r="F59" s="35"/>
      <c r="G59" s="35"/>
      <c r="H59" s="35"/>
      <c r="I59" s="35"/>
      <c r="J59" s="35"/>
      <c r="K59" s="35"/>
      <c r="L59" s="35"/>
      <c r="M59" s="35"/>
      <c r="N59" s="35"/>
      <c r="O59" s="35"/>
      <c r="P59" s="36"/>
      <c r="Q59" s="52"/>
      <c r="U59" s="82" t="s">
        <v>275</v>
      </c>
      <c r="V59" s="82" t="s">
        <v>274</v>
      </c>
      <c r="W59" s="140"/>
      <c r="X59" s="142"/>
      <c r="Y59" s="142"/>
      <c r="Z59" s="142"/>
      <c r="AA59" s="142"/>
      <c r="AB59" s="142"/>
      <c r="AC59" s="142"/>
      <c r="AD59" s="142"/>
      <c r="AE59" s="142"/>
      <c r="AF59" s="142"/>
      <c r="AG59" s="142"/>
      <c r="AH59" s="142"/>
      <c r="AI59" s="142"/>
      <c r="AJ59" s="142"/>
      <c r="AK59" s="142"/>
      <c r="AL59" s="142"/>
      <c r="AM59" s="142"/>
      <c r="AN59" s="142"/>
      <c r="AO59" s="142"/>
      <c r="AP59" s="142"/>
      <c r="AQ59" s="142"/>
      <c r="AR59" s="142"/>
      <c r="AS59" s="142"/>
      <c r="AT59" s="142"/>
      <c r="AU59" s="142"/>
      <c r="AV59" s="142"/>
      <c r="AW59" s="142"/>
      <c r="AX59" s="142"/>
      <c r="AY59" s="142"/>
      <c r="AZ59" s="142"/>
      <c r="BA59" s="142"/>
      <c r="BB59" s="142"/>
      <c r="BC59" s="142"/>
      <c r="BD59" s="142"/>
      <c r="BE59" s="142"/>
      <c r="BF59" s="142"/>
      <c r="BG59" s="142"/>
      <c r="BH59" s="142"/>
      <c r="BI59" s="142"/>
      <c r="BJ59" s="142"/>
      <c r="BK59" s="142"/>
      <c r="BL59" s="142"/>
      <c r="BM59" s="142"/>
      <c r="BN59" s="142"/>
      <c r="BO59" s="142"/>
      <c r="BP59" s="142"/>
      <c r="BQ59" s="142"/>
      <c r="BR59" s="142"/>
      <c r="BS59" s="142"/>
      <c r="BT59" s="142"/>
      <c r="BU59" s="142"/>
      <c r="BV59" s="142"/>
      <c r="BW59" s="142"/>
      <c r="BX59" s="142"/>
      <c r="BY59" s="142"/>
      <c r="BZ59" s="142"/>
      <c r="CA59" s="142"/>
      <c r="CB59" s="142"/>
      <c r="CC59" s="142"/>
      <c r="CD59" s="142"/>
      <c r="CE59" s="142"/>
      <c r="CF59" s="142"/>
      <c r="CG59" s="142"/>
      <c r="CH59" s="142"/>
      <c r="CI59" s="142"/>
      <c r="CJ59" s="142"/>
      <c r="CK59" s="142"/>
      <c r="CL59" s="142"/>
      <c r="CM59" s="142"/>
      <c r="CN59" s="142"/>
      <c r="CO59" s="142"/>
      <c r="CP59" s="142"/>
      <c r="CQ59" s="142"/>
      <c r="CR59" s="142"/>
      <c r="CS59" s="142"/>
      <c r="CT59" s="142"/>
      <c r="CU59" s="142"/>
      <c r="CV59" s="142"/>
      <c r="CW59" s="142"/>
      <c r="CX59" s="142"/>
      <c r="CY59" s="142"/>
      <c r="CZ59" s="142"/>
      <c r="DA59" s="142"/>
      <c r="DB59" s="142"/>
      <c r="DC59" s="142"/>
      <c r="DD59" s="142"/>
      <c r="DE59" s="142"/>
      <c r="DF59" s="142"/>
      <c r="DG59" s="142">
        <v>9375</v>
      </c>
      <c r="DH59" s="142"/>
      <c r="DI59" s="142"/>
      <c r="DJ59" s="142"/>
      <c r="DK59" s="142"/>
      <c r="DL59" s="142"/>
      <c r="DM59" s="142"/>
      <c r="DN59" s="142"/>
      <c r="DO59" s="142"/>
      <c r="DP59" s="142"/>
      <c r="DQ59" s="142"/>
      <c r="DR59" s="142"/>
      <c r="DS59" s="142"/>
      <c r="DT59" s="142"/>
      <c r="DU59" s="142"/>
      <c r="DV59" s="142"/>
      <c r="DW59" s="142"/>
      <c r="DX59" s="142"/>
      <c r="DY59" s="142"/>
      <c r="DZ59" s="142"/>
      <c r="EA59" s="142"/>
      <c r="EB59" s="142"/>
      <c r="EC59" s="142"/>
      <c r="ED59" s="142"/>
      <c r="EE59" s="142"/>
      <c r="EF59" s="142"/>
      <c r="EG59" s="142"/>
      <c r="EH59" s="142"/>
      <c r="EI59" s="142"/>
      <c r="EJ59" s="142"/>
      <c r="EK59" s="142"/>
      <c r="EL59" s="142"/>
      <c r="EM59" s="142"/>
      <c r="EN59" s="142"/>
      <c r="EO59" s="142"/>
      <c r="EP59" s="142"/>
      <c r="EQ59" s="142"/>
      <c r="ER59" s="142"/>
      <c r="ES59" s="142"/>
      <c r="ET59" s="142"/>
      <c r="EU59" s="142"/>
      <c r="EV59" s="142"/>
      <c r="EW59" s="142"/>
      <c r="EX59" s="142"/>
      <c r="EY59" s="142"/>
      <c r="EZ59" s="142"/>
      <c r="FA59" s="142"/>
      <c r="FB59" s="87">
        <v>9375</v>
      </c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</row>
    <row r="60" spans="1:366" ht="14.25">
      <c r="C60" s="257"/>
      <c r="D60" s="168" t="s">
        <v>136</v>
      </c>
      <c r="E60" s="45"/>
      <c r="F60" s="6"/>
      <c r="G60" s="6"/>
      <c r="H60" s="6"/>
      <c r="I60" s="6"/>
      <c r="J60" s="6"/>
      <c r="K60" s="6"/>
      <c r="L60" s="6"/>
      <c r="M60" s="6"/>
      <c r="N60" s="6"/>
      <c r="O60" s="6"/>
      <c r="P60" s="13"/>
      <c r="Q60" s="53"/>
      <c r="U60" s="82" t="s">
        <v>771</v>
      </c>
      <c r="V60" s="82" t="s">
        <v>770</v>
      </c>
      <c r="W60" s="140"/>
      <c r="X60" s="142"/>
      <c r="Y60" s="142"/>
      <c r="Z60" s="142"/>
      <c r="AA60" s="142"/>
      <c r="AB60" s="142"/>
      <c r="AC60" s="142"/>
      <c r="AD60" s="142"/>
      <c r="AE60" s="142">
        <v>-927850</v>
      </c>
      <c r="AF60" s="142"/>
      <c r="AG60" s="142"/>
      <c r="AH60" s="142"/>
      <c r="AI60" s="142"/>
      <c r="AJ60" s="142"/>
      <c r="AK60" s="142"/>
      <c r="AL60" s="142"/>
      <c r="AM60" s="142">
        <v>-220340</v>
      </c>
      <c r="AN60" s="142"/>
      <c r="AO60" s="142"/>
      <c r="AP60" s="142"/>
      <c r="AQ60" s="142"/>
      <c r="AR60" s="142">
        <v>386849.31999999995</v>
      </c>
      <c r="AS60" s="142">
        <v>-6311.87</v>
      </c>
      <c r="AT60" s="142"/>
      <c r="AU60" s="142">
        <v>80.44</v>
      </c>
      <c r="AV60" s="142">
        <v>6534.8600000000006</v>
      </c>
      <c r="AW60" s="142"/>
      <c r="AX60" s="142">
        <v>359109.63999999996</v>
      </c>
      <c r="AY60" s="142">
        <v>-7612.88</v>
      </c>
      <c r="AZ60" s="142"/>
      <c r="BA60" s="142">
        <v>-1025.2199999999998</v>
      </c>
      <c r="BB60" s="142"/>
      <c r="BC60" s="142"/>
      <c r="BD60" s="142">
        <v>-109142.81000000001</v>
      </c>
      <c r="BE60" s="142">
        <v>124.57999999999998</v>
      </c>
      <c r="BF60" s="142"/>
      <c r="BG60" s="142"/>
      <c r="BH60" s="142"/>
      <c r="BI60" s="142"/>
      <c r="BJ60" s="142"/>
      <c r="BK60" s="142"/>
      <c r="BL60" s="142"/>
      <c r="BM60" s="142"/>
      <c r="BN60" s="142"/>
      <c r="BO60" s="142"/>
      <c r="BP60" s="142"/>
      <c r="BQ60" s="142"/>
      <c r="BR60" s="142"/>
      <c r="BS60" s="142"/>
      <c r="BT60" s="142"/>
      <c r="BU60" s="142"/>
      <c r="BV60" s="142"/>
      <c r="BW60" s="142"/>
      <c r="BX60" s="142"/>
      <c r="BY60" s="142"/>
      <c r="BZ60" s="142"/>
      <c r="CA60" s="142"/>
      <c r="CB60" s="142"/>
      <c r="CC60" s="142"/>
      <c r="CD60" s="142"/>
      <c r="CE60" s="142"/>
      <c r="CF60" s="142"/>
      <c r="CG60" s="142"/>
      <c r="CH60" s="142"/>
      <c r="CI60" s="142"/>
      <c r="CJ60" s="142"/>
      <c r="CK60" s="142"/>
      <c r="CL60" s="142"/>
      <c r="CM60" s="142"/>
      <c r="CN60" s="142"/>
      <c r="CO60" s="142"/>
      <c r="CP60" s="142"/>
      <c r="CQ60" s="142"/>
      <c r="CR60" s="142"/>
      <c r="CS60" s="142"/>
      <c r="CT60" s="142"/>
      <c r="CU60" s="142"/>
      <c r="CV60" s="142"/>
      <c r="CW60" s="142"/>
      <c r="CX60" s="142"/>
      <c r="CY60" s="142"/>
      <c r="CZ60" s="142"/>
      <c r="DA60" s="142"/>
      <c r="DB60" s="142"/>
      <c r="DC60" s="142"/>
      <c r="DD60" s="142"/>
      <c r="DE60" s="142"/>
      <c r="DF60" s="142"/>
      <c r="DG60" s="142"/>
      <c r="DH60" s="142"/>
      <c r="DI60" s="142"/>
      <c r="DJ60" s="142"/>
      <c r="DK60" s="142"/>
      <c r="DL60" s="142"/>
      <c r="DM60" s="142"/>
      <c r="DN60" s="142"/>
      <c r="DO60" s="142"/>
      <c r="DP60" s="142"/>
      <c r="DQ60" s="142"/>
      <c r="DR60" s="142"/>
      <c r="DS60" s="142"/>
      <c r="DT60" s="142"/>
      <c r="DU60" s="142"/>
      <c r="DV60" s="142"/>
      <c r="DW60" s="142"/>
      <c r="DX60" s="142"/>
      <c r="DY60" s="142"/>
      <c r="DZ60" s="142"/>
      <c r="EA60" s="142"/>
      <c r="EB60" s="142"/>
      <c r="EC60" s="142"/>
      <c r="ED60" s="142"/>
      <c r="EE60" s="142"/>
      <c r="EF60" s="142"/>
      <c r="EG60" s="142"/>
      <c r="EH60" s="142"/>
      <c r="EI60" s="142"/>
      <c r="EJ60" s="142"/>
      <c r="EK60" s="142"/>
      <c r="EL60" s="142"/>
      <c r="EM60" s="142"/>
      <c r="EN60" s="142"/>
      <c r="EO60" s="142"/>
      <c r="EP60" s="142"/>
      <c r="EQ60" s="142"/>
      <c r="ER60" s="142"/>
      <c r="ES60" s="142"/>
      <c r="ET60" s="142"/>
      <c r="EU60" s="142"/>
      <c r="EV60" s="142"/>
      <c r="EW60" s="142"/>
      <c r="EX60" s="142"/>
      <c r="EY60" s="142"/>
      <c r="EZ60" s="142"/>
      <c r="FA60" s="142"/>
      <c r="FB60" s="87">
        <v>-519583.94000000012</v>
      </c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</row>
    <row r="61" spans="1:366" s="2" customFormat="1" ht="14.25">
      <c r="A61" s="9"/>
      <c r="B61" s="9"/>
      <c r="C61" s="257"/>
      <c r="D61" s="168" t="s">
        <v>137</v>
      </c>
      <c r="E61" s="45"/>
      <c r="F61" s="6"/>
      <c r="G61" s="6"/>
      <c r="H61" s="6"/>
      <c r="I61" s="6"/>
      <c r="J61" s="6"/>
      <c r="K61" s="6"/>
      <c r="L61" s="6"/>
      <c r="M61" s="6"/>
      <c r="N61" s="6"/>
      <c r="O61" s="6"/>
      <c r="P61" s="13"/>
      <c r="Q61" s="53"/>
      <c r="S61" s="151"/>
      <c r="T61" s="151"/>
      <c r="U61" s="150"/>
      <c r="V61" s="83" t="s">
        <v>1778</v>
      </c>
      <c r="W61" s="143"/>
      <c r="X61" s="90"/>
      <c r="Y61" s="90"/>
      <c r="Z61" s="90"/>
      <c r="AA61" s="90"/>
      <c r="AB61" s="90"/>
      <c r="AC61" s="90"/>
      <c r="AD61" s="90"/>
      <c r="AE61" s="90"/>
      <c r="AF61" s="90"/>
      <c r="AG61" s="90"/>
      <c r="AH61" s="90"/>
      <c r="AI61" s="90"/>
      <c r="AJ61" s="90"/>
      <c r="AK61" s="90"/>
      <c r="AL61" s="90"/>
      <c r="AM61" s="90">
        <v>-100000000</v>
      </c>
      <c r="AN61" s="90"/>
      <c r="AO61" s="90"/>
      <c r="AP61" s="90"/>
      <c r="AQ61" s="90"/>
      <c r="AR61" s="90"/>
      <c r="AS61" s="90"/>
      <c r="AT61" s="90"/>
      <c r="AU61" s="90"/>
      <c r="AV61" s="90"/>
      <c r="AW61" s="90"/>
      <c r="AX61" s="90"/>
      <c r="AY61" s="90"/>
      <c r="AZ61" s="90"/>
      <c r="BA61" s="90"/>
      <c r="BB61" s="90"/>
      <c r="BC61" s="90"/>
      <c r="BD61" s="90"/>
      <c r="BE61" s="90"/>
      <c r="BF61" s="90"/>
      <c r="BG61" s="90"/>
      <c r="BH61" s="90"/>
      <c r="BI61" s="90"/>
      <c r="BJ61" s="90"/>
      <c r="BK61" s="90"/>
      <c r="BL61" s="90"/>
      <c r="BM61" s="90"/>
      <c r="BN61" s="90"/>
      <c r="BO61" s="90"/>
      <c r="BP61" s="90"/>
      <c r="BQ61" s="90"/>
      <c r="BR61" s="90"/>
      <c r="BS61" s="90"/>
      <c r="BT61" s="90"/>
      <c r="BU61" s="90"/>
      <c r="BV61" s="90"/>
      <c r="BW61" s="90"/>
      <c r="BX61" s="90"/>
      <c r="BY61" s="90"/>
      <c r="BZ61" s="90"/>
      <c r="CA61" s="90"/>
      <c r="CB61" s="90"/>
      <c r="CC61" s="90"/>
      <c r="CD61" s="90"/>
      <c r="CE61" s="90"/>
      <c r="CF61" s="90"/>
      <c r="CG61" s="90"/>
      <c r="CH61" s="90"/>
      <c r="CI61" s="90"/>
      <c r="CJ61" s="90"/>
      <c r="CK61" s="90"/>
      <c r="CL61" s="90"/>
      <c r="CM61" s="90"/>
      <c r="CN61" s="90"/>
      <c r="CO61" s="90"/>
      <c r="CP61" s="90"/>
      <c r="CQ61" s="90"/>
      <c r="CR61" s="90"/>
      <c r="CS61" s="90"/>
      <c r="CT61" s="90"/>
      <c r="CU61" s="90"/>
      <c r="CV61" s="90"/>
      <c r="CW61" s="90"/>
      <c r="CX61" s="90"/>
      <c r="CY61" s="90"/>
      <c r="CZ61" s="90"/>
      <c r="DA61" s="90"/>
      <c r="DB61" s="90"/>
      <c r="DC61" s="90"/>
      <c r="DD61" s="90"/>
      <c r="DE61" s="90"/>
      <c r="DF61" s="90"/>
      <c r="DG61" s="90"/>
      <c r="DH61" s="90"/>
      <c r="DI61" s="90"/>
      <c r="DJ61" s="90"/>
      <c r="DK61" s="90"/>
      <c r="DL61" s="90"/>
      <c r="DM61" s="90"/>
      <c r="DN61" s="90"/>
      <c r="DO61" s="90"/>
      <c r="DP61" s="90"/>
      <c r="DQ61" s="90"/>
      <c r="DR61" s="90"/>
      <c r="DS61" s="90"/>
      <c r="DT61" s="90"/>
      <c r="DU61" s="90"/>
      <c r="DV61" s="90"/>
      <c r="DW61" s="90"/>
      <c r="DX61" s="90"/>
      <c r="DY61" s="90"/>
      <c r="DZ61" s="90"/>
      <c r="EA61" s="90"/>
      <c r="EB61" s="90"/>
      <c r="EC61" s="90"/>
      <c r="ED61" s="90"/>
      <c r="EE61" s="90"/>
      <c r="EF61" s="90"/>
      <c r="EG61" s="90"/>
      <c r="EH61" s="90"/>
      <c r="EI61" s="90"/>
      <c r="EJ61" s="90"/>
      <c r="EK61" s="90"/>
      <c r="EL61" s="90"/>
      <c r="EM61" s="90"/>
      <c r="EN61" s="90"/>
      <c r="EO61" s="90"/>
      <c r="EP61" s="90"/>
      <c r="EQ61" s="90"/>
      <c r="ER61" s="90"/>
      <c r="ES61" s="90"/>
      <c r="ET61" s="90"/>
      <c r="EU61" s="90"/>
      <c r="EV61" s="90"/>
      <c r="EW61" s="90"/>
      <c r="EX61" s="90"/>
      <c r="EY61" s="90"/>
      <c r="EZ61" s="90"/>
      <c r="FA61" s="90"/>
      <c r="FB61" s="88">
        <v>-100000000</v>
      </c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 s="151"/>
      <c r="NB61" s="151"/>
    </row>
    <row r="62" spans="1:366" s="2" customFormat="1" ht="14.25">
      <c r="A62" s="9"/>
      <c r="B62" s="9"/>
      <c r="C62" s="257"/>
      <c r="D62" s="168" t="s">
        <v>138</v>
      </c>
      <c r="E62" s="45"/>
      <c r="F62" s="6"/>
      <c r="G62" s="6"/>
      <c r="H62" s="6"/>
      <c r="I62" s="6"/>
      <c r="J62" s="6"/>
      <c r="K62" s="6"/>
      <c r="L62" s="6"/>
      <c r="M62" s="6"/>
      <c r="N62" s="6"/>
      <c r="O62" s="6"/>
      <c r="P62" s="13"/>
      <c r="Q62" s="53"/>
      <c r="S62" s="151"/>
      <c r="T62" s="151"/>
      <c r="U62" s="82" t="s">
        <v>292</v>
      </c>
      <c r="V62" s="82" t="s">
        <v>286</v>
      </c>
      <c r="W62" s="140"/>
      <c r="X62" s="142"/>
      <c r="Y62" s="142"/>
      <c r="Z62" s="142"/>
      <c r="AA62" s="142"/>
      <c r="AB62" s="142"/>
      <c r="AC62" s="142"/>
      <c r="AD62" s="142"/>
      <c r="AE62" s="142"/>
      <c r="AF62" s="142"/>
      <c r="AG62" s="142"/>
      <c r="AH62" s="142"/>
      <c r="AI62" s="142"/>
      <c r="AJ62" s="142"/>
      <c r="AK62" s="142"/>
      <c r="AL62" s="142"/>
      <c r="AM62" s="142"/>
      <c r="AN62" s="142"/>
      <c r="AO62" s="142"/>
      <c r="AP62" s="142"/>
      <c r="AQ62" s="142"/>
      <c r="AR62" s="142"/>
      <c r="AS62" s="142"/>
      <c r="AT62" s="142"/>
      <c r="AU62" s="142"/>
      <c r="AV62" s="142"/>
      <c r="AW62" s="142"/>
      <c r="AX62" s="142"/>
      <c r="AY62" s="142"/>
      <c r="AZ62" s="142"/>
      <c r="BA62" s="142"/>
      <c r="BB62" s="142"/>
      <c r="BC62" s="142"/>
      <c r="BD62" s="142"/>
      <c r="BE62" s="142"/>
      <c r="BF62" s="142"/>
      <c r="BG62" s="142"/>
      <c r="BH62" s="142"/>
      <c r="BI62" s="142"/>
      <c r="BJ62" s="142"/>
      <c r="BK62" s="142">
        <v>-1600000</v>
      </c>
      <c r="BL62" s="142"/>
      <c r="BM62" s="142"/>
      <c r="BN62" s="142"/>
      <c r="BO62" s="142"/>
      <c r="BP62" s="142"/>
      <c r="BQ62" s="142"/>
      <c r="BR62" s="142"/>
      <c r="BS62" s="142"/>
      <c r="BT62" s="142"/>
      <c r="BU62" s="142"/>
      <c r="BV62" s="142"/>
      <c r="BW62" s="142"/>
      <c r="BX62" s="142"/>
      <c r="BY62" s="142"/>
      <c r="BZ62" s="142"/>
      <c r="CA62" s="142"/>
      <c r="CB62" s="142"/>
      <c r="CC62" s="142"/>
      <c r="CD62" s="142"/>
      <c r="CE62" s="142"/>
      <c r="CF62" s="142"/>
      <c r="CG62" s="142"/>
      <c r="CH62" s="142"/>
      <c r="CI62" s="142"/>
      <c r="CJ62" s="142"/>
      <c r="CK62" s="142"/>
      <c r="CL62" s="142"/>
      <c r="CM62" s="142"/>
      <c r="CN62" s="142"/>
      <c r="CO62" s="142"/>
      <c r="CP62" s="142"/>
      <c r="CQ62" s="142"/>
      <c r="CR62" s="142"/>
      <c r="CS62" s="142"/>
      <c r="CT62" s="142"/>
      <c r="CU62" s="142"/>
      <c r="CV62" s="142"/>
      <c r="CW62" s="142"/>
      <c r="CX62" s="142"/>
      <c r="CY62" s="142"/>
      <c r="CZ62" s="142"/>
      <c r="DA62" s="142"/>
      <c r="DB62" s="142"/>
      <c r="DC62" s="142"/>
      <c r="DD62" s="142"/>
      <c r="DE62" s="142"/>
      <c r="DF62" s="142"/>
      <c r="DG62" s="142"/>
      <c r="DH62" s="142"/>
      <c r="DI62" s="142"/>
      <c r="DJ62" s="142"/>
      <c r="DK62" s="142"/>
      <c r="DL62" s="142"/>
      <c r="DM62" s="142"/>
      <c r="DN62" s="142"/>
      <c r="DO62" s="142"/>
      <c r="DP62" s="142"/>
      <c r="DQ62" s="142"/>
      <c r="DR62" s="142"/>
      <c r="DS62" s="142"/>
      <c r="DT62" s="142"/>
      <c r="DU62" s="142"/>
      <c r="DV62" s="142"/>
      <c r="DW62" s="142"/>
      <c r="DX62" s="142"/>
      <c r="DY62" s="142"/>
      <c r="DZ62" s="142"/>
      <c r="EA62" s="142"/>
      <c r="EB62" s="142"/>
      <c r="EC62" s="142"/>
      <c r="ED62" s="142"/>
      <c r="EE62" s="142"/>
      <c r="EF62" s="142"/>
      <c r="EG62" s="142"/>
      <c r="EH62" s="142"/>
      <c r="EI62" s="142"/>
      <c r="EJ62" s="142"/>
      <c r="EK62" s="142"/>
      <c r="EL62" s="142"/>
      <c r="EM62" s="142"/>
      <c r="EN62" s="142"/>
      <c r="EO62" s="142"/>
      <c r="EP62" s="142"/>
      <c r="EQ62" s="142"/>
      <c r="ER62" s="142"/>
      <c r="ES62" s="142"/>
      <c r="ET62" s="142"/>
      <c r="EU62" s="142"/>
      <c r="EV62" s="142"/>
      <c r="EW62" s="142"/>
      <c r="EX62" s="142">
        <v>-300000</v>
      </c>
      <c r="EY62" s="142"/>
      <c r="EZ62" s="142"/>
      <c r="FA62" s="142"/>
      <c r="FB62" s="87">
        <v>-1900000</v>
      </c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</row>
    <row r="63" spans="1:366" s="2" customFormat="1" ht="14.25">
      <c r="A63" s="9"/>
      <c r="B63" s="9"/>
      <c r="C63" s="257"/>
      <c r="D63" s="168" t="s">
        <v>139</v>
      </c>
      <c r="E63" s="45"/>
      <c r="F63" s="6"/>
      <c r="G63" s="6"/>
      <c r="H63" s="6"/>
      <c r="I63" s="6"/>
      <c r="J63" s="6"/>
      <c r="K63" s="6"/>
      <c r="L63" s="6"/>
      <c r="M63" s="6"/>
      <c r="N63" s="6"/>
      <c r="O63" s="6"/>
      <c r="P63" s="13"/>
      <c r="Q63" s="53"/>
      <c r="S63" s="151"/>
      <c r="T63" s="151"/>
      <c r="U63" s="150"/>
      <c r="V63" s="83" t="s">
        <v>284</v>
      </c>
      <c r="W63" s="143"/>
      <c r="X63" s="90"/>
      <c r="Y63" s="90"/>
      <c r="Z63" s="90"/>
      <c r="AA63" s="90"/>
      <c r="AB63" s="90"/>
      <c r="AC63" s="90"/>
      <c r="AD63" s="90"/>
      <c r="AE63" s="90"/>
      <c r="AF63" s="90"/>
      <c r="AG63" s="90"/>
      <c r="AH63" s="90"/>
      <c r="AI63" s="90"/>
      <c r="AJ63" s="90"/>
      <c r="AK63" s="90"/>
      <c r="AL63" s="90"/>
      <c r="AM63" s="90"/>
      <c r="AN63" s="90"/>
      <c r="AO63" s="90"/>
      <c r="AP63" s="90"/>
      <c r="AQ63" s="90"/>
      <c r="AR63" s="90"/>
      <c r="AS63" s="90"/>
      <c r="AT63" s="90"/>
      <c r="AU63" s="90"/>
      <c r="AV63" s="90"/>
      <c r="AW63" s="90"/>
      <c r="AX63" s="90"/>
      <c r="AY63" s="90"/>
      <c r="AZ63" s="90"/>
      <c r="BA63" s="90"/>
      <c r="BB63" s="90">
        <v>14015294.120000001</v>
      </c>
      <c r="BC63" s="90"/>
      <c r="BD63" s="90"/>
      <c r="BE63" s="90"/>
      <c r="BF63" s="90"/>
      <c r="BG63" s="90"/>
      <c r="BH63" s="90"/>
      <c r="BI63" s="90"/>
      <c r="BJ63" s="90">
        <v>3375900</v>
      </c>
      <c r="BK63" s="90">
        <v>15410603.349999998</v>
      </c>
      <c r="BL63" s="90">
        <v>-67432287.109999985</v>
      </c>
      <c r="BM63" s="90">
        <v>4573800</v>
      </c>
      <c r="BN63" s="90">
        <v>-66900000</v>
      </c>
      <c r="BO63" s="90"/>
      <c r="BP63" s="90">
        <v>4951320</v>
      </c>
      <c r="BQ63" s="90"/>
      <c r="BR63" s="90">
        <v>18782612.029999997</v>
      </c>
      <c r="BS63" s="90"/>
      <c r="BT63" s="90">
        <v>-8888156.25</v>
      </c>
      <c r="BU63" s="90"/>
      <c r="BV63" s="90"/>
      <c r="BW63" s="90"/>
      <c r="BX63" s="90"/>
      <c r="BY63" s="90">
        <v>4951320</v>
      </c>
      <c r="BZ63" s="90">
        <v>19938393.5</v>
      </c>
      <c r="CA63" s="90">
        <v>-1688027.8499999999</v>
      </c>
      <c r="CB63" s="90"/>
      <c r="CC63" s="90">
        <v>17825263.43</v>
      </c>
      <c r="CD63" s="90"/>
      <c r="CE63" s="90">
        <v>4472160</v>
      </c>
      <c r="CF63" s="90"/>
      <c r="CG63" s="90"/>
      <c r="CH63" s="90">
        <v>4726260</v>
      </c>
      <c r="CI63" s="90">
        <v>18567857</v>
      </c>
      <c r="CJ63" s="90"/>
      <c r="CK63" s="90"/>
      <c r="CL63" s="90"/>
      <c r="CM63" s="90"/>
      <c r="CN63" s="90"/>
      <c r="CO63" s="90"/>
      <c r="CP63" s="90"/>
      <c r="CQ63" s="90"/>
      <c r="CR63" s="90"/>
      <c r="CS63" s="90"/>
      <c r="CT63" s="90"/>
      <c r="CU63" s="90"/>
      <c r="CV63" s="90"/>
      <c r="CW63" s="90"/>
      <c r="CX63" s="90"/>
      <c r="CY63" s="90"/>
      <c r="CZ63" s="90"/>
      <c r="DA63" s="90"/>
      <c r="DB63" s="90"/>
      <c r="DC63" s="90"/>
      <c r="DD63" s="90"/>
      <c r="DE63" s="90"/>
      <c r="DF63" s="90"/>
      <c r="DG63" s="90"/>
      <c r="DH63" s="90"/>
      <c r="DI63" s="90"/>
      <c r="DJ63" s="90"/>
      <c r="DK63" s="90"/>
      <c r="DL63" s="90"/>
      <c r="DM63" s="90"/>
      <c r="DN63" s="90"/>
      <c r="DO63" s="90"/>
      <c r="DP63" s="90"/>
      <c r="DQ63" s="90"/>
      <c r="DR63" s="90"/>
      <c r="DS63" s="90"/>
      <c r="DT63" s="90"/>
      <c r="DU63" s="90"/>
      <c r="DV63" s="90"/>
      <c r="DW63" s="90"/>
      <c r="DX63" s="90"/>
      <c r="DY63" s="90"/>
      <c r="DZ63" s="90"/>
      <c r="EA63" s="90"/>
      <c r="EB63" s="90"/>
      <c r="EC63" s="90"/>
      <c r="ED63" s="90"/>
      <c r="EE63" s="90"/>
      <c r="EF63" s="90"/>
      <c r="EG63" s="90"/>
      <c r="EH63" s="90"/>
      <c r="EI63" s="90"/>
      <c r="EJ63" s="90"/>
      <c r="EK63" s="90"/>
      <c r="EL63" s="90"/>
      <c r="EM63" s="90"/>
      <c r="EN63" s="90"/>
      <c r="EO63" s="90"/>
      <c r="EP63" s="90"/>
      <c r="EQ63" s="90"/>
      <c r="ER63" s="90"/>
      <c r="ES63" s="90"/>
      <c r="ET63" s="90"/>
      <c r="EU63" s="90"/>
      <c r="EV63" s="90"/>
      <c r="EW63" s="90"/>
      <c r="EX63" s="90"/>
      <c r="EY63" s="90"/>
      <c r="EZ63" s="90"/>
      <c r="FA63" s="90"/>
      <c r="FB63" s="88">
        <v>-13317687.779999986</v>
      </c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</row>
    <row r="64" spans="1:366" s="2" customFormat="1" ht="18" customHeight="1">
      <c r="A64" s="9"/>
      <c r="B64" s="9"/>
      <c r="C64" s="258"/>
      <c r="D64" s="171" t="s">
        <v>140</v>
      </c>
      <c r="E64" s="56">
        <f t="shared" ref="E64:Q64" si="6">SUM(E59:E63)</f>
        <v>0</v>
      </c>
      <c r="F64" s="38">
        <f t="shared" si="6"/>
        <v>0</v>
      </c>
      <c r="G64" s="38">
        <f t="shared" si="6"/>
        <v>0</v>
      </c>
      <c r="H64" s="38">
        <f t="shared" si="6"/>
        <v>0</v>
      </c>
      <c r="I64" s="38">
        <f t="shared" si="6"/>
        <v>0</v>
      </c>
      <c r="J64" s="38">
        <f t="shared" si="6"/>
        <v>0</v>
      </c>
      <c r="K64" s="38">
        <f t="shared" si="6"/>
        <v>0</v>
      </c>
      <c r="L64" s="38">
        <f t="shared" si="6"/>
        <v>0</v>
      </c>
      <c r="M64" s="38">
        <f t="shared" si="6"/>
        <v>0</v>
      </c>
      <c r="N64" s="38">
        <f t="shared" si="6"/>
        <v>0</v>
      </c>
      <c r="O64" s="38">
        <f t="shared" si="6"/>
        <v>0</v>
      </c>
      <c r="P64" s="38">
        <f t="shared" si="6"/>
        <v>0</v>
      </c>
      <c r="Q64" s="57">
        <f t="shared" si="6"/>
        <v>0</v>
      </c>
      <c r="S64" s="151"/>
      <c r="T64" s="151"/>
      <c r="U64" s="150"/>
      <c r="V64" s="83" t="s">
        <v>273</v>
      </c>
      <c r="W64" s="143"/>
      <c r="X64" s="90"/>
      <c r="Y64" s="90"/>
      <c r="Z64" s="90"/>
      <c r="AA64" s="90"/>
      <c r="AB64" s="90"/>
      <c r="AC64" s="90"/>
      <c r="AD64" s="90"/>
      <c r="AE64" s="90"/>
      <c r="AF64" s="90"/>
      <c r="AG64" s="90"/>
      <c r="AH64" s="90"/>
      <c r="AI64" s="90"/>
      <c r="AJ64" s="90"/>
      <c r="AK64" s="90"/>
      <c r="AL64" s="90"/>
      <c r="AM64" s="90"/>
      <c r="AN64" s="90"/>
      <c r="AO64" s="90"/>
      <c r="AP64" s="90"/>
      <c r="AQ64" s="90"/>
      <c r="AR64" s="90"/>
      <c r="AS64" s="90"/>
      <c r="AT64" s="90"/>
      <c r="AU64" s="90"/>
      <c r="AV64" s="90"/>
      <c r="AW64" s="90"/>
      <c r="AX64" s="90"/>
      <c r="AY64" s="90"/>
      <c r="AZ64" s="90"/>
      <c r="BA64" s="90"/>
      <c r="BB64" s="90">
        <v>-467387.22</v>
      </c>
      <c r="BC64" s="90">
        <v>2429359.7799999998</v>
      </c>
      <c r="BD64" s="90"/>
      <c r="BE64" s="90"/>
      <c r="BF64" s="90"/>
      <c r="BG64" s="90"/>
      <c r="BH64" s="90">
        <v>32562.499999999996</v>
      </c>
      <c r="BI64" s="90">
        <v>708750</v>
      </c>
      <c r="BJ64" s="90">
        <v>-111647.39</v>
      </c>
      <c r="BK64" s="90">
        <v>-380972.77999999997</v>
      </c>
      <c r="BL64" s="90"/>
      <c r="BM64" s="90">
        <v>-63775.219999999994</v>
      </c>
      <c r="BN64" s="90"/>
      <c r="BO64" s="90">
        <v>43125</v>
      </c>
      <c r="BP64" s="90">
        <v>-85565.889999999985</v>
      </c>
      <c r="BQ64" s="90">
        <v>-153630.76999999999</v>
      </c>
      <c r="BR64" s="90">
        <v>-61820.439999999995</v>
      </c>
      <c r="BS64" s="90"/>
      <c r="BT64" s="90"/>
      <c r="BU64" s="90">
        <v>-367596.16</v>
      </c>
      <c r="BV64" s="90"/>
      <c r="BW64" s="90">
        <v>1336953.97</v>
      </c>
      <c r="BX64" s="90"/>
      <c r="BY64" s="90">
        <v>-72765.39</v>
      </c>
      <c r="BZ64" s="90">
        <v>-144596.95000000001</v>
      </c>
      <c r="CA64" s="90"/>
      <c r="CB64" s="90">
        <v>-209.39000000000001</v>
      </c>
      <c r="CC64" s="90">
        <v>-221935.83</v>
      </c>
      <c r="CD64" s="90">
        <v>-13743.169999999998</v>
      </c>
      <c r="CE64" s="90">
        <v>-90165.89</v>
      </c>
      <c r="CF64" s="90"/>
      <c r="CG64" s="90"/>
      <c r="CH64" s="90">
        <v>-117234.3</v>
      </c>
      <c r="CI64" s="90">
        <v>-277722.71999999997</v>
      </c>
      <c r="CJ64" s="90"/>
      <c r="CK64" s="90">
        <v>0</v>
      </c>
      <c r="CL64" s="90"/>
      <c r="CM64" s="90"/>
      <c r="CN64" s="90"/>
      <c r="CO64" s="90"/>
      <c r="CP64" s="90"/>
      <c r="CQ64" s="90"/>
      <c r="CR64" s="90"/>
      <c r="CS64" s="90"/>
      <c r="CT64" s="90"/>
      <c r="CU64" s="90"/>
      <c r="CV64" s="90"/>
      <c r="CW64" s="90"/>
      <c r="CX64" s="90"/>
      <c r="CY64" s="90"/>
      <c r="CZ64" s="90"/>
      <c r="DA64" s="90"/>
      <c r="DB64" s="90"/>
      <c r="DC64" s="90"/>
      <c r="DD64" s="90"/>
      <c r="DE64" s="90"/>
      <c r="DF64" s="90"/>
      <c r="DG64" s="90"/>
      <c r="DH64" s="90"/>
      <c r="DI64" s="90"/>
      <c r="DJ64" s="90"/>
      <c r="DK64" s="90"/>
      <c r="DL64" s="90"/>
      <c r="DM64" s="90"/>
      <c r="DN64" s="90"/>
      <c r="DO64" s="90"/>
      <c r="DP64" s="90"/>
      <c r="DQ64" s="90"/>
      <c r="DR64" s="90"/>
      <c r="DS64" s="90"/>
      <c r="DT64" s="90"/>
      <c r="DU64" s="90"/>
      <c r="DV64" s="90"/>
      <c r="DW64" s="90"/>
      <c r="DX64" s="90"/>
      <c r="DY64" s="90"/>
      <c r="DZ64" s="90"/>
      <c r="EA64" s="90"/>
      <c r="EB64" s="90"/>
      <c r="EC64" s="90"/>
      <c r="ED64" s="90"/>
      <c r="EE64" s="90"/>
      <c r="EF64" s="90"/>
      <c r="EG64" s="90"/>
      <c r="EH64" s="90"/>
      <c r="EI64" s="90"/>
      <c r="EJ64" s="90"/>
      <c r="EK64" s="90"/>
      <c r="EL64" s="90"/>
      <c r="EM64" s="90"/>
      <c r="EN64" s="90"/>
      <c r="EO64" s="90"/>
      <c r="EP64" s="90"/>
      <c r="EQ64" s="90"/>
      <c r="ER64" s="90"/>
      <c r="ES64" s="90"/>
      <c r="ET64" s="90"/>
      <c r="EU64" s="90"/>
      <c r="EV64" s="90"/>
      <c r="EW64" s="90"/>
      <c r="EX64" s="90"/>
      <c r="EY64" s="90"/>
      <c r="EZ64" s="90"/>
      <c r="FA64" s="90"/>
      <c r="FB64" s="88">
        <v>1919981.7399999991</v>
      </c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</row>
    <row r="65" spans="1:364" s="2" customFormat="1" ht="15">
      <c r="A65" s="9"/>
      <c r="B65" s="9"/>
      <c r="C65" s="12"/>
      <c r="D65" s="170" t="s">
        <v>141</v>
      </c>
      <c r="E65" s="58">
        <f>SUM(E64,E57)</f>
        <v>91.947561532124993</v>
      </c>
      <c r="F65" s="39">
        <f t="shared" ref="F65:Q65" si="7">SUM(F64,F57)</f>
        <v>91.947561532124993</v>
      </c>
      <c r="G65" s="39">
        <f t="shared" si="7"/>
        <v>92.551111532124992</v>
      </c>
      <c r="H65" s="39">
        <f t="shared" si="7"/>
        <v>92.551111532124992</v>
      </c>
      <c r="I65" s="39">
        <f t="shared" si="7"/>
        <v>92.551111532124992</v>
      </c>
      <c r="J65" s="39">
        <f t="shared" si="7"/>
        <v>92.551197692124987</v>
      </c>
      <c r="K65" s="39">
        <f t="shared" si="7"/>
        <v>107.57243154212499</v>
      </c>
      <c r="L65" s="39">
        <f t="shared" si="7"/>
        <v>108.23546952212499</v>
      </c>
      <c r="M65" s="39">
        <f t="shared" si="7"/>
        <v>191.07478110212503</v>
      </c>
      <c r="N65" s="39">
        <f t="shared" si="7"/>
        <v>139.93373481212501</v>
      </c>
      <c r="O65" s="39">
        <f t="shared" si="7"/>
        <v>125.11692906212502</v>
      </c>
      <c r="P65" s="40">
        <f t="shared" si="7"/>
        <v>142.86163059212504</v>
      </c>
      <c r="Q65" s="59">
        <f t="shared" si="7"/>
        <v>126.83750206212503</v>
      </c>
      <c r="S65" s="151"/>
      <c r="T65" s="151"/>
      <c r="U65" s="150"/>
      <c r="V65" s="83" t="s">
        <v>330</v>
      </c>
      <c r="W65" s="143"/>
      <c r="X65" s="90"/>
      <c r="Y65" s="90"/>
      <c r="Z65" s="90"/>
      <c r="AA65" s="90"/>
      <c r="AB65" s="90"/>
      <c r="AC65" s="90"/>
      <c r="AD65" s="90"/>
      <c r="AE65" s="90"/>
      <c r="AF65" s="90"/>
      <c r="AG65" s="90"/>
      <c r="AH65" s="90"/>
      <c r="AI65" s="90"/>
      <c r="AJ65" s="90"/>
      <c r="AK65" s="90"/>
      <c r="AL65" s="90"/>
      <c r="AM65" s="90"/>
      <c r="AN65" s="90"/>
      <c r="AO65" s="90"/>
      <c r="AP65" s="90"/>
      <c r="AQ65" s="90"/>
      <c r="AR65" s="90"/>
      <c r="AS65" s="90"/>
      <c r="AT65" s="90"/>
      <c r="AU65" s="90"/>
      <c r="AV65" s="90"/>
      <c r="AW65" s="90"/>
      <c r="AX65" s="90"/>
      <c r="AY65" s="90"/>
      <c r="AZ65" s="90"/>
      <c r="BA65" s="90"/>
      <c r="BB65" s="90"/>
      <c r="BC65" s="90"/>
      <c r="BD65" s="90"/>
      <c r="BE65" s="90"/>
      <c r="BF65" s="90"/>
      <c r="BG65" s="90"/>
      <c r="BH65" s="90"/>
      <c r="BI65" s="90"/>
      <c r="BJ65" s="90"/>
      <c r="BK65" s="90"/>
      <c r="BL65" s="90"/>
      <c r="BM65" s="90"/>
      <c r="BN65" s="90"/>
      <c r="BO65" s="90"/>
      <c r="BP65" s="90"/>
      <c r="BQ65" s="90"/>
      <c r="BR65" s="90"/>
      <c r="BS65" s="90"/>
      <c r="BT65" s="90"/>
      <c r="BU65" s="90"/>
      <c r="BV65" s="90"/>
      <c r="BW65" s="90"/>
      <c r="BX65" s="90"/>
      <c r="BY65" s="90"/>
      <c r="BZ65" s="90"/>
      <c r="CA65" s="90"/>
      <c r="CB65" s="90"/>
      <c r="CC65" s="90"/>
      <c r="CD65" s="90"/>
      <c r="CE65" s="90"/>
      <c r="CF65" s="90"/>
      <c r="CG65" s="90"/>
      <c r="CH65" s="90"/>
      <c r="CI65" s="90"/>
      <c r="CJ65" s="90"/>
      <c r="CK65" s="90"/>
      <c r="CL65" s="90"/>
      <c r="CM65" s="90"/>
      <c r="CN65" s="90"/>
      <c r="CO65" s="90"/>
      <c r="CP65" s="90"/>
      <c r="CQ65" s="90"/>
      <c r="CR65" s="90"/>
      <c r="CS65" s="90"/>
      <c r="CT65" s="90"/>
      <c r="CU65" s="90"/>
      <c r="CV65" s="90"/>
      <c r="CW65" s="90"/>
      <c r="CX65" s="90"/>
      <c r="CY65" s="90"/>
      <c r="CZ65" s="90"/>
      <c r="DA65" s="90"/>
      <c r="DB65" s="90"/>
      <c r="DC65" s="90"/>
      <c r="DD65" s="90"/>
      <c r="DE65" s="90"/>
      <c r="DF65" s="90"/>
      <c r="DG65" s="90"/>
      <c r="DH65" s="90">
        <v>0</v>
      </c>
      <c r="DI65" s="90"/>
      <c r="DJ65" s="90"/>
      <c r="DK65" s="90"/>
      <c r="DL65" s="90"/>
      <c r="DM65" s="90"/>
      <c r="DN65" s="90"/>
      <c r="DO65" s="90"/>
      <c r="DP65" s="90"/>
      <c r="DQ65" s="90"/>
      <c r="DR65" s="90"/>
      <c r="DS65" s="90"/>
      <c r="DT65" s="90"/>
      <c r="DU65" s="90"/>
      <c r="DV65" s="90"/>
      <c r="DW65" s="90"/>
      <c r="DX65" s="90"/>
      <c r="DY65" s="90"/>
      <c r="DZ65" s="90"/>
      <c r="EA65" s="90"/>
      <c r="EB65" s="90"/>
      <c r="EC65" s="90"/>
      <c r="ED65" s="90"/>
      <c r="EE65" s="90"/>
      <c r="EF65" s="90"/>
      <c r="EG65" s="90"/>
      <c r="EH65" s="90"/>
      <c r="EI65" s="90"/>
      <c r="EJ65" s="90"/>
      <c r="EK65" s="90"/>
      <c r="EL65" s="90"/>
      <c r="EM65" s="90"/>
      <c r="EN65" s="90"/>
      <c r="EO65" s="90">
        <v>0</v>
      </c>
      <c r="EP65" s="90"/>
      <c r="EQ65" s="90"/>
      <c r="ER65" s="90"/>
      <c r="ES65" s="90"/>
      <c r="ET65" s="90"/>
      <c r="EU65" s="90"/>
      <c r="EV65" s="90"/>
      <c r="EW65" s="90"/>
      <c r="EX65" s="90"/>
      <c r="EY65" s="90"/>
      <c r="EZ65" s="90"/>
      <c r="FA65" s="90"/>
      <c r="FB65" s="88">
        <v>0</v>
      </c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</row>
    <row r="66" spans="1:364" s="2" customFormat="1" ht="14.25">
      <c r="A66" s="9"/>
      <c r="B66" s="9"/>
      <c r="D66" s="172"/>
      <c r="E66" s="6"/>
      <c r="F66" s="6"/>
      <c r="G66" s="6"/>
      <c r="H66" s="6"/>
      <c r="I66" s="6"/>
      <c r="J66" s="6"/>
      <c r="K66" s="6"/>
      <c r="M66" s="6"/>
      <c r="N66" s="6"/>
      <c r="O66" s="6"/>
      <c r="P66" s="13"/>
      <c r="Q66" s="13"/>
      <c r="S66" s="151"/>
      <c r="T66" s="151"/>
      <c r="U66" s="150"/>
      <c r="V66" s="83" t="s">
        <v>290</v>
      </c>
      <c r="W66" s="143"/>
      <c r="X66" s="90"/>
      <c r="Y66" s="90"/>
      <c r="Z66" s="90"/>
      <c r="AA66" s="90"/>
      <c r="AB66" s="90"/>
      <c r="AC66" s="90"/>
      <c r="AD66" s="90"/>
      <c r="AE66" s="90"/>
      <c r="AF66" s="90"/>
      <c r="AG66" s="90"/>
      <c r="AH66" s="90"/>
      <c r="AI66" s="90"/>
      <c r="AJ66" s="90"/>
      <c r="AK66" s="90"/>
      <c r="AL66" s="90"/>
      <c r="AM66" s="90"/>
      <c r="AN66" s="90"/>
      <c r="AO66" s="90"/>
      <c r="AP66" s="90"/>
      <c r="AQ66" s="90"/>
      <c r="AR66" s="90"/>
      <c r="AS66" s="90"/>
      <c r="AT66" s="90"/>
      <c r="AU66" s="90"/>
      <c r="AV66" s="90"/>
      <c r="AW66" s="90"/>
      <c r="AX66" s="90"/>
      <c r="AY66" s="90"/>
      <c r="AZ66" s="90"/>
      <c r="BA66" s="90"/>
      <c r="BB66" s="90"/>
      <c r="BC66" s="90"/>
      <c r="BD66" s="90"/>
      <c r="BE66" s="90"/>
      <c r="BF66" s="90"/>
      <c r="BG66" s="90"/>
      <c r="BH66" s="90"/>
      <c r="BI66" s="90"/>
      <c r="BJ66" s="90"/>
      <c r="BK66" s="90"/>
      <c r="BL66" s="90"/>
      <c r="BM66" s="90"/>
      <c r="BN66" s="90"/>
      <c r="BO66" s="90"/>
      <c r="BP66" s="90"/>
      <c r="BQ66" s="90"/>
      <c r="BR66" s="90"/>
      <c r="BS66" s="90"/>
      <c r="BT66" s="90"/>
      <c r="BU66" s="90"/>
      <c r="BV66" s="90"/>
      <c r="BW66" s="90"/>
      <c r="BX66" s="90"/>
      <c r="BY66" s="90"/>
      <c r="BZ66" s="90"/>
      <c r="CA66" s="90"/>
      <c r="CB66" s="90"/>
      <c r="CC66" s="90"/>
      <c r="CD66" s="90"/>
      <c r="CE66" s="90"/>
      <c r="CF66" s="90">
        <v>12190822.710000001</v>
      </c>
      <c r="CG66" s="90">
        <v>3267000</v>
      </c>
      <c r="CH66" s="90"/>
      <c r="CI66" s="90"/>
      <c r="CJ66" s="90"/>
      <c r="CK66" s="90"/>
      <c r="CL66" s="90"/>
      <c r="CM66" s="90"/>
      <c r="CN66" s="90"/>
      <c r="CO66" s="90"/>
      <c r="CP66" s="90">
        <v>-40016727.460000001</v>
      </c>
      <c r="CQ66" s="90"/>
      <c r="CR66" s="90"/>
      <c r="CS66" s="90"/>
      <c r="CT66" s="90">
        <v>13329922.869999999</v>
      </c>
      <c r="CU66" s="90"/>
      <c r="CV66" s="90">
        <v>12510880.029999999</v>
      </c>
      <c r="CW66" s="90"/>
      <c r="CX66" s="90">
        <v>3267000</v>
      </c>
      <c r="CY66" s="90">
        <v>3375900</v>
      </c>
      <c r="CZ66" s="90"/>
      <c r="DA66" s="90">
        <v>3267000</v>
      </c>
      <c r="DB66" s="90"/>
      <c r="DC66" s="90"/>
      <c r="DD66" s="90"/>
      <c r="DE66" s="90"/>
      <c r="DF66" s="90"/>
      <c r="DG66" s="90"/>
      <c r="DH66" s="90"/>
      <c r="DI66" s="90"/>
      <c r="DJ66" s="90"/>
      <c r="DK66" s="90">
        <v>12406511.709999999</v>
      </c>
      <c r="DL66" s="90">
        <v>13625801.879999999</v>
      </c>
      <c r="DM66" s="90">
        <v>13480130.939999998</v>
      </c>
      <c r="DN66" s="90"/>
      <c r="DO66" s="90"/>
      <c r="DP66" s="90"/>
      <c r="DQ66" s="90"/>
      <c r="DR66" s="90"/>
      <c r="DS66" s="90"/>
      <c r="DT66" s="90"/>
      <c r="DU66" s="90"/>
      <c r="DV66" s="90"/>
      <c r="DW66" s="90"/>
      <c r="DX66" s="90"/>
      <c r="DY66" s="90">
        <v>-1726430.5799999998</v>
      </c>
      <c r="DZ66" s="90"/>
      <c r="EA66" s="90"/>
      <c r="EB66" s="90"/>
      <c r="EC66" s="90"/>
      <c r="ED66" s="90"/>
      <c r="EE66" s="90"/>
      <c r="EF66" s="90"/>
      <c r="EG66" s="90"/>
      <c r="EH66" s="90"/>
      <c r="EI66" s="90"/>
      <c r="EJ66" s="90"/>
      <c r="EK66" s="90"/>
      <c r="EL66" s="90"/>
      <c r="EM66" s="90"/>
      <c r="EN66" s="90"/>
      <c r="EO66" s="90"/>
      <c r="EP66" s="90">
        <v>3375900</v>
      </c>
      <c r="EQ66" s="90">
        <v>-38091303.75</v>
      </c>
      <c r="ER66" s="90">
        <v>3375900</v>
      </c>
      <c r="ES66" s="90"/>
      <c r="ET66" s="90"/>
      <c r="EU66" s="90"/>
      <c r="EV66" s="90"/>
      <c r="EW66" s="90"/>
      <c r="EX66" s="90"/>
      <c r="EY66" s="90"/>
      <c r="EZ66" s="90"/>
      <c r="FA66" s="90"/>
      <c r="FB66" s="88">
        <v>17638308.349999994</v>
      </c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</row>
    <row r="67" spans="1:364" s="2" customFormat="1" ht="12.75">
      <c r="A67" s="9"/>
      <c r="B67" s="9"/>
      <c r="D67" s="163"/>
      <c r="S67" s="151"/>
      <c r="T67" s="151"/>
      <c r="U67" s="150"/>
      <c r="V67" s="83" t="s">
        <v>270</v>
      </c>
      <c r="W67" s="143"/>
      <c r="X67" s="90"/>
      <c r="Y67" s="90"/>
      <c r="Z67" s="90"/>
      <c r="AA67" s="90"/>
      <c r="AB67" s="90"/>
      <c r="AC67" s="90"/>
      <c r="AD67" s="90"/>
      <c r="AE67" s="90"/>
      <c r="AF67" s="90"/>
      <c r="AG67" s="90"/>
      <c r="AH67" s="90"/>
      <c r="AI67" s="90"/>
      <c r="AJ67" s="90"/>
      <c r="AK67" s="90"/>
      <c r="AL67" s="90"/>
      <c r="AM67" s="90"/>
      <c r="AN67" s="90"/>
      <c r="AO67" s="90"/>
      <c r="AP67" s="90"/>
      <c r="AQ67" s="90"/>
      <c r="AR67" s="90"/>
      <c r="AS67" s="90"/>
      <c r="AT67" s="90"/>
      <c r="AU67" s="90"/>
      <c r="AV67" s="90"/>
      <c r="AW67" s="90"/>
      <c r="AX67" s="90"/>
      <c r="AY67" s="90"/>
      <c r="AZ67" s="90"/>
      <c r="BA67" s="90"/>
      <c r="BB67" s="90"/>
      <c r="BC67" s="90"/>
      <c r="BD67" s="90"/>
      <c r="BE67" s="90"/>
      <c r="BF67" s="90"/>
      <c r="BG67" s="90"/>
      <c r="BH67" s="90"/>
      <c r="BI67" s="90"/>
      <c r="BJ67" s="90"/>
      <c r="BK67" s="90"/>
      <c r="BL67" s="90"/>
      <c r="BM67" s="90"/>
      <c r="BN67" s="90"/>
      <c r="BO67" s="90"/>
      <c r="BP67" s="90"/>
      <c r="BQ67" s="90"/>
      <c r="BR67" s="90"/>
      <c r="BS67" s="90"/>
      <c r="BT67" s="90"/>
      <c r="BU67" s="90"/>
      <c r="BV67" s="90"/>
      <c r="BW67" s="90"/>
      <c r="BX67" s="90"/>
      <c r="BY67" s="90"/>
      <c r="BZ67" s="90"/>
      <c r="CA67" s="90"/>
      <c r="CB67" s="90"/>
      <c r="CC67" s="90"/>
      <c r="CD67" s="90"/>
      <c r="CE67" s="90"/>
      <c r="CF67" s="90">
        <v>-356504.44999999995</v>
      </c>
      <c r="CG67" s="90">
        <v>-197431.61</v>
      </c>
      <c r="CH67" s="90"/>
      <c r="CI67" s="90"/>
      <c r="CJ67" s="90">
        <v>2415494.86</v>
      </c>
      <c r="CK67" s="90"/>
      <c r="CL67" s="90"/>
      <c r="CM67" s="90"/>
      <c r="CN67" s="90">
        <v>32562.499999999996</v>
      </c>
      <c r="CO67" s="90">
        <v>43125</v>
      </c>
      <c r="CP67" s="90"/>
      <c r="CQ67" s="90">
        <v>708750</v>
      </c>
      <c r="CR67" s="90"/>
      <c r="CS67" s="90"/>
      <c r="CT67" s="90">
        <v>-368257.97</v>
      </c>
      <c r="CU67" s="90"/>
      <c r="CV67" s="90">
        <v>-404517.39999999997</v>
      </c>
      <c r="CW67" s="90">
        <v>-151926.05999999997</v>
      </c>
      <c r="CX67" s="90">
        <v>-165161.82999999999</v>
      </c>
      <c r="CY67" s="90">
        <v>-11194.85</v>
      </c>
      <c r="CZ67" s="90">
        <v>-203.95</v>
      </c>
      <c r="DA67" s="90">
        <v>-32610.52</v>
      </c>
      <c r="DB67" s="90"/>
      <c r="DC67" s="90"/>
      <c r="DD67" s="90"/>
      <c r="DE67" s="90"/>
      <c r="DF67" s="90"/>
      <c r="DG67" s="90"/>
      <c r="DH67" s="90">
        <v>0</v>
      </c>
      <c r="DI67" s="90"/>
      <c r="DJ67" s="90"/>
      <c r="DK67" s="90">
        <v>-297370.2</v>
      </c>
      <c r="DL67" s="90">
        <v>-393944.81999999995</v>
      </c>
      <c r="DM67" s="90">
        <v>-447962.83999999997</v>
      </c>
      <c r="DN67" s="90"/>
      <c r="DO67" s="90"/>
      <c r="DP67" s="90"/>
      <c r="DQ67" s="90">
        <v>1100000</v>
      </c>
      <c r="DR67" s="90"/>
      <c r="DS67" s="90"/>
      <c r="DT67" s="90"/>
      <c r="DU67" s="90"/>
      <c r="DV67" s="90"/>
      <c r="DW67" s="90"/>
      <c r="DX67" s="90"/>
      <c r="DY67" s="90"/>
      <c r="DZ67" s="90"/>
      <c r="EA67" s="90"/>
      <c r="EB67" s="90"/>
      <c r="EC67" s="90">
        <v>-14130.28</v>
      </c>
      <c r="ED67" s="90"/>
      <c r="EE67" s="90">
        <v>-367596.16</v>
      </c>
      <c r="EF67" s="90"/>
      <c r="EG67" s="90"/>
      <c r="EH67" s="90"/>
      <c r="EI67" s="90"/>
      <c r="EJ67" s="90"/>
      <c r="EK67" s="90"/>
      <c r="EL67" s="90"/>
      <c r="EM67" s="90"/>
      <c r="EN67" s="90"/>
      <c r="EO67" s="90">
        <v>0</v>
      </c>
      <c r="EP67" s="90">
        <v>-149033.84</v>
      </c>
      <c r="EQ67" s="90"/>
      <c r="ER67" s="90">
        <v>-16461.439999999999</v>
      </c>
      <c r="ES67" s="90"/>
      <c r="ET67" s="90"/>
      <c r="EU67" s="90"/>
      <c r="EV67" s="90"/>
      <c r="EW67" s="90"/>
      <c r="EX67" s="90"/>
      <c r="EY67" s="90"/>
      <c r="EZ67" s="90"/>
      <c r="FA67" s="90"/>
      <c r="FB67" s="88">
        <v>925624.14000000025</v>
      </c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</row>
    <row r="68" spans="1:364" s="2" customFormat="1" ht="14.25" customHeight="1">
      <c r="A68" s="9"/>
      <c r="B68" s="9"/>
      <c r="C68" s="256" t="s">
        <v>142</v>
      </c>
      <c r="D68" s="173" t="s">
        <v>142</v>
      </c>
      <c r="E68" s="62">
        <f t="shared" ref="E68:Q68" si="8">E55+E40+E64</f>
        <v>91.947561532124993</v>
      </c>
      <c r="F68" s="42">
        <f t="shared" si="8"/>
        <v>91.947561532124993</v>
      </c>
      <c r="G68" s="42">
        <f t="shared" si="8"/>
        <v>92.551111532124992</v>
      </c>
      <c r="H68" s="42">
        <f t="shared" si="8"/>
        <v>92.551111532124992</v>
      </c>
      <c r="I68" s="42">
        <f t="shared" si="8"/>
        <v>92.551111532124992</v>
      </c>
      <c r="J68" s="42">
        <f t="shared" si="8"/>
        <v>92.551197692124987</v>
      </c>
      <c r="K68" s="42">
        <f t="shared" si="8"/>
        <v>107.57243154212499</v>
      </c>
      <c r="L68" s="42">
        <f t="shared" si="8"/>
        <v>108.23546952212499</v>
      </c>
      <c r="M68" s="42">
        <f t="shared" si="8"/>
        <v>191.07478110212503</v>
      </c>
      <c r="N68" s="42">
        <f t="shared" si="8"/>
        <v>139.93373481212501</v>
      </c>
      <c r="O68" s="42">
        <f t="shared" si="8"/>
        <v>125.11692906212502</v>
      </c>
      <c r="P68" s="42">
        <f t="shared" si="8"/>
        <v>142.86163059212504</v>
      </c>
      <c r="Q68" s="63">
        <f t="shared" si="8"/>
        <v>126.83750206212503</v>
      </c>
      <c r="S68" s="151"/>
      <c r="T68" s="151"/>
      <c r="U68" s="150"/>
      <c r="V68" s="83" t="s">
        <v>282</v>
      </c>
      <c r="W68" s="143"/>
      <c r="X68" s="90"/>
      <c r="Y68" s="90"/>
      <c r="Z68" s="90"/>
      <c r="AA68" s="90"/>
      <c r="AB68" s="90"/>
      <c r="AC68" s="90"/>
      <c r="AD68" s="90"/>
      <c r="AE68" s="90"/>
      <c r="AF68" s="90"/>
      <c r="AG68" s="90"/>
      <c r="AH68" s="90"/>
      <c r="AI68" s="90"/>
      <c r="AJ68" s="90"/>
      <c r="AK68" s="90"/>
      <c r="AL68" s="90"/>
      <c r="AM68" s="90"/>
      <c r="AN68" s="90"/>
      <c r="AO68" s="90"/>
      <c r="AP68" s="90"/>
      <c r="AQ68" s="90"/>
      <c r="AR68" s="90"/>
      <c r="AS68" s="90"/>
      <c r="AT68" s="90"/>
      <c r="AU68" s="90"/>
      <c r="AV68" s="90"/>
      <c r="AW68" s="90"/>
      <c r="AX68" s="90"/>
      <c r="AY68" s="90"/>
      <c r="AZ68" s="90"/>
      <c r="BA68" s="90"/>
      <c r="BB68" s="90"/>
      <c r="BC68" s="90"/>
      <c r="BD68" s="90"/>
      <c r="BE68" s="90"/>
      <c r="BF68" s="90"/>
      <c r="BG68" s="90"/>
      <c r="BH68" s="90"/>
      <c r="BI68" s="90"/>
      <c r="BJ68" s="90"/>
      <c r="BK68" s="90"/>
      <c r="BL68" s="90"/>
      <c r="BM68" s="90"/>
      <c r="BN68" s="90"/>
      <c r="BO68" s="90"/>
      <c r="BP68" s="90"/>
      <c r="BQ68" s="90"/>
      <c r="BR68" s="90"/>
      <c r="BS68" s="90"/>
      <c r="BT68" s="90"/>
      <c r="BU68" s="90"/>
      <c r="BV68" s="90"/>
      <c r="BW68" s="90"/>
      <c r="BX68" s="90"/>
      <c r="BY68" s="90"/>
      <c r="BZ68" s="90"/>
      <c r="CA68" s="90"/>
      <c r="CB68" s="90"/>
      <c r="CC68" s="90"/>
      <c r="CD68" s="90"/>
      <c r="CE68" s="90"/>
      <c r="CF68" s="90"/>
      <c r="CG68" s="90"/>
      <c r="CH68" s="90"/>
      <c r="CI68" s="90"/>
      <c r="CJ68" s="90"/>
      <c r="CK68" s="90"/>
      <c r="CL68" s="90"/>
      <c r="CM68" s="90"/>
      <c r="CN68" s="90"/>
      <c r="CO68" s="90"/>
      <c r="CP68" s="90"/>
      <c r="CQ68" s="90"/>
      <c r="CR68" s="90"/>
      <c r="CS68" s="90"/>
      <c r="CT68" s="90"/>
      <c r="CU68" s="90"/>
      <c r="CV68" s="90"/>
      <c r="CW68" s="90"/>
      <c r="CX68" s="90"/>
      <c r="CY68" s="90"/>
      <c r="CZ68" s="90"/>
      <c r="DA68" s="90"/>
      <c r="DB68" s="90"/>
      <c r="DC68" s="90"/>
      <c r="DD68" s="90"/>
      <c r="DE68" s="90"/>
      <c r="DF68" s="90"/>
      <c r="DG68" s="90"/>
      <c r="DH68" s="90"/>
      <c r="DI68" s="90"/>
      <c r="DJ68" s="90"/>
      <c r="DK68" s="90"/>
      <c r="DL68" s="90"/>
      <c r="DM68" s="90"/>
      <c r="DN68" s="90"/>
      <c r="DO68" s="90"/>
      <c r="DP68" s="90"/>
      <c r="DQ68" s="90"/>
      <c r="DR68" s="90"/>
      <c r="DS68" s="90"/>
      <c r="DT68" s="90"/>
      <c r="DU68" s="90"/>
      <c r="DV68" s="90"/>
      <c r="DW68" s="90"/>
      <c r="DX68" s="90"/>
      <c r="DY68" s="90"/>
      <c r="DZ68" s="90"/>
      <c r="EA68" s="90"/>
      <c r="EB68" s="90"/>
      <c r="EC68" s="90"/>
      <c r="ED68" s="90"/>
      <c r="EE68" s="90"/>
      <c r="EF68" s="90"/>
      <c r="EG68" s="90">
        <v>0</v>
      </c>
      <c r="EH68" s="90"/>
      <c r="EI68" s="90"/>
      <c r="EJ68" s="90"/>
      <c r="EK68" s="90"/>
      <c r="EL68" s="90"/>
      <c r="EM68" s="90"/>
      <c r="EN68" s="90"/>
      <c r="EO68" s="90"/>
      <c r="EP68" s="90"/>
      <c r="EQ68" s="90"/>
      <c r="ER68" s="90"/>
      <c r="ES68" s="90"/>
      <c r="ET68" s="90"/>
      <c r="EU68" s="90"/>
      <c r="EV68" s="90"/>
      <c r="EW68" s="90"/>
      <c r="EX68" s="90"/>
      <c r="EY68" s="90"/>
      <c r="EZ68" s="90"/>
      <c r="FA68" s="90">
        <v>0</v>
      </c>
      <c r="FB68" s="88">
        <v>0</v>
      </c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</row>
    <row r="69" spans="1:364" s="2" customFormat="1" ht="14.25">
      <c r="A69" s="9"/>
      <c r="B69" s="9"/>
      <c r="C69" s="257"/>
      <c r="D69" s="160" t="s">
        <v>143</v>
      </c>
      <c r="E69" s="45"/>
      <c r="F69" s="6"/>
      <c r="G69" s="6"/>
      <c r="H69" s="6"/>
      <c r="I69" s="6"/>
      <c r="J69" s="6"/>
      <c r="K69" s="6"/>
      <c r="L69" s="6"/>
      <c r="M69" s="6"/>
      <c r="N69" s="6"/>
      <c r="O69" s="6"/>
      <c r="P69" s="13"/>
      <c r="Q69" s="53"/>
      <c r="S69" s="151"/>
      <c r="T69" s="151"/>
      <c r="U69" s="150"/>
      <c r="V69" s="83" t="s">
        <v>280</v>
      </c>
      <c r="W69" s="143"/>
      <c r="X69" s="90"/>
      <c r="Y69" s="90"/>
      <c r="Z69" s="90"/>
      <c r="AA69" s="90"/>
      <c r="AB69" s="90">
        <v>708750</v>
      </c>
      <c r="AC69" s="90"/>
      <c r="AD69" s="90"/>
      <c r="AE69" s="90"/>
      <c r="AF69" s="90"/>
      <c r="AG69" s="90"/>
      <c r="AH69" s="90"/>
      <c r="AI69" s="90"/>
      <c r="AJ69" s="90"/>
      <c r="AK69" s="90"/>
      <c r="AL69" s="90"/>
      <c r="AM69" s="90"/>
      <c r="AN69" s="90"/>
      <c r="AO69" s="90"/>
      <c r="AP69" s="90"/>
      <c r="AQ69" s="90">
        <v>43125</v>
      </c>
      <c r="AR69" s="90"/>
      <c r="AS69" s="90"/>
      <c r="AT69" s="90"/>
      <c r="AU69" s="90"/>
      <c r="AV69" s="90"/>
      <c r="AW69" s="90"/>
      <c r="AX69" s="90"/>
      <c r="AY69" s="90"/>
      <c r="AZ69" s="90"/>
      <c r="BA69" s="90"/>
      <c r="BB69" s="90"/>
      <c r="BC69" s="90"/>
      <c r="BD69" s="90"/>
      <c r="BE69" s="90"/>
      <c r="BF69" s="90"/>
      <c r="BG69" s="90"/>
      <c r="BH69" s="90"/>
      <c r="BI69" s="90"/>
      <c r="BJ69" s="90"/>
      <c r="BK69" s="90"/>
      <c r="BL69" s="90"/>
      <c r="BM69" s="90"/>
      <c r="BN69" s="90"/>
      <c r="BO69" s="90"/>
      <c r="BP69" s="90"/>
      <c r="BQ69" s="90"/>
      <c r="BR69" s="90"/>
      <c r="BS69" s="90"/>
      <c r="BT69" s="90"/>
      <c r="BU69" s="90"/>
      <c r="BV69" s="90"/>
      <c r="BW69" s="90"/>
      <c r="BX69" s="90"/>
      <c r="BY69" s="90"/>
      <c r="BZ69" s="90"/>
      <c r="CA69" s="90"/>
      <c r="CB69" s="90"/>
      <c r="CC69" s="90"/>
      <c r="CD69" s="90"/>
      <c r="CE69" s="90"/>
      <c r="CF69" s="90"/>
      <c r="CG69" s="90"/>
      <c r="CH69" s="90"/>
      <c r="CI69" s="90"/>
      <c r="CJ69" s="90"/>
      <c r="CK69" s="90"/>
      <c r="CL69" s="90"/>
      <c r="CM69" s="90"/>
      <c r="CN69" s="90"/>
      <c r="CO69" s="90"/>
      <c r="CP69" s="90"/>
      <c r="CQ69" s="90"/>
      <c r="CR69" s="90"/>
      <c r="CS69" s="90"/>
      <c r="CT69" s="90"/>
      <c r="CU69" s="90"/>
      <c r="CV69" s="90"/>
      <c r="CW69" s="90"/>
      <c r="CX69" s="90"/>
      <c r="CY69" s="90"/>
      <c r="CZ69" s="90"/>
      <c r="DA69" s="90"/>
      <c r="DB69" s="90"/>
      <c r="DC69" s="90"/>
      <c r="DD69" s="90"/>
      <c r="DE69" s="90"/>
      <c r="DF69" s="90"/>
      <c r="DG69" s="90"/>
      <c r="DH69" s="90"/>
      <c r="DI69" s="90"/>
      <c r="DJ69" s="90"/>
      <c r="DK69" s="90"/>
      <c r="DL69" s="90"/>
      <c r="DM69" s="90"/>
      <c r="DN69" s="90"/>
      <c r="DO69" s="90"/>
      <c r="DP69" s="90"/>
      <c r="DQ69" s="90"/>
      <c r="DR69" s="90"/>
      <c r="DS69" s="90"/>
      <c r="DT69" s="90"/>
      <c r="DU69" s="90"/>
      <c r="DV69" s="90"/>
      <c r="DW69" s="90"/>
      <c r="DX69" s="90"/>
      <c r="DY69" s="90"/>
      <c r="DZ69" s="90"/>
      <c r="EA69" s="90"/>
      <c r="EB69" s="90"/>
      <c r="EC69" s="90"/>
      <c r="ED69" s="90"/>
      <c r="EE69" s="90"/>
      <c r="EF69" s="90"/>
      <c r="EG69" s="90"/>
      <c r="EH69" s="90"/>
      <c r="EI69" s="90"/>
      <c r="EJ69" s="90"/>
      <c r="EK69" s="90"/>
      <c r="EL69" s="90"/>
      <c r="EM69" s="90"/>
      <c r="EN69" s="90"/>
      <c r="EO69" s="90"/>
      <c r="EP69" s="90"/>
      <c r="EQ69" s="90"/>
      <c r="ER69" s="90"/>
      <c r="ES69" s="90"/>
      <c r="ET69" s="90"/>
      <c r="EU69" s="90"/>
      <c r="EV69" s="90"/>
      <c r="EW69" s="90"/>
      <c r="EX69" s="90"/>
      <c r="EY69" s="90"/>
      <c r="EZ69" s="90"/>
      <c r="FA69" s="90"/>
      <c r="FB69" s="88">
        <v>751875</v>
      </c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</row>
    <row r="70" spans="1:364" s="2" customFormat="1" ht="12.75">
      <c r="A70" s="9"/>
      <c r="B70" s="9"/>
      <c r="C70" s="258"/>
      <c r="D70" s="162" t="s">
        <v>144</v>
      </c>
      <c r="E70" s="60">
        <f t="shared" ref="E70:Q70" si="9">E68-E69</f>
        <v>91.947561532124993</v>
      </c>
      <c r="F70" s="41">
        <f t="shared" si="9"/>
        <v>91.947561532124993</v>
      </c>
      <c r="G70" s="41">
        <f t="shared" si="9"/>
        <v>92.551111532124992</v>
      </c>
      <c r="H70" s="41">
        <f t="shared" si="9"/>
        <v>92.551111532124992</v>
      </c>
      <c r="I70" s="41">
        <f t="shared" si="9"/>
        <v>92.551111532124992</v>
      </c>
      <c r="J70" s="41">
        <f t="shared" si="9"/>
        <v>92.551197692124987</v>
      </c>
      <c r="K70" s="41">
        <f t="shared" si="9"/>
        <v>107.57243154212499</v>
      </c>
      <c r="L70" s="41">
        <f t="shared" si="9"/>
        <v>108.23546952212499</v>
      </c>
      <c r="M70" s="41">
        <f t="shared" si="9"/>
        <v>191.07478110212503</v>
      </c>
      <c r="N70" s="41">
        <f t="shared" si="9"/>
        <v>139.93373481212501</v>
      </c>
      <c r="O70" s="41">
        <f t="shared" si="9"/>
        <v>125.11692906212502</v>
      </c>
      <c r="P70" s="41">
        <f t="shared" si="9"/>
        <v>142.86163059212504</v>
      </c>
      <c r="Q70" s="61">
        <f t="shared" si="9"/>
        <v>126.83750206212503</v>
      </c>
      <c r="S70" s="151"/>
      <c r="T70" s="151"/>
      <c r="U70" s="150"/>
      <c r="V70" s="83" t="s">
        <v>1776</v>
      </c>
      <c r="W70" s="143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90"/>
      <c r="AL70" s="90"/>
      <c r="AM70" s="90"/>
      <c r="AN70" s="90"/>
      <c r="AO70" s="90"/>
      <c r="AP70" s="90"/>
      <c r="AQ70" s="90"/>
      <c r="AR70" s="90"/>
      <c r="AS70" s="90"/>
      <c r="AT70" s="90"/>
      <c r="AU70" s="90"/>
      <c r="AV70" s="90"/>
      <c r="AW70" s="90"/>
      <c r="AX70" s="90"/>
      <c r="AY70" s="90"/>
      <c r="AZ70" s="90"/>
      <c r="BA70" s="90"/>
      <c r="BB70" s="90"/>
      <c r="BC70" s="90"/>
      <c r="BD70" s="90"/>
      <c r="BE70" s="90"/>
      <c r="BF70" s="90"/>
      <c r="BG70" s="90"/>
      <c r="BH70" s="90"/>
      <c r="BI70" s="90"/>
      <c r="BJ70" s="90"/>
      <c r="BK70" s="90"/>
      <c r="BL70" s="90"/>
      <c r="BM70" s="90"/>
      <c r="BN70" s="90"/>
      <c r="BO70" s="90"/>
      <c r="BP70" s="90"/>
      <c r="BQ70" s="90"/>
      <c r="BR70" s="90"/>
      <c r="BS70" s="90"/>
      <c r="BT70" s="90"/>
      <c r="BU70" s="90"/>
      <c r="BV70" s="90"/>
      <c r="BW70" s="90"/>
      <c r="BX70" s="90"/>
      <c r="BY70" s="90"/>
      <c r="BZ70" s="90"/>
      <c r="CA70" s="90"/>
      <c r="CB70" s="90"/>
      <c r="CC70" s="90"/>
      <c r="CD70" s="90"/>
      <c r="CE70" s="90"/>
      <c r="CF70" s="90"/>
      <c r="CG70" s="90"/>
      <c r="CH70" s="90"/>
      <c r="CI70" s="90"/>
      <c r="CJ70" s="90"/>
      <c r="CK70" s="90"/>
      <c r="CL70" s="90"/>
      <c r="CM70" s="90"/>
      <c r="CN70" s="90"/>
      <c r="CO70" s="90"/>
      <c r="CP70" s="90"/>
      <c r="CQ70" s="90"/>
      <c r="CR70" s="90"/>
      <c r="CS70" s="90"/>
      <c r="CT70" s="90"/>
      <c r="CU70" s="90"/>
      <c r="CV70" s="90"/>
      <c r="CW70" s="90"/>
      <c r="CX70" s="90"/>
      <c r="CY70" s="90"/>
      <c r="CZ70" s="90"/>
      <c r="DA70" s="90"/>
      <c r="DB70" s="90"/>
      <c r="DC70" s="90"/>
      <c r="DD70" s="90"/>
      <c r="DE70" s="90"/>
      <c r="DF70" s="90"/>
      <c r="DG70" s="90"/>
      <c r="DH70" s="90"/>
      <c r="DI70" s="90"/>
      <c r="DJ70" s="90"/>
      <c r="DK70" s="90"/>
      <c r="DL70" s="90"/>
      <c r="DM70" s="90"/>
      <c r="DN70" s="90"/>
      <c r="DO70" s="90"/>
      <c r="DP70" s="90">
        <v>21000</v>
      </c>
      <c r="DQ70" s="90"/>
      <c r="DR70" s="90"/>
      <c r="DS70" s="90"/>
      <c r="DT70" s="90"/>
      <c r="DU70" s="90"/>
      <c r="DV70" s="90"/>
      <c r="DW70" s="90"/>
      <c r="DX70" s="90"/>
      <c r="DY70" s="90"/>
      <c r="DZ70" s="90"/>
      <c r="EA70" s="90"/>
      <c r="EB70" s="90"/>
      <c r="EC70" s="90"/>
      <c r="ED70" s="90"/>
      <c r="EE70" s="90"/>
      <c r="EF70" s="90"/>
      <c r="EG70" s="90"/>
      <c r="EH70" s="90"/>
      <c r="EI70" s="90"/>
      <c r="EJ70" s="90"/>
      <c r="EK70" s="90"/>
      <c r="EL70" s="90"/>
      <c r="EM70" s="90"/>
      <c r="EN70" s="90"/>
      <c r="EO70" s="90"/>
      <c r="EP70" s="90"/>
      <c r="EQ70" s="90"/>
      <c r="ER70" s="90"/>
      <c r="ES70" s="90"/>
      <c r="ET70" s="90"/>
      <c r="EU70" s="90"/>
      <c r="EV70" s="90"/>
      <c r="EW70" s="90"/>
      <c r="EX70" s="90"/>
      <c r="EY70" s="90"/>
      <c r="EZ70" s="90"/>
      <c r="FA70" s="90"/>
      <c r="FB70" s="88">
        <v>21000</v>
      </c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</row>
    <row r="71" spans="1:364" s="2" customFormat="1" ht="12.75">
      <c r="A71" s="9"/>
      <c r="B71" s="9"/>
      <c r="S71" s="151"/>
      <c r="T71" s="151"/>
      <c r="U71" s="150"/>
      <c r="V71" s="83" t="s">
        <v>1777</v>
      </c>
      <c r="W71" s="143"/>
      <c r="X71" s="90"/>
      <c r="Y71" s="90"/>
      <c r="Z71" s="90"/>
      <c r="AA71" s="90"/>
      <c r="AB71" s="90"/>
      <c r="AC71" s="90"/>
      <c r="AD71" s="90"/>
      <c r="AE71" s="90"/>
      <c r="AF71" s="90"/>
      <c r="AG71" s="90"/>
      <c r="AH71" s="90"/>
      <c r="AI71" s="90"/>
      <c r="AJ71" s="90"/>
      <c r="AK71" s="90"/>
      <c r="AL71" s="90"/>
      <c r="AM71" s="90"/>
      <c r="AN71" s="90"/>
      <c r="AO71" s="90"/>
      <c r="AP71" s="90"/>
      <c r="AQ71" s="90"/>
      <c r="AR71" s="90"/>
      <c r="AS71" s="90"/>
      <c r="AT71" s="90"/>
      <c r="AU71" s="90"/>
      <c r="AV71" s="90"/>
      <c r="AW71" s="90"/>
      <c r="AX71" s="90"/>
      <c r="AY71" s="90"/>
      <c r="AZ71" s="90"/>
      <c r="BA71" s="90"/>
      <c r="BB71" s="90"/>
      <c r="BC71" s="90"/>
      <c r="BD71" s="90"/>
      <c r="BE71" s="90"/>
      <c r="BF71" s="90"/>
      <c r="BG71" s="90"/>
      <c r="BH71" s="90"/>
      <c r="BI71" s="90"/>
      <c r="BJ71" s="90"/>
      <c r="BK71" s="90"/>
      <c r="BL71" s="90"/>
      <c r="BM71" s="90"/>
      <c r="BN71" s="90"/>
      <c r="BO71" s="90"/>
      <c r="BP71" s="90"/>
      <c r="BQ71" s="90"/>
      <c r="BR71" s="90"/>
      <c r="BS71" s="90"/>
      <c r="BT71" s="90"/>
      <c r="BU71" s="90"/>
      <c r="BV71" s="90"/>
      <c r="BW71" s="90"/>
      <c r="BX71" s="90"/>
      <c r="BY71" s="90"/>
      <c r="BZ71" s="90"/>
      <c r="CA71" s="90"/>
      <c r="CB71" s="90"/>
      <c r="CC71" s="90"/>
      <c r="CD71" s="90"/>
      <c r="CE71" s="90"/>
      <c r="CF71" s="90"/>
      <c r="CG71" s="90"/>
      <c r="CH71" s="90"/>
      <c r="CI71" s="90"/>
      <c r="CJ71" s="90"/>
      <c r="CK71" s="90"/>
      <c r="CL71" s="90"/>
      <c r="CM71" s="90"/>
      <c r="CN71" s="90"/>
      <c r="CO71" s="90"/>
      <c r="CP71" s="90"/>
      <c r="CQ71" s="90"/>
      <c r="CR71" s="90"/>
      <c r="CS71" s="90"/>
      <c r="CT71" s="90"/>
      <c r="CU71" s="90"/>
      <c r="CV71" s="90"/>
      <c r="CW71" s="90"/>
      <c r="CX71" s="90"/>
      <c r="CY71" s="90"/>
      <c r="CZ71" s="90"/>
      <c r="DA71" s="90"/>
      <c r="DB71" s="90"/>
      <c r="DC71" s="90"/>
      <c r="DD71" s="90"/>
      <c r="DE71" s="90"/>
      <c r="DF71" s="90"/>
      <c r="DG71" s="90"/>
      <c r="DH71" s="90"/>
      <c r="DI71" s="90"/>
      <c r="DJ71" s="90"/>
      <c r="DK71" s="90"/>
      <c r="DL71" s="90"/>
      <c r="DM71" s="90"/>
      <c r="DN71" s="90"/>
      <c r="DO71" s="90"/>
      <c r="DP71" s="90">
        <v>9000000</v>
      </c>
      <c r="DQ71" s="90"/>
      <c r="DR71" s="90"/>
      <c r="DS71" s="90"/>
      <c r="DT71" s="90"/>
      <c r="DU71" s="90"/>
      <c r="DV71" s="90"/>
      <c r="DW71" s="90"/>
      <c r="DX71" s="90"/>
      <c r="DY71" s="90"/>
      <c r="DZ71" s="90"/>
      <c r="EA71" s="90"/>
      <c r="EB71" s="90"/>
      <c r="EC71" s="90"/>
      <c r="ED71" s="90"/>
      <c r="EE71" s="90"/>
      <c r="EF71" s="90"/>
      <c r="EG71" s="90"/>
      <c r="EH71" s="90"/>
      <c r="EI71" s="90"/>
      <c r="EJ71" s="90"/>
      <c r="EK71" s="90"/>
      <c r="EL71" s="90"/>
      <c r="EM71" s="90"/>
      <c r="EN71" s="90"/>
      <c r="EO71" s="90"/>
      <c r="EP71" s="90"/>
      <c r="EQ71" s="90"/>
      <c r="ER71" s="90"/>
      <c r="ES71" s="90"/>
      <c r="ET71" s="90"/>
      <c r="EU71" s="90"/>
      <c r="EV71" s="90"/>
      <c r="EW71" s="90"/>
      <c r="EX71" s="90"/>
      <c r="EY71" s="90"/>
      <c r="EZ71" s="90"/>
      <c r="FA71" s="90"/>
      <c r="FB71" s="88">
        <v>9000000</v>
      </c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</row>
    <row r="72" spans="1:364" s="2" customFormat="1" ht="12.75">
      <c r="A72" s="9"/>
      <c r="B72" s="9"/>
      <c r="S72" s="151"/>
      <c r="T72" s="151"/>
      <c r="U72" s="150"/>
      <c r="V72" s="83" t="s">
        <v>287</v>
      </c>
      <c r="W72" s="143"/>
      <c r="X72" s="90"/>
      <c r="Y72" s="90"/>
      <c r="Z72" s="90"/>
      <c r="AA72" s="90"/>
      <c r="AB72" s="90"/>
      <c r="AC72" s="90"/>
      <c r="AD72" s="90"/>
      <c r="AE72" s="90"/>
      <c r="AF72" s="90"/>
      <c r="AG72" s="90"/>
      <c r="AH72" s="90"/>
      <c r="AI72" s="90"/>
      <c r="AJ72" s="90"/>
      <c r="AK72" s="90"/>
      <c r="AL72" s="90"/>
      <c r="AM72" s="90"/>
      <c r="AN72" s="90"/>
      <c r="AO72" s="90"/>
      <c r="AP72" s="90"/>
      <c r="AQ72" s="90"/>
      <c r="AR72" s="90"/>
      <c r="AS72" s="90"/>
      <c r="AT72" s="90"/>
      <c r="AU72" s="90"/>
      <c r="AV72" s="90"/>
      <c r="AW72" s="90"/>
      <c r="AX72" s="90"/>
      <c r="AY72" s="90"/>
      <c r="AZ72" s="90"/>
      <c r="BA72" s="90"/>
      <c r="BB72" s="90"/>
      <c r="BC72" s="90"/>
      <c r="BD72" s="90"/>
      <c r="BE72" s="90"/>
      <c r="BF72" s="90"/>
      <c r="BG72" s="90"/>
      <c r="BH72" s="90"/>
      <c r="BI72" s="90"/>
      <c r="BJ72" s="90"/>
      <c r="BK72" s="90"/>
      <c r="BL72" s="90"/>
      <c r="BM72" s="90"/>
      <c r="BN72" s="90"/>
      <c r="BO72" s="90"/>
      <c r="BP72" s="90"/>
      <c r="BQ72" s="90"/>
      <c r="BR72" s="90"/>
      <c r="BS72" s="90"/>
      <c r="BT72" s="90"/>
      <c r="BU72" s="90"/>
      <c r="BV72" s="90"/>
      <c r="BW72" s="90"/>
      <c r="BX72" s="90"/>
      <c r="BY72" s="90"/>
      <c r="BZ72" s="90"/>
      <c r="CA72" s="90"/>
      <c r="CB72" s="90"/>
      <c r="CC72" s="90"/>
      <c r="CD72" s="90"/>
      <c r="CE72" s="90"/>
      <c r="CF72" s="90"/>
      <c r="CG72" s="90"/>
      <c r="CH72" s="90"/>
      <c r="CI72" s="90"/>
      <c r="CJ72" s="90"/>
      <c r="CK72" s="90"/>
      <c r="CL72" s="90"/>
      <c r="CM72" s="90"/>
      <c r="CN72" s="90"/>
      <c r="CO72" s="90"/>
      <c r="CP72" s="90"/>
      <c r="CQ72" s="90"/>
      <c r="CR72" s="90"/>
      <c r="CS72" s="90"/>
      <c r="CT72" s="90"/>
      <c r="CU72" s="90"/>
      <c r="CV72" s="90"/>
      <c r="CW72" s="90"/>
      <c r="CX72" s="90"/>
      <c r="CY72" s="90"/>
      <c r="CZ72" s="90"/>
      <c r="DA72" s="90"/>
      <c r="DB72" s="90"/>
      <c r="DC72" s="90"/>
      <c r="DD72" s="90"/>
      <c r="DE72" s="90"/>
      <c r="DF72" s="90"/>
      <c r="DG72" s="90"/>
      <c r="DH72" s="90"/>
      <c r="DI72" s="90"/>
      <c r="DJ72" s="90"/>
      <c r="DK72" s="90"/>
      <c r="DL72" s="90"/>
      <c r="DM72" s="90"/>
      <c r="DN72" s="90"/>
      <c r="DO72" s="90"/>
      <c r="DP72" s="90"/>
      <c r="DQ72" s="90"/>
      <c r="DR72" s="90"/>
      <c r="DS72" s="90"/>
      <c r="DT72" s="90">
        <v>-500000</v>
      </c>
      <c r="DU72" s="90"/>
      <c r="DV72" s="90"/>
      <c r="DW72" s="90"/>
      <c r="DX72" s="90"/>
      <c r="DY72" s="90"/>
      <c r="DZ72" s="90"/>
      <c r="EA72" s="90"/>
      <c r="EB72" s="90"/>
      <c r="EC72" s="90"/>
      <c r="ED72" s="90"/>
      <c r="EE72" s="90"/>
      <c r="EF72" s="90"/>
      <c r="EG72" s="90"/>
      <c r="EH72" s="90"/>
      <c r="EI72" s="90"/>
      <c r="EJ72" s="90"/>
      <c r="EK72" s="90"/>
      <c r="EL72" s="90"/>
      <c r="EM72" s="90"/>
      <c r="EN72" s="90"/>
      <c r="EO72" s="90"/>
      <c r="EP72" s="90"/>
      <c r="EQ72" s="90"/>
      <c r="ER72" s="90"/>
      <c r="ES72" s="90"/>
      <c r="ET72" s="90"/>
      <c r="EU72" s="90"/>
      <c r="EV72" s="90"/>
      <c r="EW72" s="90"/>
      <c r="EX72" s="90"/>
      <c r="EY72" s="90"/>
      <c r="EZ72" s="90"/>
      <c r="FA72" s="90"/>
      <c r="FB72" s="88">
        <v>-500000</v>
      </c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</row>
    <row r="73" spans="1:364" s="2" customFormat="1" ht="12.75">
      <c r="A73" s="9"/>
      <c r="B73" s="9"/>
      <c r="C73" s="233" t="s">
        <v>328</v>
      </c>
      <c r="S73" s="151"/>
      <c r="T73" s="151"/>
      <c r="U73" s="150"/>
      <c r="V73" s="83" t="s">
        <v>285</v>
      </c>
      <c r="W73" s="143"/>
      <c r="X73" s="90"/>
      <c r="Y73" s="90"/>
      <c r="Z73" s="90"/>
      <c r="AA73" s="90"/>
      <c r="AB73" s="90"/>
      <c r="AC73" s="90"/>
      <c r="AD73" s="90"/>
      <c r="AE73" s="90"/>
      <c r="AF73" s="90"/>
      <c r="AG73" s="90"/>
      <c r="AH73" s="90"/>
      <c r="AI73" s="90"/>
      <c r="AJ73" s="90"/>
      <c r="AK73" s="90"/>
      <c r="AL73" s="90"/>
      <c r="AM73" s="90"/>
      <c r="AN73" s="90"/>
      <c r="AO73" s="90"/>
      <c r="AP73" s="90"/>
      <c r="AQ73" s="90"/>
      <c r="AR73" s="90"/>
      <c r="AS73" s="90"/>
      <c r="AT73" s="90"/>
      <c r="AU73" s="90"/>
      <c r="AV73" s="90"/>
      <c r="AW73" s="90"/>
      <c r="AX73" s="90"/>
      <c r="AY73" s="90"/>
      <c r="AZ73" s="90"/>
      <c r="BA73" s="90"/>
      <c r="BB73" s="90"/>
      <c r="BC73" s="90"/>
      <c r="BD73" s="90"/>
      <c r="BE73" s="90"/>
      <c r="BF73" s="90"/>
      <c r="BG73" s="90"/>
      <c r="BH73" s="90"/>
      <c r="BI73" s="90"/>
      <c r="BJ73" s="90"/>
      <c r="BK73" s="90"/>
      <c r="BL73" s="90"/>
      <c r="BM73" s="90"/>
      <c r="BN73" s="90"/>
      <c r="BO73" s="90"/>
      <c r="BP73" s="90"/>
      <c r="BQ73" s="90"/>
      <c r="BR73" s="90"/>
      <c r="BS73" s="90"/>
      <c r="BT73" s="90"/>
      <c r="BU73" s="90"/>
      <c r="BV73" s="90"/>
      <c r="BW73" s="90"/>
      <c r="BX73" s="90"/>
      <c r="BY73" s="90"/>
      <c r="BZ73" s="90"/>
      <c r="CA73" s="90"/>
      <c r="CB73" s="90"/>
      <c r="CC73" s="90"/>
      <c r="CD73" s="90"/>
      <c r="CE73" s="90"/>
      <c r="CF73" s="90"/>
      <c r="CG73" s="90"/>
      <c r="CH73" s="90"/>
      <c r="CI73" s="90"/>
      <c r="CJ73" s="90"/>
      <c r="CK73" s="90"/>
      <c r="CL73" s="90"/>
      <c r="CM73" s="90"/>
      <c r="CN73" s="90"/>
      <c r="CO73" s="90"/>
      <c r="CP73" s="90"/>
      <c r="CQ73" s="90"/>
      <c r="CR73" s="90">
        <v>15656748.649999999</v>
      </c>
      <c r="CS73" s="90"/>
      <c r="CT73" s="90"/>
      <c r="CU73" s="90">
        <v>20261291.280000001</v>
      </c>
      <c r="CV73" s="90"/>
      <c r="CW73" s="90"/>
      <c r="CX73" s="90"/>
      <c r="CY73" s="90"/>
      <c r="CZ73" s="90"/>
      <c r="DA73" s="90"/>
      <c r="DB73" s="90">
        <v>3375900</v>
      </c>
      <c r="DC73" s="90"/>
      <c r="DD73" s="90">
        <v>4951320</v>
      </c>
      <c r="DE73" s="90">
        <v>4951320</v>
      </c>
      <c r="DF73" s="90"/>
      <c r="DG73" s="90"/>
      <c r="DH73" s="90"/>
      <c r="DI73" s="90"/>
      <c r="DJ73" s="90"/>
      <c r="DK73" s="90"/>
      <c r="DL73" s="90"/>
      <c r="DM73" s="90"/>
      <c r="DN73" s="90">
        <v>14260348.359999999</v>
      </c>
      <c r="DO73" s="90">
        <v>19046765.399999999</v>
      </c>
      <c r="DP73" s="90"/>
      <c r="DQ73" s="90"/>
      <c r="DR73" s="90"/>
      <c r="DS73" s="90"/>
      <c r="DT73" s="90"/>
      <c r="DU73" s="90">
        <v>18089953.890000001</v>
      </c>
      <c r="DV73" s="90"/>
      <c r="DW73" s="90"/>
      <c r="DX73" s="90"/>
      <c r="DY73" s="90"/>
      <c r="DZ73" s="90">
        <v>-69997961.920000002</v>
      </c>
      <c r="EA73" s="90">
        <v>-1654050.08</v>
      </c>
      <c r="EB73" s="90"/>
      <c r="EC73" s="90"/>
      <c r="ED73" s="90"/>
      <c r="EE73" s="90"/>
      <c r="EF73" s="90"/>
      <c r="EG73" s="90"/>
      <c r="EH73" s="90"/>
      <c r="EI73" s="90"/>
      <c r="EJ73" s="90"/>
      <c r="EK73" s="90"/>
      <c r="EL73" s="90"/>
      <c r="EM73" s="90"/>
      <c r="EN73" s="90"/>
      <c r="EO73" s="90"/>
      <c r="EP73" s="90"/>
      <c r="EQ73" s="90"/>
      <c r="ER73" s="90"/>
      <c r="ES73" s="90">
        <v>4573800</v>
      </c>
      <c r="ET73" s="90">
        <v>-8102231.2499999991</v>
      </c>
      <c r="EU73" s="90">
        <v>4472160</v>
      </c>
      <c r="EV73" s="90">
        <v>-68900000</v>
      </c>
      <c r="EW73" s="90"/>
      <c r="EX73" s="90"/>
      <c r="EY73" s="90">
        <v>4726260</v>
      </c>
      <c r="EZ73" s="90">
        <v>18848319.229999997</v>
      </c>
      <c r="FA73" s="90"/>
      <c r="FB73" s="88">
        <v>-15440056.440000005</v>
      </c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</row>
    <row r="74" spans="1:364" s="2" customFormat="1" ht="17.25" customHeight="1">
      <c r="A74" s="9"/>
      <c r="B74" s="9"/>
      <c r="C74" s="233" t="s">
        <v>329</v>
      </c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S74" s="151"/>
      <c r="T74" s="151"/>
      <c r="U74" s="150"/>
      <c r="V74" s="83" t="s">
        <v>271</v>
      </c>
      <c r="W74" s="143"/>
      <c r="X74" s="90"/>
      <c r="Y74" s="90"/>
      <c r="Z74" s="90"/>
      <c r="AA74" s="90"/>
      <c r="AB74" s="90"/>
      <c r="AC74" s="90"/>
      <c r="AD74" s="90"/>
      <c r="AE74" s="90"/>
      <c r="AF74" s="90"/>
      <c r="AG74" s="90"/>
      <c r="AH74" s="90"/>
      <c r="AI74" s="90"/>
      <c r="AJ74" s="90"/>
      <c r="AK74" s="90"/>
      <c r="AL74" s="90"/>
      <c r="AM74" s="90"/>
      <c r="AN74" s="90"/>
      <c r="AO74" s="90"/>
      <c r="AP74" s="90"/>
      <c r="AQ74" s="90"/>
      <c r="AR74" s="90"/>
      <c r="AS74" s="90"/>
      <c r="AT74" s="90"/>
      <c r="AU74" s="90"/>
      <c r="AV74" s="90"/>
      <c r="AW74" s="90"/>
      <c r="AX74" s="90"/>
      <c r="AY74" s="90"/>
      <c r="AZ74" s="90"/>
      <c r="BA74" s="90"/>
      <c r="BB74" s="90"/>
      <c r="BC74" s="90"/>
      <c r="BD74" s="90"/>
      <c r="BE74" s="90"/>
      <c r="BF74" s="90"/>
      <c r="BG74" s="90"/>
      <c r="BH74" s="90"/>
      <c r="BI74" s="90"/>
      <c r="BJ74" s="90"/>
      <c r="BK74" s="90"/>
      <c r="BL74" s="90"/>
      <c r="BM74" s="90"/>
      <c r="BN74" s="90"/>
      <c r="BO74" s="90"/>
      <c r="BP74" s="90"/>
      <c r="BQ74" s="90"/>
      <c r="BR74" s="90"/>
      <c r="BS74" s="90"/>
      <c r="BT74" s="90"/>
      <c r="BU74" s="90"/>
      <c r="BV74" s="90"/>
      <c r="BW74" s="90"/>
      <c r="BX74" s="90"/>
      <c r="BY74" s="90"/>
      <c r="BZ74" s="90"/>
      <c r="CA74" s="90"/>
      <c r="CB74" s="90"/>
      <c r="CC74" s="90"/>
      <c r="CD74" s="90"/>
      <c r="CE74" s="90"/>
      <c r="CF74" s="90"/>
      <c r="CG74" s="90"/>
      <c r="CH74" s="90"/>
      <c r="CI74" s="90"/>
      <c r="CJ74" s="90"/>
      <c r="CK74" s="90"/>
      <c r="CL74" s="90"/>
      <c r="CM74" s="90"/>
      <c r="CN74" s="90"/>
      <c r="CO74" s="90"/>
      <c r="CP74" s="90"/>
      <c r="CQ74" s="90"/>
      <c r="CR74" s="90">
        <v>-358612</v>
      </c>
      <c r="CS74" s="90">
        <v>-2317.27</v>
      </c>
      <c r="CT74" s="90"/>
      <c r="CU74" s="90">
        <v>-146573.18</v>
      </c>
      <c r="CV74" s="90"/>
      <c r="CW74" s="90"/>
      <c r="CX74" s="90"/>
      <c r="CY74" s="90"/>
      <c r="CZ74" s="90"/>
      <c r="DA74" s="90"/>
      <c r="DB74" s="90">
        <v>-111671.37</v>
      </c>
      <c r="DC74" s="90">
        <v>-151123.66</v>
      </c>
      <c r="DD74" s="90">
        <v>-85603.76</v>
      </c>
      <c r="DE74" s="90">
        <v>-76388.08</v>
      </c>
      <c r="DF74" s="90">
        <v>0</v>
      </c>
      <c r="DG74" s="90"/>
      <c r="DH74" s="90"/>
      <c r="DI74" s="90">
        <v>32562.499999999996</v>
      </c>
      <c r="DJ74" s="90">
        <v>2187500</v>
      </c>
      <c r="DK74" s="90"/>
      <c r="DL74" s="90"/>
      <c r="DM74" s="90"/>
      <c r="DN74" s="90">
        <v>-485682.39999999997</v>
      </c>
      <c r="DO74" s="90">
        <v>-62876.859999999993</v>
      </c>
      <c r="DP74" s="90"/>
      <c r="DQ74" s="90"/>
      <c r="DR74" s="90">
        <v>1100000</v>
      </c>
      <c r="DS74" s="90">
        <v>-244.02</v>
      </c>
      <c r="DT74" s="90"/>
      <c r="DU74" s="90">
        <v>-226615.51</v>
      </c>
      <c r="DV74" s="90"/>
      <c r="DW74" s="90">
        <v>-367596.16</v>
      </c>
      <c r="DX74" s="90"/>
      <c r="DY74" s="90"/>
      <c r="DZ74" s="90"/>
      <c r="EA74" s="90"/>
      <c r="EB74" s="90"/>
      <c r="EC74" s="90"/>
      <c r="ED74" s="90">
        <v>-13975</v>
      </c>
      <c r="EE74" s="90"/>
      <c r="EF74" s="90">
        <v>751875</v>
      </c>
      <c r="EG74" s="90"/>
      <c r="EH74" s="90"/>
      <c r="EI74" s="90"/>
      <c r="EJ74" s="90"/>
      <c r="EK74" s="90"/>
      <c r="EL74" s="90"/>
      <c r="EM74" s="90"/>
      <c r="EN74" s="90"/>
      <c r="EO74" s="90"/>
      <c r="EP74" s="90"/>
      <c r="EQ74" s="90"/>
      <c r="ER74" s="90"/>
      <c r="ES74" s="90">
        <v>-63775.219999999994</v>
      </c>
      <c r="ET74" s="90"/>
      <c r="EU74" s="90">
        <v>-93877.42</v>
      </c>
      <c r="EV74" s="90"/>
      <c r="EW74" s="90"/>
      <c r="EX74" s="90"/>
      <c r="EY74" s="90">
        <v>-115226.77999999998</v>
      </c>
      <c r="EZ74" s="90">
        <v>-277595.21999999997</v>
      </c>
      <c r="FA74" s="90"/>
      <c r="FB74" s="88">
        <v>1432183.59</v>
      </c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/>
      <c r="MZ74"/>
    </row>
    <row r="75" spans="1:364" s="2" customFormat="1" ht="17.25" customHeight="1">
      <c r="A75" s="9"/>
      <c r="B75" s="9"/>
      <c r="C75" s="9"/>
      <c r="D75" s="9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S75" s="151"/>
      <c r="T75" s="151"/>
      <c r="U75" s="150"/>
      <c r="V75" s="83" t="s">
        <v>1774</v>
      </c>
      <c r="W75" s="143"/>
      <c r="X75" s="90"/>
      <c r="Y75" s="90"/>
      <c r="Z75" s="90"/>
      <c r="AA75" s="90"/>
      <c r="AB75" s="90"/>
      <c r="AC75" s="90"/>
      <c r="AD75" s="90"/>
      <c r="AE75" s="90"/>
      <c r="AF75" s="90"/>
      <c r="AG75" s="90"/>
      <c r="AH75" s="90"/>
      <c r="AI75" s="90"/>
      <c r="AJ75" s="90"/>
      <c r="AK75" s="90">
        <v>2430112.5</v>
      </c>
      <c r="AL75" s="90"/>
      <c r="AM75" s="90"/>
      <c r="AN75" s="90"/>
      <c r="AO75" s="90"/>
      <c r="AP75" s="90"/>
      <c r="AQ75" s="90"/>
      <c r="AR75" s="90"/>
      <c r="AS75" s="90"/>
      <c r="AT75" s="90"/>
      <c r="AU75" s="90"/>
      <c r="AV75" s="90"/>
      <c r="AW75" s="90"/>
      <c r="AX75" s="90"/>
      <c r="AY75" s="90"/>
      <c r="AZ75" s="90"/>
      <c r="BA75" s="90"/>
      <c r="BB75" s="90"/>
      <c r="BC75" s="90"/>
      <c r="BD75" s="90"/>
      <c r="BE75" s="90"/>
      <c r="BF75" s="90"/>
      <c r="BG75" s="90"/>
      <c r="BH75" s="90"/>
      <c r="BI75" s="90"/>
      <c r="BJ75" s="90"/>
      <c r="BK75" s="90"/>
      <c r="BL75" s="90"/>
      <c r="BM75" s="90"/>
      <c r="BN75" s="90"/>
      <c r="BO75" s="90"/>
      <c r="BP75" s="90"/>
      <c r="BQ75" s="90"/>
      <c r="BR75" s="90"/>
      <c r="BS75" s="90"/>
      <c r="BT75" s="90"/>
      <c r="BU75" s="90"/>
      <c r="BV75" s="90"/>
      <c r="BW75" s="90"/>
      <c r="BX75" s="90"/>
      <c r="BY75" s="90"/>
      <c r="BZ75" s="90"/>
      <c r="CA75" s="90"/>
      <c r="CB75" s="90"/>
      <c r="CC75" s="90"/>
      <c r="CD75" s="90"/>
      <c r="CE75" s="90"/>
      <c r="CF75" s="90"/>
      <c r="CG75" s="90"/>
      <c r="CH75" s="90"/>
      <c r="CI75" s="90"/>
      <c r="CJ75" s="90"/>
      <c r="CK75" s="90"/>
      <c r="CL75" s="90"/>
      <c r="CM75" s="90"/>
      <c r="CN75" s="90"/>
      <c r="CO75" s="90"/>
      <c r="CP75" s="90"/>
      <c r="CQ75" s="90"/>
      <c r="CR75" s="90"/>
      <c r="CS75" s="90"/>
      <c r="CT75" s="90"/>
      <c r="CU75" s="90"/>
      <c r="CV75" s="90"/>
      <c r="CW75" s="90"/>
      <c r="CX75" s="90"/>
      <c r="CY75" s="90"/>
      <c r="CZ75" s="90"/>
      <c r="DA75" s="90"/>
      <c r="DB75" s="90"/>
      <c r="DC75" s="90"/>
      <c r="DD75" s="90"/>
      <c r="DE75" s="90"/>
      <c r="DF75" s="90"/>
      <c r="DG75" s="90"/>
      <c r="DH75" s="90"/>
      <c r="DI75" s="90"/>
      <c r="DJ75" s="90"/>
      <c r="DK75" s="90"/>
      <c r="DL75" s="90"/>
      <c r="DM75" s="90"/>
      <c r="DN75" s="90"/>
      <c r="DO75" s="90"/>
      <c r="DP75" s="90"/>
      <c r="DQ75" s="90"/>
      <c r="DR75" s="90"/>
      <c r="DS75" s="90"/>
      <c r="DT75" s="90"/>
      <c r="DU75" s="90"/>
      <c r="DV75" s="90"/>
      <c r="DW75" s="90"/>
      <c r="DX75" s="90"/>
      <c r="DY75" s="90"/>
      <c r="DZ75" s="90"/>
      <c r="EA75" s="90"/>
      <c r="EB75" s="90"/>
      <c r="EC75" s="90"/>
      <c r="ED75" s="90"/>
      <c r="EE75" s="90"/>
      <c r="EF75" s="90"/>
      <c r="EG75" s="90"/>
      <c r="EH75" s="90"/>
      <c r="EI75" s="90"/>
      <c r="EJ75" s="90"/>
      <c r="EK75" s="90"/>
      <c r="EL75" s="90"/>
      <c r="EM75" s="90"/>
      <c r="EN75" s="90"/>
      <c r="EO75" s="90"/>
      <c r="EP75" s="90"/>
      <c r="EQ75" s="90"/>
      <c r="ER75" s="90"/>
      <c r="ES75" s="90"/>
      <c r="ET75" s="90"/>
      <c r="EU75" s="90"/>
      <c r="EV75" s="90"/>
      <c r="EW75" s="90"/>
      <c r="EX75" s="90"/>
      <c r="EY75" s="90"/>
      <c r="EZ75" s="90"/>
      <c r="FA75" s="90"/>
      <c r="FB75" s="88">
        <v>2430112.5</v>
      </c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</row>
    <row r="76" spans="1:364" s="2" customFormat="1" ht="17.25" customHeight="1">
      <c r="A76" s="9"/>
      <c r="B76" s="9"/>
      <c r="C76" s="9"/>
      <c r="D76" s="9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S76" s="151"/>
      <c r="T76" s="151"/>
      <c r="U76" s="150"/>
      <c r="V76" s="83" t="s">
        <v>338</v>
      </c>
      <c r="W76" s="143"/>
      <c r="X76" s="90">
        <v>22500000</v>
      </c>
      <c r="Y76" s="90"/>
      <c r="Z76" s="90"/>
      <c r="AA76" s="90"/>
      <c r="AB76" s="90"/>
      <c r="AC76" s="90"/>
      <c r="AD76" s="90"/>
      <c r="AE76" s="90"/>
      <c r="AF76" s="90"/>
      <c r="AG76" s="90"/>
      <c r="AH76" s="90"/>
      <c r="AI76" s="90"/>
      <c r="AJ76" s="90"/>
      <c r="AK76" s="90"/>
      <c r="AL76" s="90"/>
      <c r="AM76" s="90"/>
      <c r="AN76" s="90"/>
      <c r="AO76" s="90"/>
      <c r="AP76" s="90">
        <v>194000000</v>
      </c>
      <c r="AQ76" s="90"/>
      <c r="AR76" s="90"/>
      <c r="AS76" s="90"/>
      <c r="AT76" s="90"/>
      <c r="AU76" s="90"/>
      <c r="AV76" s="90"/>
      <c r="AW76" s="90"/>
      <c r="AX76" s="90"/>
      <c r="AY76" s="90"/>
      <c r="AZ76" s="90"/>
      <c r="BA76" s="90"/>
      <c r="BB76" s="90"/>
      <c r="BC76" s="90"/>
      <c r="BD76" s="90"/>
      <c r="BE76" s="90"/>
      <c r="BF76" s="90"/>
      <c r="BG76" s="90"/>
      <c r="BH76" s="90"/>
      <c r="BI76" s="90"/>
      <c r="BJ76" s="90"/>
      <c r="BK76" s="90"/>
      <c r="BL76" s="90"/>
      <c r="BM76" s="90"/>
      <c r="BN76" s="90"/>
      <c r="BO76" s="90"/>
      <c r="BP76" s="90"/>
      <c r="BQ76" s="90"/>
      <c r="BR76" s="90"/>
      <c r="BS76" s="90"/>
      <c r="BT76" s="90"/>
      <c r="BU76" s="90"/>
      <c r="BV76" s="90"/>
      <c r="BW76" s="90"/>
      <c r="BX76" s="90"/>
      <c r="BY76" s="90"/>
      <c r="BZ76" s="90"/>
      <c r="CA76" s="90"/>
      <c r="CB76" s="90"/>
      <c r="CC76" s="90"/>
      <c r="CD76" s="90"/>
      <c r="CE76" s="90"/>
      <c r="CF76" s="90"/>
      <c r="CG76" s="90"/>
      <c r="CH76" s="90"/>
      <c r="CI76" s="90"/>
      <c r="CJ76" s="90"/>
      <c r="CK76" s="90"/>
      <c r="CL76" s="90"/>
      <c r="CM76" s="90"/>
      <c r="CN76" s="90"/>
      <c r="CO76" s="90"/>
      <c r="CP76" s="90"/>
      <c r="CQ76" s="90"/>
      <c r="CR76" s="90"/>
      <c r="CS76" s="90"/>
      <c r="CT76" s="90"/>
      <c r="CU76" s="90"/>
      <c r="CV76" s="90"/>
      <c r="CW76" s="90"/>
      <c r="CX76" s="90"/>
      <c r="CY76" s="90"/>
      <c r="CZ76" s="90"/>
      <c r="DA76" s="90"/>
      <c r="DB76" s="90"/>
      <c r="DC76" s="90"/>
      <c r="DD76" s="90"/>
      <c r="DE76" s="90"/>
      <c r="DF76" s="90"/>
      <c r="DG76" s="90"/>
      <c r="DH76" s="90"/>
      <c r="DI76" s="90"/>
      <c r="DJ76" s="90"/>
      <c r="DK76" s="90"/>
      <c r="DL76" s="90"/>
      <c r="DM76" s="90"/>
      <c r="DN76" s="90"/>
      <c r="DO76" s="90"/>
      <c r="DP76" s="90"/>
      <c r="DQ76" s="90"/>
      <c r="DR76" s="90"/>
      <c r="DS76" s="90"/>
      <c r="DT76" s="90"/>
      <c r="DU76" s="90"/>
      <c r="DV76" s="90"/>
      <c r="DW76" s="90"/>
      <c r="DX76" s="90"/>
      <c r="DY76" s="90"/>
      <c r="DZ76" s="90"/>
      <c r="EA76" s="90"/>
      <c r="EB76" s="90"/>
      <c r="EC76" s="90"/>
      <c r="ED76" s="90"/>
      <c r="EE76" s="90"/>
      <c r="EF76" s="90"/>
      <c r="EG76" s="90"/>
      <c r="EH76" s="90"/>
      <c r="EI76" s="90"/>
      <c r="EJ76" s="90"/>
      <c r="EK76" s="90"/>
      <c r="EL76" s="90"/>
      <c r="EM76" s="90"/>
      <c r="EN76" s="90"/>
      <c r="EO76" s="90"/>
      <c r="EP76" s="90"/>
      <c r="EQ76" s="90"/>
      <c r="ER76" s="90"/>
      <c r="ES76" s="90"/>
      <c r="ET76" s="90"/>
      <c r="EU76" s="90"/>
      <c r="EV76" s="90"/>
      <c r="EW76" s="90"/>
      <c r="EX76" s="90"/>
      <c r="EY76" s="90"/>
      <c r="EZ76" s="90"/>
      <c r="FA76" s="90"/>
      <c r="FB76" s="88">
        <v>216500000</v>
      </c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  <c r="KO76"/>
      <c r="KP76"/>
      <c r="KQ76"/>
      <c r="KR76"/>
      <c r="KS76"/>
      <c r="KT76"/>
      <c r="KU76"/>
      <c r="KV76"/>
      <c r="KW76"/>
      <c r="KX76"/>
      <c r="KY76"/>
      <c r="KZ76"/>
      <c r="LA76"/>
      <c r="LB76"/>
      <c r="LC76"/>
      <c r="LD76"/>
      <c r="LE76"/>
      <c r="LF76"/>
      <c r="LG76"/>
      <c r="LH76"/>
      <c r="LI76"/>
      <c r="LJ76"/>
      <c r="LK76"/>
      <c r="LL76"/>
      <c r="LM76"/>
      <c r="LN76"/>
      <c r="LO76"/>
      <c r="LP76"/>
      <c r="LQ76"/>
      <c r="LR76"/>
      <c r="LS76"/>
      <c r="LT76"/>
      <c r="LU76"/>
      <c r="LV76"/>
      <c r="LW76"/>
      <c r="LX76"/>
      <c r="LY76"/>
      <c r="LZ76"/>
      <c r="MA76"/>
      <c r="MB76"/>
      <c r="MC76"/>
      <c r="MD76"/>
      <c r="ME76"/>
      <c r="MF76"/>
      <c r="MG76"/>
      <c r="MH76"/>
      <c r="MI76"/>
      <c r="MJ76"/>
      <c r="MK76"/>
      <c r="ML76"/>
      <c r="MM76"/>
      <c r="MN76"/>
      <c r="MO76"/>
      <c r="MP76"/>
      <c r="MQ76"/>
      <c r="MR76"/>
      <c r="MS76"/>
      <c r="MT76"/>
      <c r="MU76"/>
      <c r="MV76"/>
      <c r="MW76"/>
      <c r="MX76"/>
      <c r="MY76"/>
      <c r="MZ76"/>
    </row>
    <row r="77" spans="1:364" s="2" customFormat="1" ht="17.25" customHeight="1">
      <c r="A77" s="9"/>
      <c r="B77" s="9"/>
      <c r="C77" s="9"/>
      <c r="D77" s="9"/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S77" s="151"/>
      <c r="T77" s="151"/>
      <c r="U77" s="150"/>
      <c r="V77" s="83" t="s">
        <v>291</v>
      </c>
      <c r="W77" s="143"/>
      <c r="X77" s="90"/>
      <c r="Y77" s="90"/>
      <c r="Z77" s="90">
        <v>114200.15000000002</v>
      </c>
      <c r="AA77" s="90"/>
      <c r="AB77" s="90"/>
      <c r="AC77" s="90"/>
      <c r="AD77" s="90"/>
      <c r="AE77" s="90"/>
      <c r="AF77" s="90"/>
      <c r="AG77" s="90"/>
      <c r="AH77" s="90"/>
      <c r="AI77" s="90"/>
      <c r="AJ77" s="90">
        <v>-1210940.17</v>
      </c>
      <c r="AK77" s="90"/>
      <c r="AL77" s="90"/>
      <c r="AM77" s="90"/>
      <c r="AN77" s="90"/>
      <c r="AO77" s="90"/>
      <c r="AP77" s="90"/>
      <c r="AQ77" s="90"/>
      <c r="AR77" s="90"/>
      <c r="AS77" s="90"/>
      <c r="AT77" s="90"/>
      <c r="AU77" s="90"/>
      <c r="AV77" s="90"/>
      <c r="AW77" s="90"/>
      <c r="AX77" s="90"/>
      <c r="AY77" s="90"/>
      <c r="AZ77" s="90"/>
      <c r="BA77" s="90"/>
      <c r="BB77" s="90"/>
      <c r="BC77" s="90"/>
      <c r="BD77" s="90"/>
      <c r="BE77" s="90"/>
      <c r="BF77" s="90"/>
      <c r="BG77" s="90"/>
      <c r="BH77" s="90"/>
      <c r="BI77" s="90"/>
      <c r="BJ77" s="90"/>
      <c r="BK77" s="90"/>
      <c r="BL77" s="90"/>
      <c r="BM77" s="90"/>
      <c r="BN77" s="90"/>
      <c r="BO77" s="90"/>
      <c r="BP77" s="90"/>
      <c r="BQ77" s="90"/>
      <c r="BR77" s="90"/>
      <c r="BS77" s="90"/>
      <c r="BT77" s="90"/>
      <c r="BU77" s="90"/>
      <c r="BV77" s="90"/>
      <c r="BW77" s="90"/>
      <c r="BX77" s="90"/>
      <c r="BY77" s="90"/>
      <c r="BZ77" s="90"/>
      <c r="CA77" s="90"/>
      <c r="CB77" s="90"/>
      <c r="CC77" s="90"/>
      <c r="CD77" s="90"/>
      <c r="CE77" s="90"/>
      <c r="CF77" s="90"/>
      <c r="CG77" s="90"/>
      <c r="CH77" s="90"/>
      <c r="CI77" s="90"/>
      <c r="CJ77" s="90"/>
      <c r="CK77" s="90"/>
      <c r="CL77" s="90"/>
      <c r="CM77" s="90"/>
      <c r="CN77" s="90"/>
      <c r="CO77" s="90"/>
      <c r="CP77" s="90"/>
      <c r="CQ77" s="90"/>
      <c r="CR77" s="90"/>
      <c r="CS77" s="90"/>
      <c r="CT77" s="90"/>
      <c r="CU77" s="90"/>
      <c r="CV77" s="90"/>
      <c r="CW77" s="90"/>
      <c r="CX77" s="90"/>
      <c r="CY77" s="90"/>
      <c r="CZ77" s="90"/>
      <c r="DA77" s="90"/>
      <c r="DB77" s="90"/>
      <c r="DC77" s="90"/>
      <c r="DD77" s="90"/>
      <c r="DE77" s="90"/>
      <c r="DF77" s="90"/>
      <c r="DG77" s="90"/>
      <c r="DH77" s="90"/>
      <c r="DI77" s="90"/>
      <c r="DJ77" s="90"/>
      <c r="DK77" s="90"/>
      <c r="DL77" s="90"/>
      <c r="DM77" s="90"/>
      <c r="DN77" s="90"/>
      <c r="DO77" s="90"/>
      <c r="DP77" s="90"/>
      <c r="DQ77" s="90"/>
      <c r="DR77" s="90"/>
      <c r="DS77" s="90"/>
      <c r="DT77" s="90"/>
      <c r="DU77" s="90"/>
      <c r="DV77" s="90"/>
      <c r="DW77" s="90"/>
      <c r="DX77" s="90"/>
      <c r="DY77" s="90"/>
      <c r="DZ77" s="90"/>
      <c r="EA77" s="90"/>
      <c r="EB77" s="90"/>
      <c r="EC77" s="90"/>
      <c r="ED77" s="90"/>
      <c r="EE77" s="90"/>
      <c r="EF77" s="90"/>
      <c r="EG77" s="90"/>
      <c r="EH77" s="90"/>
      <c r="EI77" s="90"/>
      <c r="EJ77" s="90"/>
      <c r="EK77" s="90"/>
      <c r="EL77" s="90"/>
      <c r="EM77" s="90"/>
      <c r="EN77" s="90"/>
      <c r="EO77" s="90"/>
      <c r="EP77" s="90"/>
      <c r="EQ77" s="90"/>
      <c r="ER77" s="90"/>
      <c r="ES77" s="90"/>
      <c r="ET77" s="90"/>
      <c r="EU77" s="90"/>
      <c r="EV77" s="90"/>
      <c r="EW77" s="90"/>
      <c r="EX77" s="90"/>
      <c r="EY77" s="90"/>
      <c r="EZ77" s="90"/>
      <c r="FA77" s="90"/>
      <c r="FB77" s="88">
        <v>-1096740.02</v>
      </c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/>
      <c r="MZ77"/>
    </row>
    <row r="78" spans="1:364" s="2" customFormat="1" ht="17.25" customHeight="1">
      <c r="A78" s="9"/>
      <c r="B78" s="9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S78" s="151"/>
      <c r="T78" s="151"/>
      <c r="U78" s="150"/>
      <c r="V78" s="83" t="s">
        <v>288</v>
      </c>
      <c r="W78" s="143"/>
      <c r="X78" s="90"/>
      <c r="Y78" s="90">
        <v>12153938.33</v>
      </c>
      <c r="Z78" s="90">
        <v>12238154.709999999</v>
      </c>
      <c r="AA78" s="90"/>
      <c r="AB78" s="90"/>
      <c r="AC78" s="90">
        <v>-37896333.899999999</v>
      </c>
      <c r="AD78" s="90">
        <v>3267000</v>
      </c>
      <c r="AE78" s="90"/>
      <c r="AF78" s="90"/>
      <c r="AG78" s="90"/>
      <c r="AH78" s="90"/>
      <c r="AI78" s="90"/>
      <c r="AJ78" s="90">
        <v>3375900</v>
      </c>
      <c r="AK78" s="90"/>
      <c r="AL78" s="90"/>
      <c r="AM78" s="90"/>
      <c r="AN78" s="90">
        <v>-42451380.759999998</v>
      </c>
      <c r="AO78" s="90"/>
      <c r="AP78" s="90"/>
      <c r="AQ78" s="90"/>
      <c r="AR78" s="90"/>
      <c r="AS78" s="90"/>
      <c r="AT78" s="90"/>
      <c r="AU78" s="90"/>
      <c r="AV78" s="90"/>
      <c r="AW78" s="90"/>
      <c r="AX78" s="90"/>
      <c r="AY78" s="90"/>
      <c r="AZ78" s="90"/>
      <c r="BA78" s="90"/>
      <c r="BB78" s="90"/>
      <c r="BC78" s="90"/>
      <c r="BD78" s="90"/>
      <c r="BE78" s="90"/>
      <c r="BF78" s="90"/>
      <c r="BG78" s="90"/>
      <c r="BH78" s="90"/>
      <c r="BI78" s="90"/>
      <c r="BJ78" s="90"/>
      <c r="BK78" s="90"/>
      <c r="BL78" s="90"/>
      <c r="BM78" s="90"/>
      <c r="BN78" s="90"/>
      <c r="BO78" s="90"/>
      <c r="BP78" s="90"/>
      <c r="BQ78" s="90"/>
      <c r="BR78" s="90"/>
      <c r="BS78" s="90"/>
      <c r="BT78" s="90"/>
      <c r="BU78" s="90"/>
      <c r="BV78" s="90"/>
      <c r="BW78" s="90"/>
      <c r="BX78" s="90"/>
      <c r="BY78" s="90"/>
      <c r="BZ78" s="90"/>
      <c r="CA78" s="90"/>
      <c r="CB78" s="90"/>
      <c r="CC78" s="90"/>
      <c r="CD78" s="90"/>
      <c r="CE78" s="90"/>
      <c r="CF78" s="90"/>
      <c r="CG78" s="90"/>
      <c r="CH78" s="90"/>
      <c r="CI78" s="90"/>
      <c r="CJ78" s="90"/>
      <c r="CK78" s="90"/>
      <c r="CL78" s="90"/>
      <c r="CM78" s="90"/>
      <c r="CN78" s="90"/>
      <c r="CO78" s="90"/>
      <c r="CP78" s="90"/>
      <c r="CQ78" s="90"/>
      <c r="CR78" s="90"/>
      <c r="CS78" s="90"/>
      <c r="CT78" s="90"/>
      <c r="CU78" s="90"/>
      <c r="CV78" s="90"/>
      <c r="CW78" s="90"/>
      <c r="CX78" s="90"/>
      <c r="CY78" s="90"/>
      <c r="CZ78" s="90"/>
      <c r="DA78" s="90"/>
      <c r="DB78" s="90"/>
      <c r="DC78" s="90"/>
      <c r="DD78" s="90"/>
      <c r="DE78" s="90"/>
      <c r="DF78" s="90"/>
      <c r="DG78" s="90"/>
      <c r="DH78" s="90"/>
      <c r="DI78" s="90"/>
      <c r="DJ78" s="90"/>
      <c r="DK78" s="90"/>
      <c r="DL78" s="90"/>
      <c r="DM78" s="90"/>
      <c r="DN78" s="90"/>
      <c r="DO78" s="90"/>
      <c r="DP78" s="90"/>
      <c r="DQ78" s="90"/>
      <c r="DR78" s="90"/>
      <c r="DS78" s="90"/>
      <c r="DT78" s="90"/>
      <c r="DU78" s="90"/>
      <c r="DV78" s="90"/>
      <c r="DW78" s="90"/>
      <c r="DX78" s="90"/>
      <c r="DY78" s="90"/>
      <c r="DZ78" s="90"/>
      <c r="EA78" s="90"/>
      <c r="EB78" s="90"/>
      <c r="EC78" s="90"/>
      <c r="ED78" s="90"/>
      <c r="EE78" s="90"/>
      <c r="EF78" s="90"/>
      <c r="EG78" s="90"/>
      <c r="EH78" s="90"/>
      <c r="EI78" s="90"/>
      <c r="EJ78" s="90"/>
      <c r="EK78" s="90"/>
      <c r="EL78" s="90"/>
      <c r="EM78" s="90"/>
      <c r="EN78" s="90"/>
      <c r="EO78" s="90"/>
      <c r="EP78" s="90"/>
      <c r="EQ78" s="90"/>
      <c r="ER78" s="90"/>
      <c r="ES78" s="90"/>
      <c r="ET78" s="90"/>
      <c r="EU78" s="90"/>
      <c r="EV78" s="90"/>
      <c r="EW78" s="90"/>
      <c r="EX78" s="90"/>
      <c r="EY78" s="90"/>
      <c r="EZ78" s="90"/>
      <c r="FA78" s="90"/>
      <c r="FB78" s="88">
        <v>-49312721.619999997</v>
      </c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/>
      <c r="MZ78"/>
    </row>
    <row r="79" spans="1:364" s="2" customFormat="1" ht="17.25" customHeight="1">
      <c r="A79" s="9"/>
      <c r="B79" s="9"/>
      <c r="S79" s="151"/>
      <c r="T79" s="151"/>
      <c r="U79" s="150"/>
      <c r="V79" s="83" t="s">
        <v>272</v>
      </c>
      <c r="W79" s="143">
        <v>32562.499999999996</v>
      </c>
      <c r="X79" s="90">
        <v>618749.99999999988</v>
      </c>
      <c r="Y79" s="90">
        <v>-286543.90000000002</v>
      </c>
      <c r="Z79" s="90">
        <v>-395572.86</v>
      </c>
      <c r="AA79" s="90"/>
      <c r="AB79" s="90"/>
      <c r="AC79" s="90"/>
      <c r="AD79" s="90">
        <v>-164209.29999999996</v>
      </c>
      <c r="AE79" s="90"/>
      <c r="AF79" s="90"/>
      <c r="AG79" s="90"/>
      <c r="AH79" s="90">
        <v>-367596.16</v>
      </c>
      <c r="AI79" s="90">
        <v>0</v>
      </c>
      <c r="AJ79" s="90">
        <v>-319554.37</v>
      </c>
      <c r="AK79" s="90"/>
      <c r="AL79" s="90"/>
      <c r="AM79" s="90"/>
      <c r="AN79" s="90"/>
      <c r="AO79" s="90"/>
      <c r="AP79" s="90">
        <v>485000</v>
      </c>
      <c r="AQ79" s="90"/>
      <c r="AR79" s="90"/>
      <c r="AS79" s="90"/>
      <c r="AT79" s="90"/>
      <c r="AU79" s="90"/>
      <c r="AV79" s="90"/>
      <c r="AW79" s="90"/>
      <c r="AX79" s="90"/>
      <c r="AY79" s="90"/>
      <c r="AZ79" s="90"/>
      <c r="BA79" s="90"/>
      <c r="BB79" s="90"/>
      <c r="BC79" s="90"/>
      <c r="BD79" s="90"/>
      <c r="BE79" s="90"/>
      <c r="BF79" s="90"/>
      <c r="BG79" s="90"/>
      <c r="BH79" s="90"/>
      <c r="BI79" s="90"/>
      <c r="BJ79" s="90"/>
      <c r="BK79" s="90"/>
      <c r="BL79" s="90"/>
      <c r="BM79" s="90"/>
      <c r="BN79" s="90"/>
      <c r="BO79" s="90"/>
      <c r="BP79" s="90"/>
      <c r="BQ79" s="90"/>
      <c r="BR79" s="90"/>
      <c r="BS79" s="90"/>
      <c r="BT79" s="90"/>
      <c r="BU79" s="90"/>
      <c r="BV79" s="90"/>
      <c r="BW79" s="90"/>
      <c r="BX79" s="90"/>
      <c r="BY79" s="90"/>
      <c r="BZ79" s="90"/>
      <c r="CA79" s="90"/>
      <c r="CB79" s="90"/>
      <c r="CC79" s="90"/>
      <c r="CD79" s="90"/>
      <c r="CE79" s="90"/>
      <c r="CF79" s="90"/>
      <c r="CG79" s="90"/>
      <c r="CH79" s="90"/>
      <c r="CI79" s="90"/>
      <c r="CJ79" s="90"/>
      <c r="CK79" s="90"/>
      <c r="CL79" s="90"/>
      <c r="CM79" s="90"/>
      <c r="CN79" s="90"/>
      <c r="CO79" s="90"/>
      <c r="CP79" s="90"/>
      <c r="CQ79" s="90"/>
      <c r="CR79" s="90"/>
      <c r="CS79" s="90"/>
      <c r="CT79" s="90"/>
      <c r="CU79" s="90"/>
      <c r="CV79" s="90"/>
      <c r="CW79" s="90"/>
      <c r="CX79" s="90"/>
      <c r="CY79" s="90"/>
      <c r="CZ79" s="90"/>
      <c r="DA79" s="90"/>
      <c r="DB79" s="90"/>
      <c r="DC79" s="90"/>
      <c r="DD79" s="90"/>
      <c r="DE79" s="90"/>
      <c r="DF79" s="90"/>
      <c r="DG79" s="90">
        <v>-9375</v>
      </c>
      <c r="DH79" s="90"/>
      <c r="DI79" s="90"/>
      <c r="DJ79" s="90"/>
      <c r="DK79" s="90"/>
      <c r="DL79" s="90"/>
      <c r="DM79" s="90"/>
      <c r="DN79" s="90"/>
      <c r="DO79" s="90"/>
      <c r="DP79" s="90"/>
      <c r="DQ79" s="90"/>
      <c r="DR79" s="90"/>
      <c r="DS79" s="90"/>
      <c r="DT79" s="90"/>
      <c r="DU79" s="90"/>
      <c r="DV79" s="90"/>
      <c r="DW79" s="90"/>
      <c r="DX79" s="90"/>
      <c r="DY79" s="90"/>
      <c r="DZ79" s="90"/>
      <c r="EA79" s="90"/>
      <c r="EB79" s="90"/>
      <c r="EC79" s="90"/>
      <c r="ED79" s="90"/>
      <c r="EE79" s="90"/>
      <c r="EF79" s="90"/>
      <c r="EG79" s="90"/>
      <c r="EH79" s="90"/>
      <c r="EI79" s="90"/>
      <c r="EJ79" s="90"/>
      <c r="EK79" s="90"/>
      <c r="EL79" s="90"/>
      <c r="EM79" s="90"/>
      <c r="EN79" s="90"/>
      <c r="EO79" s="90"/>
      <c r="EP79" s="90"/>
      <c r="EQ79" s="90"/>
      <c r="ER79" s="90"/>
      <c r="ES79" s="90"/>
      <c r="ET79" s="90"/>
      <c r="EU79" s="90"/>
      <c r="EV79" s="90"/>
      <c r="EW79" s="90"/>
      <c r="EX79" s="90"/>
      <c r="EY79" s="90"/>
      <c r="EZ79" s="90"/>
      <c r="FA79" s="90"/>
      <c r="FB79" s="88">
        <v>-406539.09000000008</v>
      </c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/>
      <c r="MZ79"/>
    </row>
    <row r="80" spans="1:364" s="2" customFormat="1" ht="17.25" customHeight="1">
      <c r="A80" s="9"/>
      <c r="B80" s="9"/>
      <c r="S80" s="151"/>
      <c r="T80" s="151"/>
      <c r="U80" s="150"/>
      <c r="V80" s="83" t="s">
        <v>1775</v>
      </c>
      <c r="W80" s="143"/>
      <c r="X80" s="90"/>
      <c r="Y80" s="90"/>
      <c r="Z80" s="90"/>
      <c r="AA80" s="90">
        <v>11924821.609999999</v>
      </c>
      <c r="AB80" s="90"/>
      <c r="AC80" s="90"/>
      <c r="AD80" s="90"/>
      <c r="AE80" s="90"/>
      <c r="AF80" s="90"/>
      <c r="AG80" s="90"/>
      <c r="AH80" s="90"/>
      <c r="AI80" s="90"/>
      <c r="AJ80" s="90"/>
      <c r="AK80" s="90"/>
      <c r="AL80" s="90">
        <v>3267000</v>
      </c>
      <c r="AM80" s="90"/>
      <c r="AN80" s="90"/>
      <c r="AO80" s="90"/>
      <c r="AP80" s="90"/>
      <c r="AQ80" s="90"/>
      <c r="AR80" s="90"/>
      <c r="AS80" s="90"/>
      <c r="AT80" s="90"/>
      <c r="AU80" s="90"/>
      <c r="AV80" s="90"/>
      <c r="AW80" s="90"/>
      <c r="AX80" s="90"/>
      <c r="AY80" s="90"/>
      <c r="AZ80" s="90"/>
      <c r="BA80" s="90"/>
      <c r="BB80" s="90"/>
      <c r="BC80" s="90"/>
      <c r="BD80" s="90"/>
      <c r="BE80" s="90"/>
      <c r="BF80" s="90"/>
      <c r="BG80" s="90"/>
      <c r="BH80" s="90"/>
      <c r="BI80" s="90"/>
      <c r="BJ80" s="90"/>
      <c r="BK80" s="90"/>
      <c r="BL80" s="90"/>
      <c r="BM80" s="90"/>
      <c r="BN80" s="90"/>
      <c r="BO80" s="90"/>
      <c r="BP80" s="90"/>
      <c r="BQ80" s="90"/>
      <c r="BR80" s="90"/>
      <c r="BS80" s="90"/>
      <c r="BT80" s="90"/>
      <c r="BU80" s="90"/>
      <c r="BV80" s="90"/>
      <c r="BW80" s="90"/>
      <c r="BX80" s="90"/>
      <c r="BY80" s="90"/>
      <c r="BZ80" s="90"/>
      <c r="CA80" s="90"/>
      <c r="CB80" s="90"/>
      <c r="CC80" s="90"/>
      <c r="CD80" s="90"/>
      <c r="CE80" s="90"/>
      <c r="CF80" s="90"/>
      <c r="CG80" s="90"/>
      <c r="CH80" s="90"/>
      <c r="CI80" s="90"/>
      <c r="CJ80" s="90"/>
      <c r="CK80" s="90"/>
      <c r="CL80" s="90"/>
      <c r="CM80" s="90"/>
      <c r="CN80" s="90"/>
      <c r="CO80" s="90"/>
      <c r="CP80" s="90"/>
      <c r="CQ80" s="90"/>
      <c r="CR80" s="90"/>
      <c r="CS80" s="90"/>
      <c r="CT80" s="90"/>
      <c r="CU80" s="90"/>
      <c r="CV80" s="90"/>
      <c r="CW80" s="90"/>
      <c r="CX80" s="90"/>
      <c r="CY80" s="90"/>
      <c r="CZ80" s="90"/>
      <c r="DA80" s="90"/>
      <c r="DB80" s="90"/>
      <c r="DC80" s="90"/>
      <c r="DD80" s="90"/>
      <c r="DE80" s="90"/>
      <c r="DF80" s="90"/>
      <c r="DG80" s="90"/>
      <c r="DH80" s="90"/>
      <c r="DI80" s="90"/>
      <c r="DJ80" s="90"/>
      <c r="DK80" s="90"/>
      <c r="DL80" s="90"/>
      <c r="DM80" s="90"/>
      <c r="DN80" s="90"/>
      <c r="DO80" s="90"/>
      <c r="DP80" s="90"/>
      <c r="DQ80" s="90"/>
      <c r="DR80" s="90"/>
      <c r="DS80" s="90"/>
      <c r="DT80" s="90"/>
      <c r="DU80" s="90"/>
      <c r="DV80" s="90"/>
      <c r="DW80" s="90"/>
      <c r="DX80" s="90"/>
      <c r="DY80" s="90"/>
      <c r="DZ80" s="90"/>
      <c r="EA80" s="90"/>
      <c r="EB80" s="90"/>
      <c r="EC80" s="90"/>
      <c r="ED80" s="90"/>
      <c r="EE80" s="90"/>
      <c r="EF80" s="90"/>
      <c r="EG80" s="90"/>
      <c r="EH80" s="90"/>
      <c r="EI80" s="90"/>
      <c r="EJ80" s="90"/>
      <c r="EK80" s="90"/>
      <c r="EL80" s="90"/>
      <c r="EM80" s="90"/>
      <c r="EN80" s="90"/>
      <c r="EO80" s="90"/>
      <c r="EP80" s="90"/>
      <c r="EQ80" s="90"/>
      <c r="ER80" s="90"/>
      <c r="ES80" s="90"/>
      <c r="ET80" s="90"/>
      <c r="EU80" s="90"/>
      <c r="EV80" s="90"/>
      <c r="EW80" s="90"/>
      <c r="EX80" s="90"/>
      <c r="EY80" s="90"/>
      <c r="EZ80" s="90"/>
      <c r="FA80" s="90"/>
      <c r="FB80" s="88">
        <v>15191821.609999999</v>
      </c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  <c r="LM80"/>
      <c r="LN80"/>
      <c r="LO80"/>
      <c r="LP80"/>
      <c r="LQ80"/>
      <c r="LR80"/>
      <c r="LS80"/>
      <c r="LT80"/>
      <c r="LU80"/>
      <c r="LV80"/>
      <c r="LW80"/>
      <c r="LX80"/>
      <c r="LY80"/>
      <c r="LZ80"/>
      <c r="MA80"/>
      <c r="MB80"/>
      <c r="MC80"/>
      <c r="MD80"/>
      <c r="ME80"/>
      <c r="MF80"/>
      <c r="MG80"/>
      <c r="MH80"/>
      <c r="MI80"/>
      <c r="MJ80"/>
      <c r="MK80"/>
      <c r="ML80"/>
      <c r="MM80"/>
      <c r="MN80"/>
      <c r="MO80"/>
      <c r="MP80"/>
      <c r="MQ80"/>
      <c r="MR80"/>
      <c r="MS80"/>
      <c r="MT80"/>
      <c r="MU80"/>
      <c r="MV80"/>
      <c r="MW80"/>
      <c r="MX80"/>
      <c r="MY80"/>
      <c r="MZ80"/>
    </row>
    <row r="81" spans="1:366" ht="17.25" customHeight="1"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U81" s="150"/>
      <c r="V81" s="83" t="s">
        <v>1769</v>
      </c>
      <c r="W81" s="143"/>
      <c r="X81" s="90"/>
      <c r="Y81" s="90"/>
      <c r="Z81" s="90"/>
      <c r="AA81" s="90">
        <v>-354201.87</v>
      </c>
      <c r="AB81" s="90"/>
      <c r="AC81" s="90"/>
      <c r="AD81" s="90"/>
      <c r="AE81" s="90"/>
      <c r="AF81" s="90"/>
      <c r="AG81" s="90"/>
      <c r="AH81" s="90"/>
      <c r="AI81" s="90"/>
      <c r="AJ81" s="90"/>
      <c r="AK81" s="90"/>
      <c r="AL81" s="90">
        <v>-196474.88999999998</v>
      </c>
      <c r="AM81" s="90"/>
      <c r="AN81" s="90"/>
      <c r="AO81" s="90"/>
      <c r="AP81" s="90"/>
      <c r="AQ81" s="90"/>
      <c r="AR81" s="90"/>
      <c r="AS81" s="90"/>
      <c r="AT81" s="90"/>
      <c r="AU81" s="90"/>
      <c r="AV81" s="90"/>
      <c r="AW81" s="90"/>
      <c r="AX81" s="90"/>
      <c r="AY81" s="90"/>
      <c r="AZ81" s="90"/>
      <c r="BA81" s="90"/>
      <c r="BB81" s="90"/>
      <c r="BC81" s="90"/>
      <c r="BD81" s="90"/>
      <c r="BE81" s="90"/>
      <c r="BF81" s="90"/>
      <c r="BG81" s="90"/>
      <c r="BH81" s="90"/>
      <c r="BI81" s="90"/>
      <c r="BJ81" s="90"/>
      <c r="BK81" s="90"/>
      <c r="BL81" s="90"/>
      <c r="BM81" s="90"/>
      <c r="BN81" s="90"/>
      <c r="BO81" s="90"/>
      <c r="BP81" s="90"/>
      <c r="BQ81" s="90"/>
      <c r="BR81" s="90"/>
      <c r="BS81" s="90"/>
      <c r="BT81" s="90"/>
      <c r="BU81" s="90"/>
      <c r="BV81" s="90"/>
      <c r="BW81" s="90"/>
      <c r="BX81" s="90"/>
      <c r="BY81" s="90"/>
      <c r="BZ81" s="90"/>
      <c r="CA81" s="90"/>
      <c r="CB81" s="90"/>
      <c r="CC81" s="90"/>
      <c r="CD81" s="90"/>
      <c r="CE81" s="90"/>
      <c r="CF81" s="90"/>
      <c r="CG81" s="90"/>
      <c r="CH81" s="90"/>
      <c r="CI81" s="90"/>
      <c r="CJ81" s="90"/>
      <c r="CK81" s="90"/>
      <c r="CL81" s="90"/>
      <c r="CM81" s="90"/>
      <c r="CN81" s="90"/>
      <c r="CO81" s="90"/>
      <c r="CP81" s="90"/>
      <c r="CQ81" s="90"/>
      <c r="CR81" s="90"/>
      <c r="CS81" s="90"/>
      <c r="CT81" s="90"/>
      <c r="CU81" s="90"/>
      <c r="CV81" s="90"/>
      <c r="CW81" s="90"/>
      <c r="CX81" s="90"/>
      <c r="CY81" s="90"/>
      <c r="CZ81" s="90"/>
      <c r="DA81" s="90"/>
      <c r="DB81" s="90"/>
      <c r="DC81" s="90"/>
      <c r="DD81" s="90"/>
      <c r="DE81" s="90"/>
      <c r="DF81" s="90"/>
      <c r="DG81" s="90"/>
      <c r="DH81" s="90"/>
      <c r="DI81" s="90"/>
      <c r="DJ81" s="90"/>
      <c r="DK81" s="90"/>
      <c r="DL81" s="90"/>
      <c r="DM81" s="90"/>
      <c r="DN81" s="90"/>
      <c r="DO81" s="90"/>
      <c r="DP81" s="90"/>
      <c r="DQ81" s="90"/>
      <c r="DR81" s="90"/>
      <c r="DS81" s="90"/>
      <c r="DT81" s="90"/>
      <c r="DU81" s="90"/>
      <c r="DV81" s="90"/>
      <c r="DW81" s="90"/>
      <c r="DX81" s="90"/>
      <c r="DY81" s="90"/>
      <c r="DZ81" s="90"/>
      <c r="EA81" s="90"/>
      <c r="EB81" s="90"/>
      <c r="EC81" s="90"/>
      <c r="ED81" s="90"/>
      <c r="EE81" s="90"/>
      <c r="EF81" s="90"/>
      <c r="EG81" s="90"/>
      <c r="EH81" s="90"/>
      <c r="EI81" s="90"/>
      <c r="EJ81" s="90"/>
      <c r="EK81" s="90"/>
      <c r="EL81" s="90"/>
      <c r="EM81" s="90"/>
      <c r="EN81" s="90"/>
      <c r="EO81" s="90"/>
      <c r="EP81" s="90"/>
      <c r="EQ81" s="90"/>
      <c r="ER81" s="90"/>
      <c r="ES81" s="90"/>
      <c r="ET81" s="90"/>
      <c r="EU81" s="90"/>
      <c r="EV81" s="90"/>
      <c r="EW81" s="90"/>
      <c r="EX81" s="90"/>
      <c r="EY81" s="90"/>
      <c r="EZ81" s="90"/>
      <c r="FA81" s="90"/>
      <c r="FB81" s="88">
        <v>-550676.76</v>
      </c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  <c r="LM81"/>
      <c r="LN81"/>
      <c r="LO81"/>
      <c r="LP81"/>
      <c r="LQ81"/>
      <c r="LR81"/>
      <c r="LS81"/>
      <c r="LT81"/>
      <c r="LU81"/>
      <c r="LV81"/>
      <c r="LW81"/>
      <c r="LX81"/>
      <c r="LY81"/>
      <c r="LZ81"/>
      <c r="MA81"/>
      <c r="MB81"/>
      <c r="MC81"/>
      <c r="MD81"/>
      <c r="ME81"/>
      <c r="MF81"/>
      <c r="MG81"/>
      <c r="MH81"/>
      <c r="MI81"/>
      <c r="MJ81"/>
      <c r="MK81"/>
      <c r="ML81"/>
      <c r="MM81"/>
      <c r="MN81"/>
      <c r="MO81"/>
      <c r="MP81"/>
      <c r="MQ81"/>
      <c r="MR81"/>
      <c r="MS81"/>
      <c r="MT81"/>
      <c r="MU81"/>
      <c r="MV81"/>
      <c r="MW81"/>
      <c r="MX81"/>
      <c r="MY81"/>
      <c r="MZ81"/>
      <c r="NA81" s="2"/>
      <c r="NB81" s="2"/>
    </row>
    <row r="82" spans="1:366" ht="17.25" customHeight="1"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U82" s="150"/>
      <c r="V82" s="83" t="s">
        <v>885</v>
      </c>
      <c r="W82" s="143"/>
      <c r="X82" s="90"/>
      <c r="Y82" s="90"/>
      <c r="Z82" s="90"/>
      <c r="AA82" s="90"/>
      <c r="AB82" s="90"/>
      <c r="AC82" s="90"/>
      <c r="AD82" s="90"/>
      <c r="AE82" s="90"/>
      <c r="AF82" s="90"/>
      <c r="AG82" s="90"/>
      <c r="AH82" s="90"/>
      <c r="AI82" s="90"/>
      <c r="AJ82" s="90"/>
      <c r="AK82" s="90"/>
      <c r="AL82" s="90"/>
      <c r="AM82" s="90"/>
      <c r="AN82" s="90"/>
      <c r="AO82" s="90"/>
      <c r="AP82" s="90"/>
      <c r="AQ82" s="90"/>
      <c r="AR82" s="90"/>
      <c r="AS82" s="90"/>
      <c r="AT82" s="90"/>
      <c r="AU82" s="90"/>
      <c r="AV82" s="90"/>
      <c r="AW82" s="90"/>
      <c r="AX82" s="90"/>
      <c r="AY82" s="90"/>
      <c r="AZ82" s="90"/>
      <c r="BA82" s="90"/>
      <c r="BB82" s="90"/>
      <c r="BC82" s="90"/>
      <c r="BD82" s="90"/>
      <c r="BE82" s="90"/>
      <c r="BF82" s="90"/>
      <c r="BG82" s="90">
        <v>0</v>
      </c>
      <c r="BH82" s="90"/>
      <c r="BI82" s="90"/>
      <c r="BJ82" s="90"/>
      <c r="BK82" s="90"/>
      <c r="BL82" s="90"/>
      <c r="BM82" s="90"/>
      <c r="BN82" s="90"/>
      <c r="BO82" s="90"/>
      <c r="BP82" s="90"/>
      <c r="BQ82" s="90"/>
      <c r="BR82" s="90"/>
      <c r="BS82" s="90"/>
      <c r="BT82" s="90"/>
      <c r="BU82" s="90"/>
      <c r="BV82" s="90"/>
      <c r="BW82" s="90"/>
      <c r="BX82" s="90"/>
      <c r="BY82" s="90"/>
      <c r="BZ82" s="90"/>
      <c r="CA82" s="90"/>
      <c r="CB82" s="90"/>
      <c r="CC82" s="90"/>
      <c r="CD82" s="90"/>
      <c r="CE82" s="90"/>
      <c r="CF82" s="90"/>
      <c r="CG82" s="90"/>
      <c r="CH82" s="90"/>
      <c r="CI82" s="90"/>
      <c r="CJ82" s="90"/>
      <c r="CK82" s="90"/>
      <c r="CL82" s="90"/>
      <c r="CM82" s="90"/>
      <c r="CN82" s="90"/>
      <c r="CO82" s="90"/>
      <c r="CP82" s="90"/>
      <c r="CQ82" s="90"/>
      <c r="CR82" s="90"/>
      <c r="CS82" s="90"/>
      <c r="CT82" s="90"/>
      <c r="CU82" s="90"/>
      <c r="CV82" s="90"/>
      <c r="CW82" s="90"/>
      <c r="CX82" s="90"/>
      <c r="CY82" s="90"/>
      <c r="CZ82" s="90"/>
      <c r="DA82" s="90"/>
      <c r="DB82" s="90"/>
      <c r="DC82" s="90"/>
      <c r="DD82" s="90"/>
      <c r="DE82" s="90"/>
      <c r="DF82" s="90"/>
      <c r="DG82" s="90"/>
      <c r="DH82" s="90"/>
      <c r="DI82" s="90"/>
      <c r="DJ82" s="90"/>
      <c r="DK82" s="90"/>
      <c r="DL82" s="90"/>
      <c r="DM82" s="90"/>
      <c r="DN82" s="90"/>
      <c r="DO82" s="90"/>
      <c r="DP82" s="90"/>
      <c r="DQ82" s="90"/>
      <c r="DR82" s="90"/>
      <c r="DS82" s="90"/>
      <c r="DT82" s="90"/>
      <c r="DU82" s="90"/>
      <c r="DV82" s="90"/>
      <c r="DW82" s="90"/>
      <c r="DX82" s="90"/>
      <c r="DY82" s="90"/>
      <c r="DZ82" s="90"/>
      <c r="EA82" s="90"/>
      <c r="EB82" s="90"/>
      <c r="EC82" s="90"/>
      <c r="ED82" s="90"/>
      <c r="EE82" s="90"/>
      <c r="EF82" s="90"/>
      <c r="EG82" s="90"/>
      <c r="EH82" s="90"/>
      <c r="EI82" s="90"/>
      <c r="EJ82" s="90"/>
      <c r="EK82" s="90"/>
      <c r="EL82" s="90"/>
      <c r="EM82" s="90"/>
      <c r="EN82" s="90"/>
      <c r="EO82" s="90"/>
      <c r="EP82" s="90"/>
      <c r="EQ82" s="90"/>
      <c r="ER82" s="90"/>
      <c r="ES82" s="90"/>
      <c r="ET82" s="90"/>
      <c r="EU82" s="90"/>
      <c r="EV82" s="90"/>
      <c r="EW82" s="90"/>
      <c r="EX82" s="90"/>
      <c r="EY82" s="90"/>
      <c r="EZ82" s="90"/>
      <c r="FA82" s="90"/>
      <c r="FB82" s="88">
        <v>0</v>
      </c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  <c r="KO82"/>
      <c r="KP82"/>
      <c r="KQ82"/>
      <c r="KR82"/>
      <c r="KS82"/>
      <c r="KT82"/>
      <c r="KU82"/>
      <c r="KV82"/>
      <c r="KW82"/>
      <c r="KX82"/>
      <c r="KY82"/>
      <c r="KZ82"/>
      <c r="LA82"/>
      <c r="LB82"/>
      <c r="LC82"/>
      <c r="LD82"/>
      <c r="LE82"/>
      <c r="LF82"/>
      <c r="LG82"/>
      <c r="LH82"/>
      <c r="LI82"/>
      <c r="LJ82"/>
      <c r="LK82"/>
      <c r="LL82"/>
      <c r="LM82"/>
      <c r="LN82"/>
      <c r="LO82"/>
      <c r="LP82"/>
      <c r="LQ82"/>
      <c r="LR82"/>
      <c r="LS82"/>
      <c r="LT82"/>
      <c r="LU82"/>
      <c r="LV82"/>
      <c r="LW82"/>
      <c r="LX82"/>
      <c r="LY82"/>
      <c r="LZ82"/>
      <c r="MA82"/>
      <c r="MB82"/>
      <c r="MC82"/>
      <c r="MD82"/>
      <c r="ME82"/>
      <c r="MF82"/>
      <c r="MG82"/>
      <c r="MH82"/>
      <c r="MI82"/>
      <c r="MJ82"/>
      <c r="MK82"/>
      <c r="ML82"/>
      <c r="MM82"/>
      <c r="MN82"/>
      <c r="MO82"/>
      <c r="MP82"/>
      <c r="MQ82"/>
      <c r="MR82"/>
      <c r="MS82"/>
      <c r="MT82"/>
      <c r="MU82"/>
      <c r="MV82"/>
      <c r="MW82"/>
      <c r="MX82"/>
      <c r="MY82"/>
      <c r="MZ82"/>
    </row>
    <row r="83" spans="1:366" ht="12.75"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U83" s="150"/>
      <c r="V83" s="83" t="s">
        <v>283</v>
      </c>
      <c r="W83" s="143"/>
      <c r="X83" s="90"/>
      <c r="Y83" s="90"/>
      <c r="Z83" s="90"/>
      <c r="AA83" s="90"/>
      <c r="AB83" s="90"/>
      <c r="AC83" s="90"/>
      <c r="AD83" s="90"/>
      <c r="AE83" s="90"/>
      <c r="AF83" s="90"/>
      <c r="AG83" s="90"/>
      <c r="AH83" s="90"/>
      <c r="AI83" s="90"/>
      <c r="AJ83" s="90"/>
      <c r="AK83" s="90"/>
      <c r="AL83" s="90"/>
      <c r="AM83" s="90"/>
      <c r="AN83" s="90"/>
      <c r="AO83" s="90"/>
      <c r="AP83" s="90"/>
      <c r="AQ83" s="90"/>
      <c r="AR83" s="90"/>
      <c r="AS83" s="90"/>
      <c r="AT83" s="90">
        <v>276838.37</v>
      </c>
      <c r="AU83" s="90"/>
      <c r="AV83" s="90"/>
      <c r="AW83" s="90"/>
      <c r="AX83" s="90">
        <v>494940.13999999996</v>
      </c>
      <c r="AY83" s="90"/>
      <c r="AZ83" s="90"/>
      <c r="BA83" s="90"/>
      <c r="BB83" s="90"/>
      <c r="BC83" s="90"/>
      <c r="BD83" s="90"/>
      <c r="BE83" s="90"/>
      <c r="BF83" s="90"/>
      <c r="BG83" s="90"/>
      <c r="BH83" s="90"/>
      <c r="BI83" s="90"/>
      <c r="BJ83" s="90"/>
      <c r="BK83" s="90"/>
      <c r="BL83" s="90"/>
      <c r="BM83" s="90"/>
      <c r="BN83" s="90"/>
      <c r="BO83" s="90"/>
      <c r="BP83" s="90"/>
      <c r="BQ83" s="90"/>
      <c r="BR83" s="90"/>
      <c r="BS83" s="90"/>
      <c r="BT83" s="90"/>
      <c r="BU83" s="90"/>
      <c r="BV83" s="90"/>
      <c r="BW83" s="90"/>
      <c r="BX83" s="90"/>
      <c r="BY83" s="90"/>
      <c r="BZ83" s="90"/>
      <c r="CA83" s="90"/>
      <c r="CB83" s="90"/>
      <c r="CC83" s="90"/>
      <c r="CD83" s="90"/>
      <c r="CE83" s="90"/>
      <c r="CF83" s="90"/>
      <c r="CG83" s="90"/>
      <c r="CH83" s="90"/>
      <c r="CI83" s="90"/>
      <c r="CJ83" s="90"/>
      <c r="CK83" s="90"/>
      <c r="CL83" s="90"/>
      <c r="CM83" s="90"/>
      <c r="CN83" s="90"/>
      <c r="CO83" s="90"/>
      <c r="CP83" s="90"/>
      <c r="CQ83" s="90"/>
      <c r="CR83" s="90"/>
      <c r="CS83" s="90"/>
      <c r="CT83" s="90"/>
      <c r="CU83" s="90"/>
      <c r="CV83" s="90"/>
      <c r="CW83" s="90"/>
      <c r="CX83" s="90"/>
      <c r="CY83" s="90"/>
      <c r="CZ83" s="90"/>
      <c r="DA83" s="90"/>
      <c r="DB83" s="90"/>
      <c r="DC83" s="90"/>
      <c r="DD83" s="90"/>
      <c r="DE83" s="90"/>
      <c r="DF83" s="90"/>
      <c r="DG83" s="90"/>
      <c r="DH83" s="90"/>
      <c r="DI83" s="90"/>
      <c r="DJ83" s="90"/>
      <c r="DK83" s="90"/>
      <c r="DL83" s="90"/>
      <c r="DM83" s="90"/>
      <c r="DN83" s="90"/>
      <c r="DO83" s="90"/>
      <c r="DP83" s="90"/>
      <c r="DQ83" s="90"/>
      <c r="DR83" s="90"/>
      <c r="DS83" s="90"/>
      <c r="DT83" s="90"/>
      <c r="DU83" s="90"/>
      <c r="DV83" s="90"/>
      <c r="DW83" s="90"/>
      <c r="DX83" s="90">
        <v>35948.199999999997</v>
      </c>
      <c r="DY83" s="90"/>
      <c r="DZ83" s="90"/>
      <c r="EA83" s="90"/>
      <c r="EB83" s="90">
        <v>320445.18</v>
      </c>
      <c r="EC83" s="90"/>
      <c r="ED83" s="90"/>
      <c r="EE83" s="90"/>
      <c r="EF83" s="90"/>
      <c r="EG83" s="90"/>
      <c r="EH83" s="90"/>
      <c r="EI83" s="90"/>
      <c r="EJ83" s="90"/>
      <c r="EK83" s="90"/>
      <c r="EL83" s="90"/>
      <c r="EM83" s="90"/>
      <c r="EN83" s="90"/>
      <c r="EO83" s="90"/>
      <c r="EP83" s="90"/>
      <c r="EQ83" s="90"/>
      <c r="ER83" s="90"/>
      <c r="ES83" s="90"/>
      <c r="ET83" s="90"/>
      <c r="EU83" s="90"/>
      <c r="EV83" s="90"/>
      <c r="EW83" s="90">
        <v>193582.06</v>
      </c>
      <c r="EX83" s="90"/>
      <c r="EY83" s="90"/>
      <c r="EZ83" s="90"/>
      <c r="FA83" s="90"/>
      <c r="FB83" s="88">
        <v>1321753.95</v>
      </c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LF83"/>
      <c r="LG83"/>
      <c r="LH83"/>
      <c r="LI83"/>
      <c r="LJ83"/>
      <c r="LK83"/>
      <c r="LL83"/>
      <c r="LM83"/>
      <c r="LN83"/>
      <c r="LO83"/>
      <c r="LP83"/>
      <c r="LQ83"/>
      <c r="LR83"/>
      <c r="LS83"/>
      <c r="LT83"/>
      <c r="LU83"/>
      <c r="LV83"/>
      <c r="LW83"/>
      <c r="LX83"/>
      <c r="LY83"/>
      <c r="LZ83"/>
      <c r="MA83"/>
      <c r="MB83"/>
      <c r="MC83"/>
      <c r="MD83"/>
      <c r="ME83"/>
      <c r="MF83"/>
      <c r="MG83"/>
      <c r="MH83"/>
      <c r="MI83"/>
      <c r="MJ83"/>
      <c r="MK83"/>
      <c r="ML83"/>
      <c r="MM83"/>
      <c r="MN83"/>
      <c r="MO83"/>
      <c r="MP83"/>
      <c r="MQ83"/>
      <c r="MR83"/>
      <c r="MS83"/>
      <c r="MT83"/>
      <c r="MU83"/>
      <c r="MV83"/>
      <c r="MW83"/>
      <c r="MX83"/>
      <c r="MY83"/>
      <c r="MZ83"/>
    </row>
    <row r="84" spans="1:366" ht="12" customHeight="1"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6"/>
      <c r="U84" s="150"/>
      <c r="V84" s="83" t="s">
        <v>289</v>
      </c>
      <c r="W84" s="143"/>
      <c r="X84" s="90"/>
      <c r="Y84" s="90"/>
      <c r="Z84" s="90"/>
      <c r="AA84" s="90"/>
      <c r="AB84" s="90"/>
      <c r="AC84" s="90"/>
      <c r="AD84" s="90"/>
      <c r="AE84" s="90"/>
      <c r="AF84" s="90"/>
      <c r="AG84" s="90"/>
      <c r="AH84" s="90"/>
      <c r="AI84" s="90"/>
      <c r="AJ84" s="90"/>
      <c r="AK84" s="90"/>
      <c r="AL84" s="90"/>
      <c r="AM84" s="90"/>
      <c r="AN84" s="90"/>
      <c r="AO84" s="90"/>
      <c r="AP84" s="90"/>
      <c r="AQ84" s="90"/>
      <c r="AR84" s="90">
        <v>13067546.48</v>
      </c>
      <c r="AS84" s="90">
        <v>3375900</v>
      </c>
      <c r="AT84" s="90"/>
      <c r="AU84" s="90"/>
      <c r="AV84" s="90"/>
      <c r="AW84" s="90">
        <v>-1756615.1300000001</v>
      </c>
      <c r="AX84" s="90">
        <v>13371285.51</v>
      </c>
      <c r="AY84" s="90"/>
      <c r="AZ84" s="90">
        <v>3375900</v>
      </c>
      <c r="BA84" s="90">
        <v>3267000</v>
      </c>
      <c r="BB84" s="90"/>
      <c r="BC84" s="90"/>
      <c r="BD84" s="90">
        <v>13224798.159999998</v>
      </c>
      <c r="BE84" s="90"/>
      <c r="BF84" s="90"/>
      <c r="BG84" s="90"/>
      <c r="BH84" s="90"/>
      <c r="BI84" s="90"/>
      <c r="BJ84" s="90"/>
      <c r="BK84" s="90"/>
      <c r="BL84" s="90"/>
      <c r="BM84" s="90"/>
      <c r="BN84" s="90"/>
      <c r="BO84" s="90"/>
      <c r="BP84" s="90"/>
      <c r="BQ84" s="90"/>
      <c r="BR84" s="90"/>
      <c r="BS84" s="90"/>
      <c r="BT84" s="90"/>
      <c r="BU84" s="90"/>
      <c r="BV84" s="90"/>
      <c r="BW84" s="90"/>
      <c r="BX84" s="90"/>
      <c r="BY84" s="90"/>
      <c r="BZ84" s="90"/>
      <c r="CA84" s="90"/>
      <c r="CB84" s="90"/>
      <c r="CC84" s="90"/>
      <c r="CD84" s="90"/>
      <c r="CE84" s="90"/>
      <c r="CF84" s="90"/>
      <c r="CG84" s="90"/>
      <c r="CH84" s="90"/>
      <c r="CI84" s="90"/>
      <c r="CJ84" s="90"/>
      <c r="CK84" s="90"/>
      <c r="CL84" s="90"/>
      <c r="CM84" s="90"/>
      <c r="CN84" s="90"/>
      <c r="CO84" s="90"/>
      <c r="CP84" s="90"/>
      <c r="CQ84" s="90"/>
      <c r="CR84" s="90"/>
      <c r="CS84" s="90"/>
      <c r="CT84" s="90"/>
      <c r="CU84" s="90"/>
      <c r="CV84" s="90"/>
      <c r="CW84" s="90"/>
      <c r="CX84" s="90"/>
      <c r="CY84" s="90"/>
      <c r="CZ84" s="90"/>
      <c r="DA84" s="90"/>
      <c r="DB84" s="90"/>
      <c r="DC84" s="90"/>
      <c r="DD84" s="90"/>
      <c r="DE84" s="90"/>
      <c r="DF84" s="90"/>
      <c r="DG84" s="90"/>
      <c r="DH84" s="90"/>
      <c r="DI84" s="90"/>
      <c r="DJ84" s="90"/>
      <c r="DK84" s="90"/>
      <c r="DL84" s="90"/>
      <c r="DM84" s="90"/>
      <c r="DN84" s="90"/>
      <c r="DO84" s="90"/>
      <c r="DP84" s="90"/>
      <c r="DQ84" s="90"/>
      <c r="DR84" s="90"/>
      <c r="DS84" s="90"/>
      <c r="DT84" s="90"/>
      <c r="DU84" s="90"/>
      <c r="DV84" s="90"/>
      <c r="DW84" s="90"/>
      <c r="DX84" s="90"/>
      <c r="DY84" s="90"/>
      <c r="DZ84" s="90"/>
      <c r="EA84" s="90"/>
      <c r="EB84" s="90"/>
      <c r="EC84" s="90"/>
      <c r="ED84" s="90"/>
      <c r="EE84" s="90"/>
      <c r="EF84" s="90"/>
      <c r="EG84" s="90"/>
      <c r="EH84" s="90"/>
      <c r="EI84" s="90"/>
      <c r="EJ84" s="90"/>
      <c r="EK84" s="90"/>
      <c r="EL84" s="90"/>
      <c r="EM84" s="90"/>
      <c r="EN84" s="90"/>
      <c r="EO84" s="90"/>
      <c r="EP84" s="90"/>
      <c r="EQ84" s="90"/>
      <c r="ER84" s="90"/>
      <c r="ES84" s="90"/>
      <c r="ET84" s="90"/>
      <c r="EU84" s="90"/>
      <c r="EV84" s="90"/>
      <c r="EW84" s="90"/>
      <c r="EX84" s="90"/>
      <c r="EY84" s="90"/>
      <c r="EZ84" s="90"/>
      <c r="FA84" s="90"/>
      <c r="FB84" s="88">
        <v>47925815.019999996</v>
      </c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  <c r="LM84"/>
      <c r="LN84"/>
      <c r="LO84"/>
      <c r="LP84"/>
      <c r="LQ84"/>
      <c r="LR84"/>
      <c r="LS84"/>
      <c r="LT84"/>
      <c r="LU84"/>
      <c r="LV84"/>
      <c r="LW84"/>
      <c r="LX84"/>
      <c r="LY84"/>
      <c r="LZ84"/>
      <c r="MA84"/>
      <c r="MB84"/>
      <c r="MC84"/>
      <c r="MD84"/>
      <c r="ME84"/>
      <c r="MF84"/>
      <c r="MG84"/>
      <c r="MH84"/>
      <c r="MI84"/>
      <c r="MJ84"/>
      <c r="MK84"/>
      <c r="ML84"/>
      <c r="MM84"/>
      <c r="MN84"/>
      <c r="MO84"/>
      <c r="MP84"/>
      <c r="MQ84"/>
      <c r="MR84"/>
      <c r="MS84"/>
      <c r="MT84"/>
      <c r="MU84"/>
      <c r="MV84"/>
      <c r="MW84"/>
      <c r="MX84"/>
      <c r="MY84"/>
      <c r="MZ84"/>
    </row>
    <row r="85" spans="1:366" ht="12.75">
      <c r="C85" s="2"/>
      <c r="D85" s="1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U85" s="150"/>
      <c r="V85" s="83" t="s">
        <v>281</v>
      </c>
      <c r="W85" s="143"/>
      <c r="X85" s="90"/>
      <c r="Y85" s="90"/>
      <c r="Z85" s="90"/>
      <c r="AA85" s="90"/>
      <c r="AB85" s="90"/>
      <c r="AC85" s="90"/>
      <c r="AD85" s="90"/>
      <c r="AE85" s="90">
        <v>1343288.03</v>
      </c>
      <c r="AF85" s="90"/>
      <c r="AG85" s="90"/>
      <c r="AH85" s="90"/>
      <c r="AI85" s="90"/>
      <c r="AJ85" s="90"/>
      <c r="AK85" s="90"/>
      <c r="AL85" s="90"/>
      <c r="AM85" s="90"/>
      <c r="AN85" s="90"/>
      <c r="AO85" s="90"/>
      <c r="AP85" s="90"/>
      <c r="AQ85" s="90"/>
      <c r="AR85" s="90">
        <v>-344304.08</v>
      </c>
      <c r="AS85" s="90">
        <v>-10972.009999999998</v>
      </c>
      <c r="AT85" s="90"/>
      <c r="AU85" s="90"/>
      <c r="AV85" s="90">
        <v>-6816.6399999999994</v>
      </c>
      <c r="AW85" s="90"/>
      <c r="AX85" s="90">
        <v>-368082.20999999996</v>
      </c>
      <c r="AY85" s="90">
        <v>-170.1</v>
      </c>
      <c r="AZ85" s="90">
        <v>-16461.439999999999</v>
      </c>
      <c r="BA85" s="90">
        <v>-35241.279999999999</v>
      </c>
      <c r="BB85" s="90"/>
      <c r="BC85" s="90"/>
      <c r="BD85" s="90">
        <v>-430271.58999999997</v>
      </c>
      <c r="BE85" s="90"/>
      <c r="BF85" s="90"/>
      <c r="BG85" s="90">
        <v>0</v>
      </c>
      <c r="BH85" s="90"/>
      <c r="BI85" s="90"/>
      <c r="BJ85" s="90"/>
      <c r="BK85" s="90"/>
      <c r="BL85" s="90"/>
      <c r="BM85" s="90"/>
      <c r="BN85" s="90"/>
      <c r="BO85" s="90"/>
      <c r="BP85" s="90"/>
      <c r="BQ85" s="90"/>
      <c r="BR85" s="90"/>
      <c r="BS85" s="90"/>
      <c r="BT85" s="90"/>
      <c r="BU85" s="90"/>
      <c r="BV85" s="90"/>
      <c r="BW85" s="90"/>
      <c r="BX85" s="90"/>
      <c r="BY85" s="90"/>
      <c r="BZ85" s="90"/>
      <c r="CA85" s="90"/>
      <c r="CB85" s="90"/>
      <c r="CC85" s="90"/>
      <c r="CD85" s="90"/>
      <c r="CE85" s="90"/>
      <c r="CF85" s="90"/>
      <c r="CG85" s="90"/>
      <c r="CH85" s="90"/>
      <c r="CI85" s="90"/>
      <c r="CJ85" s="90"/>
      <c r="CK85" s="90"/>
      <c r="CL85" s="90"/>
      <c r="CM85" s="90"/>
      <c r="CN85" s="90"/>
      <c r="CO85" s="90"/>
      <c r="CP85" s="90"/>
      <c r="CQ85" s="90"/>
      <c r="CR85" s="90"/>
      <c r="CS85" s="90"/>
      <c r="CT85" s="90"/>
      <c r="CU85" s="90"/>
      <c r="CV85" s="90"/>
      <c r="CW85" s="90"/>
      <c r="CX85" s="90"/>
      <c r="CY85" s="90"/>
      <c r="CZ85" s="90"/>
      <c r="DA85" s="90"/>
      <c r="DB85" s="90"/>
      <c r="DC85" s="90"/>
      <c r="DD85" s="90"/>
      <c r="DE85" s="90"/>
      <c r="DF85" s="90"/>
      <c r="DG85" s="90"/>
      <c r="DH85" s="90"/>
      <c r="DI85" s="90"/>
      <c r="DJ85" s="90"/>
      <c r="DK85" s="90"/>
      <c r="DL85" s="90"/>
      <c r="DM85" s="90"/>
      <c r="DN85" s="90"/>
      <c r="DO85" s="90"/>
      <c r="DP85" s="90"/>
      <c r="DQ85" s="90"/>
      <c r="DR85" s="90"/>
      <c r="DS85" s="90"/>
      <c r="DT85" s="90"/>
      <c r="DU85" s="90"/>
      <c r="DV85" s="90"/>
      <c r="DW85" s="90"/>
      <c r="DX85" s="90"/>
      <c r="DY85" s="90"/>
      <c r="DZ85" s="90"/>
      <c r="EA85" s="90"/>
      <c r="EB85" s="90"/>
      <c r="EC85" s="90"/>
      <c r="ED85" s="90"/>
      <c r="EE85" s="90"/>
      <c r="EF85" s="90"/>
      <c r="EG85" s="90"/>
      <c r="EH85" s="90"/>
      <c r="EI85" s="90"/>
      <c r="EJ85" s="90"/>
      <c r="EK85" s="90"/>
      <c r="EL85" s="90"/>
      <c r="EM85" s="90"/>
      <c r="EN85" s="90"/>
      <c r="EO85" s="90"/>
      <c r="EP85" s="90"/>
      <c r="EQ85" s="90"/>
      <c r="ER85" s="90"/>
      <c r="ES85" s="90"/>
      <c r="ET85" s="90"/>
      <c r="EU85" s="90"/>
      <c r="EV85" s="90"/>
      <c r="EW85" s="90"/>
      <c r="EX85" s="90"/>
      <c r="EY85" s="90"/>
      <c r="EZ85" s="90"/>
      <c r="FA85" s="90"/>
      <c r="FB85" s="88">
        <v>130968.68000000005</v>
      </c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LF85"/>
      <c r="LG85"/>
      <c r="LH85"/>
      <c r="LI85"/>
      <c r="LJ85"/>
      <c r="LK85"/>
      <c r="LL85"/>
      <c r="LM85"/>
      <c r="LN85"/>
      <c r="LO85"/>
      <c r="LP85"/>
      <c r="LQ85"/>
      <c r="LR85"/>
      <c r="LS85"/>
      <c r="LT85"/>
      <c r="LU85"/>
      <c r="LV85"/>
      <c r="LW85"/>
      <c r="LX85"/>
      <c r="LY85"/>
      <c r="LZ85"/>
      <c r="MA85"/>
      <c r="MB85"/>
      <c r="MC85"/>
      <c r="MD85"/>
      <c r="ME85"/>
      <c r="MF85"/>
      <c r="MG85"/>
      <c r="MH85"/>
      <c r="MI85"/>
      <c r="MJ85"/>
      <c r="MK85"/>
      <c r="ML85"/>
      <c r="MM85"/>
      <c r="MN85"/>
      <c r="MO85"/>
      <c r="MP85"/>
      <c r="MQ85"/>
      <c r="MR85"/>
      <c r="MS85"/>
      <c r="MT85"/>
      <c r="MU85"/>
      <c r="MV85"/>
      <c r="MW85"/>
      <c r="MX85"/>
      <c r="MY85"/>
      <c r="MZ85"/>
    </row>
    <row r="86" spans="1:366" ht="12.75"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U86" s="150"/>
      <c r="V86" s="83" t="s">
        <v>1779</v>
      </c>
      <c r="W86" s="143"/>
      <c r="X86" s="90"/>
      <c r="Y86" s="90"/>
      <c r="Z86" s="90"/>
      <c r="AA86" s="90"/>
      <c r="AB86" s="90"/>
      <c r="AC86" s="90"/>
      <c r="AD86" s="90"/>
      <c r="AE86" s="90"/>
      <c r="AF86" s="90"/>
      <c r="AG86" s="90"/>
      <c r="AH86" s="90"/>
      <c r="AI86" s="90"/>
      <c r="AJ86" s="90"/>
      <c r="AK86" s="90"/>
      <c r="AL86" s="90"/>
      <c r="AM86" s="90"/>
      <c r="AN86" s="90"/>
      <c r="AO86" s="90"/>
      <c r="AP86" s="90"/>
      <c r="AQ86" s="90"/>
      <c r="AR86" s="90"/>
      <c r="AS86" s="90"/>
      <c r="AT86" s="90"/>
      <c r="AU86" s="90"/>
      <c r="AV86" s="90"/>
      <c r="AW86" s="90"/>
      <c r="AX86" s="90"/>
      <c r="AY86" s="90"/>
      <c r="AZ86" s="90"/>
      <c r="BA86" s="90"/>
      <c r="BB86" s="90"/>
      <c r="BC86" s="90"/>
      <c r="BD86" s="90"/>
      <c r="BE86" s="90"/>
      <c r="BF86" s="90"/>
      <c r="BG86" s="90"/>
      <c r="BH86" s="90"/>
      <c r="BI86" s="90"/>
      <c r="BJ86" s="90"/>
      <c r="BK86" s="90"/>
      <c r="BL86" s="90"/>
      <c r="BM86" s="90"/>
      <c r="BN86" s="90"/>
      <c r="BO86" s="90"/>
      <c r="BP86" s="90"/>
      <c r="BQ86" s="90"/>
      <c r="BR86" s="90"/>
      <c r="BS86" s="90"/>
      <c r="BT86" s="90"/>
      <c r="BU86" s="90"/>
      <c r="BV86" s="90"/>
      <c r="BW86" s="90"/>
      <c r="BX86" s="90"/>
      <c r="BY86" s="90"/>
      <c r="BZ86" s="90"/>
      <c r="CA86" s="90"/>
      <c r="CB86" s="90"/>
      <c r="CC86" s="90"/>
      <c r="CD86" s="90"/>
      <c r="CE86" s="90"/>
      <c r="CF86" s="90"/>
      <c r="CG86" s="90"/>
      <c r="CH86" s="90"/>
      <c r="CI86" s="90"/>
      <c r="CJ86" s="90"/>
      <c r="CK86" s="90"/>
      <c r="CL86" s="90"/>
      <c r="CM86" s="90"/>
      <c r="CN86" s="90"/>
      <c r="CO86" s="90"/>
      <c r="CP86" s="90"/>
      <c r="CQ86" s="90"/>
      <c r="CR86" s="90"/>
      <c r="CS86" s="90"/>
      <c r="CT86" s="90"/>
      <c r="CU86" s="90"/>
      <c r="CV86" s="90"/>
      <c r="CW86" s="90"/>
      <c r="CX86" s="90"/>
      <c r="CY86" s="90"/>
      <c r="CZ86" s="90"/>
      <c r="DA86" s="90"/>
      <c r="DB86" s="90"/>
      <c r="DC86" s="90"/>
      <c r="DD86" s="90"/>
      <c r="DE86" s="90"/>
      <c r="DF86" s="90"/>
      <c r="DG86" s="90"/>
      <c r="DH86" s="90"/>
      <c r="DI86" s="90"/>
      <c r="DJ86" s="90"/>
      <c r="DK86" s="90"/>
      <c r="DL86" s="90"/>
      <c r="DM86" s="90"/>
      <c r="DN86" s="90"/>
      <c r="DO86" s="90"/>
      <c r="DP86" s="90"/>
      <c r="DQ86" s="90"/>
      <c r="DR86" s="90"/>
      <c r="DS86" s="90"/>
      <c r="DT86" s="90"/>
      <c r="DU86" s="90"/>
      <c r="DV86" s="90"/>
      <c r="DW86" s="90"/>
      <c r="DX86" s="90"/>
      <c r="DY86" s="90"/>
      <c r="DZ86" s="90"/>
      <c r="EA86" s="90"/>
      <c r="EB86" s="90"/>
      <c r="EC86" s="90"/>
      <c r="ED86" s="90"/>
      <c r="EE86" s="90"/>
      <c r="EF86" s="90"/>
      <c r="EG86" s="90">
        <v>30000000</v>
      </c>
      <c r="EH86" s="90"/>
      <c r="EI86" s="90"/>
      <c r="EJ86" s="90"/>
      <c r="EK86" s="90"/>
      <c r="EL86" s="90"/>
      <c r="EM86" s="90"/>
      <c r="EN86" s="90"/>
      <c r="EO86" s="90"/>
      <c r="EP86" s="90"/>
      <c r="EQ86" s="90"/>
      <c r="ER86" s="90"/>
      <c r="ES86" s="90"/>
      <c r="ET86" s="90"/>
      <c r="EU86" s="90"/>
      <c r="EV86" s="90"/>
      <c r="EW86" s="90"/>
      <c r="EX86" s="90"/>
      <c r="EY86" s="90"/>
      <c r="EZ86" s="90"/>
      <c r="FA86" s="90"/>
      <c r="FB86" s="88">
        <v>30000000</v>
      </c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  <c r="LM86"/>
      <c r="LN86"/>
      <c r="LO86"/>
      <c r="LP86"/>
      <c r="LQ86"/>
      <c r="LR86"/>
      <c r="LS86"/>
      <c r="LT86"/>
      <c r="LU86"/>
      <c r="LV86"/>
      <c r="LW86"/>
      <c r="LX86"/>
      <c r="LY86"/>
      <c r="LZ86"/>
      <c r="MA86"/>
      <c r="MB86"/>
      <c r="MC86"/>
      <c r="MD86"/>
      <c r="ME86"/>
      <c r="MF86"/>
      <c r="MG86"/>
      <c r="MH86"/>
      <c r="MI86"/>
      <c r="MJ86"/>
      <c r="MK86"/>
      <c r="ML86"/>
      <c r="MM86"/>
      <c r="MN86"/>
      <c r="MO86"/>
      <c r="MP86"/>
      <c r="MQ86"/>
      <c r="MR86"/>
      <c r="MS86"/>
      <c r="MT86"/>
      <c r="MU86"/>
      <c r="MV86"/>
      <c r="MW86"/>
      <c r="MX86"/>
      <c r="MY86"/>
      <c r="MZ86"/>
    </row>
    <row r="87" spans="1:366" ht="12.75">
      <c r="U87" s="82" t="s">
        <v>767</v>
      </c>
      <c r="V87" s="82" t="s">
        <v>766</v>
      </c>
      <c r="W87" s="140"/>
      <c r="X87" s="142"/>
      <c r="Y87" s="142"/>
      <c r="Z87" s="142"/>
      <c r="AA87" s="142"/>
      <c r="AB87" s="142">
        <v>-88837.02</v>
      </c>
      <c r="AC87" s="142"/>
      <c r="AD87" s="142"/>
      <c r="AE87" s="142"/>
      <c r="AF87" s="142"/>
      <c r="AG87" s="142"/>
      <c r="AH87" s="142"/>
      <c r="AI87" s="142"/>
      <c r="AJ87" s="142"/>
      <c r="AK87" s="142"/>
      <c r="AL87" s="142"/>
      <c r="AM87" s="142"/>
      <c r="AN87" s="142"/>
      <c r="AO87" s="142"/>
      <c r="AP87" s="142"/>
      <c r="AQ87" s="142"/>
      <c r="AR87" s="142"/>
      <c r="AS87" s="142"/>
      <c r="AT87" s="142"/>
      <c r="AU87" s="142"/>
      <c r="AV87" s="142"/>
      <c r="AW87" s="142"/>
      <c r="AX87" s="142"/>
      <c r="AY87" s="142"/>
      <c r="AZ87" s="142"/>
      <c r="BA87" s="142"/>
      <c r="BB87" s="142"/>
      <c r="BC87" s="142"/>
      <c r="BD87" s="142"/>
      <c r="BE87" s="142"/>
      <c r="BF87" s="142"/>
      <c r="BG87" s="142"/>
      <c r="BH87" s="142"/>
      <c r="BI87" s="142"/>
      <c r="BJ87" s="142"/>
      <c r="BK87" s="142"/>
      <c r="BL87" s="142"/>
      <c r="BM87" s="142"/>
      <c r="BN87" s="142"/>
      <c r="BO87" s="142"/>
      <c r="BP87" s="142"/>
      <c r="BQ87" s="142"/>
      <c r="BR87" s="142"/>
      <c r="BS87" s="142"/>
      <c r="BT87" s="142"/>
      <c r="BU87" s="142"/>
      <c r="BV87" s="142"/>
      <c r="BW87" s="142"/>
      <c r="BX87" s="142"/>
      <c r="BY87" s="142"/>
      <c r="BZ87" s="142"/>
      <c r="CA87" s="142"/>
      <c r="CB87" s="142"/>
      <c r="CC87" s="142"/>
      <c r="CD87" s="142"/>
      <c r="CE87" s="142"/>
      <c r="CF87" s="142"/>
      <c r="CG87" s="142"/>
      <c r="CH87" s="142"/>
      <c r="CI87" s="142"/>
      <c r="CJ87" s="142"/>
      <c r="CK87" s="142"/>
      <c r="CL87" s="142"/>
      <c r="CM87" s="142"/>
      <c r="CN87" s="142"/>
      <c r="CO87" s="142"/>
      <c r="CP87" s="142"/>
      <c r="CQ87" s="142"/>
      <c r="CR87" s="142"/>
      <c r="CS87" s="142"/>
      <c r="CT87" s="142"/>
      <c r="CU87" s="142"/>
      <c r="CV87" s="142"/>
      <c r="CW87" s="142"/>
      <c r="CX87" s="142"/>
      <c r="CY87" s="142"/>
      <c r="CZ87" s="142"/>
      <c r="DA87" s="142"/>
      <c r="DB87" s="142"/>
      <c r="DC87" s="142"/>
      <c r="DD87" s="142"/>
      <c r="DE87" s="142"/>
      <c r="DF87" s="142"/>
      <c r="DG87" s="142"/>
      <c r="DH87" s="142"/>
      <c r="DI87" s="142"/>
      <c r="DJ87" s="142"/>
      <c r="DK87" s="142"/>
      <c r="DL87" s="142"/>
      <c r="DM87" s="142"/>
      <c r="DN87" s="142"/>
      <c r="DO87" s="142"/>
      <c r="DP87" s="142"/>
      <c r="DQ87" s="142"/>
      <c r="DR87" s="142"/>
      <c r="DS87" s="142"/>
      <c r="DT87" s="142"/>
      <c r="DU87" s="142"/>
      <c r="DV87" s="142"/>
      <c r="DW87" s="142"/>
      <c r="DX87" s="142"/>
      <c r="DY87" s="142"/>
      <c r="DZ87" s="142"/>
      <c r="EA87" s="142"/>
      <c r="EB87" s="142"/>
      <c r="EC87" s="142"/>
      <c r="ED87" s="142"/>
      <c r="EE87" s="142"/>
      <c r="EF87" s="142"/>
      <c r="EG87" s="142"/>
      <c r="EH87" s="142"/>
      <c r="EI87" s="142"/>
      <c r="EJ87" s="142"/>
      <c r="EK87" s="142"/>
      <c r="EL87" s="142"/>
      <c r="EM87" s="142"/>
      <c r="EN87" s="142"/>
      <c r="EO87" s="142"/>
      <c r="EP87" s="142"/>
      <c r="EQ87" s="142"/>
      <c r="ER87" s="142"/>
      <c r="ES87" s="142"/>
      <c r="ET87" s="142"/>
      <c r="EU87" s="142"/>
      <c r="EV87" s="142"/>
      <c r="EW87" s="142"/>
      <c r="EX87" s="142"/>
      <c r="EY87" s="142"/>
      <c r="EZ87" s="142"/>
      <c r="FA87" s="142"/>
      <c r="FB87" s="87">
        <v>-88837.02</v>
      </c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LF87"/>
      <c r="LG87"/>
      <c r="LH87"/>
      <c r="LI87"/>
      <c r="LJ87"/>
      <c r="LK87"/>
      <c r="LL87"/>
      <c r="LM87"/>
      <c r="LN87"/>
      <c r="LO87"/>
      <c r="LP87"/>
      <c r="LQ87"/>
      <c r="LR87"/>
      <c r="LS87"/>
      <c r="LT87"/>
      <c r="LU87"/>
      <c r="LV87"/>
      <c r="LW87"/>
      <c r="LX87"/>
      <c r="LY87"/>
      <c r="LZ87"/>
      <c r="MA87"/>
      <c r="MB87"/>
      <c r="MC87"/>
      <c r="MD87"/>
      <c r="ME87"/>
      <c r="MF87"/>
      <c r="MG87"/>
      <c r="MH87"/>
      <c r="MI87"/>
      <c r="MJ87"/>
      <c r="MK87"/>
      <c r="ML87"/>
      <c r="MM87"/>
      <c r="MN87"/>
      <c r="MO87"/>
      <c r="MP87"/>
      <c r="MQ87"/>
      <c r="MR87"/>
      <c r="MS87"/>
      <c r="MT87"/>
      <c r="MU87"/>
      <c r="MV87"/>
      <c r="MW87"/>
      <c r="MX87"/>
      <c r="MY87"/>
      <c r="MZ87"/>
    </row>
    <row r="88" spans="1:366" ht="12.75">
      <c r="U88" s="82" t="s">
        <v>773</v>
      </c>
      <c r="V88" s="82" t="s">
        <v>772</v>
      </c>
      <c r="W88" s="140"/>
      <c r="X88" s="142"/>
      <c r="Y88" s="142"/>
      <c r="Z88" s="142"/>
      <c r="AA88" s="142">
        <v>312195.19000000006</v>
      </c>
      <c r="AB88" s="142"/>
      <c r="AC88" s="142"/>
      <c r="AD88" s="142"/>
      <c r="AE88" s="142"/>
      <c r="AF88" s="142"/>
      <c r="AG88" s="142"/>
      <c r="AH88" s="142"/>
      <c r="AI88" s="142"/>
      <c r="AJ88" s="142"/>
      <c r="AK88" s="142"/>
      <c r="AL88" s="142">
        <v>67893.81</v>
      </c>
      <c r="AM88" s="142"/>
      <c r="AN88" s="142"/>
      <c r="AO88" s="142"/>
      <c r="AP88" s="142"/>
      <c r="AQ88" s="142"/>
      <c r="AR88" s="142"/>
      <c r="AS88" s="142"/>
      <c r="AT88" s="142"/>
      <c r="AU88" s="142"/>
      <c r="AV88" s="142"/>
      <c r="AW88" s="142"/>
      <c r="AX88" s="142"/>
      <c r="AY88" s="142"/>
      <c r="AZ88" s="142"/>
      <c r="BA88" s="142"/>
      <c r="BB88" s="142"/>
      <c r="BC88" s="142"/>
      <c r="BD88" s="142"/>
      <c r="BE88" s="142"/>
      <c r="BF88" s="142"/>
      <c r="BG88" s="142"/>
      <c r="BH88" s="142"/>
      <c r="BI88" s="142"/>
      <c r="BJ88" s="142"/>
      <c r="BK88" s="142"/>
      <c r="BL88" s="142"/>
      <c r="BM88" s="142"/>
      <c r="BN88" s="142"/>
      <c r="BO88" s="142"/>
      <c r="BP88" s="142"/>
      <c r="BQ88" s="142"/>
      <c r="BR88" s="142"/>
      <c r="BS88" s="142"/>
      <c r="BT88" s="142"/>
      <c r="BU88" s="142"/>
      <c r="BV88" s="142"/>
      <c r="BW88" s="142"/>
      <c r="BX88" s="142"/>
      <c r="BY88" s="142"/>
      <c r="BZ88" s="142"/>
      <c r="CA88" s="142"/>
      <c r="CB88" s="142"/>
      <c r="CC88" s="142"/>
      <c r="CD88" s="142"/>
      <c r="CE88" s="142"/>
      <c r="CF88" s="142"/>
      <c r="CG88" s="142"/>
      <c r="CH88" s="142"/>
      <c r="CI88" s="142"/>
      <c r="CJ88" s="142"/>
      <c r="CK88" s="142"/>
      <c r="CL88" s="142"/>
      <c r="CM88" s="142"/>
      <c r="CN88" s="142"/>
      <c r="CO88" s="142"/>
      <c r="CP88" s="142"/>
      <c r="CQ88" s="142"/>
      <c r="CR88" s="142"/>
      <c r="CS88" s="142"/>
      <c r="CT88" s="142"/>
      <c r="CU88" s="142"/>
      <c r="CV88" s="142"/>
      <c r="CW88" s="142"/>
      <c r="CX88" s="142"/>
      <c r="CY88" s="142"/>
      <c r="CZ88" s="142"/>
      <c r="DA88" s="142"/>
      <c r="DB88" s="142"/>
      <c r="DC88" s="142"/>
      <c r="DD88" s="142"/>
      <c r="DE88" s="142"/>
      <c r="DF88" s="142"/>
      <c r="DG88" s="142"/>
      <c r="DH88" s="142"/>
      <c r="DI88" s="142"/>
      <c r="DJ88" s="142"/>
      <c r="DK88" s="142"/>
      <c r="DL88" s="142"/>
      <c r="DM88" s="142"/>
      <c r="DN88" s="142"/>
      <c r="DO88" s="142"/>
      <c r="DP88" s="142"/>
      <c r="DQ88" s="142"/>
      <c r="DR88" s="142"/>
      <c r="DS88" s="142"/>
      <c r="DT88" s="142"/>
      <c r="DU88" s="142"/>
      <c r="DV88" s="142"/>
      <c r="DW88" s="142"/>
      <c r="DX88" s="142"/>
      <c r="DY88" s="142"/>
      <c r="DZ88" s="142"/>
      <c r="EA88" s="142"/>
      <c r="EB88" s="142"/>
      <c r="EC88" s="142"/>
      <c r="ED88" s="142"/>
      <c r="EE88" s="142"/>
      <c r="EF88" s="142"/>
      <c r="EG88" s="142"/>
      <c r="EH88" s="142"/>
      <c r="EI88" s="142"/>
      <c r="EJ88" s="142"/>
      <c r="EK88" s="142"/>
      <c r="EL88" s="142"/>
      <c r="EM88" s="142"/>
      <c r="EN88" s="142"/>
      <c r="EO88" s="142"/>
      <c r="EP88" s="142"/>
      <c r="EQ88" s="142"/>
      <c r="ER88" s="142"/>
      <c r="ES88" s="142"/>
      <c r="ET88" s="142"/>
      <c r="EU88" s="142"/>
      <c r="EV88" s="142"/>
      <c r="EW88" s="142"/>
      <c r="EX88" s="142"/>
      <c r="EY88" s="142"/>
      <c r="EZ88" s="142"/>
      <c r="FA88" s="142"/>
      <c r="FB88" s="87">
        <v>380089.00000000006</v>
      </c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LF88"/>
      <c r="LG88"/>
      <c r="LH88"/>
      <c r="LI88"/>
      <c r="LJ88"/>
      <c r="LK88"/>
      <c r="LL88"/>
      <c r="LM88"/>
      <c r="LN88"/>
      <c r="LO88"/>
      <c r="LP88"/>
      <c r="LQ88"/>
      <c r="LR88"/>
      <c r="LS88"/>
      <c r="LT88"/>
      <c r="LU88"/>
      <c r="LV88"/>
      <c r="LW88"/>
      <c r="LX88"/>
      <c r="LY88"/>
      <c r="LZ88"/>
      <c r="MA88"/>
      <c r="MB88"/>
      <c r="MC88"/>
      <c r="MD88"/>
      <c r="ME88"/>
      <c r="MF88"/>
      <c r="MG88"/>
      <c r="MH88"/>
      <c r="MI88"/>
      <c r="MJ88"/>
      <c r="MK88"/>
      <c r="ML88"/>
      <c r="MM88"/>
      <c r="MN88"/>
      <c r="MO88"/>
      <c r="MP88"/>
      <c r="MQ88"/>
      <c r="MR88"/>
      <c r="MS88"/>
      <c r="MT88"/>
      <c r="MU88"/>
      <c r="MV88"/>
      <c r="MW88"/>
      <c r="MX88"/>
      <c r="MY88"/>
      <c r="MZ88"/>
    </row>
    <row r="89" spans="1:366" ht="12.75">
      <c r="U89" s="82" t="s">
        <v>1772</v>
      </c>
      <c r="V89" s="82" t="s">
        <v>1771</v>
      </c>
      <c r="W89" s="140"/>
      <c r="X89" s="142"/>
      <c r="Y89" s="142"/>
      <c r="Z89" s="142"/>
      <c r="AA89" s="142"/>
      <c r="AB89" s="142"/>
      <c r="AC89" s="142"/>
      <c r="AD89" s="142"/>
      <c r="AE89" s="142"/>
      <c r="AF89" s="142"/>
      <c r="AG89" s="142"/>
      <c r="AH89" s="142"/>
      <c r="AI89" s="142"/>
      <c r="AJ89" s="142"/>
      <c r="AK89" s="142"/>
      <c r="AL89" s="142"/>
      <c r="AM89" s="142"/>
      <c r="AN89" s="142"/>
      <c r="AO89" s="142"/>
      <c r="AP89" s="142"/>
      <c r="AQ89" s="142"/>
      <c r="AR89" s="142"/>
      <c r="AS89" s="142"/>
      <c r="AT89" s="142"/>
      <c r="AU89" s="142"/>
      <c r="AV89" s="142"/>
      <c r="AW89" s="142"/>
      <c r="AX89" s="142"/>
      <c r="AY89" s="142"/>
      <c r="AZ89" s="142"/>
      <c r="BA89" s="142"/>
      <c r="BB89" s="142"/>
      <c r="BC89" s="142"/>
      <c r="BD89" s="142"/>
      <c r="BE89" s="142"/>
      <c r="BF89" s="142"/>
      <c r="BG89" s="142"/>
      <c r="BH89" s="142"/>
      <c r="BI89" s="142"/>
      <c r="BJ89" s="142"/>
      <c r="BK89" s="142"/>
      <c r="BL89" s="142"/>
      <c r="BM89" s="142"/>
      <c r="BN89" s="142"/>
      <c r="BO89" s="142"/>
      <c r="BP89" s="142"/>
      <c r="BQ89" s="142"/>
      <c r="BR89" s="142"/>
      <c r="BS89" s="142"/>
      <c r="BT89" s="142"/>
      <c r="BU89" s="142"/>
      <c r="BV89" s="142"/>
      <c r="BW89" s="142"/>
      <c r="BX89" s="142"/>
      <c r="BY89" s="142"/>
      <c r="BZ89" s="142"/>
      <c r="CA89" s="142"/>
      <c r="CB89" s="142"/>
      <c r="CC89" s="142"/>
      <c r="CD89" s="142"/>
      <c r="CE89" s="142"/>
      <c r="CF89" s="142"/>
      <c r="CG89" s="142"/>
      <c r="CH89" s="142"/>
      <c r="CI89" s="142"/>
      <c r="CJ89" s="142"/>
      <c r="CK89" s="142"/>
      <c r="CL89" s="142"/>
      <c r="CM89" s="142"/>
      <c r="CN89" s="142"/>
      <c r="CO89" s="142"/>
      <c r="CP89" s="142"/>
      <c r="CQ89" s="142"/>
      <c r="CR89" s="142"/>
      <c r="CS89" s="142"/>
      <c r="CT89" s="142"/>
      <c r="CU89" s="142"/>
      <c r="CV89" s="142"/>
      <c r="CW89" s="142"/>
      <c r="CX89" s="142"/>
      <c r="CY89" s="142"/>
      <c r="CZ89" s="142"/>
      <c r="DA89" s="142"/>
      <c r="DB89" s="142"/>
      <c r="DC89" s="142"/>
      <c r="DD89" s="142"/>
      <c r="DE89" s="142"/>
      <c r="DF89" s="142"/>
      <c r="DG89" s="142"/>
      <c r="DH89" s="142"/>
      <c r="DI89" s="142"/>
      <c r="DJ89" s="142"/>
      <c r="DK89" s="142"/>
      <c r="DL89" s="142"/>
      <c r="DM89" s="142"/>
      <c r="DN89" s="142"/>
      <c r="DO89" s="142"/>
      <c r="DP89" s="142">
        <v>-21000</v>
      </c>
      <c r="DQ89" s="142"/>
      <c r="DR89" s="142"/>
      <c r="DS89" s="142"/>
      <c r="DT89" s="142"/>
      <c r="DU89" s="142"/>
      <c r="DV89" s="142"/>
      <c r="DW89" s="142"/>
      <c r="DX89" s="142"/>
      <c r="DY89" s="142"/>
      <c r="DZ89" s="142"/>
      <c r="EA89" s="142"/>
      <c r="EB89" s="142"/>
      <c r="EC89" s="142"/>
      <c r="ED89" s="142"/>
      <c r="EE89" s="142"/>
      <c r="EF89" s="142"/>
      <c r="EG89" s="142"/>
      <c r="EH89" s="142"/>
      <c r="EI89" s="142"/>
      <c r="EJ89" s="142"/>
      <c r="EK89" s="142"/>
      <c r="EL89" s="142"/>
      <c r="EM89" s="142"/>
      <c r="EN89" s="142"/>
      <c r="EO89" s="142"/>
      <c r="EP89" s="142"/>
      <c r="EQ89" s="142"/>
      <c r="ER89" s="142"/>
      <c r="ES89" s="142"/>
      <c r="ET89" s="142"/>
      <c r="EU89" s="142"/>
      <c r="EV89" s="142"/>
      <c r="EW89" s="142"/>
      <c r="EX89" s="142"/>
      <c r="EY89" s="142"/>
      <c r="EZ89" s="142"/>
      <c r="FA89" s="142"/>
      <c r="FB89" s="87">
        <v>-21000</v>
      </c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  <c r="LM89"/>
      <c r="LN89"/>
      <c r="LO89"/>
      <c r="LP89"/>
      <c r="LQ89"/>
      <c r="LR89"/>
      <c r="LS89"/>
      <c r="LT89"/>
      <c r="LU89"/>
      <c r="LV89"/>
      <c r="LW89"/>
      <c r="LX89"/>
      <c r="LY89"/>
      <c r="LZ89"/>
      <c r="MA89"/>
      <c r="MB89"/>
      <c r="MC89"/>
      <c r="MD89"/>
      <c r="ME89"/>
      <c r="MF89"/>
      <c r="MG89"/>
      <c r="MH89"/>
      <c r="MI89"/>
      <c r="MJ89"/>
      <c r="MK89"/>
      <c r="ML89"/>
      <c r="MM89"/>
      <c r="MN89"/>
      <c r="MO89"/>
      <c r="MP89"/>
      <c r="MQ89"/>
      <c r="MR89"/>
      <c r="MS89"/>
      <c r="MT89"/>
      <c r="MU89"/>
      <c r="MV89"/>
      <c r="MW89"/>
      <c r="MX89"/>
      <c r="MY89"/>
      <c r="MZ89"/>
    </row>
    <row r="90" spans="1:366" s="14" customFormat="1" ht="15" customHeight="1">
      <c r="A90" s="9"/>
      <c r="B90" s="9"/>
      <c r="C90" s="151"/>
      <c r="D90" s="151"/>
      <c r="E90" s="151"/>
      <c r="F90" s="151"/>
      <c r="G90" s="151"/>
      <c r="H90" s="151"/>
      <c r="I90" s="151"/>
      <c r="J90" s="151"/>
      <c r="K90" s="151"/>
      <c r="L90" s="151"/>
      <c r="M90" s="151"/>
      <c r="N90" s="151"/>
      <c r="O90" s="151"/>
      <c r="P90" s="151"/>
      <c r="Q90" s="151"/>
      <c r="R90" s="9"/>
      <c r="U90" s="150"/>
      <c r="V90" s="83" t="s">
        <v>1773</v>
      </c>
      <c r="W90" s="143"/>
      <c r="X90" s="90"/>
      <c r="Y90" s="90"/>
      <c r="Z90" s="90"/>
      <c r="AA90" s="90"/>
      <c r="AB90" s="90"/>
      <c r="AC90" s="90"/>
      <c r="AD90" s="90"/>
      <c r="AE90" s="90"/>
      <c r="AF90" s="90"/>
      <c r="AG90" s="90"/>
      <c r="AH90" s="90"/>
      <c r="AI90" s="90"/>
      <c r="AJ90" s="90"/>
      <c r="AK90" s="90"/>
      <c r="AL90" s="90"/>
      <c r="AM90" s="90"/>
      <c r="AN90" s="90"/>
      <c r="AO90" s="90"/>
      <c r="AP90" s="90"/>
      <c r="AQ90" s="90"/>
      <c r="AR90" s="90"/>
      <c r="AS90" s="90"/>
      <c r="AT90" s="90"/>
      <c r="AU90" s="90"/>
      <c r="AV90" s="90"/>
      <c r="AW90" s="90"/>
      <c r="AX90" s="90"/>
      <c r="AY90" s="90"/>
      <c r="AZ90" s="90"/>
      <c r="BA90" s="90"/>
      <c r="BB90" s="90"/>
      <c r="BC90" s="90"/>
      <c r="BD90" s="90"/>
      <c r="BE90" s="90"/>
      <c r="BF90" s="90"/>
      <c r="BG90" s="90"/>
      <c r="BH90" s="90"/>
      <c r="BI90" s="90"/>
      <c r="BJ90" s="90"/>
      <c r="BK90" s="90"/>
      <c r="BL90" s="90"/>
      <c r="BM90" s="90"/>
      <c r="BN90" s="90"/>
      <c r="BO90" s="90"/>
      <c r="BP90" s="90"/>
      <c r="BQ90" s="90"/>
      <c r="BR90" s="90"/>
      <c r="BS90" s="90"/>
      <c r="BT90" s="90"/>
      <c r="BU90" s="90"/>
      <c r="BV90" s="90"/>
      <c r="BW90" s="90"/>
      <c r="BX90" s="90"/>
      <c r="BY90" s="90"/>
      <c r="BZ90" s="90"/>
      <c r="CA90" s="90"/>
      <c r="CB90" s="90"/>
      <c r="CC90" s="90"/>
      <c r="CD90" s="90"/>
      <c r="CE90" s="90"/>
      <c r="CF90" s="90"/>
      <c r="CG90" s="90"/>
      <c r="CH90" s="90"/>
      <c r="CI90" s="90"/>
      <c r="CJ90" s="90"/>
      <c r="CK90" s="90"/>
      <c r="CL90" s="90"/>
      <c r="CM90" s="90"/>
      <c r="CN90" s="90"/>
      <c r="CO90" s="90"/>
      <c r="CP90" s="90"/>
      <c r="CQ90" s="90"/>
      <c r="CR90" s="90"/>
      <c r="CS90" s="90"/>
      <c r="CT90" s="90"/>
      <c r="CU90" s="90"/>
      <c r="CV90" s="90"/>
      <c r="CW90" s="90"/>
      <c r="CX90" s="90"/>
      <c r="CY90" s="90"/>
      <c r="CZ90" s="90"/>
      <c r="DA90" s="90"/>
      <c r="DB90" s="90"/>
      <c r="DC90" s="90"/>
      <c r="DD90" s="90"/>
      <c r="DE90" s="90"/>
      <c r="DF90" s="90"/>
      <c r="DG90" s="90"/>
      <c r="DH90" s="90"/>
      <c r="DI90" s="90"/>
      <c r="DJ90" s="90"/>
      <c r="DK90" s="90"/>
      <c r="DL90" s="90"/>
      <c r="DM90" s="90"/>
      <c r="DN90" s="90"/>
      <c r="DO90" s="90"/>
      <c r="DP90" s="90">
        <v>-9000000</v>
      </c>
      <c r="DQ90" s="90"/>
      <c r="DR90" s="90"/>
      <c r="DS90" s="90"/>
      <c r="DT90" s="90"/>
      <c r="DU90" s="90"/>
      <c r="DV90" s="90"/>
      <c r="DW90" s="90"/>
      <c r="DX90" s="90"/>
      <c r="DY90" s="90"/>
      <c r="DZ90" s="90"/>
      <c r="EA90" s="90"/>
      <c r="EB90" s="90"/>
      <c r="EC90" s="90"/>
      <c r="ED90" s="90"/>
      <c r="EE90" s="90"/>
      <c r="EF90" s="90"/>
      <c r="EG90" s="90"/>
      <c r="EH90" s="90"/>
      <c r="EI90" s="90"/>
      <c r="EJ90" s="90"/>
      <c r="EK90" s="90"/>
      <c r="EL90" s="90"/>
      <c r="EM90" s="90"/>
      <c r="EN90" s="90"/>
      <c r="EO90" s="90"/>
      <c r="EP90" s="90"/>
      <c r="EQ90" s="90"/>
      <c r="ER90" s="90"/>
      <c r="ES90" s="90"/>
      <c r="ET90" s="90"/>
      <c r="EU90" s="90"/>
      <c r="EV90" s="90"/>
      <c r="EW90" s="90"/>
      <c r="EX90" s="90"/>
      <c r="EY90" s="90"/>
      <c r="EZ90" s="90"/>
      <c r="FA90" s="90"/>
      <c r="FB90" s="88">
        <v>-9000000</v>
      </c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  <c r="LM90"/>
      <c r="LN90"/>
      <c r="LO90"/>
      <c r="LP90"/>
      <c r="LQ90"/>
      <c r="LR90"/>
      <c r="LS90"/>
      <c r="LT90"/>
      <c r="LU90"/>
      <c r="LV90"/>
      <c r="LW90"/>
      <c r="LX90"/>
      <c r="LY90"/>
      <c r="LZ90"/>
      <c r="MA90"/>
      <c r="MB90"/>
      <c r="MC90"/>
      <c r="MD90"/>
      <c r="ME90"/>
      <c r="MF90"/>
      <c r="MG90"/>
      <c r="MH90"/>
      <c r="MI90"/>
      <c r="MJ90"/>
      <c r="MK90"/>
      <c r="ML90"/>
      <c r="MM90"/>
      <c r="MN90"/>
      <c r="MO90"/>
      <c r="MP90"/>
      <c r="MQ90"/>
      <c r="MR90"/>
      <c r="MS90"/>
      <c r="MT90"/>
      <c r="MU90"/>
      <c r="MV90"/>
      <c r="MW90"/>
      <c r="MX90"/>
      <c r="MY90"/>
      <c r="MZ90"/>
      <c r="NA90" s="151"/>
      <c r="NB90" s="151"/>
    </row>
    <row r="91" spans="1:366" s="14" customFormat="1" ht="12.75">
      <c r="A91" s="9"/>
      <c r="B91" s="9"/>
      <c r="C91" s="151"/>
      <c r="D91" s="151"/>
      <c r="E91" s="151"/>
      <c r="F91" s="151"/>
      <c r="G91" s="151"/>
      <c r="H91" s="151"/>
      <c r="I91" s="151"/>
      <c r="J91" s="151"/>
      <c r="K91" s="151"/>
      <c r="L91" s="151"/>
      <c r="M91" s="151"/>
      <c r="N91" s="151"/>
      <c r="O91" s="151"/>
      <c r="P91" s="151"/>
      <c r="Q91" s="151"/>
      <c r="R91" s="9"/>
      <c r="U91" s="82" t="s">
        <v>887</v>
      </c>
      <c r="V91" s="82" t="s">
        <v>886</v>
      </c>
      <c r="W91" s="140"/>
      <c r="X91" s="142"/>
      <c r="Y91" s="142"/>
      <c r="Z91" s="142"/>
      <c r="AA91" s="142"/>
      <c r="AB91" s="142"/>
      <c r="AC91" s="142"/>
      <c r="AD91" s="142"/>
      <c r="AE91" s="142"/>
      <c r="AF91" s="142"/>
      <c r="AG91" s="142"/>
      <c r="AH91" s="142"/>
      <c r="AI91" s="142"/>
      <c r="AJ91" s="142"/>
      <c r="AK91" s="142">
        <v>-1826562.5</v>
      </c>
      <c r="AL91" s="142"/>
      <c r="AM91" s="142"/>
      <c r="AN91" s="142"/>
      <c r="AO91" s="142"/>
      <c r="AP91" s="142"/>
      <c r="AQ91" s="142"/>
      <c r="AR91" s="142"/>
      <c r="AS91" s="142"/>
      <c r="AT91" s="142"/>
      <c r="AU91" s="142"/>
      <c r="AV91" s="142"/>
      <c r="AW91" s="142"/>
      <c r="AX91" s="142"/>
      <c r="AY91" s="142"/>
      <c r="AZ91" s="142"/>
      <c r="BA91" s="142"/>
      <c r="BB91" s="142"/>
      <c r="BC91" s="142"/>
      <c r="BD91" s="142"/>
      <c r="BE91" s="142"/>
      <c r="BF91" s="142"/>
      <c r="BG91" s="142"/>
      <c r="BH91" s="142"/>
      <c r="BI91" s="142"/>
      <c r="BJ91" s="142"/>
      <c r="BK91" s="142"/>
      <c r="BL91" s="142"/>
      <c r="BM91" s="142"/>
      <c r="BN91" s="142"/>
      <c r="BO91" s="142"/>
      <c r="BP91" s="142"/>
      <c r="BQ91" s="142"/>
      <c r="BR91" s="142"/>
      <c r="BS91" s="142"/>
      <c r="BT91" s="142"/>
      <c r="BU91" s="142"/>
      <c r="BV91" s="142"/>
      <c r="BW91" s="142"/>
      <c r="BX91" s="142"/>
      <c r="BY91" s="142"/>
      <c r="BZ91" s="142"/>
      <c r="CA91" s="142"/>
      <c r="CB91" s="142"/>
      <c r="CC91" s="142"/>
      <c r="CD91" s="142"/>
      <c r="CE91" s="142"/>
      <c r="CF91" s="142"/>
      <c r="CG91" s="142"/>
      <c r="CH91" s="142"/>
      <c r="CI91" s="142"/>
      <c r="CJ91" s="142"/>
      <c r="CK91" s="142"/>
      <c r="CL91" s="142"/>
      <c r="CM91" s="142"/>
      <c r="CN91" s="142"/>
      <c r="CO91" s="142"/>
      <c r="CP91" s="142"/>
      <c r="CQ91" s="142"/>
      <c r="CR91" s="142"/>
      <c r="CS91" s="142"/>
      <c r="CT91" s="142"/>
      <c r="CU91" s="142"/>
      <c r="CV91" s="142"/>
      <c r="CW91" s="142"/>
      <c r="CX91" s="142"/>
      <c r="CY91" s="142"/>
      <c r="CZ91" s="142"/>
      <c r="DA91" s="142"/>
      <c r="DB91" s="142"/>
      <c r="DC91" s="142"/>
      <c r="DD91" s="142"/>
      <c r="DE91" s="142"/>
      <c r="DF91" s="142"/>
      <c r="DG91" s="142"/>
      <c r="DH91" s="142"/>
      <c r="DI91" s="142"/>
      <c r="DJ91" s="142"/>
      <c r="DK91" s="142"/>
      <c r="DL91" s="142"/>
      <c r="DM91" s="142"/>
      <c r="DN91" s="142"/>
      <c r="DO91" s="142"/>
      <c r="DP91" s="142"/>
      <c r="DQ91" s="142"/>
      <c r="DR91" s="142"/>
      <c r="DS91" s="142"/>
      <c r="DT91" s="142"/>
      <c r="DU91" s="142"/>
      <c r="DV91" s="142"/>
      <c r="DW91" s="142"/>
      <c r="DX91" s="142"/>
      <c r="DY91" s="142"/>
      <c r="DZ91" s="142"/>
      <c r="EA91" s="142"/>
      <c r="EB91" s="142"/>
      <c r="EC91" s="142"/>
      <c r="ED91" s="142"/>
      <c r="EE91" s="142"/>
      <c r="EF91" s="142"/>
      <c r="EG91" s="142"/>
      <c r="EH91" s="142"/>
      <c r="EI91" s="142"/>
      <c r="EJ91" s="142"/>
      <c r="EK91" s="142"/>
      <c r="EL91" s="142"/>
      <c r="EM91" s="142"/>
      <c r="EN91" s="142"/>
      <c r="EO91" s="142"/>
      <c r="EP91" s="142"/>
      <c r="EQ91" s="142"/>
      <c r="ER91" s="142"/>
      <c r="ES91" s="142"/>
      <c r="ET91" s="142"/>
      <c r="EU91" s="142"/>
      <c r="EV91" s="142"/>
      <c r="EW91" s="142"/>
      <c r="EX91" s="142"/>
      <c r="EY91" s="142"/>
      <c r="EZ91" s="142"/>
      <c r="FA91" s="142"/>
      <c r="FB91" s="87">
        <v>-1826562.5</v>
      </c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  <c r="KO91"/>
      <c r="KP91"/>
      <c r="KQ91"/>
      <c r="KR91"/>
      <c r="KS91"/>
      <c r="KT91"/>
      <c r="KU91"/>
      <c r="KV91"/>
      <c r="KW91"/>
      <c r="KX91"/>
      <c r="KY91"/>
      <c r="KZ91"/>
      <c r="LA91"/>
      <c r="LB91"/>
      <c r="LC91"/>
      <c r="LD91"/>
      <c r="LE91"/>
      <c r="LF91"/>
      <c r="LG91"/>
      <c r="LH91"/>
      <c r="LI91"/>
      <c r="LJ91"/>
      <c r="LK91"/>
      <c r="LL91"/>
      <c r="LM91"/>
      <c r="LN91"/>
      <c r="LO91"/>
      <c r="LP91"/>
      <c r="LQ91"/>
      <c r="LR91"/>
      <c r="LS91"/>
      <c r="LT91"/>
      <c r="LU91"/>
      <c r="LV91"/>
      <c r="LW91"/>
      <c r="LX91"/>
      <c r="LY91"/>
      <c r="LZ91"/>
      <c r="MA91"/>
      <c r="MB91"/>
      <c r="MC91"/>
      <c r="MD91"/>
      <c r="ME91"/>
      <c r="MF91"/>
      <c r="MG91"/>
      <c r="MH91"/>
      <c r="MI91"/>
      <c r="MJ91"/>
      <c r="MK91"/>
      <c r="ML91"/>
      <c r="MM91"/>
      <c r="MN91"/>
      <c r="MO91"/>
      <c r="MP91"/>
      <c r="MQ91"/>
      <c r="MR91"/>
      <c r="MS91"/>
      <c r="MT91"/>
      <c r="MU91"/>
      <c r="MV91"/>
      <c r="MW91"/>
      <c r="MX91"/>
      <c r="MY91"/>
      <c r="MZ91"/>
    </row>
    <row r="92" spans="1:366" s="14" customFormat="1" ht="12.75">
      <c r="A92" s="9"/>
      <c r="B92" s="9"/>
      <c r="C92" s="151"/>
      <c r="D92" s="151"/>
      <c r="E92" s="151"/>
      <c r="F92" s="151"/>
      <c r="G92" s="151"/>
      <c r="H92" s="151"/>
      <c r="I92" s="151"/>
      <c r="J92" s="151"/>
      <c r="K92" s="151"/>
      <c r="L92" s="151"/>
      <c r="M92" s="151"/>
      <c r="N92" s="151"/>
      <c r="O92" s="151"/>
      <c r="P92" s="151"/>
      <c r="Q92" s="151"/>
      <c r="R92" s="9"/>
      <c r="U92" s="82" t="s">
        <v>765</v>
      </c>
      <c r="V92" s="82" t="s">
        <v>1770</v>
      </c>
      <c r="W92" s="140"/>
      <c r="X92" s="142"/>
      <c r="Y92" s="142"/>
      <c r="Z92" s="142"/>
      <c r="AA92" s="142"/>
      <c r="AB92" s="142"/>
      <c r="AC92" s="142"/>
      <c r="AD92" s="142"/>
      <c r="AE92" s="142"/>
      <c r="AF92" s="142"/>
      <c r="AG92" s="142"/>
      <c r="AH92" s="142"/>
      <c r="AI92" s="142"/>
      <c r="AJ92" s="142"/>
      <c r="AK92" s="142"/>
      <c r="AL92" s="142"/>
      <c r="AM92" s="142"/>
      <c r="AN92" s="142"/>
      <c r="AO92" s="142"/>
      <c r="AP92" s="142"/>
      <c r="AQ92" s="142"/>
      <c r="AR92" s="142"/>
      <c r="AS92" s="142"/>
      <c r="AT92" s="142"/>
      <c r="AU92" s="142"/>
      <c r="AV92" s="142"/>
      <c r="AW92" s="142"/>
      <c r="AX92" s="142"/>
      <c r="AY92" s="142"/>
      <c r="AZ92" s="142"/>
      <c r="BA92" s="142"/>
      <c r="BB92" s="142"/>
      <c r="BC92" s="142"/>
      <c r="BD92" s="142"/>
      <c r="BE92" s="142"/>
      <c r="BF92" s="142"/>
      <c r="BG92" s="142"/>
      <c r="BH92" s="142"/>
      <c r="BI92" s="142"/>
      <c r="BJ92" s="142"/>
      <c r="BK92" s="142"/>
      <c r="BL92" s="142"/>
      <c r="BM92" s="142"/>
      <c r="BN92" s="142"/>
      <c r="BO92" s="142"/>
      <c r="BP92" s="142"/>
      <c r="BQ92" s="142"/>
      <c r="BR92" s="142"/>
      <c r="BS92" s="142"/>
      <c r="BT92" s="142"/>
      <c r="BU92" s="142"/>
      <c r="BV92" s="142"/>
      <c r="BW92" s="142"/>
      <c r="BX92" s="142"/>
      <c r="BY92" s="142"/>
      <c r="BZ92" s="142"/>
      <c r="CA92" s="142"/>
      <c r="CB92" s="142"/>
      <c r="CC92" s="142"/>
      <c r="CD92" s="142"/>
      <c r="CE92" s="142"/>
      <c r="CF92" s="142"/>
      <c r="CG92" s="142"/>
      <c r="CH92" s="142"/>
      <c r="CI92" s="142"/>
      <c r="CJ92" s="142"/>
      <c r="CK92" s="142"/>
      <c r="CL92" s="142"/>
      <c r="CM92" s="142"/>
      <c r="CN92" s="142"/>
      <c r="CO92" s="142"/>
      <c r="CP92" s="142"/>
      <c r="CQ92" s="142"/>
      <c r="CR92" s="142"/>
      <c r="CS92" s="142"/>
      <c r="CT92" s="142"/>
      <c r="CU92" s="142"/>
      <c r="CV92" s="142"/>
      <c r="CW92" s="142"/>
      <c r="CX92" s="142"/>
      <c r="CY92" s="142"/>
      <c r="CZ92" s="142"/>
      <c r="DA92" s="142"/>
      <c r="DB92" s="142"/>
      <c r="DC92" s="142"/>
      <c r="DD92" s="142"/>
      <c r="DE92" s="142"/>
      <c r="DF92" s="142"/>
      <c r="DG92" s="142"/>
      <c r="DH92" s="142"/>
      <c r="DI92" s="142"/>
      <c r="DJ92" s="142"/>
      <c r="DK92" s="142"/>
      <c r="DL92" s="142"/>
      <c r="DM92" s="142"/>
      <c r="DN92" s="142"/>
      <c r="DO92" s="142"/>
      <c r="DP92" s="142"/>
      <c r="DQ92" s="142"/>
      <c r="DR92" s="142"/>
      <c r="DS92" s="142"/>
      <c r="DT92" s="142"/>
      <c r="DU92" s="142"/>
      <c r="DV92" s="142"/>
      <c r="DW92" s="142"/>
      <c r="DX92" s="142"/>
      <c r="DY92" s="142"/>
      <c r="DZ92" s="142"/>
      <c r="EA92" s="142"/>
      <c r="EB92" s="142"/>
      <c r="EC92" s="142"/>
      <c r="ED92" s="142"/>
      <c r="EE92" s="142"/>
      <c r="EF92" s="142"/>
      <c r="EG92" s="142">
        <v>0</v>
      </c>
      <c r="EH92" s="142"/>
      <c r="EI92" s="142"/>
      <c r="EJ92" s="142"/>
      <c r="EK92" s="142"/>
      <c r="EL92" s="142"/>
      <c r="EM92" s="142"/>
      <c r="EN92" s="142"/>
      <c r="EO92" s="142"/>
      <c r="EP92" s="142"/>
      <c r="EQ92" s="142"/>
      <c r="ER92" s="142"/>
      <c r="ES92" s="142"/>
      <c r="ET92" s="142"/>
      <c r="EU92" s="142"/>
      <c r="EV92" s="142"/>
      <c r="EW92" s="142"/>
      <c r="EX92" s="142"/>
      <c r="EY92" s="142"/>
      <c r="EZ92" s="142"/>
      <c r="FA92" s="142"/>
      <c r="FB92" s="87">
        <v>0</v>
      </c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/>
      <c r="MZ92"/>
    </row>
    <row r="93" spans="1:366" s="14" customFormat="1" ht="12.75">
      <c r="A93" s="9"/>
      <c r="B93" s="9"/>
      <c r="C93" s="151"/>
      <c r="D93" s="151"/>
      <c r="E93" s="151"/>
      <c r="F93" s="151"/>
      <c r="G93" s="151"/>
      <c r="H93" s="151"/>
      <c r="I93" s="151"/>
      <c r="J93" s="151"/>
      <c r="K93" s="151"/>
      <c r="L93" s="151"/>
      <c r="M93" s="151"/>
      <c r="N93" s="151"/>
      <c r="O93" s="151"/>
      <c r="P93" s="151"/>
      <c r="Q93" s="151"/>
      <c r="R93" s="9"/>
      <c r="U93" s="150"/>
      <c r="V93" s="83" t="s">
        <v>764</v>
      </c>
      <c r="W93" s="143"/>
      <c r="X93" s="90"/>
      <c r="Y93" s="90"/>
      <c r="Z93" s="90"/>
      <c r="AA93" s="90"/>
      <c r="AB93" s="90"/>
      <c r="AC93" s="90"/>
      <c r="AD93" s="90"/>
      <c r="AE93" s="90"/>
      <c r="AF93" s="90"/>
      <c r="AG93" s="90"/>
      <c r="AH93" s="90"/>
      <c r="AI93" s="90"/>
      <c r="AJ93" s="90"/>
      <c r="AK93" s="90"/>
      <c r="AL93" s="90"/>
      <c r="AM93" s="90"/>
      <c r="AN93" s="90"/>
      <c r="AO93" s="90"/>
      <c r="AP93" s="90"/>
      <c r="AQ93" s="90"/>
      <c r="AR93" s="90"/>
      <c r="AS93" s="90"/>
      <c r="AT93" s="90"/>
      <c r="AU93" s="90"/>
      <c r="AV93" s="90"/>
      <c r="AW93" s="90"/>
      <c r="AX93" s="90"/>
      <c r="AY93" s="90"/>
      <c r="AZ93" s="90"/>
      <c r="BA93" s="90"/>
      <c r="BB93" s="90"/>
      <c r="BC93" s="90"/>
      <c r="BD93" s="90"/>
      <c r="BE93" s="90"/>
      <c r="BF93" s="90"/>
      <c r="BG93" s="90"/>
      <c r="BH93" s="90"/>
      <c r="BI93" s="90"/>
      <c r="BJ93" s="90"/>
      <c r="BK93" s="90"/>
      <c r="BL93" s="90"/>
      <c r="BM93" s="90"/>
      <c r="BN93" s="90"/>
      <c r="BO93" s="90"/>
      <c r="BP93" s="90"/>
      <c r="BQ93" s="90"/>
      <c r="BR93" s="90"/>
      <c r="BS93" s="90"/>
      <c r="BT93" s="90"/>
      <c r="BU93" s="90"/>
      <c r="BV93" s="90"/>
      <c r="BW93" s="90"/>
      <c r="BX93" s="90"/>
      <c r="BY93" s="90"/>
      <c r="BZ93" s="90"/>
      <c r="CA93" s="90"/>
      <c r="CB93" s="90"/>
      <c r="CC93" s="90"/>
      <c r="CD93" s="90"/>
      <c r="CE93" s="90"/>
      <c r="CF93" s="90"/>
      <c r="CG93" s="90"/>
      <c r="CH93" s="90"/>
      <c r="CI93" s="90"/>
      <c r="CJ93" s="90"/>
      <c r="CK93" s="90"/>
      <c r="CL93" s="90"/>
      <c r="CM93" s="90"/>
      <c r="CN93" s="90"/>
      <c r="CO93" s="90"/>
      <c r="CP93" s="90"/>
      <c r="CQ93" s="90"/>
      <c r="CR93" s="90"/>
      <c r="CS93" s="90"/>
      <c r="CT93" s="90"/>
      <c r="CU93" s="90"/>
      <c r="CV93" s="90"/>
      <c r="CW93" s="90"/>
      <c r="CX93" s="90"/>
      <c r="CY93" s="90"/>
      <c r="CZ93" s="90"/>
      <c r="DA93" s="90"/>
      <c r="DB93" s="90"/>
      <c r="DC93" s="90"/>
      <c r="DD93" s="90"/>
      <c r="DE93" s="90"/>
      <c r="DF93" s="90"/>
      <c r="DG93" s="90"/>
      <c r="DH93" s="90"/>
      <c r="DI93" s="90"/>
      <c r="DJ93" s="90"/>
      <c r="DK93" s="90"/>
      <c r="DL93" s="90"/>
      <c r="DM93" s="90"/>
      <c r="DN93" s="90"/>
      <c r="DO93" s="90"/>
      <c r="DP93" s="90"/>
      <c r="DQ93" s="90"/>
      <c r="DR93" s="90"/>
      <c r="DS93" s="90"/>
      <c r="DT93" s="90"/>
      <c r="DU93" s="90"/>
      <c r="DV93" s="90"/>
      <c r="DW93" s="90"/>
      <c r="DX93" s="90"/>
      <c r="DY93" s="90"/>
      <c r="DZ93" s="90"/>
      <c r="EA93" s="90"/>
      <c r="EB93" s="90"/>
      <c r="EC93" s="90"/>
      <c r="ED93" s="90"/>
      <c r="EE93" s="90"/>
      <c r="EF93" s="90"/>
      <c r="EG93" s="90">
        <v>-221938.89</v>
      </c>
      <c r="EH93" s="90"/>
      <c r="EI93" s="90"/>
      <c r="EJ93" s="90"/>
      <c r="EK93" s="90"/>
      <c r="EL93" s="90"/>
      <c r="EM93" s="90"/>
      <c r="EN93" s="90"/>
      <c r="EO93" s="90"/>
      <c r="EP93" s="90"/>
      <c r="EQ93" s="90"/>
      <c r="ER93" s="90"/>
      <c r="ES93" s="90"/>
      <c r="ET93" s="90"/>
      <c r="EU93" s="90"/>
      <c r="EV93" s="90"/>
      <c r="EW93" s="90"/>
      <c r="EX93" s="90"/>
      <c r="EY93" s="90"/>
      <c r="EZ93" s="90"/>
      <c r="FA93" s="90">
        <v>0</v>
      </c>
      <c r="FB93" s="88">
        <v>-221938.89</v>
      </c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/>
      <c r="MZ93"/>
    </row>
    <row r="94" spans="1:366" s="14" customFormat="1" ht="12.75">
      <c r="A94" s="9"/>
      <c r="B94" s="9"/>
      <c r="C94" s="151"/>
      <c r="D94" s="151"/>
      <c r="E94" s="151"/>
      <c r="F94" s="151"/>
      <c r="G94" s="151"/>
      <c r="H94" s="151"/>
      <c r="I94" s="151"/>
      <c r="J94" s="151"/>
      <c r="K94" s="151"/>
      <c r="L94" s="151"/>
      <c r="M94" s="151"/>
      <c r="N94" s="151"/>
      <c r="O94" s="151"/>
      <c r="P94" s="151"/>
      <c r="Q94" s="151"/>
      <c r="R94" s="9"/>
      <c r="U94" s="82" t="s">
        <v>769</v>
      </c>
      <c r="V94" s="82" t="s">
        <v>768</v>
      </c>
      <c r="W94" s="140"/>
      <c r="X94" s="142"/>
      <c r="Y94" s="142"/>
      <c r="Z94" s="142"/>
      <c r="AA94" s="142"/>
      <c r="AB94" s="142"/>
      <c r="AC94" s="142"/>
      <c r="AD94" s="142"/>
      <c r="AE94" s="142"/>
      <c r="AF94" s="142"/>
      <c r="AG94" s="142"/>
      <c r="AH94" s="142"/>
      <c r="AI94" s="142"/>
      <c r="AJ94" s="142"/>
      <c r="AK94" s="142"/>
      <c r="AL94" s="142"/>
      <c r="AM94" s="142"/>
      <c r="AN94" s="142"/>
      <c r="AO94" s="142"/>
      <c r="AP94" s="142"/>
      <c r="AQ94" s="142"/>
      <c r="AR94" s="142"/>
      <c r="AS94" s="142"/>
      <c r="AT94" s="142"/>
      <c r="AU94" s="142"/>
      <c r="AV94" s="142"/>
      <c r="AW94" s="142"/>
      <c r="AX94" s="142"/>
      <c r="AY94" s="142"/>
      <c r="AZ94" s="142"/>
      <c r="BA94" s="142"/>
      <c r="BB94" s="142">
        <v>429881.51999999996</v>
      </c>
      <c r="BC94" s="142">
        <v>-1826562.5</v>
      </c>
      <c r="BD94" s="142"/>
      <c r="BE94" s="142"/>
      <c r="BF94" s="142">
        <v>118.47</v>
      </c>
      <c r="BG94" s="142"/>
      <c r="BH94" s="142">
        <v>81.349999999999994</v>
      </c>
      <c r="BI94" s="142">
        <v>-81069.64</v>
      </c>
      <c r="BJ94" s="142">
        <v>66501.279999999999</v>
      </c>
      <c r="BK94" s="142">
        <v>387994.85</v>
      </c>
      <c r="BL94" s="142"/>
      <c r="BM94" s="142"/>
      <c r="BN94" s="142"/>
      <c r="BO94" s="142"/>
      <c r="BP94" s="142">
        <v>-1481.98</v>
      </c>
      <c r="BQ94" s="142">
        <v>259660.40999999997</v>
      </c>
      <c r="BR94" s="142">
        <v>60561.839999999989</v>
      </c>
      <c r="BS94" s="142">
        <v>98448.11</v>
      </c>
      <c r="BT94" s="142"/>
      <c r="BU94" s="142"/>
      <c r="BV94" s="142">
        <v>81.349999999999994</v>
      </c>
      <c r="BW94" s="142">
        <v>-927850</v>
      </c>
      <c r="BX94" s="142">
        <v>68.97999999999999</v>
      </c>
      <c r="BY94" s="142">
        <v>-7675.7899999999991</v>
      </c>
      <c r="BZ94" s="142">
        <v>130550.96999999999</v>
      </c>
      <c r="CA94" s="142"/>
      <c r="CB94" s="142">
        <v>-9023.24</v>
      </c>
      <c r="CC94" s="142">
        <v>182616.73</v>
      </c>
      <c r="CD94" s="142">
        <v>13843.279999999999</v>
      </c>
      <c r="CE94" s="142"/>
      <c r="CF94" s="142"/>
      <c r="CG94" s="142"/>
      <c r="CH94" s="142"/>
      <c r="CI94" s="142">
        <v>-293858.55</v>
      </c>
      <c r="CJ94" s="142"/>
      <c r="CK94" s="142">
        <v>-2014.8999999999999</v>
      </c>
      <c r="CL94" s="142"/>
      <c r="CM94" s="142">
        <v>27.749999999999996</v>
      </c>
      <c r="CN94" s="142"/>
      <c r="CO94" s="142"/>
      <c r="CP94" s="142"/>
      <c r="CQ94" s="142"/>
      <c r="CR94" s="142"/>
      <c r="CS94" s="142"/>
      <c r="CT94" s="142"/>
      <c r="CU94" s="142"/>
      <c r="CV94" s="142"/>
      <c r="CW94" s="142"/>
      <c r="CX94" s="142"/>
      <c r="CY94" s="142"/>
      <c r="CZ94" s="142"/>
      <c r="DA94" s="142"/>
      <c r="DB94" s="142"/>
      <c r="DC94" s="142"/>
      <c r="DD94" s="142"/>
      <c r="DE94" s="142"/>
      <c r="DF94" s="142"/>
      <c r="DG94" s="142"/>
      <c r="DH94" s="142"/>
      <c r="DI94" s="142"/>
      <c r="DJ94" s="142"/>
      <c r="DK94" s="142"/>
      <c r="DL94" s="142"/>
      <c r="DM94" s="142"/>
      <c r="DN94" s="142"/>
      <c r="DO94" s="142"/>
      <c r="DP94" s="142"/>
      <c r="DQ94" s="142"/>
      <c r="DR94" s="142"/>
      <c r="DS94" s="142"/>
      <c r="DT94" s="142"/>
      <c r="DU94" s="142"/>
      <c r="DV94" s="142"/>
      <c r="DW94" s="142"/>
      <c r="DX94" s="142"/>
      <c r="DY94" s="142"/>
      <c r="DZ94" s="142"/>
      <c r="EA94" s="142"/>
      <c r="EB94" s="142"/>
      <c r="EC94" s="142"/>
      <c r="ED94" s="142"/>
      <c r="EE94" s="142"/>
      <c r="EF94" s="142"/>
      <c r="EG94" s="142"/>
      <c r="EH94" s="142"/>
      <c r="EI94" s="142"/>
      <c r="EJ94" s="142"/>
      <c r="EK94" s="142"/>
      <c r="EL94" s="142"/>
      <c r="EM94" s="142"/>
      <c r="EN94" s="142"/>
      <c r="EO94" s="142"/>
      <c r="EP94" s="142"/>
      <c r="EQ94" s="142"/>
      <c r="ER94" s="142"/>
      <c r="ES94" s="142"/>
      <c r="ET94" s="142"/>
      <c r="EU94" s="142"/>
      <c r="EV94" s="142"/>
      <c r="EW94" s="142"/>
      <c r="EX94" s="142"/>
      <c r="EY94" s="142"/>
      <c r="EZ94" s="142"/>
      <c r="FA94" s="142"/>
      <c r="FB94" s="87">
        <v>-1519099.71</v>
      </c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/>
      <c r="MZ94"/>
    </row>
    <row r="95" spans="1:366" ht="12.75">
      <c r="U95" s="82" t="s">
        <v>340</v>
      </c>
      <c r="V95" s="82" t="s">
        <v>339</v>
      </c>
      <c r="W95" s="140"/>
      <c r="X95" s="142"/>
      <c r="Y95" s="142"/>
      <c r="Z95" s="142"/>
      <c r="AA95" s="142"/>
      <c r="AB95" s="142"/>
      <c r="AC95" s="142"/>
      <c r="AD95" s="142"/>
      <c r="AE95" s="142"/>
      <c r="AF95" s="142"/>
      <c r="AG95" s="142"/>
      <c r="AH95" s="142"/>
      <c r="AI95" s="142"/>
      <c r="AJ95" s="142"/>
      <c r="AK95" s="142"/>
      <c r="AL95" s="142"/>
      <c r="AM95" s="142"/>
      <c r="AN95" s="142"/>
      <c r="AO95" s="142"/>
      <c r="AP95" s="142"/>
      <c r="AQ95" s="142"/>
      <c r="AR95" s="142"/>
      <c r="AS95" s="142"/>
      <c r="AT95" s="142"/>
      <c r="AU95" s="142"/>
      <c r="AV95" s="142"/>
      <c r="AW95" s="142"/>
      <c r="AX95" s="142"/>
      <c r="AY95" s="142"/>
      <c r="AZ95" s="142"/>
      <c r="BA95" s="142"/>
      <c r="BB95" s="142"/>
      <c r="BC95" s="142"/>
      <c r="BD95" s="142"/>
      <c r="BE95" s="142"/>
      <c r="BF95" s="142"/>
      <c r="BG95" s="142"/>
      <c r="BH95" s="142"/>
      <c r="BI95" s="142"/>
      <c r="BJ95" s="142"/>
      <c r="BK95" s="142"/>
      <c r="BL95" s="142"/>
      <c r="BM95" s="142"/>
      <c r="BN95" s="142"/>
      <c r="BO95" s="142"/>
      <c r="BP95" s="142"/>
      <c r="BQ95" s="142"/>
      <c r="BR95" s="142"/>
      <c r="BS95" s="142"/>
      <c r="BT95" s="142"/>
      <c r="BU95" s="142"/>
      <c r="BV95" s="142"/>
      <c r="BW95" s="142"/>
      <c r="BX95" s="142"/>
      <c r="BY95" s="142"/>
      <c r="BZ95" s="142"/>
      <c r="CA95" s="142"/>
      <c r="CB95" s="142"/>
      <c r="CC95" s="142"/>
      <c r="CD95" s="142"/>
      <c r="CE95" s="142"/>
      <c r="CF95" s="142"/>
      <c r="CG95" s="142"/>
      <c r="CH95" s="142"/>
      <c r="CI95" s="142"/>
      <c r="CJ95" s="142"/>
      <c r="CK95" s="142"/>
      <c r="CL95" s="142"/>
      <c r="CM95" s="142"/>
      <c r="CN95" s="142"/>
      <c r="CO95" s="142"/>
      <c r="CP95" s="142"/>
      <c r="CQ95" s="142"/>
      <c r="CR95" s="142">
        <v>350170.26</v>
      </c>
      <c r="CS95" s="142">
        <v>-2687.79</v>
      </c>
      <c r="CT95" s="142"/>
      <c r="CU95" s="142">
        <v>134102.96999999997</v>
      </c>
      <c r="CV95" s="142"/>
      <c r="CW95" s="142"/>
      <c r="CX95" s="142"/>
      <c r="CY95" s="142"/>
      <c r="CZ95" s="142"/>
      <c r="DA95" s="142"/>
      <c r="DB95" s="142">
        <v>63390.74</v>
      </c>
      <c r="DC95" s="142">
        <v>253556.76</v>
      </c>
      <c r="DD95" s="142">
        <v>-2626.16</v>
      </c>
      <c r="DE95" s="142">
        <v>-9703.41</v>
      </c>
      <c r="DF95" s="142">
        <v>-2888.9399999999996</v>
      </c>
      <c r="DG95" s="142"/>
      <c r="DH95" s="142"/>
      <c r="DI95" s="142">
        <v>-29.16</v>
      </c>
      <c r="DJ95" s="142">
        <v>-1826562.5</v>
      </c>
      <c r="DK95" s="142"/>
      <c r="DL95" s="142"/>
      <c r="DM95" s="142"/>
      <c r="DN95" s="142">
        <v>423922.2</v>
      </c>
      <c r="DO95" s="142">
        <v>59631.560000000005</v>
      </c>
      <c r="DP95" s="142"/>
      <c r="DQ95" s="142"/>
      <c r="DR95" s="142">
        <v>-927850</v>
      </c>
      <c r="DS95" s="142">
        <v>-8643.1299999999992</v>
      </c>
      <c r="DT95" s="142"/>
      <c r="DU95" s="142">
        <v>178937.28</v>
      </c>
      <c r="DV95" s="142"/>
      <c r="DW95" s="142">
        <v>122218.39</v>
      </c>
      <c r="DX95" s="142"/>
      <c r="DY95" s="142"/>
      <c r="DZ95" s="142"/>
      <c r="EA95" s="142"/>
      <c r="EB95" s="142"/>
      <c r="EC95" s="142"/>
      <c r="ED95" s="142">
        <v>13946.75</v>
      </c>
      <c r="EE95" s="142"/>
      <c r="EF95" s="142">
        <v>-78573.920000000013</v>
      </c>
      <c r="EG95" s="142"/>
      <c r="EH95" s="142"/>
      <c r="EI95" s="142"/>
      <c r="EJ95" s="142"/>
      <c r="EK95" s="142">
        <v>-26.419999999999998</v>
      </c>
      <c r="EL95" s="142">
        <v>-28.25</v>
      </c>
      <c r="EM95" s="142">
        <v>-25.499999999999996</v>
      </c>
      <c r="EN95" s="142">
        <v>-28.25</v>
      </c>
      <c r="EO95" s="142"/>
      <c r="EP95" s="142"/>
      <c r="EQ95" s="142"/>
      <c r="ER95" s="142"/>
      <c r="ES95" s="142"/>
      <c r="ET95" s="142"/>
      <c r="EU95" s="142"/>
      <c r="EV95" s="142"/>
      <c r="EW95" s="142"/>
      <c r="EX95" s="142"/>
      <c r="EY95" s="142">
        <v>-2450.9899999999998</v>
      </c>
      <c r="EZ95" s="142">
        <v>-254008.17000000004</v>
      </c>
      <c r="FA95" s="142"/>
      <c r="FB95" s="87">
        <v>-1516255.6799999997</v>
      </c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/>
      <c r="MZ95"/>
      <c r="NA95" s="14"/>
      <c r="NB95" s="14"/>
    </row>
    <row r="96" spans="1:366" ht="12.75">
      <c r="U96" s="82" t="s">
        <v>342</v>
      </c>
      <c r="V96" s="82" t="s">
        <v>341</v>
      </c>
      <c r="W96" s="140"/>
      <c r="X96" s="142"/>
      <c r="Y96" s="142"/>
      <c r="Z96" s="142"/>
      <c r="AA96" s="142"/>
      <c r="AB96" s="142"/>
      <c r="AC96" s="142"/>
      <c r="AD96" s="142"/>
      <c r="AE96" s="142"/>
      <c r="AF96" s="142"/>
      <c r="AG96" s="142"/>
      <c r="AH96" s="142"/>
      <c r="AI96" s="142"/>
      <c r="AJ96" s="142"/>
      <c r="AK96" s="142"/>
      <c r="AL96" s="142"/>
      <c r="AM96" s="142"/>
      <c r="AN96" s="142"/>
      <c r="AO96" s="142"/>
      <c r="AP96" s="142"/>
      <c r="AQ96" s="142"/>
      <c r="AR96" s="142"/>
      <c r="AS96" s="142"/>
      <c r="AT96" s="142"/>
      <c r="AU96" s="142"/>
      <c r="AV96" s="142"/>
      <c r="AW96" s="142"/>
      <c r="AX96" s="142"/>
      <c r="AY96" s="142"/>
      <c r="AZ96" s="142"/>
      <c r="BA96" s="142"/>
      <c r="BB96" s="142"/>
      <c r="BC96" s="142"/>
      <c r="BD96" s="142"/>
      <c r="BE96" s="142"/>
      <c r="BF96" s="142"/>
      <c r="BG96" s="142"/>
      <c r="BH96" s="142"/>
      <c r="BI96" s="142"/>
      <c r="BJ96" s="142"/>
      <c r="BK96" s="142"/>
      <c r="BL96" s="142"/>
      <c r="BM96" s="142"/>
      <c r="BN96" s="142"/>
      <c r="BO96" s="142"/>
      <c r="BP96" s="142"/>
      <c r="BQ96" s="142"/>
      <c r="BR96" s="142"/>
      <c r="BS96" s="142"/>
      <c r="BT96" s="142"/>
      <c r="BU96" s="142"/>
      <c r="BV96" s="142"/>
      <c r="BW96" s="142"/>
      <c r="BX96" s="142"/>
      <c r="BY96" s="142"/>
      <c r="BZ96" s="142"/>
      <c r="CA96" s="142"/>
      <c r="CB96" s="142"/>
      <c r="CC96" s="142"/>
      <c r="CD96" s="142"/>
      <c r="CE96" s="142"/>
      <c r="CF96" s="142">
        <v>302328.32999999996</v>
      </c>
      <c r="CG96" s="142">
        <v>64458.659999999996</v>
      </c>
      <c r="CH96" s="142"/>
      <c r="CI96" s="142"/>
      <c r="CJ96" s="142">
        <v>-1826562.5</v>
      </c>
      <c r="CK96" s="142"/>
      <c r="CL96" s="142">
        <v>12.97</v>
      </c>
      <c r="CM96" s="142"/>
      <c r="CN96" s="142">
        <v>-28.25</v>
      </c>
      <c r="CO96" s="142"/>
      <c r="CP96" s="142"/>
      <c r="CQ96" s="142">
        <v>-81647.47</v>
      </c>
      <c r="CR96" s="142"/>
      <c r="CS96" s="142"/>
      <c r="CT96" s="142">
        <v>354006.27</v>
      </c>
      <c r="CU96" s="142"/>
      <c r="CV96" s="142">
        <v>368611.38</v>
      </c>
      <c r="CW96" s="142">
        <v>255291.51999999996</v>
      </c>
      <c r="CX96" s="142">
        <v>-2538.5700000000002</v>
      </c>
      <c r="CY96" s="142">
        <v>-10127.540000000001</v>
      </c>
      <c r="CZ96" s="142">
        <v>-11453.07</v>
      </c>
      <c r="DA96" s="142">
        <v>-2626.16</v>
      </c>
      <c r="DB96" s="142"/>
      <c r="DC96" s="142"/>
      <c r="DD96" s="142"/>
      <c r="DE96" s="142"/>
      <c r="DF96" s="142"/>
      <c r="DG96" s="142"/>
      <c r="DH96" s="142"/>
      <c r="DI96" s="142"/>
      <c r="DJ96" s="142"/>
      <c r="DK96" s="142">
        <v>416717.66000000003</v>
      </c>
      <c r="DL96" s="142">
        <v>347490</v>
      </c>
      <c r="DM96" s="142">
        <v>401070.51</v>
      </c>
      <c r="DN96" s="142"/>
      <c r="DO96" s="142"/>
      <c r="DP96" s="142"/>
      <c r="DQ96" s="142">
        <v>-927850</v>
      </c>
      <c r="DR96" s="142"/>
      <c r="DS96" s="142"/>
      <c r="DT96" s="142"/>
      <c r="DU96" s="142"/>
      <c r="DV96" s="142">
        <v>-480403.82999999996</v>
      </c>
      <c r="DW96" s="142"/>
      <c r="DX96" s="142"/>
      <c r="DY96" s="142"/>
      <c r="DZ96" s="142"/>
      <c r="EA96" s="142"/>
      <c r="EB96" s="142"/>
      <c r="EC96" s="142">
        <v>14101.12</v>
      </c>
      <c r="ED96" s="142"/>
      <c r="EE96" s="142"/>
      <c r="EF96" s="142"/>
      <c r="EG96" s="142"/>
      <c r="EH96" s="142">
        <v>-27.33</v>
      </c>
      <c r="EI96" s="142">
        <v>-27.33</v>
      </c>
      <c r="EJ96" s="142">
        <v>-27.33</v>
      </c>
      <c r="EK96" s="142"/>
      <c r="EL96" s="142"/>
      <c r="EM96" s="142"/>
      <c r="EN96" s="142"/>
      <c r="EO96" s="142"/>
      <c r="EP96" s="142"/>
      <c r="EQ96" s="142"/>
      <c r="ER96" s="142"/>
      <c r="ES96" s="142"/>
      <c r="ET96" s="142"/>
      <c r="EU96" s="142"/>
      <c r="EV96" s="142"/>
      <c r="EW96" s="142"/>
      <c r="EX96" s="142"/>
      <c r="EY96" s="142"/>
      <c r="EZ96" s="142"/>
      <c r="FA96" s="142"/>
      <c r="FB96" s="87">
        <v>-819230.95999999985</v>
      </c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MQ96"/>
      <c r="MR96"/>
      <c r="MS96"/>
      <c r="MT96"/>
      <c r="MU96"/>
      <c r="MV96"/>
      <c r="MW96"/>
      <c r="MX96"/>
      <c r="MY96"/>
      <c r="MZ96"/>
    </row>
    <row r="97" spans="1:366" s="2" customFormat="1" ht="12.75">
      <c r="A97" s="9"/>
      <c r="B97" s="9"/>
      <c r="C97" s="151"/>
      <c r="D97" s="151"/>
      <c r="E97" s="151"/>
      <c r="F97" s="151"/>
      <c r="G97" s="151"/>
      <c r="H97" s="151"/>
      <c r="I97" s="151"/>
      <c r="J97" s="151"/>
      <c r="K97" s="151"/>
      <c r="L97" s="151"/>
      <c r="M97" s="151"/>
      <c r="N97" s="151"/>
      <c r="O97" s="151"/>
      <c r="P97" s="151"/>
      <c r="Q97" s="151"/>
      <c r="S97" s="151"/>
      <c r="T97" s="151"/>
      <c r="U97" s="84" t="s">
        <v>63</v>
      </c>
      <c r="V97" s="149"/>
      <c r="W97" s="144">
        <v>32562.499999999996</v>
      </c>
      <c r="X97" s="145">
        <v>23118750</v>
      </c>
      <c r="Y97" s="145">
        <v>12235407.76</v>
      </c>
      <c r="Z97" s="145">
        <v>11734793.689999999</v>
      </c>
      <c r="AA97" s="145">
        <v>11882814.93</v>
      </c>
      <c r="AB97" s="145">
        <v>619912.98</v>
      </c>
      <c r="AC97" s="145">
        <v>-37896333.899999999</v>
      </c>
      <c r="AD97" s="145">
        <v>3102097.04</v>
      </c>
      <c r="AE97" s="145">
        <v>415438.03</v>
      </c>
      <c r="AF97" s="145">
        <v>86.16</v>
      </c>
      <c r="AG97" s="145">
        <v>88.05</v>
      </c>
      <c r="AH97" s="145">
        <v>-367596.16</v>
      </c>
      <c r="AI97" s="145">
        <v>0</v>
      </c>
      <c r="AJ97" s="145">
        <v>2103466.17</v>
      </c>
      <c r="AK97" s="145">
        <v>603550</v>
      </c>
      <c r="AL97" s="145">
        <v>3138418.92</v>
      </c>
      <c r="AM97" s="145">
        <v>-100220340</v>
      </c>
      <c r="AN97" s="145">
        <v>-42451380.759999998</v>
      </c>
      <c r="AO97" s="145">
        <v>82.19</v>
      </c>
      <c r="AP97" s="145">
        <v>111227375</v>
      </c>
      <c r="AQ97" s="145">
        <v>43125</v>
      </c>
      <c r="AR97" s="145">
        <v>13110091.720000001</v>
      </c>
      <c r="AS97" s="145">
        <v>3358616.12</v>
      </c>
      <c r="AT97" s="145">
        <v>276838.37</v>
      </c>
      <c r="AU97" s="145">
        <v>80.44</v>
      </c>
      <c r="AV97" s="145">
        <v>-281.77999999999884</v>
      </c>
      <c r="AW97" s="145">
        <v>-1756615.1300000001</v>
      </c>
      <c r="AX97" s="145">
        <v>13857253.079999998</v>
      </c>
      <c r="AY97" s="145">
        <v>-7782.9800000000005</v>
      </c>
      <c r="AZ97" s="145">
        <v>3359438.56</v>
      </c>
      <c r="BA97" s="145">
        <v>3230733.5</v>
      </c>
      <c r="BB97" s="145">
        <v>13977788.42</v>
      </c>
      <c r="BC97" s="145">
        <v>602797.2799999998</v>
      </c>
      <c r="BD97" s="145">
        <v>12685383.759999998</v>
      </c>
      <c r="BE97" s="145">
        <v>124.57999999999998</v>
      </c>
      <c r="BF97" s="145">
        <v>118.47</v>
      </c>
      <c r="BG97" s="145">
        <v>0</v>
      </c>
      <c r="BH97" s="145">
        <v>32643.849999999995</v>
      </c>
      <c r="BI97" s="145">
        <v>627680.36</v>
      </c>
      <c r="BJ97" s="145">
        <v>3330753.8899999997</v>
      </c>
      <c r="BK97" s="145">
        <v>13817625.419999998</v>
      </c>
      <c r="BL97" s="145">
        <v>-67432287.109999985</v>
      </c>
      <c r="BM97" s="145">
        <v>4510024.78</v>
      </c>
      <c r="BN97" s="145">
        <v>-66900000</v>
      </c>
      <c r="BO97" s="145">
        <v>43125</v>
      </c>
      <c r="BP97" s="145">
        <v>4864272.13</v>
      </c>
      <c r="BQ97" s="145">
        <v>106029.63999999998</v>
      </c>
      <c r="BR97" s="145">
        <v>18781353.429999996</v>
      </c>
      <c r="BS97" s="145">
        <v>98448.11</v>
      </c>
      <c r="BT97" s="145">
        <v>-8888156.25</v>
      </c>
      <c r="BU97" s="145">
        <v>-367596.16</v>
      </c>
      <c r="BV97" s="145">
        <v>81.349999999999994</v>
      </c>
      <c r="BW97" s="145">
        <v>409103.97</v>
      </c>
      <c r="BX97" s="145">
        <v>68.97999999999999</v>
      </c>
      <c r="BY97" s="145">
        <v>4870878.82</v>
      </c>
      <c r="BZ97" s="145">
        <v>19924347.52</v>
      </c>
      <c r="CA97" s="145">
        <v>-1688027.8499999999</v>
      </c>
      <c r="CB97" s="145">
        <v>-9232.6299999999992</v>
      </c>
      <c r="CC97" s="145">
        <v>17785944.330000002</v>
      </c>
      <c r="CD97" s="145">
        <v>100.11000000000058</v>
      </c>
      <c r="CE97" s="145">
        <v>4381994.1100000003</v>
      </c>
      <c r="CF97" s="145">
        <v>12136646.590000002</v>
      </c>
      <c r="CG97" s="145">
        <v>3134027.0500000003</v>
      </c>
      <c r="CH97" s="145">
        <v>4609025.7</v>
      </c>
      <c r="CI97" s="145">
        <v>17996275.73</v>
      </c>
      <c r="CJ97" s="145">
        <v>588932.35999999987</v>
      </c>
      <c r="CK97" s="145">
        <v>-2014.8999999999999</v>
      </c>
      <c r="CL97" s="145">
        <v>12.97</v>
      </c>
      <c r="CM97" s="145">
        <v>27.749999999999996</v>
      </c>
      <c r="CN97" s="145">
        <v>32534.249999999996</v>
      </c>
      <c r="CO97" s="145">
        <v>43125</v>
      </c>
      <c r="CP97" s="145">
        <v>-40016727.460000001</v>
      </c>
      <c r="CQ97" s="145">
        <v>627102.53</v>
      </c>
      <c r="CR97" s="145">
        <v>15648306.909999998</v>
      </c>
      <c r="CS97" s="145">
        <v>-5005.0599999999995</v>
      </c>
      <c r="CT97" s="145">
        <v>13315671.169999998</v>
      </c>
      <c r="CU97" s="145">
        <v>20248821.07</v>
      </c>
      <c r="CV97" s="145">
        <v>12474974.01</v>
      </c>
      <c r="CW97" s="145">
        <v>103365.45999999999</v>
      </c>
      <c r="CX97" s="145">
        <v>3099299.6</v>
      </c>
      <c r="CY97" s="145">
        <v>3354577.61</v>
      </c>
      <c r="CZ97" s="145">
        <v>-11657.02</v>
      </c>
      <c r="DA97" s="145">
        <v>3231763.32</v>
      </c>
      <c r="DB97" s="145">
        <v>3327619.37</v>
      </c>
      <c r="DC97" s="145">
        <v>102433.1</v>
      </c>
      <c r="DD97" s="145">
        <v>4863090.08</v>
      </c>
      <c r="DE97" s="145">
        <v>4865228.51</v>
      </c>
      <c r="DF97" s="145">
        <v>-2888.9399999999996</v>
      </c>
      <c r="DG97" s="145">
        <v>0</v>
      </c>
      <c r="DH97" s="145">
        <v>0</v>
      </c>
      <c r="DI97" s="145">
        <v>32533.339999999997</v>
      </c>
      <c r="DJ97" s="145">
        <v>360937.5</v>
      </c>
      <c r="DK97" s="145">
        <v>12525859.17</v>
      </c>
      <c r="DL97" s="145">
        <v>13579347.059999999</v>
      </c>
      <c r="DM97" s="145">
        <v>13433238.609999998</v>
      </c>
      <c r="DN97" s="145">
        <v>14198588.159999998</v>
      </c>
      <c r="DO97" s="145">
        <v>19043520.099999998</v>
      </c>
      <c r="DP97" s="145">
        <v>0</v>
      </c>
      <c r="DQ97" s="145">
        <v>172150</v>
      </c>
      <c r="DR97" s="145">
        <v>172150</v>
      </c>
      <c r="DS97" s="145">
        <v>-8887.15</v>
      </c>
      <c r="DT97" s="145">
        <v>-500000</v>
      </c>
      <c r="DU97" s="145">
        <v>18042275.66</v>
      </c>
      <c r="DV97" s="145">
        <v>-480403.82999999996</v>
      </c>
      <c r="DW97" s="145">
        <v>-245377.76999999996</v>
      </c>
      <c r="DX97" s="145">
        <v>35948.199999999997</v>
      </c>
      <c r="DY97" s="145">
        <v>-1726430.5799999998</v>
      </c>
      <c r="DZ97" s="145">
        <v>-69997961.920000002</v>
      </c>
      <c r="EA97" s="145">
        <v>-1654050.08</v>
      </c>
      <c r="EB97" s="145">
        <v>320445.18</v>
      </c>
      <c r="EC97" s="145">
        <v>-29.159999999999854</v>
      </c>
      <c r="ED97" s="145">
        <v>-28.25</v>
      </c>
      <c r="EE97" s="145">
        <v>-367596.16</v>
      </c>
      <c r="EF97" s="145">
        <v>673301.08</v>
      </c>
      <c r="EG97" s="145">
        <v>29778061.109999999</v>
      </c>
      <c r="EH97" s="145">
        <v>-27.33</v>
      </c>
      <c r="EI97" s="145">
        <v>-27.33</v>
      </c>
      <c r="EJ97" s="145">
        <v>-27.33</v>
      </c>
      <c r="EK97" s="145">
        <v>-26.419999999999998</v>
      </c>
      <c r="EL97" s="145">
        <v>-28.25</v>
      </c>
      <c r="EM97" s="145">
        <v>-25.499999999999996</v>
      </c>
      <c r="EN97" s="145">
        <v>-28.25</v>
      </c>
      <c r="EO97" s="145">
        <v>0</v>
      </c>
      <c r="EP97" s="145">
        <v>3226866.16</v>
      </c>
      <c r="EQ97" s="145">
        <v>-38091303.75</v>
      </c>
      <c r="ER97" s="145">
        <v>3359438.56</v>
      </c>
      <c r="ES97" s="145">
        <v>4510024.78</v>
      </c>
      <c r="ET97" s="145">
        <v>-8102231.2499999991</v>
      </c>
      <c r="EU97" s="145">
        <v>4378282.58</v>
      </c>
      <c r="EV97" s="145">
        <v>-68900000</v>
      </c>
      <c r="EW97" s="145">
        <v>193582.06</v>
      </c>
      <c r="EX97" s="145">
        <v>-300000</v>
      </c>
      <c r="EY97" s="145">
        <v>4608582.2299999995</v>
      </c>
      <c r="EZ97" s="145">
        <v>18316715.839999996</v>
      </c>
      <c r="FA97" s="145">
        <v>0</v>
      </c>
      <c r="FB97" s="89">
        <v>64668001.639999993</v>
      </c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  <c r="KO97"/>
      <c r="KP97"/>
      <c r="KQ97"/>
      <c r="KR97"/>
      <c r="KS97"/>
      <c r="KT97"/>
      <c r="KU97"/>
      <c r="KV97"/>
      <c r="KW97"/>
      <c r="KX97"/>
      <c r="KY97"/>
      <c r="KZ97"/>
      <c r="LA97"/>
      <c r="LB97"/>
      <c r="LC97"/>
      <c r="LD97"/>
      <c r="LE97"/>
      <c r="LF97"/>
      <c r="LG97"/>
      <c r="LH97"/>
      <c r="LI97"/>
      <c r="LJ97"/>
      <c r="LK97"/>
      <c r="LL97"/>
      <c r="LM97"/>
      <c r="LN97"/>
      <c r="LO97"/>
      <c r="LP97"/>
      <c r="LQ97"/>
      <c r="LR97"/>
      <c r="LS97"/>
      <c r="LT97"/>
      <c r="LU97"/>
      <c r="LV97"/>
      <c r="LW97"/>
      <c r="LX97"/>
      <c r="LY97"/>
      <c r="LZ97"/>
      <c r="MA97"/>
      <c r="MB97"/>
      <c r="MC97"/>
      <c r="MD97"/>
      <c r="ME97"/>
      <c r="MF97"/>
      <c r="MG97"/>
      <c r="MH97"/>
      <c r="MI97"/>
      <c r="MJ97"/>
      <c r="MK97"/>
      <c r="ML97"/>
      <c r="MM97"/>
      <c r="MN97"/>
      <c r="MO97"/>
      <c r="MP97"/>
      <c r="MQ97"/>
      <c r="MR97"/>
      <c r="MS97"/>
      <c r="MT97"/>
      <c r="MU97"/>
      <c r="MV97"/>
      <c r="MW97"/>
      <c r="MX97"/>
      <c r="MY97"/>
      <c r="MZ97"/>
      <c r="NA97" s="151"/>
      <c r="NB97" s="151"/>
    </row>
    <row r="98" spans="1:366" s="2" customFormat="1" ht="12.75">
      <c r="A98" s="9"/>
      <c r="B98" s="9"/>
      <c r="C98" s="151"/>
      <c r="D98" s="151"/>
      <c r="E98" s="151"/>
      <c r="F98" s="151"/>
      <c r="G98" s="151"/>
      <c r="H98" s="151"/>
      <c r="I98" s="151"/>
      <c r="J98" s="151"/>
      <c r="K98" s="151"/>
      <c r="L98" s="151"/>
      <c r="M98" s="151"/>
      <c r="N98" s="151"/>
      <c r="O98" s="151"/>
      <c r="P98" s="151"/>
      <c r="Q98" s="151"/>
      <c r="S98" s="151"/>
      <c r="T98" s="151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  <c r="LM98"/>
      <c r="LN98"/>
      <c r="LO98"/>
      <c r="LP98"/>
      <c r="LQ98"/>
      <c r="LR98"/>
      <c r="LS98"/>
      <c r="LT98"/>
      <c r="LU98"/>
      <c r="LV98"/>
      <c r="LW98"/>
      <c r="LX98"/>
      <c r="LY98"/>
      <c r="LZ98"/>
      <c r="MA98"/>
      <c r="MB98"/>
      <c r="MC98"/>
      <c r="MD98"/>
      <c r="ME98"/>
      <c r="MF98"/>
      <c r="MG98"/>
      <c r="MH98"/>
      <c r="MI98"/>
      <c r="MJ98"/>
      <c r="MK98"/>
      <c r="ML98"/>
      <c r="MM98"/>
      <c r="MN98"/>
      <c r="MO98"/>
      <c r="MP98"/>
      <c r="MQ98"/>
      <c r="MR98"/>
      <c r="MS98"/>
      <c r="MT98"/>
      <c r="MU98"/>
      <c r="MV98"/>
      <c r="MW98"/>
      <c r="MX98"/>
      <c r="MY98"/>
      <c r="MZ98"/>
    </row>
    <row r="99" spans="1:366" s="2" customFormat="1" ht="12.75">
      <c r="A99" s="9"/>
      <c r="B99" s="9"/>
      <c r="C99" s="151"/>
      <c r="D99" s="151"/>
      <c r="E99" s="151"/>
      <c r="F99" s="151"/>
      <c r="G99" s="151"/>
      <c r="H99" s="151"/>
      <c r="I99" s="151"/>
      <c r="J99" s="151"/>
      <c r="K99" s="151"/>
      <c r="L99" s="151"/>
      <c r="M99" s="151"/>
      <c r="N99" s="151"/>
      <c r="O99" s="151"/>
      <c r="P99" s="151"/>
      <c r="Q99" s="151"/>
      <c r="S99" s="151"/>
      <c r="T99" s="151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  <c r="LM99"/>
      <c r="LN99"/>
      <c r="LO99"/>
      <c r="LP99"/>
      <c r="LQ99"/>
      <c r="LR99"/>
      <c r="LS99"/>
      <c r="LT99"/>
      <c r="LU99"/>
      <c r="LV99"/>
      <c r="LW99"/>
      <c r="LX99"/>
      <c r="LY99"/>
      <c r="LZ99"/>
      <c r="MA99"/>
      <c r="MB99"/>
      <c r="MC99"/>
      <c r="MD99"/>
      <c r="ME99"/>
      <c r="MF99"/>
      <c r="MG99"/>
      <c r="MH99"/>
      <c r="MI99"/>
      <c r="MJ99"/>
      <c r="MK99"/>
      <c r="ML99"/>
      <c r="MM99"/>
      <c r="MN99"/>
      <c r="MO99"/>
      <c r="MP99"/>
      <c r="MQ99"/>
      <c r="MR99"/>
      <c r="MS99"/>
      <c r="MT99"/>
      <c r="MU99"/>
      <c r="MV99"/>
      <c r="MW99"/>
      <c r="MX99"/>
      <c r="MY99"/>
      <c r="MZ99"/>
    </row>
    <row r="100" spans="1:366" s="2" customFormat="1" ht="12.75">
      <c r="A100" s="9"/>
      <c r="B100" s="9"/>
      <c r="C100" s="151"/>
      <c r="D100" s="151"/>
      <c r="E100" s="151"/>
      <c r="F100" s="151"/>
      <c r="G100" s="151"/>
      <c r="H100" s="151"/>
      <c r="I100" s="151"/>
      <c r="J100" s="151"/>
      <c r="K100" s="151"/>
      <c r="L100" s="151"/>
      <c r="M100" s="151"/>
      <c r="N100" s="151"/>
      <c r="O100" s="151"/>
      <c r="P100" s="151"/>
      <c r="Q100" s="151"/>
      <c r="S100" s="151"/>
      <c r="T100" s="151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  <c r="JO100"/>
      <c r="JP100"/>
      <c r="JQ100"/>
      <c r="JR100"/>
      <c r="JS100"/>
      <c r="JT10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/>
      <c r="KO100"/>
      <c r="KP100"/>
      <c r="KQ100"/>
      <c r="KR100"/>
      <c r="KS100"/>
      <c r="KT100"/>
      <c r="KU100"/>
      <c r="KV100"/>
      <c r="KW100"/>
      <c r="KX100"/>
      <c r="KY100"/>
      <c r="KZ100"/>
      <c r="LA100"/>
      <c r="LB100"/>
      <c r="LC100"/>
      <c r="LD100"/>
      <c r="LE100"/>
      <c r="LF100"/>
      <c r="LG100"/>
      <c r="LH100"/>
      <c r="LI100"/>
      <c r="LJ100"/>
      <c r="LK100"/>
      <c r="LL100"/>
      <c r="LM100"/>
      <c r="LN100"/>
      <c r="LO100"/>
      <c r="LP100"/>
      <c r="LQ100"/>
      <c r="LR100"/>
      <c r="LS100"/>
      <c r="LT100"/>
      <c r="LU100"/>
      <c r="LV100"/>
      <c r="LW100"/>
      <c r="LX100"/>
      <c r="LY100"/>
      <c r="LZ100"/>
      <c r="MA100"/>
      <c r="MB100"/>
      <c r="MC100"/>
      <c r="MD100"/>
      <c r="ME100"/>
      <c r="MF100"/>
      <c r="MG100"/>
      <c r="MH100"/>
      <c r="MI100"/>
      <c r="MJ100"/>
      <c r="MK100"/>
      <c r="ML100"/>
      <c r="MM100"/>
      <c r="MN100"/>
      <c r="MO100"/>
      <c r="MP100"/>
      <c r="MQ100"/>
      <c r="MR100"/>
      <c r="MS100"/>
      <c r="MT100"/>
      <c r="MU100"/>
      <c r="MV100"/>
      <c r="MW100"/>
      <c r="MX100"/>
      <c r="MY100"/>
      <c r="MZ100"/>
    </row>
    <row r="101" spans="1:366" s="2" customFormat="1" ht="12.75" hidden="1">
      <c r="A101" s="9"/>
      <c r="B101" s="9"/>
      <c r="C101" s="151"/>
      <c r="D101" s="151"/>
      <c r="E101" s="151"/>
      <c r="F101" s="151"/>
      <c r="G101" s="151"/>
      <c r="H101" s="151"/>
      <c r="I101" s="151"/>
      <c r="J101" s="151"/>
      <c r="K101" s="151"/>
      <c r="L101" s="151"/>
      <c r="M101" s="151"/>
      <c r="N101" s="151"/>
      <c r="O101" s="151"/>
      <c r="P101" s="151"/>
      <c r="Q101" s="151"/>
      <c r="S101" s="151"/>
      <c r="T101" s="15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  <c r="JO101"/>
      <c r="JP101"/>
      <c r="JQ101"/>
      <c r="JR101"/>
      <c r="JS101"/>
      <c r="JT101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  <c r="LC101"/>
      <c r="LD101"/>
      <c r="LE101"/>
      <c r="LF101"/>
      <c r="LG101"/>
      <c r="LH101"/>
      <c r="LI101"/>
      <c r="LJ101"/>
      <c r="LK101"/>
      <c r="LL101"/>
      <c r="LM101"/>
      <c r="LN101"/>
      <c r="LO101"/>
      <c r="LP101"/>
      <c r="LQ101"/>
      <c r="LR101"/>
      <c r="LS101"/>
      <c r="LT101"/>
      <c r="LU101"/>
      <c r="LV101"/>
      <c r="LW101"/>
      <c r="LX101"/>
      <c r="LY101"/>
      <c r="LZ101"/>
      <c r="MA101"/>
      <c r="MB101"/>
      <c r="MC101"/>
      <c r="MD101"/>
      <c r="ME101"/>
      <c r="MF101"/>
      <c r="MG101"/>
      <c r="MH101"/>
      <c r="MI101"/>
      <c r="MJ101"/>
      <c r="MK101"/>
      <c r="ML101"/>
      <c r="MM101"/>
      <c r="MN101"/>
      <c r="MO101"/>
      <c r="MP101"/>
      <c r="MQ101"/>
      <c r="MR101"/>
      <c r="MS101"/>
      <c r="MT101"/>
      <c r="MU101"/>
      <c r="MV101"/>
      <c r="MW101"/>
      <c r="MX101"/>
      <c r="MY101"/>
      <c r="MZ101"/>
    </row>
    <row r="102" spans="1:366" s="2" customFormat="1" ht="12.75">
      <c r="A102" s="9"/>
      <c r="B102" s="9"/>
      <c r="C102" s="151"/>
      <c r="D102" s="151"/>
      <c r="E102" s="151"/>
      <c r="F102" s="151"/>
      <c r="G102" s="151"/>
      <c r="H102" s="151"/>
      <c r="I102" s="151"/>
      <c r="J102" s="151"/>
      <c r="K102" s="151"/>
      <c r="L102" s="151"/>
      <c r="M102" s="151"/>
      <c r="N102" s="151"/>
      <c r="O102" s="151"/>
      <c r="P102" s="151"/>
      <c r="Q102" s="151"/>
      <c r="S102" s="151"/>
      <c r="T102" s="151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  <c r="MH102"/>
      <c r="MI102"/>
      <c r="MJ102"/>
      <c r="MK102"/>
      <c r="ML102"/>
      <c r="MM102"/>
      <c r="MN102"/>
      <c r="MO102"/>
      <c r="MP102"/>
      <c r="MQ102"/>
      <c r="MR102"/>
      <c r="MS102"/>
      <c r="MT102"/>
      <c r="MU102"/>
      <c r="MV102"/>
      <c r="MW102"/>
      <c r="MX102"/>
      <c r="MY102"/>
      <c r="MZ102"/>
    </row>
    <row r="103" spans="1:366" ht="12.75"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  <c r="MH103"/>
      <c r="MI103"/>
      <c r="MJ103"/>
      <c r="MK103"/>
      <c r="ML103"/>
      <c r="MM103"/>
      <c r="MN103"/>
      <c r="MO103"/>
      <c r="MP103"/>
      <c r="MQ103"/>
      <c r="MR103"/>
      <c r="MS103"/>
      <c r="MT103"/>
      <c r="MU103"/>
      <c r="MV103"/>
      <c r="MW103"/>
      <c r="MX103"/>
      <c r="MY103"/>
      <c r="MZ103"/>
      <c r="NA103" s="2"/>
      <c r="NB103" s="2"/>
    </row>
    <row r="104" spans="1:366" ht="12.75"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MQ104"/>
      <c r="MR104"/>
      <c r="MS104"/>
      <c r="MT104"/>
      <c r="MU104"/>
      <c r="MV104"/>
      <c r="MW104"/>
      <c r="MX104"/>
      <c r="MY104"/>
      <c r="MZ104"/>
    </row>
    <row r="105" spans="1:366" ht="12.75"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/>
      <c r="KO105"/>
      <c r="KP105"/>
      <c r="KQ105"/>
      <c r="KR105"/>
      <c r="KS105"/>
      <c r="KT105"/>
      <c r="KU105"/>
      <c r="KV105"/>
      <c r="KW105"/>
      <c r="KX105"/>
      <c r="KY105"/>
      <c r="KZ105"/>
      <c r="LA105"/>
      <c r="LB105"/>
      <c r="LC105"/>
      <c r="LD105"/>
      <c r="LE105"/>
      <c r="LF105"/>
      <c r="LG105"/>
      <c r="LH105"/>
      <c r="LI105"/>
      <c r="LJ105"/>
      <c r="LK105"/>
      <c r="LL105"/>
      <c r="LM105"/>
      <c r="LN105"/>
      <c r="LO105"/>
      <c r="LP105"/>
      <c r="LQ105"/>
      <c r="LR105"/>
      <c r="LS105"/>
      <c r="LT105"/>
      <c r="LU105"/>
      <c r="LV105"/>
      <c r="LW105"/>
      <c r="LX105"/>
      <c r="LY105"/>
      <c r="LZ105"/>
      <c r="MA105"/>
      <c r="MB105"/>
      <c r="MC105"/>
      <c r="MD105"/>
      <c r="ME105"/>
      <c r="MF105"/>
      <c r="MG105"/>
      <c r="MH105"/>
      <c r="MI105"/>
      <c r="MJ105"/>
      <c r="MK105"/>
      <c r="ML105"/>
      <c r="MM105"/>
      <c r="MN105"/>
      <c r="MO105"/>
      <c r="MP105"/>
      <c r="MQ105"/>
      <c r="MR105"/>
      <c r="MS105"/>
      <c r="MT105"/>
      <c r="MU105"/>
      <c r="MV105"/>
      <c r="MW105"/>
      <c r="MX105"/>
      <c r="MY105"/>
      <c r="MZ105"/>
    </row>
    <row r="106" spans="1:366" ht="12.75"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MQ106"/>
      <c r="MR106"/>
      <c r="MS106"/>
      <c r="MT106"/>
      <c r="MU106"/>
      <c r="MV106"/>
      <c r="MW106"/>
      <c r="MX106"/>
      <c r="MY106"/>
      <c r="MZ106"/>
    </row>
    <row r="107" spans="1:366" ht="12.75"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MQ107"/>
      <c r="MR107"/>
      <c r="MS107"/>
      <c r="MT107"/>
      <c r="MU107"/>
      <c r="MV107"/>
      <c r="MW107"/>
      <c r="MX107"/>
      <c r="MY107"/>
      <c r="MZ107"/>
    </row>
    <row r="108" spans="1:366" ht="12.75"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LQ108"/>
      <c r="LR108"/>
      <c r="LS108"/>
      <c r="LT108"/>
      <c r="LU108"/>
      <c r="LV108"/>
      <c r="LW108"/>
      <c r="LX108"/>
      <c r="LY108"/>
      <c r="LZ108"/>
      <c r="MA108"/>
      <c r="MB108"/>
      <c r="MC108"/>
      <c r="MD108"/>
      <c r="ME108"/>
      <c r="MF108"/>
      <c r="MG108"/>
      <c r="MH108"/>
      <c r="MI108"/>
      <c r="MJ108"/>
      <c r="MK108"/>
      <c r="ML108"/>
      <c r="MM108"/>
      <c r="MN108"/>
      <c r="MO108"/>
      <c r="MP108"/>
      <c r="MQ108"/>
      <c r="MR108"/>
      <c r="MS108"/>
      <c r="MT108"/>
      <c r="MU108"/>
      <c r="MV108"/>
      <c r="MW108"/>
      <c r="MX108"/>
      <c r="MY108"/>
      <c r="MZ108"/>
    </row>
    <row r="109" spans="1:366" ht="12.75"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  <c r="LM109"/>
      <c r="LN109"/>
      <c r="LO109"/>
      <c r="LP109"/>
      <c r="LQ109"/>
      <c r="LR109"/>
      <c r="LS109"/>
      <c r="LT109"/>
      <c r="LU109"/>
      <c r="LV109"/>
      <c r="LW109"/>
      <c r="LX109"/>
      <c r="LY109"/>
      <c r="LZ109"/>
      <c r="MA109"/>
      <c r="MB109"/>
      <c r="MC109"/>
      <c r="MD109"/>
      <c r="ME109"/>
      <c r="MF109"/>
      <c r="MG109"/>
      <c r="MH109"/>
      <c r="MI109"/>
      <c r="MJ109"/>
      <c r="MK109"/>
      <c r="ML109"/>
      <c r="MM109"/>
      <c r="MN109"/>
      <c r="MO109"/>
      <c r="MP109"/>
      <c r="MQ109"/>
      <c r="MR109"/>
      <c r="MS109"/>
      <c r="MT109"/>
      <c r="MU109"/>
      <c r="MV109"/>
      <c r="MW109"/>
      <c r="MX109"/>
      <c r="MY109"/>
      <c r="MZ109"/>
    </row>
    <row r="110" spans="1:366" ht="12.75"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  <c r="LM110"/>
      <c r="LN110"/>
      <c r="LO110"/>
      <c r="LP110"/>
      <c r="LQ110"/>
      <c r="LR110"/>
      <c r="LS110"/>
      <c r="LT110"/>
      <c r="LU110"/>
      <c r="LV110"/>
      <c r="LW110"/>
      <c r="LX110"/>
      <c r="LY110"/>
      <c r="LZ110"/>
      <c r="MA110"/>
      <c r="MB110"/>
      <c r="MC110"/>
      <c r="MD110"/>
      <c r="ME110"/>
      <c r="MF110"/>
      <c r="MG110"/>
      <c r="MH110"/>
      <c r="MI110"/>
      <c r="MJ110"/>
      <c r="MK110"/>
      <c r="ML110"/>
      <c r="MM110"/>
      <c r="MN110"/>
      <c r="MO110"/>
      <c r="MP110"/>
      <c r="MQ110"/>
      <c r="MR110"/>
      <c r="MS110"/>
      <c r="MT110"/>
      <c r="MU110"/>
      <c r="MV110"/>
      <c r="MW110"/>
      <c r="MX110"/>
      <c r="MY110"/>
      <c r="MZ110"/>
    </row>
    <row r="111" spans="1:366" ht="12.75"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  <c r="LM111"/>
      <c r="LN111"/>
      <c r="LO111"/>
      <c r="LP111"/>
      <c r="LQ111"/>
      <c r="LR111"/>
      <c r="LS111"/>
      <c r="LT111"/>
      <c r="LU111"/>
      <c r="LV111"/>
      <c r="LW111"/>
      <c r="LX111"/>
      <c r="LY111"/>
      <c r="LZ111"/>
      <c r="MA111"/>
      <c r="MB111"/>
      <c r="MC111"/>
      <c r="MD111"/>
      <c r="ME111"/>
      <c r="MF111"/>
      <c r="MG111"/>
      <c r="MH111"/>
      <c r="MI111"/>
      <c r="MJ111"/>
      <c r="MK111"/>
      <c r="ML111"/>
      <c r="MM111"/>
      <c r="MN111"/>
      <c r="MO111"/>
      <c r="MP111"/>
      <c r="MQ111"/>
      <c r="MR111"/>
      <c r="MS111"/>
      <c r="MT111"/>
      <c r="MU111"/>
      <c r="MV111"/>
      <c r="MW111"/>
      <c r="MX111"/>
      <c r="MY111"/>
      <c r="MZ111"/>
    </row>
    <row r="112" spans="1:366" ht="12.75"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  <c r="JW112"/>
      <c r="JX112"/>
      <c r="JY112"/>
      <c r="JZ112"/>
      <c r="KA112"/>
      <c r="KB112"/>
      <c r="KC112"/>
      <c r="KD112"/>
      <c r="KE112"/>
      <c r="KF112"/>
      <c r="KG112"/>
      <c r="KH112"/>
      <c r="KI112"/>
      <c r="KJ112"/>
      <c r="KK112"/>
      <c r="KL112"/>
      <c r="KM112"/>
      <c r="KN112"/>
      <c r="KO112"/>
      <c r="KP112"/>
      <c r="KQ112"/>
      <c r="KR112"/>
      <c r="KS112"/>
      <c r="KT112"/>
      <c r="KU112"/>
      <c r="KV112"/>
      <c r="KW112"/>
      <c r="KX112"/>
      <c r="KY112"/>
      <c r="KZ112"/>
      <c r="LA112"/>
      <c r="LB112"/>
      <c r="LC112"/>
      <c r="LD112"/>
      <c r="LE112"/>
      <c r="LF112"/>
      <c r="LG112"/>
      <c r="LH112"/>
      <c r="LI112"/>
      <c r="LJ112"/>
      <c r="LK112"/>
      <c r="LL112"/>
      <c r="LM112"/>
      <c r="LN112"/>
      <c r="LO112"/>
      <c r="LP112"/>
      <c r="LQ112"/>
      <c r="LR112"/>
      <c r="LS112"/>
      <c r="LT112"/>
      <c r="LU112"/>
      <c r="LV112"/>
      <c r="LW112"/>
      <c r="LX112"/>
      <c r="LY112"/>
      <c r="LZ112"/>
      <c r="MA112"/>
      <c r="MB112"/>
      <c r="MC112"/>
      <c r="MD112"/>
      <c r="ME112"/>
      <c r="MF112"/>
      <c r="MG112"/>
      <c r="MH112"/>
      <c r="MI112"/>
      <c r="MJ112"/>
      <c r="MK112"/>
      <c r="ML112"/>
      <c r="MM112"/>
      <c r="MN112"/>
      <c r="MO112"/>
      <c r="MP112"/>
      <c r="MQ112"/>
      <c r="MR112"/>
      <c r="MS112"/>
      <c r="MT112"/>
      <c r="MU112"/>
      <c r="MV112"/>
      <c r="MW112"/>
      <c r="MX112"/>
      <c r="MY112"/>
      <c r="MZ112"/>
    </row>
    <row r="113" spans="21:363" ht="12.75"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  <c r="LM113"/>
      <c r="LN113"/>
      <c r="LO113"/>
      <c r="LP113"/>
      <c r="LQ113"/>
      <c r="LR113"/>
      <c r="LS113"/>
      <c r="LT113"/>
      <c r="LU113"/>
      <c r="LV113"/>
      <c r="LW113"/>
      <c r="LX113"/>
      <c r="LY113"/>
      <c r="LZ113"/>
      <c r="MA113"/>
      <c r="MB113"/>
      <c r="MC113"/>
      <c r="MD113"/>
      <c r="ME113"/>
      <c r="MF113"/>
      <c r="MG113"/>
      <c r="MH113"/>
      <c r="MI113"/>
      <c r="MJ113"/>
      <c r="MK113"/>
      <c r="ML113"/>
      <c r="MM113"/>
      <c r="MN113"/>
      <c r="MO113"/>
      <c r="MP113"/>
      <c r="MQ113"/>
      <c r="MR113"/>
      <c r="MS113"/>
      <c r="MT113"/>
      <c r="MU113"/>
      <c r="MV113"/>
      <c r="MW113"/>
      <c r="MX113"/>
      <c r="MY113"/>
    </row>
    <row r="114" spans="21:363" ht="12.75"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  <c r="JW114"/>
      <c r="JX114"/>
      <c r="JY114"/>
      <c r="JZ114"/>
      <c r="KA114"/>
      <c r="KB114"/>
      <c r="KC114"/>
      <c r="KD114"/>
      <c r="KE114"/>
      <c r="KF114"/>
      <c r="KG114"/>
      <c r="KH114"/>
      <c r="KI114"/>
      <c r="KJ114"/>
      <c r="KK114"/>
      <c r="KL114"/>
      <c r="KM114"/>
      <c r="KN114"/>
      <c r="KO114"/>
      <c r="KP114"/>
      <c r="KQ114"/>
      <c r="KR114"/>
      <c r="KS114"/>
      <c r="KT114"/>
      <c r="KU114"/>
      <c r="KV114"/>
      <c r="KW114"/>
      <c r="KX114"/>
      <c r="KY114"/>
      <c r="KZ114"/>
      <c r="LA114"/>
      <c r="LB114"/>
      <c r="LC114"/>
      <c r="LD114"/>
      <c r="LE114"/>
      <c r="LF114"/>
      <c r="LG114"/>
      <c r="LH114"/>
      <c r="LI114"/>
      <c r="LJ114"/>
      <c r="LK114"/>
      <c r="LL114"/>
      <c r="LM114"/>
      <c r="LN114"/>
      <c r="LO114"/>
      <c r="LP114"/>
      <c r="LQ114"/>
      <c r="LR114"/>
      <c r="LS114"/>
      <c r="LT114"/>
      <c r="LU114"/>
      <c r="LV114"/>
      <c r="LW114"/>
      <c r="LX114"/>
      <c r="LY114"/>
      <c r="LZ114"/>
      <c r="MA114"/>
      <c r="MB114"/>
      <c r="MC114"/>
      <c r="MD114"/>
      <c r="ME114"/>
      <c r="MF114"/>
      <c r="MG114"/>
      <c r="MH114"/>
      <c r="MI114"/>
      <c r="MJ114"/>
      <c r="MK114"/>
      <c r="ML114"/>
      <c r="MM114"/>
      <c r="MN114"/>
      <c r="MO114"/>
      <c r="MP114"/>
      <c r="MQ114"/>
      <c r="MR114"/>
      <c r="MS114"/>
      <c r="MT114"/>
      <c r="MU114"/>
      <c r="MV114"/>
      <c r="MW114"/>
      <c r="MX114"/>
      <c r="MY114"/>
    </row>
    <row r="115" spans="21:363" ht="12.75"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LQ115"/>
      <c r="LR115"/>
      <c r="LS115"/>
      <c r="LT115"/>
      <c r="LU115"/>
      <c r="LV115"/>
      <c r="LW115"/>
      <c r="LX115"/>
      <c r="LY115"/>
      <c r="LZ115"/>
      <c r="MA115"/>
      <c r="MB115"/>
      <c r="MC115"/>
      <c r="MD115"/>
      <c r="ME115"/>
      <c r="MF115"/>
      <c r="MG115"/>
      <c r="MH115"/>
      <c r="MI115"/>
      <c r="MJ115"/>
      <c r="MK115"/>
      <c r="ML115"/>
      <c r="MM115"/>
      <c r="MN115"/>
      <c r="MO115"/>
      <c r="MP115"/>
      <c r="MQ115"/>
      <c r="MR115"/>
      <c r="MS115"/>
      <c r="MT115"/>
      <c r="MU115"/>
      <c r="MV115"/>
      <c r="MW115"/>
      <c r="MX115"/>
      <c r="MY115"/>
    </row>
    <row r="116" spans="21:363" ht="12.75"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  <c r="JW116"/>
      <c r="JX116"/>
      <c r="JY116"/>
      <c r="JZ116"/>
      <c r="KA116"/>
      <c r="KB116"/>
      <c r="KC116"/>
      <c r="KD116"/>
      <c r="KE116"/>
      <c r="KF116"/>
      <c r="KG116"/>
      <c r="KH116"/>
      <c r="KI116"/>
      <c r="KJ116"/>
      <c r="KK116"/>
      <c r="KL116"/>
      <c r="KM116"/>
      <c r="KN116"/>
      <c r="KO116"/>
      <c r="KP116"/>
      <c r="KQ116"/>
      <c r="KR116"/>
      <c r="KS116"/>
      <c r="KT116"/>
      <c r="KU116"/>
      <c r="KV116"/>
      <c r="KW116"/>
      <c r="KX116"/>
      <c r="KY116"/>
      <c r="KZ116"/>
      <c r="LA116"/>
      <c r="LB116"/>
      <c r="LC116"/>
      <c r="LD116"/>
      <c r="LE116"/>
      <c r="LF116"/>
      <c r="LG116"/>
      <c r="LH116"/>
      <c r="LI116"/>
      <c r="LJ116"/>
      <c r="LK116"/>
      <c r="LL116"/>
      <c r="LM116"/>
      <c r="LN116"/>
      <c r="LO116"/>
      <c r="LP116"/>
      <c r="LQ116"/>
      <c r="LR116"/>
      <c r="LS116"/>
      <c r="LT116"/>
      <c r="LU116"/>
      <c r="LV116"/>
      <c r="LW116"/>
      <c r="LX116"/>
      <c r="LY116"/>
      <c r="LZ116"/>
      <c r="MA116"/>
      <c r="MB116"/>
      <c r="MC116"/>
      <c r="MD116"/>
      <c r="ME116"/>
      <c r="MF116"/>
      <c r="MG116"/>
      <c r="MH116"/>
      <c r="MI116"/>
      <c r="MJ116"/>
      <c r="MK116"/>
      <c r="ML116"/>
      <c r="MM116"/>
      <c r="MN116"/>
      <c r="MO116"/>
      <c r="MP116"/>
      <c r="MQ116"/>
      <c r="MR116"/>
      <c r="MS116"/>
      <c r="MT116"/>
      <c r="MU116"/>
      <c r="MV116"/>
      <c r="MW116"/>
      <c r="MX116"/>
      <c r="MY116"/>
    </row>
    <row r="117" spans="21:363" ht="12.75"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  <c r="LM117"/>
      <c r="LN117"/>
      <c r="LO117"/>
      <c r="LP117"/>
      <c r="LQ117"/>
      <c r="LR117"/>
      <c r="LS117"/>
      <c r="LT117"/>
      <c r="LU117"/>
      <c r="LV117"/>
      <c r="LW117"/>
      <c r="LX117"/>
      <c r="LY117"/>
      <c r="LZ117"/>
      <c r="MA117"/>
      <c r="MB117"/>
      <c r="MC117"/>
      <c r="MD117"/>
      <c r="ME117"/>
      <c r="MF117"/>
      <c r="MG117"/>
      <c r="MH117"/>
      <c r="MI117"/>
      <c r="MJ117"/>
      <c r="MK117"/>
      <c r="ML117"/>
      <c r="MM117"/>
      <c r="MN117"/>
      <c r="MO117"/>
      <c r="MP117"/>
      <c r="MQ117"/>
      <c r="MR117"/>
      <c r="MS117"/>
      <c r="MT117"/>
      <c r="MU117"/>
      <c r="MV117"/>
      <c r="MW117"/>
      <c r="MX117"/>
      <c r="MY117"/>
    </row>
    <row r="118" spans="21:363" ht="12.75"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  <c r="LM118"/>
      <c r="LN118"/>
      <c r="LO118"/>
      <c r="LP118"/>
      <c r="LQ118"/>
      <c r="LR118"/>
      <c r="LS118"/>
      <c r="LT118"/>
      <c r="LU118"/>
      <c r="LV118"/>
      <c r="LW118"/>
      <c r="LX118"/>
      <c r="LY118"/>
      <c r="LZ118"/>
      <c r="MA118"/>
      <c r="MB118"/>
      <c r="MC118"/>
      <c r="MD118"/>
      <c r="ME118"/>
      <c r="MF118"/>
      <c r="MG118"/>
      <c r="MH118"/>
      <c r="MI118"/>
      <c r="MJ118"/>
      <c r="MK118"/>
      <c r="ML118"/>
      <c r="MM118"/>
      <c r="MN118"/>
      <c r="MO118"/>
      <c r="MP118"/>
      <c r="MQ118"/>
      <c r="MR118"/>
      <c r="MS118"/>
      <c r="MT118"/>
      <c r="MU118"/>
      <c r="MV118"/>
      <c r="MW118"/>
      <c r="MX118"/>
      <c r="MY118"/>
    </row>
    <row r="119" spans="21:363" ht="12.75"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MQ119"/>
      <c r="MR119"/>
      <c r="MS119"/>
      <c r="MT119"/>
      <c r="MU119"/>
      <c r="MV119"/>
      <c r="MW119"/>
      <c r="MX119"/>
      <c r="MY119"/>
    </row>
    <row r="120" spans="21:363" ht="12.75"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  <c r="LM120"/>
      <c r="LN120"/>
      <c r="LO120"/>
      <c r="LP120"/>
      <c r="LQ120"/>
      <c r="LR120"/>
      <c r="LS120"/>
      <c r="LT120"/>
      <c r="LU120"/>
      <c r="LV120"/>
      <c r="LW120"/>
      <c r="LX120"/>
      <c r="LY120"/>
      <c r="LZ120"/>
      <c r="MA120"/>
      <c r="MB120"/>
      <c r="MC120"/>
      <c r="MD120"/>
      <c r="ME120"/>
      <c r="MF120"/>
      <c r="MG120"/>
      <c r="MH120"/>
      <c r="MI120"/>
      <c r="MJ120"/>
      <c r="MK120"/>
      <c r="ML120"/>
      <c r="MM120"/>
      <c r="MN120"/>
      <c r="MO120"/>
      <c r="MP120"/>
      <c r="MQ120"/>
      <c r="MR120"/>
      <c r="MS120"/>
      <c r="MT120"/>
      <c r="MU120"/>
      <c r="MV120"/>
      <c r="MW120"/>
      <c r="MX120"/>
      <c r="MY120"/>
    </row>
  </sheetData>
  <mergeCells count="7">
    <mergeCell ref="C68:C70"/>
    <mergeCell ref="C3:L3"/>
    <mergeCell ref="C4:L4"/>
    <mergeCell ref="C9:C40"/>
    <mergeCell ref="C42:C44"/>
    <mergeCell ref="C46:C55"/>
    <mergeCell ref="C59:C64"/>
  </mergeCells>
  <pageMargins left="3.937007874015748E-2" right="3.937007874015748E-2" top="0.74803149606299213" bottom="0.35433070866141736" header="0.31496062992125984" footer="0.31496062992125984"/>
  <pageSetup paperSize="9" scale="59" orientation="portrait" r:id="rId5"/>
  <headerFooter alignWithMargins="0">
    <oddHeader>&amp;LBASE Liquidity Report DEPFA - New York   As of start of day:   December  01, 2014&amp;RConfidential</oddHeader>
    <oddFooter>&amp;CBASE Liquidity Report DEPFA - New York   As of start of day:   December  01, 2014</oddFooter>
  </headerFooter>
  <colBreaks count="1" manualBreakCount="1">
    <brk id="18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indexed="44"/>
    <pageSetUpPr fitToPage="1"/>
  </sheetPr>
  <dimension ref="A1:NB122"/>
  <sheetViews>
    <sheetView view="pageBreakPreview" zoomScale="85" zoomScaleNormal="85" zoomScaleSheetLayoutView="85" workbookViewId="0">
      <pane xSplit="4" ySplit="7" topLeftCell="E8" activePane="bottomRight" state="frozen"/>
      <selection activeCell="C1" sqref="C1"/>
      <selection pane="topRight" activeCell="C1" sqref="C1"/>
      <selection pane="bottomLeft" activeCell="C1" sqref="C1"/>
      <selection pane="bottomRight" activeCell="T23" sqref="T23"/>
    </sheetView>
  </sheetViews>
  <sheetFormatPr defaultRowHeight="12" outlineLevelRow="1"/>
  <cols>
    <col min="1" max="1" width="4.85546875" style="9" customWidth="1"/>
    <col min="2" max="2" width="1.5703125" style="9" customWidth="1"/>
    <col min="3" max="3" width="14.140625" style="151" customWidth="1"/>
    <col min="4" max="4" width="38.5703125" style="151" customWidth="1"/>
    <col min="5" max="10" width="8.85546875" style="151" bestFit="1" customWidth="1"/>
    <col min="11" max="11" width="7.85546875" style="151" bestFit="1" customWidth="1"/>
    <col min="12" max="13" width="8.85546875" style="151" bestFit="1" customWidth="1"/>
    <col min="14" max="14" width="9.85546875" style="151" bestFit="1" customWidth="1"/>
    <col min="15" max="15" width="8.85546875" style="151" bestFit="1" customWidth="1"/>
    <col min="16" max="16" width="9.85546875" style="151" bestFit="1" customWidth="1"/>
    <col min="17" max="17" width="9.140625" style="151" customWidth="1"/>
    <col min="18" max="18" width="0.85546875" style="2" customWidth="1"/>
    <col min="19" max="20" width="9.140625" style="151"/>
    <col min="21" max="21" width="26.42578125" style="151" customWidth="1"/>
    <col min="22" max="22" width="11.85546875" style="151" customWidth="1"/>
    <col min="23" max="157" width="17.28515625" style="151" customWidth="1"/>
    <col min="158" max="158" width="11.85546875" style="151" customWidth="1"/>
    <col min="159" max="161" width="17.28515625" style="151" customWidth="1"/>
    <col min="162" max="162" width="11.85546875" style="151" customWidth="1"/>
    <col min="163" max="189" width="17.28515625" style="151" customWidth="1"/>
    <col min="190" max="190" width="11.85546875" style="151" customWidth="1"/>
    <col min="191" max="220" width="17.28515625" style="151" customWidth="1"/>
    <col min="221" max="260" width="17.28515625" style="151" bestFit="1" customWidth="1"/>
    <col min="261" max="261" width="17.28515625" style="151" customWidth="1"/>
    <col min="262" max="272" width="17.28515625" style="151" bestFit="1" customWidth="1"/>
    <col min="273" max="273" width="11.28515625" style="151" customWidth="1"/>
    <col min="274" max="276" width="17.28515625" style="151" bestFit="1" customWidth="1"/>
    <col min="277" max="277" width="11.28515625" style="151" customWidth="1"/>
    <col min="278" max="279" width="17.28515625" style="151" bestFit="1" customWidth="1"/>
    <col min="280" max="281" width="17.28515625" style="151" customWidth="1"/>
    <col min="282" max="283" width="11.28515625" style="151" customWidth="1"/>
    <col min="284" max="292" width="17.28515625" style="151" bestFit="1" customWidth="1"/>
    <col min="293" max="293" width="11.28515625" style="151" customWidth="1"/>
    <col min="294" max="295" width="17.28515625" style="151" bestFit="1" customWidth="1"/>
    <col min="296" max="296" width="11.85546875" style="151" customWidth="1"/>
    <col min="297" max="305" width="17.28515625" style="151" bestFit="1" customWidth="1"/>
    <col min="306" max="307" width="17.28515625" style="151" customWidth="1"/>
    <col min="308" max="308" width="11.28515625" style="151" customWidth="1"/>
    <col min="309" max="358" width="17.28515625" style="151" bestFit="1" customWidth="1"/>
    <col min="359" max="359" width="17.28515625" style="151" customWidth="1"/>
    <col min="360" max="360" width="17.28515625" style="151" bestFit="1" customWidth="1"/>
    <col min="361" max="362" width="17.28515625" style="151" customWidth="1"/>
    <col min="363" max="363" width="17.28515625" style="151" bestFit="1" customWidth="1"/>
    <col min="364" max="364" width="11.28515625" style="151" bestFit="1" customWidth="1"/>
    <col min="365" max="16384" width="9.140625" style="151"/>
  </cols>
  <sheetData>
    <row r="1" spans="1:27">
      <c r="A1" s="3"/>
      <c r="B1" s="3"/>
      <c r="D1" s="14" t="s">
        <v>97</v>
      </c>
      <c r="E1" s="1">
        <f t="shared" ref="E1:Q1" si="0">WORKDAY(E2+1,-1)</f>
        <v>42522</v>
      </c>
      <c r="F1" s="1">
        <f t="shared" si="0"/>
        <v>42524</v>
      </c>
      <c r="G1" s="1">
        <f t="shared" si="0"/>
        <v>42527</v>
      </c>
      <c r="H1" s="1">
        <f t="shared" si="0"/>
        <v>42528</v>
      </c>
      <c r="I1" s="1">
        <f t="shared" si="0"/>
        <v>42529</v>
      </c>
      <c r="J1" s="1">
        <f t="shared" si="0"/>
        <v>42536</v>
      </c>
      <c r="K1" s="1">
        <f t="shared" si="0"/>
        <v>42543</v>
      </c>
      <c r="L1" s="1">
        <f t="shared" si="0"/>
        <v>42552</v>
      </c>
      <c r="M1" s="1">
        <f t="shared" si="0"/>
        <v>42614</v>
      </c>
      <c r="N1" s="1">
        <f t="shared" si="0"/>
        <v>42705</v>
      </c>
      <c r="O1" s="1">
        <f t="shared" si="0"/>
        <v>42887</v>
      </c>
      <c r="P1" s="1">
        <f t="shared" si="0"/>
        <v>43070</v>
      </c>
      <c r="Q1" s="1">
        <f t="shared" si="0"/>
        <v>43252</v>
      </c>
    </row>
    <row r="2" spans="1:27">
      <c r="A2" s="3"/>
      <c r="B2" s="3"/>
      <c r="C2" s="2"/>
      <c r="D2" s="9" t="s">
        <v>98</v>
      </c>
      <c r="E2" s="1">
        <f>VLOOKUP(E6,Lookups!$B:$C,2,0)</f>
        <v>42522</v>
      </c>
      <c r="F2" s="1">
        <f>VLOOKUP(F6,Lookups!$B:$C,2,0)</f>
        <v>42524</v>
      </c>
      <c r="G2" s="1">
        <f>VLOOKUP(G6,Lookups!$B:$C,2,0)</f>
        <v>42527</v>
      </c>
      <c r="H2" s="1">
        <f>VLOOKUP(H6,Lookups!$B:$C,2,0)</f>
        <v>42528</v>
      </c>
      <c r="I2" s="1">
        <f>VLOOKUP(I6,Lookups!$B:$C,2,0)</f>
        <v>42529</v>
      </c>
      <c r="J2" s="1">
        <f>VLOOKUP(J6,Lookups!$B:$C,2,0)</f>
        <v>42536</v>
      </c>
      <c r="K2" s="1">
        <f>VLOOKUP(K6,Lookups!$B:$C,2,0)</f>
        <v>42543</v>
      </c>
      <c r="L2" s="1">
        <f>VLOOKUP(L6,Lookups!$B:$C,2,0)</f>
        <v>42552</v>
      </c>
      <c r="M2" s="1">
        <f>VLOOKUP(M6,Lookups!$B:$C,2,0)</f>
        <v>42614</v>
      </c>
      <c r="N2" s="1">
        <f>VLOOKUP(N6,Lookups!$B:$C,2,0)</f>
        <v>42705</v>
      </c>
      <c r="O2" s="1">
        <f>VLOOKUP(O6,Lookups!$B:$C,2,0)</f>
        <v>42887</v>
      </c>
      <c r="P2" s="1">
        <f>VLOOKUP(P6,Lookups!$B:$C,2,0)</f>
        <v>43070</v>
      </c>
      <c r="Q2" s="1">
        <f>VLOOKUP(Q6,Lookups!$B:$C,2,0)</f>
        <v>43252</v>
      </c>
    </row>
    <row r="3" spans="1:27" ht="19.149999999999999" customHeight="1">
      <c r="A3" s="3"/>
      <c r="B3" s="3"/>
      <c r="C3" s="259" t="s">
        <v>1781</v>
      </c>
      <c r="D3" s="260"/>
      <c r="E3" s="260"/>
      <c r="F3" s="260"/>
      <c r="G3" s="260"/>
      <c r="H3" s="260"/>
      <c r="I3" s="260"/>
      <c r="J3" s="260"/>
      <c r="K3" s="260"/>
      <c r="L3" s="260"/>
      <c r="M3" s="4"/>
      <c r="N3" s="4"/>
      <c r="O3" s="4"/>
      <c r="P3" s="4"/>
      <c r="Q3" s="4"/>
    </row>
    <row r="4" spans="1:27" ht="19.149999999999999" customHeight="1">
      <c r="A4" s="3"/>
      <c r="B4" s="3"/>
      <c r="C4" s="261" t="str">
        <f>"As of start of day:   "&amp;TEXT(Report_date,"Mmmm  dd, yyyy")</f>
        <v>As of start of day:   June  01, 2016</v>
      </c>
      <c r="D4" s="262"/>
      <c r="E4" s="262"/>
      <c r="F4" s="262"/>
      <c r="G4" s="262"/>
      <c r="H4" s="262"/>
      <c r="I4" s="262"/>
      <c r="J4" s="262"/>
      <c r="K4" s="262"/>
      <c r="L4" s="262"/>
      <c r="M4" s="4"/>
      <c r="N4" s="5" t="s">
        <v>99</v>
      </c>
      <c r="O4" s="5" t="s">
        <v>100</v>
      </c>
      <c r="P4" s="5"/>
      <c r="Q4" s="5" t="s">
        <v>58</v>
      </c>
    </row>
    <row r="5" spans="1:27">
      <c r="A5" s="3"/>
      <c r="B5" s="3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</row>
    <row r="6" spans="1:27">
      <c r="A6" s="3"/>
      <c r="B6" s="3"/>
      <c r="C6" s="2"/>
      <c r="D6" s="2"/>
      <c r="E6" s="157" t="s">
        <v>101</v>
      </c>
      <c r="F6" s="158" t="s">
        <v>102</v>
      </c>
      <c r="G6" s="158" t="s">
        <v>103</v>
      </c>
      <c r="H6" s="158" t="s">
        <v>104</v>
      </c>
      <c r="I6" s="158" t="s">
        <v>105</v>
      </c>
      <c r="J6" s="158" t="s">
        <v>106</v>
      </c>
      <c r="K6" s="158" t="s">
        <v>107</v>
      </c>
      <c r="L6" s="158" t="s">
        <v>108</v>
      </c>
      <c r="M6" s="158" t="s">
        <v>109</v>
      </c>
      <c r="N6" s="158" t="s">
        <v>110</v>
      </c>
      <c r="O6" s="158" t="s">
        <v>111</v>
      </c>
      <c r="P6" s="158" t="s">
        <v>112</v>
      </c>
      <c r="Q6" s="158" t="s">
        <v>113</v>
      </c>
    </row>
    <row r="7" spans="1:27">
      <c r="A7" s="3"/>
      <c r="B7" s="3"/>
      <c r="C7" s="2"/>
      <c r="D7" s="2"/>
      <c r="E7" s="159">
        <f>VLOOKUP(E6,Lookups!$B$4:$C$16,2,0)</f>
        <v>42523</v>
      </c>
      <c r="F7" s="159">
        <f>VLOOKUP(F6,Lookups!$B:$C,2,0)</f>
        <v>42524</v>
      </c>
      <c r="G7" s="159">
        <f>VLOOKUP(G6,Lookups!$B:$C,2,0)</f>
        <v>42527</v>
      </c>
      <c r="H7" s="159">
        <f>VLOOKUP(H6,Lookups!$B:$C,2,0)</f>
        <v>42528</v>
      </c>
      <c r="I7" s="159">
        <f>VLOOKUP(I6,Lookups!$B:$C,2,0)</f>
        <v>42529</v>
      </c>
      <c r="J7" s="159">
        <f>VLOOKUP(J6,Lookups!$B:$C,2,0)</f>
        <v>42536</v>
      </c>
      <c r="K7" s="159">
        <f>VLOOKUP(K6,Lookups!$B:$C,2,0)</f>
        <v>42543</v>
      </c>
      <c r="L7" s="159">
        <f>VLOOKUP(L6,Lookups!$B:$C,2,0)</f>
        <v>42552</v>
      </c>
      <c r="M7" s="159">
        <f>VLOOKUP(M6,Lookups!$B:$C,2,0)</f>
        <v>42614</v>
      </c>
      <c r="N7" s="159">
        <f>VLOOKUP(N6,Lookups!$B:$C,2,0)</f>
        <v>42705</v>
      </c>
      <c r="O7" s="159">
        <f>VLOOKUP(O6,Lookups!$B:$C,2,0)</f>
        <v>42887</v>
      </c>
      <c r="P7" s="159">
        <f>VLOOKUP(P6,Lookups!$B:$C,2,0)</f>
        <v>43070</v>
      </c>
      <c r="Q7" s="159">
        <f>VLOOKUP(Q6,Lookups!$B:$C,2,0)</f>
        <v>43252</v>
      </c>
    </row>
    <row r="8" spans="1:27" s="2" customFormat="1">
      <c r="A8" s="3"/>
      <c r="B8" s="3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</row>
    <row r="9" spans="1:27">
      <c r="A9" s="7"/>
      <c r="B9" s="7"/>
      <c r="C9" s="256" t="s">
        <v>114</v>
      </c>
      <c r="D9" s="43" t="s">
        <v>115</v>
      </c>
      <c r="E9" s="51">
        <f>Total_Nostro_USD/1000000</f>
        <v>62.169500422124997</v>
      </c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44"/>
    </row>
    <row r="10" spans="1:27" ht="12.75" outlineLevel="1">
      <c r="A10" s="7"/>
      <c r="B10" s="7"/>
      <c r="C10" s="263"/>
      <c r="D10" s="8" t="s">
        <v>116</v>
      </c>
      <c r="E10" s="237">
        <f>1*SUMIF('XXXXPLC_NY Query output'!$D:$D,E$6&amp;"_"&amp;"Ext"&amp;"_"&amp;$D10,'XXXXPLC_NY Query output'!$I:$I)/1000000</f>
        <v>30</v>
      </c>
      <c r="F10" s="6">
        <f>1*SUMIF('XXXXPLC_NY Query output'!$D:$D,F$6&amp;"_"&amp;"Ext"&amp;"_"&amp;$D10,'XXXXPLC_NY Query output'!$I:$I)/1000000</f>
        <v>0</v>
      </c>
      <c r="G10" s="6">
        <f>1*SUMIF('XXXXPLC_NY Query output'!$D:$D,G$6&amp;"_"&amp;"Ext"&amp;"_"&amp;$D10,'XXXXPLC_NY Query output'!$I:$I)/1000000</f>
        <v>0</v>
      </c>
      <c r="H10" s="6">
        <f>1*SUMIF('XXXXPLC_NY Query output'!$D:$D,H$6&amp;"_"&amp;"Ext"&amp;"_"&amp;$D10,'XXXXPLC_NY Query output'!$I:$I)/1000000</f>
        <v>0</v>
      </c>
      <c r="I10" s="6">
        <f>1*SUMIF('XXXXPLC_NY Query output'!$D:$D,I$6&amp;"_"&amp;"Ext"&amp;"_"&amp;$D10,'XXXXPLC_NY Query output'!$I:$I)/1000000</f>
        <v>0</v>
      </c>
      <c r="J10" s="6">
        <f>1*SUMIF('XXXXPLC_NY Query output'!$D:$D,J$6&amp;"_"&amp;"Ext"&amp;"_"&amp;$D10,'XXXXPLC_NY Query output'!$I:$I)/1000000</f>
        <v>0</v>
      </c>
      <c r="K10" s="6">
        <f>1*SUMIF('XXXXPLC_NY Query output'!$D:$D,K$6&amp;"_"&amp;"Ext"&amp;"_"&amp;$D10,'XXXXPLC_NY Query output'!$I:$I)/1000000</f>
        <v>0</v>
      </c>
      <c r="L10" s="6">
        <f>1*SUMIF('XXXXPLC_NY Query output'!$D:$D,L$6&amp;"_"&amp;"Ext"&amp;"_"&amp;$D10,'XXXXPLC_NY Query output'!$I:$I)/1000000</f>
        <v>0</v>
      </c>
      <c r="M10" s="6">
        <f>1*SUMIF('XXXXPLC_NY Query output'!$D:$D,M$6&amp;"_"&amp;"Ext"&amp;"_"&amp;$D10,'XXXXPLC_NY Query output'!$I:$I)/1000000</f>
        <v>216.5</v>
      </c>
      <c r="N10" s="6">
        <f>1*SUMIF('XXXXPLC_NY Query output'!$D:$D,N$6&amp;"_"&amp;"Ext"&amp;"_"&amp;$D10,'XXXXPLC_NY Query output'!$I:$I)/1000000</f>
        <v>0</v>
      </c>
      <c r="O10" s="6">
        <f>1*SUMIF('XXXXPLC_NY Query output'!$D:$D,O$6&amp;"_"&amp;"Ext"&amp;"_"&amp;$D10,'XXXXPLC_NY Query output'!$I:$I)/1000000</f>
        <v>0</v>
      </c>
      <c r="P10" s="6">
        <f>1*SUMIF('XXXXPLC_NY Query output'!$D:$D,P$6&amp;"_"&amp;"Ext"&amp;"_"&amp;$D10,'XXXXPLC_NY Query output'!$I:$I)/1000000</f>
        <v>0</v>
      </c>
      <c r="Q10" s="46">
        <f>1*SUMIF('XXXXPLC_NY Query output'!$D:$D,Q$6&amp;"_"&amp;"Ext"&amp;"_"&amp;$D10,'XXXXPLC_NY Query output'!$I:$I)/1000000</f>
        <v>0</v>
      </c>
      <c r="U10" s="85" t="s">
        <v>152</v>
      </c>
      <c r="V10" s="86" t="s">
        <v>66</v>
      </c>
      <c r="W10"/>
    </row>
    <row r="11" spans="1:27" ht="12.75" outlineLevel="1">
      <c r="A11" s="7"/>
      <c r="B11" s="7"/>
      <c r="C11" s="263"/>
      <c r="D11" s="8" t="s">
        <v>117</v>
      </c>
      <c r="E11" s="237">
        <f>1*SUMIF('XXXXPLC_NY Query output'!$D:$D,E$6&amp;"_"&amp;"Ext"&amp;"_"&amp;$D11,'XXXXPLC_NY Query output'!$I:$I)/1000000</f>
        <v>0</v>
      </c>
      <c r="F11" s="6">
        <f>1*SUMIF('XXXXPLC_NY Query output'!$D:$D,F$6&amp;"_"&amp;"Ext"&amp;"_"&amp;$D11,'XXXXPLC_NY Query output'!$I:$I)/1000000</f>
        <v>0</v>
      </c>
      <c r="G11" s="6">
        <f>1*SUMIF('XXXXPLC_NY Query output'!$D:$D,G$6&amp;"_"&amp;"Ext"&amp;"_"&amp;$D11,'XXXXPLC_NY Query output'!$I:$I)/1000000</f>
        <v>0</v>
      </c>
      <c r="H11" s="6">
        <f>1*SUMIF('XXXXPLC_NY Query output'!$D:$D,H$6&amp;"_"&amp;"Ext"&amp;"_"&amp;$D11,'XXXXPLC_NY Query output'!$I:$I)/1000000</f>
        <v>0</v>
      </c>
      <c r="I11" s="6">
        <f>1*SUMIF('XXXXPLC_NY Query output'!$D:$D,I$6&amp;"_"&amp;"Ext"&amp;"_"&amp;$D11,'XXXXPLC_NY Query output'!$I:$I)/1000000</f>
        <v>0</v>
      </c>
      <c r="J11" s="6">
        <f>1*SUMIF('XXXXPLC_NY Query output'!$D:$D,J$6&amp;"_"&amp;"Ext"&amp;"_"&amp;$D11,'XXXXPLC_NY Query output'!$I:$I)/1000000</f>
        <v>0</v>
      </c>
      <c r="K11" s="6">
        <f>1*SUMIF('XXXXPLC_NY Query output'!$D:$D,K$6&amp;"_"&amp;"Ext"&amp;"_"&amp;$D11,'XXXXPLC_NY Query output'!$I:$I)/1000000</f>
        <v>0</v>
      </c>
      <c r="L11" s="6">
        <f>1*SUMIF('XXXXPLC_NY Query output'!$D:$D,L$6&amp;"_"&amp;"Ext"&amp;"_"&amp;$D11,'XXXXPLC_NY Query output'!$I:$I)/1000000</f>
        <v>0</v>
      </c>
      <c r="M11" s="6">
        <f>1*SUMIF('XXXXPLC_NY Query output'!$D:$D,M$6&amp;"_"&amp;"Ext"&amp;"_"&amp;$D11,'XXXXPLC_NY Query output'!$I:$I)/1000000</f>
        <v>0</v>
      </c>
      <c r="N11" s="6">
        <f>1*SUMIF('XXXXPLC_NY Query output'!$D:$D,N$6&amp;"_"&amp;"Ext"&amp;"_"&amp;$D11,'XXXXPLC_NY Query output'!$I:$I)/1000000</f>
        <v>0</v>
      </c>
      <c r="O11" s="6">
        <f>1*SUMIF('XXXXPLC_NY Query output'!$D:$D,O$6&amp;"_"&amp;"Ext"&amp;"_"&amp;$D11,'XXXXPLC_NY Query output'!$I:$I)/1000000</f>
        <v>0</v>
      </c>
      <c r="P11" s="6">
        <f>1*SUMIF('XXXXPLC_NY Query output'!$D:$D,P$6&amp;"_"&amp;"Ext"&amp;"_"&amp;$D11,'XXXXPLC_NY Query output'!$I:$I)/1000000</f>
        <v>0</v>
      </c>
      <c r="Q11" s="46">
        <f>1*SUMIF('XXXXPLC_NY Query output'!$D:$D,Q$6&amp;"_"&amp;"Ext"&amp;"_"&amp;$D11,'XXXXPLC_NY Query output'!$I:$I)/1000000</f>
        <v>0</v>
      </c>
      <c r="U11"/>
      <c r="V11"/>
      <c r="W11"/>
    </row>
    <row r="12" spans="1:27" ht="12.75" outlineLevel="1">
      <c r="A12" s="7"/>
      <c r="B12" s="7"/>
      <c r="C12" s="263"/>
      <c r="D12" s="8" t="s">
        <v>118</v>
      </c>
      <c r="E12" s="237">
        <f>1*SUMIF('XXXXPLC_NY Query output'!$D:$D,E$6&amp;"_"&amp;"Ext"&amp;"_"&amp;$D12,'XXXXPLC_NY Query output'!$I:$I)/1000000</f>
        <v>0</v>
      </c>
      <c r="F12" s="6">
        <f>1*SUMIF('XXXXPLC_NY Query output'!$D:$D,F$6&amp;"_"&amp;"Ext"&amp;"_"&amp;$D12,'XXXXPLC_NY Query output'!$I:$I)/1000000</f>
        <v>0</v>
      </c>
      <c r="G12" s="6">
        <f>1*SUMIF('XXXXPLC_NY Query output'!$D:$D,G$6&amp;"_"&amp;"Ext"&amp;"_"&amp;$D12,'XXXXPLC_NY Query output'!$I:$I)/1000000</f>
        <v>0</v>
      </c>
      <c r="H12" s="6">
        <f>1*SUMIF('XXXXPLC_NY Query output'!$D:$D,H$6&amp;"_"&amp;"Ext"&amp;"_"&amp;$D12,'XXXXPLC_NY Query output'!$I:$I)/1000000</f>
        <v>0</v>
      </c>
      <c r="I12" s="6">
        <f>1*SUMIF('XXXXPLC_NY Query output'!$D:$D,I$6&amp;"_"&amp;"Ext"&amp;"_"&amp;$D12,'XXXXPLC_NY Query output'!$I:$I)/1000000</f>
        <v>0</v>
      </c>
      <c r="J12" s="6">
        <f>1*SUMIF('XXXXPLC_NY Query output'!$D:$D,J$6&amp;"_"&amp;"Ext"&amp;"_"&amp;$D12,'XXXXPLC_NY Query output'!$I:$I)/1000000</f>
        <v>0</v>
      </c>
      <c r="K12" s="6">
        <f>1*SUMIF('XXXXPLC_NY Query output'!$D:$D,K$6&amp;"_"&amp;"Ext"&amp;"_"&amp;$D12,'XXXXPLC_NY Query output'!$I:$I)/1000000</f>
        <v>0</v>
      </c>
      <c r="L12" s="6">
        <f>1*SUMIF('XXXXPLC_NY Query output'!$D:$D,L$6&amp;"_"&amp;"Ext"&amp;"_"&amp;$D12,'XXXXPLC_NY Query output'!$I:$I)/1000000</f>
        <v>0</v>
      </c>
      <c r="M12" s="6">
        <f>1*SUMIF('XXXXPLC_NY Query output'!$D:$D,M$6&amp;"_"&amp;"Ext"&amp;"_"&amp;$D12,'XXXXPLC_NY Query output'!$I:$I)/1000000</f>
        <v>0</v>
      </c>
      <c r="N12" s="6">
        <f>1*SUMIF('XXXXPLC_NY Query output'!$D:$D,N$6&amp;"_"&amp;"Ext"&amp;"_"&amp;$D12,'XXXXPLC_NY Query output'!$I:$I)/1000000</f>
        <v>0</v>
      </c>
      <c r="O12" s="6">
        <f>1*SUMIF('XXXXPLC_NY Query output'!$D:$D,O$6&amp;"_"&amp;"Ext"&amp;"_"&amp;$D12,'XXXXPLC_NY Query output'!$I:$I)/1000000</f>
        <v>0</v>
      </c>
      <c r="P12" s="6">
        <f>1*SUMIF('XXXXPLC_NY Query output'!$D:$D,P$6&amp;"_"&amp;"Ext"&amp;"_"&amp;$D12,'XXXXPLC_NY Query output'!$I:$I)/1000000</f>
        <v>0</v>
      </c>
      <c r="Q12" s="46">
        <f>1*SUMIF('XXXXPLC_NY Query output'!$D:$D,Q$6&amp;"_"&amp;"Ext"&amp;"_"&amp;$D12,'XXXXPLC_NY Query output'!$I:$I)/1000000</f>
        <v>0</v>
      </c>
      <c r="U12" s="80" t="s">
        <v>266</v>
      </c>
      <c r="V12" s="81"/>
      <c r="W12"/>
      <c r="X12"/>
      <c r="Y12"/>
      <c r="Z12"/>
      <c r="AA12"/>
    </row>
    <row r="13" spans="1:27" ht="12.75" outlineLevel="1">
      <c r="A13" s="7"/>
      <c r="B13" s="7"/>
      <c r="C13" s="263"/>
      <c r="D13" s="8" t="s">
        <v>69</v>
      </c>
      <c r="E13" s="237">
        <f>1*SUMIF('XXXXPLC_NY Query output'!$D:$D,E$6&amp;"_"&amp;"Ext"&amp;"_"&amp;$D13,'XXXXPLC_NY Query output'!$I:$I)/1000000</f>
        <v>0</v>
      </c>
      <c r="F13" s="6">
        <f>1*SUMIF('XXXXPLC_NY Query output'!$D:$D,F$6&amp;"_"&amp;"Ext"&amp;"_"&amp;$D13,'XXXXPLC_NY Query output'!$I:$I)/1000000</f>
        <v>0</v>
      </c>
      <c r="G13" s="6">
        <f>1*SUMIF('XXXXPLC_NY Query output'!$D:$D,G$6&amp;"_"&amp;"Ext"&amp;"_"&amp;$D13,'XXXXPLC_NY Query output'!$I:$I)/1000000</f>
        <v>0</v>
      </c>
      <c r="H13" s="6">
        <f>1*SUMIF('XXXXPLC_NY Query output'!$D:$D,H$6&amp;"_"&amp;"Ext"&amp;"_"&amp;$D13,'XXXXPLC_NY Query output'!$I:$I)/1000000</f>
        <v>0</v>
      </c>
      <c r="I13" s="6">
        <f>1*SUMIF('XXXXPLC_NY Query output'!$D:$D,I$6&amp;"_"&amp;"Ext"&amp;"_"&amp;$D13,'XXXXPLC_NY Query output'!$I:$I)/1000000</f>
        <v>0</v>
      </c>
      <c r="J13" s="6">
        <f>1*SUMIF('XXXXPLC_NY Query output'!$D:$D,J$6&amp;"_"&amp;"Ext"&amp;"_"&amp;$D13,'XXXXPLC_NY Query output'!$I:$I)/1000000</f>
        <v>0</v>
      </c>
      <c r="K13" s="6">
        <f>1*SUMIF('XXXXPLC_NY Query output'!$D:$D,K$6&amp;"_"&amp;"Ext"&amp;"_"&amp;$D13,'XXXXPLC_NY Query output'!$I:$I)/1000000</f>
        <v>0</v>
      </c>
      <c r="L13" s="6">
        <f>1*SUMIF('XXXXPLC_NY Query output'!$D:$D,L$6&amp;"_"&amp;"Ext"&amp;"_"&amp;$D13,'XXXXPLC_NY Query output'!$I:$I)/1000000</f>
        <v>0</v>
      </c>
      <c r="M13" s="6">
        <f>1*SUMIF('XXXXPLC_NY Query output'!$D:$D,M$6&amp;"_"&amp;"Ext"&amp;"_"&amp;$D13,'XXXXPLC_NY Query output'!$I:$I)/1000000</f>
        <v>0</v>
      </c>
      <c r="N13" s="6">
        <f>1*SUMIF('XXXXPLC_NY Query output'!$D:$D,N$6&amp;"_"&amp;"Ext"&amp;"_"&amp;$D13,'XXXXPLC_NY Query output'!$I:$I)/1000000</f>
        <v>0</v>
      </c>
      <c r="O13" s="6">
        <f>1*SUMIF('XXXXPLC_NY Query output'!$D:$D,O$6&amp;"_"&amp;"Ext"&amp;"_"&amp;$D13,'XXXXPLC_NY Query output'!$I:$I)/1000000</f>
        <v>0</v>
      </c>
      <c r="P13" s="6">
        <f>1*SUMIF('XXXXPLC_NY Query output'!$D:$D,P$6&amp;"_"&amp;"Ext"&amp;"_"&amp;$D13,'XXXXPLC_NY Query output'!$I:$I)/1000000</f>
        <v>0</v>
      </c>
      <c r="Q13" s="46">
        <f>1*SUMIF('XXXXPLC_NY Query output'!$D:$D,Q$6&amp;"_"&amp;"Ext"&amp;"_"&amp;$D13,'XXXXPLC_NY Query output'!$I:$I)/1000000</f>
        <v>0</v>
      </c>
      <c r="U13" s="80" t="s">
        <v>150</v>
      </c>
      <c r="V13" s="81" t="s">
        <v>62</v>
      </c>
      <c r="W13"/>
      <c r="X13"/>
      <c r="Y13"/>
      <c r="Z13"/>
      <c r="AA13"/>
    </row>
    <row r="14" spans="1:27" ht="12.75" outlineLevel="1">
      <c r="A14" s="7"/>
      <c r="B14" s="7"/>
      <c r="C14" s="263"/>
      <c r="D14" s="8" t="s">
        <v>172</v>
      </c>
      <c r="E14" s="237">
        <f>1*SUMIF('XXXXPLC_NY Query output'!$D:$D,E$6&amp;"_"&amp;"Ext"&amp;"_"&amp;$D14,'XXXXPLC_NY Query output'!$I:$I)/1000000</f>
        <v>0</v>
      </c>
      <c r="F14" s="6">
        <f>1*SUMIF('XXXXPLC_NY Query output'!$D:$D,F$6&amp;"_"&amp;"Ext"&amp;"_"&amp;$D14,'XXXXPLC_NY Query output'!$I:$I)/1000000</f>
        <v>0</v>
      </c>
      <c r="G14" s="6">
        <f>1*SUMIF('XXXXPLC_NY Query output'!$D:$D,G$6&amp;"_"&amp;"Ext"&amp;"_"&amp;$D14,'XXXXPLC_NY Query output'!$I:$I)/1000000</f>
        <v>0</v>
      </c>
      <c r="H14" s="6">
        <f>1*SUMIF('XXXXPLC_NY Query output'!$D:$D,H$6&amp;"_"&amp;"Ext"&amp;"_"&amp;$D14,'XXXXPLC_NY Query output'!$I:$I)/1000000</f>
        <v>0</v>
      </c>
      <c r="I14" s="6">
        <f>1*SUMIF('XXXXPLC_NY Query output'!$D:$D,I$6&amp;"_"&amp;"Ext"&amp;"_"&amp;$D14,'XXXXPLC_NY Query output'!$I:$I)/1000000</f>
        <v>0</v>
      </c>
      <c r="J14" s="6">
        <f>1*SUMIF('XXXXPLC_NY Query output'!$D:$D,J$6&amp;"_"&amp;"Ext"&amp;"_"&amp;$D14,'XXXXPLC_NY Query output'!$I:$I)/1000000</f>
        <v>0</v>
      </c>
      <c r="K14" s="6">
        <f>1*SUMIF('XXXXPLC_NY Query output'!$D:$D,K$6&amp;"_"&amp;"Ext"&amp;"_"&amp;$D14,'XXXXPLC_NY Query output'!$I:$I)/1000000</f>
        <v>15.19182161</v>
      </c>
      <c r="L14" s="6">
        <f>1*SUMIF('XXXXPLC_NY Query output'!$D:$D,L$6&amp;"_"&amp;"Ext"&amp;"_"&amp;$D14,'XXXXPLC_NY Query output'!$I:$I)/1000000</f>
        <v>0</v>
      </c>
      <c r="M14" s="6">
        <f>1*SUMIF('XXXXPLC_NY Query output'!$D:$D,M$6&amp;"_"&amp;"Ext"&amp;"_"&amp;$D14,'XXXXPLC_NY Query output'!$I:$I)/1000000</f>
        <v>-49.312721619999998</v>
      </c>
      <c r="N14" s="6">
        <f>1*SUMIF('XXXXPLC_NY Query output'!$D:$D,N$6&amp;"_"&amp;"Ext"&amp;"_"&amp;$D14,'XXXXPLC_NY Query output'!$I:$I)/1000000</f>
        <v>47.925815019999995</v>
      </c>
      <c r="O14" s="6">
        <f>1*SUMIF('XXXXPLC_NY Query output'!$D:$D,O$6&amp;"_"&amp;"Ext"&amp;"_"&amp;$D14,'XXXXPLC_NY Query output'!$I:$I)/1000000</f>
        <v>-13.317687779999993</v>
      </c>
      <c r="P14" s="6">
        <f>1*SUMIF('XXXXPLC_NY Query output'!$D:$D,P$6&amp;"_"&amp;"Ext"&amp;"_"&amp;$D14,'XXXXPLC_NY Query output'!$I:$I)/1000000</f>
        <v>17.638308349999999</v>
      </c>
      <c r="Q14" s="46">
        <f>1*SUMIF('XXXXPLC_NY Query output'!$D:$D,Q$6&amp;"_"&amp;"Ext"&amp;"_"&amp;$D14,'XXXXPLC_NY Query output'!$I:$I)/1000000</f>
        <v>-15.440056440000008</v>
      </c>
      <c r="U14" s="82" t="s">
        <v>265</v>
      </c>
      <c r="V14" s="87">
        <v>-2174986.0700000003</v>
      </c>
      <c r="W14"/>
      <c r="X14"/>
      <c r="Y14"/>
      <c r="Z14"/>
      <c r="AA14"/>
    </row>
    <row r="15" spans="1:27" ht="12.75" outlineLevel="1">
      <c r="A15" s="7"/>
      <c r="B15" s="7"/>
      <c r="C15" s="263"/>
      <c r="D15" s="8" t="s">
        <v>190</v>
      </c>
      <c r="E15" s="237">
        <f>1*SUMIF('XXXXPLC_NY Query output'!$D:$D,E$6&amp;"_"&amp;"Ext"&amp;"_"&amp;$D15,'XXXXPLC_NY Query output'!$I:$I)/1000000</f>
        <v>0</v>
      </c>
      <c r="F15" s="6">
        <f>1*SUMIF('XXXXPLC_NY Query output'!$D:$D,F$6&amp;"_"&amp;"Ext"&amp;"_"&amp;$D15,'XXXXPLC_NY Query output'!$I:$I)/1000000</f>
        <v>0</v>
      </c>
      <c r="G15" s="6">
        <f>1*SUMIF('XXXXPLC_NY Query output'!$D:$D,G$6&amp;"_"&amp;"Ext"&amp;"_"&amp;$D15,'XXXXPLC_NY Query output'!$I:$I)/1000000</f>
        <v>0</v>
      </c>
      <c r="H15" s="6">
        <f>1*SUMIF('XXXXPLC_NY Query output'!$D:$D,H$6&amp;"_"&amp;"Ext"&amp;"_"&amp;$D15,'XXXXPLC_NY Query output'!$I:$I)/1000000</f>
        <v>0</v>
      </c>
      <c r="I15" s="6">
        <f>1*SUMIF('XXXXPLC_NY Query output'!$D:$D,I$6&amp;"_"&amp;"Ext"&amp;"_"&amp;$D15,'XXXXPLC_NY Query output'!$I:$I)/1000000</f>
        <v>0</v>
      </c>
      <c r="J15" s="6">
        <f>1*SUMIF('XXXXPLC_NY Query output'!$D:$D,J$6&amp;"_"&amp;"Ext"&amp;"_"&amp;$D15,'XXXXPLC_NY Query output'!$I:$I)/1000000</f>
        <v>0</v>
      </c>
      <c r="K15" s="6">
        <f>1*SUMIF('XXXXPLC_NY Query output'!$D:$D,K$6&amp;"_"&amp;"Ext"&amp;"_"&amp;$D15,'XXXXPLC_NY Query output'!$I:$I)/1000000</f>
        <v>0</v>
      </c>
      <c r="L15" s="6">
        <f>1*SUMIF('XXXXPLC_NY Query output'!$D:$D,L$6&amp;"_"&amp;"Ext"&amp;"_"&amp;$D15,'XXXXPLC_NY Query output'!$I:$I)/1000000</f>
        <v>0</v>
      </c>
      <c r="M15" s="6">
        <f>1*SUMIF('XXXXPLC_NY Query output'!$D:$D,M$6&amp;"_"&amp;"Ext"&amp;"_"&amp;$D15,'XXXXPLC_NY Query output'!$I:$I)/1000000</f>
        <v>-1.0967400199999997</v>
      </c>
      <c r="N15" s="6">
        <f>1*SUMIF('XXXXPLC_NY Query output'!$D:$D,N$6&amp;"_"&amp;"Ext"&amp;"_"&amp;$D15,'XXXXPLC_NY Query output'!$I:$I)/1000000</f>
        <v>1.32175395</v>
      </c>
      <c r="O15" s="6">
        <f>1*SUMIF('XXXXPLC_NY Query output'!$D:$D,O$6&amp;"_"&amp;"Ext"&amp;"_"&amp;$D15,'XXXXPLC_NY Query output'!$I:$I)/1000000</f>
        <v>-1.9</v>
      </c>
      <c r="P15" s="6">
        <f>1*SUMIF('XXXXPLC_NY Query output'!$D:$D,P$6&amp;"_"&amp;"Ext"&amp;"_"&amp;$D15,'XXXXPLC_NY Query output'!$I:$I)/1000000</f>
        <v>0</v>
      </c>
      <c r="Q15" s="46">
        <f>1*SUMIF('XXXXPLC_NY Query output'!$D:$D,Q$6&amp;"_"&amp;"Ext"&amp;"_"&amp;$D15,'XXXXPLC_NY Query output'!$I:$I)/1000000</f>
        <v>-0.5</v>
      </c>
      <c r="U15" s="83" t="s">
        <v>264</v>
      </c>
      <c r="V15" s="88">
        <v>2685479.1400000062</v>
      </c>
      <c r="W15"/>
      <c r="X15"/>
      <c r="Y15"/>
      <c r="Z15"/>
      <c r="AA15"/>
    </row>
    <row r="16" spans="1:27" ht="12.75" outlineLevel="1">
      <c r="A16" s="7"/>
      <c r="B16" s="7"/>
      <c r="C16" s="263"/>
      <c r="D16" s="8" t="s">
        <v>79</v>
      </c>
      <c r="E16" s="237">
        <f>1*SUMIF('XXXXPLC_NY Query output'!$D:$D,E$6&amp;"_"&amp;"Ext"&amp;"_"&amp;$D16,'XXXXPLC_NY Query output'!$I:$I)/1000000</f>
        <v>0</v>
      </c>
      <c r="F16" s="6">
        <f>1*SUMIF('XXXXPLC_NY Query output'!$D:$D,F$6&amp;"_"&amp;"Ext"&amp;"_"&amp;$D16,'XXXXPLC_NY Query output'!$I:$I)/1000000</f>
        <v>0</v>
      </c>
      <c r="G16" s="6">
        <f>1*SUMIF('XXXXPLC_NY Query output'!$D:$D,G$6&amp;"_"&amp;"Ext"&amp;"_"&amp;$D16,'XXXXPLC_NY Query output'!$I:$I)/1000000</f>
        <v>0</v>
      </c>
      <c r="H16" s="6">
        <f>1*SUMIF('XXXXPLC_NY Query output'!$D:$D,H$6&amp;"_"&amp;"Ext"&amp;"_"&amp;$D16,'XXXXPLC_NY Query output'!$I:$I)/1000000</f>
        <v>0</v>
      </c>
      <c r="I16" s="6">
        <f>1*SUMIF('XXXXPLC_NY Query output'!$D:$D,I$6&amp;"_"&amp;"Ext"&amp;"_"&amp;$D16,'XXXXPLC_NY Query output'!$I:$I)/1000000</f>
        <v>0</v>
      </c>
      <c r="J16" s="6">
        <f>1*SUMIF('XXXXPLC_NY Query output'!$D:$D,J$6&amp;"_"&amp;"Ext"&amp;"_"&amp;$D16,'XXXXPLC_NY Query output'!$I:$I)/1000000</f>
        <v>0</v>
      </c>
      <c r="K16" s="6">
        <f>1*SUMIF('XXXXPLC_NY Query output'!$D:$D,K$6&amp;"_"&amp;"Ext"&amp;"_"&amp;$D16,'XXXXPLC_NY Query output'!$I:$I)/1000000</f>
        <v>0</v>
      </c>
      <c r="L16" s="6">
        <f>1*SUMIF('XXXXPLC_NY Query output'!$D:$D,L$6&amp;"_"&amp;"Ext"&amp;"_"&amp;$D16,'XXXXPLC_NY Query output'!$I:$I)/1000000</f>
        <v>0</v>
      </c>
      <c r="M16" s="6">
        <f>1*SUMIF('XXXXPLC_NY Query output'!$D:$D,M$6&amp;"_"&amp;"Ext"&amp;"_"&amp;$D16,'XXXXPLC_NY Query output'!$I:$I)/1000000</f>
        <v>0</v>
      </c>
      <c r="N16" s="6">
        <f>1*SUMIF('XXXXPLC_NY Query output'!$D:$D,N$6&amp;"_"&amp;"Ext"&amp;"_"&amp;$D16,'XXXXPLC_NY Query output'!$I:$I)/1000000</f>
        <v>0</v>
      </c>
      <c r="O16" s="6">
        <f>1*SUMIF('XXXXPLC_NY Query output'!$D:$D,O$6&amp;"_"&amp;"Ext"&amp;"_"&amp;$D16,'XXXXPLC_NY Query output'!$I:$I)/1000000</f>
        <v>0</v>
      </c>
      <c r="P16" s="6">
        <f>1*SUMIF('XXXXPLC_NY Query output'!$D:$D,P$6&amp;"_"&amp;"Ext"&amp;"_"&amp;$D16,'XXXXPLC_NY Query output'!$I:$I)/1000000</f>
        <v>0</v>
      </c>
      <c r="Q16" s="46">
        <f>1*SUMIF('XXXXPLC_NY Query output'!$D:$D,Q$6&amp;"_"&amp;"Ext"&amp;"_"&amp;$D16,'XXXXPLC_NY Query output'!$I:$I)/1000000</f>
        <v>0</v>
      </c>
      <c r="U16" s="83" t="s">
        <v>126</v>
      </c>
      <c r="V16" s="88">
        <v>6654529.7999999961</v>
      </c>
      <c r="W16"/>
      <c r="X16"/>
      <c r="Y16"/>
      <c r="Z16"/>
      <c r="AA16"/>
    </row>
    <row r="17" spans="1:33" ht="12.75" outlineLevel="1">
      <c r="A17" s="7"/>
      <c r="B17" s="7"/>
      <c r="C17" s="263"/>
      <c r="D17" s="8" t="s">
        <v>70</v>
      </c>
      <c r="E17" s="237">
        <f>1*SUMIF('XXXXPLC_NY Query output'!$D:$D,E$6&amp;"_"&amp;"Ext"&amp;"_"&amp;$D17,'XXXXPLC_NY Query output'!$I:$I)/1000000</f>
        <v>0</v>
      </c>
      <c r="F17" s="6">
        <f>1*SUMIF('XXXXPLC_NY Query output'!$D:$D,F$6&amp;"_"&amp;"Ext"&amp;"_"&amp;$D17,'XXXXPLC_NY Query output'!$I:$I)/1000000</f>
        <v>0</v>
      </c>
      <c r="G17" s="6">
        <f>1*SUMIF('XXXXPLC_NY Query output'!$D:$D,G$6&amp;"_"&amp;"Ext"&amp;"_"&amp;$D17,'XXXXPLC_NY Query output'!$I:$I)/1000000</f>
        <v>0</v>
      </c>
      <c r="H17" s="6">
        <f>1*SUMIF('XXXXPLC_NY Query output'!$D:$D,H$6&amp;"_"&amp;"Ext"&amp;"_"&amp;$D17,'XXXXPLC_NY Query output'!$I:$I)/1000000</f>
        <v>0</v>
      </c>
      <c r="I17" s="6">
        <f>1*SUMIF('XXXXPLC_NY Query output'!$D:$D,I$6&amp;"_"&amp;"Ext"&amp;"_"&amp;$D17,'XXXXPLC_NY Query output'!$I:$I)/1000000</f>
        <v>0</v>
      </c>
      <c r="J17" s="6">
        <f>1*SUMIF('XXXXPLC_NY Query output'!$D:$D,J$6&amp;"_"&amp;"Ext"&amp;"_"&amp;$D17,'XXXXPLC_NY Query output'!$I:$I)/1000000</f>
        <v>0</v>
      </c>
      <c r="K17" s="6">
        <f>1*SUMIF('XXXXPLC_NY Query output'!$D:$D,K$6&amp;"_"&amp;"Ext"&amp;"_"&amp;$D17,'XXXXPLC_NY Query output'!$I:$I)/1000000</f>
        <v>0</v>
      </c>
      <c r="L17" s="6">
        <f>1*SUMIF('XXXXPLC_NY Query output'!$D:$D,L$6&amp;"_"&amp;"Ext"&amp;"_"&amp;$D17,'XXXXPLC_NY Query output'!$I:$I)/1000000</f>
        <v>0</v>
      </c>
      <c r="M17" s="6">
        <f>1*SUMIF('XXXXPLC_NY Query output'!$D:$D,M$6&amp;"_"&amp;"Ext"&amp;"_"&amp;$D17,'XXXXPLC_NY Query output'!$I:$I)/1000000</f>
        <v>0</v>
      </c>
      <c r="N17" s="6">
        <f>1*SUMIF('XXXXPLC_NY Query output'!$D:$D,N$6&amp;"_"&amp;"Ext"&amp;"_"&amp;$D17,'XXXXPLC_NY Query output'!$I:$I)/1000000</f>
        <v>0</v>
      </c>
      <c r="O17" s="6">
        <f>1*SUMIF('XXXXPLC_NY Query output'!$D:$D,O$6&amp;"_"&amp;"Ext"&amp;"_"&amp;$D17,'XXXXPLC_NY Query output'!$I:$I)/1000000</f>
        <v>0</v>
      </c>
      <c r="P17" s="6">
        <f>1*SUMIF('XXXXPLC_NY Query output'!$D:$D,P$6&amp;"_"&amp;"Ext"&amp;"_"&amp;$D17,'XXXXPLC_NY Query output'!$I:$I)/1000000</f>
        <v>0</v>
      </c>
      <c r="Q17" s="46">
        <f>1*SUMIF('XXXXPLC_NY Query output'!$D:$D,Q$6&amp;"_"&amp;"Ext"&amp;"_"&amp;$D17,'XXXXPLC_NY Query output'!$I:$I)/1000000</f>
        <v>0</v>
      </c>
      <c r="U17" s="83" t="s">
        <v>116</v>
      </c>
      <c r="V17" s="88">
        <v>246500000</v>
      </c>
      <c r="W17"/>
      <c r="X17"/>
      <c r="Y17"/>
      <c r="Z17"/>
      <c r="AA17"/>
    </row>
    <row r="18" spans="1:33" ht="12.75" outlineLevel="1">
      <c r="A18" s="7"/>
      <c r="B18" s="7"/>
      <c r="C18" s="263"/>
      <c r="D18" s="8" t="s">
        <v>71</v>
      </c>
      <c r="E18" s="237">
        <f>1*SUMIF('XXXXPLC_NY Query output'!$D:$D,E$6&amp;"_"&amp;"Ext"&amp;"_"&amp;$D18,'XXXXPLC_NY Query output'!$I:$I)/1000000</f>
        <v>0</v>
      </c>
      <c r="F18" s="6">
        <f>1*SUMIF('XXXXPLC_NY Query output'!$D:$D,F$6&amp;"_"&amp;"Ext"&amp;"_"&amp;$D18,'XXXXPLC_NY Query output'!$I:$I)/1000000</f>
        <v>0</v>
      </c>
      <c r="G18" s="6">
        <f>1*SUMIF('XXXXPLC_NY Query output'!$D:$D,G$6&amp;"_"&amp;"Ext"&amp;"_"&amp;$D18,'XXXXPLC_NY Query output'!$I:$I)/1000000</f>
        <v>0</v>
      </c>
      <c r="H18" s="6">
        <f>1*SUMIF('XXXXPLC_NY Query output'!$D:$D,H$6&amp;"_"&amp;"Ext"&amp;"_"&amp;$D18,'XXXXPLC_NY Query output'!$I:$I)/1000000</f>
        <v>0</v>
      </c>
      <c r="I18" s="6">
        <f>1*SUMIF('XXXXPLC_NY Query output'!$D:$D,I$6&amp;"_"&amp;"Ext"&amp;"_"&amp;$D18,'XXXXPLC_NY Query output'!$I:$I)/1000000</f>
        <v>0</v>
      </c>
      <c r="J18" s="6">
        <f>1*SUMIF('XXXXPLC_NY Query output'!$D:$D,J$6&amp;"_"&amp;"Ext"&amp;"_"&amp;$D18,'XXXXPLC_NY Query output'!$I:$I)/1000000</f>
        <v>0</v>
      </c>
      <c r="K18" s="6">
        <f>1*SUMIF('XXXXPLC_NY Query output'!$D:$D,K$6&amp;"_"&amp;"Ext"&amp;"_"&amp;$D18,'XXXXPLC_NY Query output'!$I:$I)/1000000</f>
        <v>0</v>
      </c>
      <c r="L18" s="6">
        <f>1*SUMIF('XXXXPLC_NY Query output'!$D:$D,L$6&amp;"_"&amp;"Ext"&amp;"_"&amp;$D18,'XXXXPLC_NY Query output'!$I:$I)/1000000</f>
        <v>0</v>
      </c>
      <c r="M18" s="6">
        <f>1*SUMIF('XXXXPLC_NY Query output'!$D:$D,M$6&amp;"_"&amp;"Ext"&amp;"_"&amp;$D18,'XXXXPLC_NY Query output'!$I:$I)/1000000</f>
        <v>0</v>
      </c>
      <c r="N18" s="6">
        <f>1*SUMIF('XXXXPLC_NY Query output'!$D:$D,N$6&amp;"_"&amp;"Ext"&amp;"_"&amp;$D18,'XXXXPLC_NY Query output'!$I:$I)/1000000</f>
        <v>0</v>
      </c>
      <c r="O18" s="6">
        <f>1*SUMIF('XXXXPLC_NY Query output'!$D:$D,O$6&amp;"_"&amp;"Ext"&amp;"_"&amp;$D18,'XXXXPLC_NY Query output'!$I:$I)/1000000</f>
        <v>0</v>
      </c>
      <c r="P18" s="6">
        <f>1*SUMIF('XXXXPLC_NY Query output'!$D:$D,P$6&amp;"_"&amp;"Ext"&amp;"_"&amp;$D18,'XXXXPLC_NY Query output'!$I:$I)/1000000</f>
        <v>0</v>
      </c>
      <c r="Q18" s="46">
        <f>1*SUMIF('XXXXPLC_NY Query output'!$D:$D,Q$6&amp;"_"&amp;"Ext"&amp;"_"&amp;$D18,'XXXXPLC_NY Query output'!$I:$I)/1000000</f>
        <v>0</v>
      </c>
      <c r="U18" s="83" t="s">
        <v>67</v>
      </c>
      <c r="V18" s="88">
        <v>9000000</v>
      </c>
      <c r="W18"/>
      <c r="X18"/>
      <c r="Y18"/>
      <c r="Z18"/>
      <c r="AA18"/>
    </row>
    <row r="19" spans="1:33" ht="12.75" outlineLevel="1">
      <c r="A19" s="7"/>
      <c r="B19" s="7"/>
      <c r="C19" s="263"/>
      <c r="D19" s="8" t="s">
        <v>64</v>
      </c>
      <c r="E19" s="237">
        <f>1*SUMIF('XXXXPLC_NY Query output'!$D:$D,E$6&amp;"_"&amp;"Ext"&amp;"_"&amp;$D19,'XXXXPLC_NY Query output'!$I:$I)/1000000</f>
        <v>0</v>
      </c>
      <c r="F19" s="6">
        <f>1*SUMIF('XXXXPLC_NY Query output'!$D:$D,F$6&amp;"_"&amp;"Ext"&amp;"_"&amp;$D19,'XXXXPLC_NY Query output'!$I:$I)/1000000</f>
        <v>0</v>
      </c>
      <c r="G19" s="6">
        <f>1*SUMIF('XXXXPLC_NY Query output'!$D:$D,G$6&amp;"_"&amp;"Ext"&amp;"_"&amp;$D19,'XXXXPLC_NY Query output'!$I:$I)/1000000</f>
        <v>0</v>
      </c>
      <c r="H19" s="6">
        <f>1*SUMIF('XXXXPLC_NY Query output'!$D:$D,H$6&amp;"_"&amp;"Ext"&amp;"_"&amp;$D19,'XXXXPLC_NY Query output'!$I:$I)/1000000</f>
        <v>0</v>
      </c>
      <c r="I19" s="6">
        <f>1*SUMIF('XXXXPLC_NY Query output'!$D:$D,I$6&amp;"_"&amp;"Ext"&amp;"_"&amp;$D19,'XXXXPLC_NY Query output'!$I:$I)/1000000</f>
        <v>0</v>
      </c>
      <c r="J19" s="6">
        <f>1*SUMIF('XXXXPLC_NY Query output'!$D:$D,J$6&amp;"_"&amp;"Ext"&amp;"_"&amp;$D19,'XXXXPLC_NY Query output'!$I:$I)/1000000</f>
        <v>0</v>
      </c>
      <c r="K19" s="6">
        <f>1*SUMIF('XXXXPLC_NY Query output'!$D:$D,K$6&amp;"_"&amp;"Ext"&amp;"_"&amp;$D19,'XXXXPLC_NY Query output'!$I:$I)/1000000</f>
        <v>0</v>
      </c>
      <c r="L19" s="6">
        <f>1*SUMIF('XXXXPLC_NY Query output'!$D:$D,L$6&amp;"_"&amp;"Ext"&amp;"_"&amp;$D19,'XXXXPLC_NY Query output'!$I:$I)/1000000</f>
        <v>0</v>
      </c>
      <c r="M19" s="6">
        <f>1*SUMIF('XXXXPLC_NY Query output'!$D:$D,M$6&amp;"_"&amp;"Ext"&amp;"_"&amp;$D19,'XXXXPLC_NY Query output'!$I:$I)/1000000</f>
        <v>0</v>
      </c>
      <c r="N19" s="6">
        <f>1*SUMIF('XXXXPLC_NY Query output'!$D:$D,N$6&amp;"_"&amp;"Ext"&amp;"_"&amp;$D19,'XXXXPLC_NY Query output'!$I:$I)/1000000</f>
        <v>0</v>
      </c>
      <c r="O19" s="6">
        <f>1*SUMIF('XXXXPLC_NY Query output'!$D:$D,O$6&amp;"_"&amp;"Ext"&amp;"_"&amp;$D19,'XXXXPLC_NY Query output'!$I:$I)/1000000</f>
        <v>0</v>
      </c>
      <c r="P19" s="6">
        <f>1*SUMIF('XXXXPLC_NY Query output'!$D:$D,P$6&amp;"_"&amp;"Ext"&amp;"_"&amp;$D19,'XXXXPLC_NY Query output'!$I:$I)/1000000</f>
        <v>0</v>
      </c>
      <c r="Q19" s="46">
        <f>1*SUMIF('XXXXPLC_NY Query output'!$D:$D,Q$6&amp;"_"&amp;"Ext"&amp;"_"&amp;$D19,'XXXXPLC_NY Query output'!$I:$I)/1000000</f>
        <v>0</v>
      </c>
      <c r="U19" s="84" t="s">
        <v>63</v>
      </c>
      <c r="V19" s="89">
        <v>262665022.87</v>
      </c>
      <c r="W19"/>
      <c r="X19"/>
      <c r="Y19"/>
      <c r="Z19"/>
      <c r="AA19"/>
    </row>
    <row r="20" spans="1:33" ht="12.75" outlineLevel="1">
      <c r="A20" s="7"/>
      <c r="B20" s="7"/>
      <c r="C20" s="263"/>
      <c r="D20" s="8" t="s">
        <v>65</v>
      </c>
      <c r="E20" s="237">
        <f>1*SUMIF('XXXXPLC_NY Query output'!$D:$D,E$6&amp;"_"&amp;"Ext"&amp;"_"&amp;$D20,'XXXXPLC_NY Query output'!$I:$I)/1000000</f>
        <v>0</v>
      </c>
      <c r="F20" s="6">
        <f>1*SUMIF('XXXXPLC_NY Query output'!$D:$D,F$6&amp;"_"&amp;"Ext"&amp;"_"&amp;$D20,'XXXXPLC_NY Query output'!$I:$I)/1000000</f>
        <v>0</v>
      </c>
      <c r="G20" s="6">
        <f>1*SUMIF('XXXXPLC_NY Query output'!$D:$D,G$6&amp;"_"&amp;"Ext"&amp;"_"&amp;$D20,'XXXXPLC_NY Query output'!$I:$I)/1000000</f>
        <v>0</v>
      </c>
      <c r="H20" s="6">
        <f>1*SUMIF('XXXXPLC_NY Query output'!$D:$D,H$6&amp;"_"&amp;"Ext"&amp;"_"&amp;$D20,'XXXXPLC_NY Query output'!$I:$I)/1000000</f>
        <v>0</v>
      </c>
      <c r="I20" s="6">
        <f>1*SUMIF('XXXXPLC_NY Query output'!$D:$D,I$6&amp;"_"&amp;"Ext"&amp;"_"&amp;$D20,'XXXXPLC_NY Query output'!$I:$I)/1000000</f>
        <v>0</v>
      </c>
      <c r="J20" s="6">
        <f>1*SUMIF('XXXXPLC_NY Query output'!$D:$D,J$6&amp;"_"&amp;"Ext"&amp;"_"&amp;$D20,'XXXXPLC_NY Query output'!$I:$I)/1000000</f>
        <v>0</v>
      </c>
      <c r="K20" s="6">
        <f>1*SUMIF('XXXXPLC_NY Query output'!$D:$D,K$6&amp;"_"&amp;"Ext"&amp;"_"&amp;$D20,'XXXXPLC_NY Query output'!$I:$I)/1000000</f>
        <v>0</v>
      </c>
      <c r="L20" s="6">
        <f>1*SUMIF('XXXXPLC_NY Query output'!$D:$D,L$6&amp;"_"&amp;"Ext"&amp;"_"&amp;$D20,'XXXXPLC_NY Query output'!$I:$I)/1000000</f>
        <v>0</v>
      </c>
      <c r="M20" s="6">
        <f>1*SUMIF('XXXXPLC_NY Query output'!$D:$D,M$6&amp;"_"&amp;"Ext"&amp;"_"&amp;$D20,'XXXXPLC_NY Query output'!$I:$I)/1000000</f>
        <v>0</v>
      </c>
      <c r="N20" s="6">
        <f>1*SUMIF('XXXXPLC_NY Query output'!$D:$D,N$6&amp;"_"&amp;"Ext"&amp;"_"&amp;$D20,'XXXXPLC_NY Query output'!$I:$I)/1000000</f>
        <v>0</v>
      </c>
      <c r="O20" s="6">
        <f>1*SUMIF('XXXXPLC_NY Query output'!$D:$D,O$6&amp;"_"&amp;"Ext"&amp;"_"&amp;$D20,'XXXXPLC_NY Query output'!$I:$I)/1000000</f>
        <v>0</v>
      </c>
      <c r="P20" s="6">
        <f>1*SUMIF('XXXXPLC_NY Query output'!$D:$D,P$6&amp;"_"&amp;"Ext"&amp;"_"&amp;$D20,'XXXXPLC_NY Query output'!$I:$I)/1000000</f>
        <v>0</v>
      </c>
      <c r="Q20" s="46">
        <f>1*SUMIF('XXXXPLC_NY Query output'!$D:$D,Q$6&amp;"_"&amp;"Ext"&amp;"_"&amp;$D20,'XXXXPLC_NY Query output'!$I:$I)/1000000</f>
        <v>0</v>
      </c>
      <c r="U20"/>
      <c r="V20"/>
      <c r="W20"/>
      <c r="X20"/>
      <c r="Y20"/>
      <c r="Z20"/>
      <c r="AA20"/>
    </row>
    <row r="21" spans="1:33" ht="12.75" outlineLevel="1">
      <c r="A21" s="7"/>
      <c r="B21" s="7"/>
      <c r="C21" s="263"/>
      <c r="D21" s="8" t="s">
        <v>94</v>
      </c>
      <c r="E21" s="237">
        <f>1*SUMIF('XXXXPLC_NY Query output'!$D:$D,E$6&amp;"_"&amp;"Ext"&amp;"_"&amp;$D21,'XXXXPLC_NY Query output'!$I:$I)/1000000</f>
        <v>0</v>
      </c>
      <c r="F21" s="6">
        <f>1*SUMIF('XXXXPLC_NY Query output'!$D:$D,F$6&amp;"_"&amp;"Ext"&amp;"_"&amp;$D21,'XXXXPLC_NY Query output'!$I:$I)/1000000</f>
        <v>0</v>
      </c>
      <c r="G21" s="6">
        <f>1*SUMIF('XXXXPLC_NY Query output'!$D:$D,G$6&amp;"_"&amp;"Ext"&amp;"_"&amp;$D21,'XXXXPLC_NY Query output'!$I:$I)/1000000</f>
        <v>0</v>
      </c>
      <c r="H21" s="6">
        <f>1*SUMIF('XXXXPLC_NY Query output'!$D:$D,H$6&amp;"_"&amp;"Ext"&amp;"_"&amp;$D21,'XXXXPLC_NY Query output'!$I:$I)/1000000</f>
        <v>0</v>
      </c>
      <c r="I21" s="6">
        <f>1*SUMIF('XXXXPLC_NY Query output'!$D:$D,I$6&amp;"_"&amp;"Ext"&amp;"_"&amp;$D21,'XXXXPLC_NY Query output'!$I:$I)/1000000</f>
        <v>0</v>
      </c>
      <c r="J21" s="6">
        <f>1*SUMIF('XXXXPLC_NY Query output'!$D:$D,J$6&amp;"_"&amp;"Ext"&amp;"_"&amp;$D21,'XXXXPLC_NY Query output'!$I:$I)/1000000</f>
        <v>0</v>
      </c>
      <c r="K21" s="6">
        <f>1*SUMIF('XXXXPLC_NY Query output'!$D:$D,K$6&amp;"_"&amp;"Ext"&amp;"_"&amp;$D21,'XXXXPLC_NY Query output'!$I:$I)/1000000</f>
        <v>0</v>
      </c>
      <c r="L21" s="6">
        <f>1*SUMIF('XXXXPLC_NY Query output'!$D:$D,L$6&amp;"_"&amp;"Ext"&amp;"_"&amp;$D21,'XXXXPLC_NY Query output'!$I:$I)/1000000</f>
        <v>0</v>
      </c>
      <c r="M21" s="6">
        <f>1*SUMIF('XXXXPLC_NY Query output'!$D:$D,M$6&amp;"_"&amp;"Ext"&amp;"_"&amp;$D21,'XXXXPLC_NY Query output'!$I:$I)/1000000</f>
        <v>0</v>
      </c>
      <c r="N21" s="6">
        <f>1*SUMIF('XXXXPLC_NY Query output'!$D:$D,N$6&amp;"_"&amp;"Ext"&amp;"_"&amp;$D21,'XXXXPLC_NY Query output'!$I:$I)/1000000</f>
        <v>0</v>
      </c>
      <c r="O21" s="6">
        <f>1*SUMIF('XXXXPLC_NY Query output'!$D:$D,O$6&amp;"_"&amp;"Ext"&amp;"_"&amp;$D21,'XXXXPLC_NY Query output'!$I:$I)/1000000</f>
        <v>0</v>
      </c>
      <c r="P21" s="6">
        <f>1*SUMIF('XXXXPLC_NY Query output'!$D:$D,P$6&amp;"_"&amp;"Ext"&amp;"_"&amp;$D21,'XXXXPLC_NY Query output'!$I:$I)/1000000</f>
        <v>0</v>
      </c>
      <c r="Q21" s="46">
        <f>1*SUMIF('XXXXPLC_NY Query output'!$D:$D,Q$6&amp;"_"&amp;"Ext"&amp;"_"&amp;$D21,'XXXXPLC_NY Query output'!$I:$I)/1000000</f>
        <v>0</v>
      </c>
      <c r="U21"/>
      <c r="V21"/>
      <c r="W21"/>
      <c r="X21"/>
      <c r="Y21"/>
      <c r="Z21"/>
      <c r="AA21"/>
    </row>
    <row r="22" spans="1:33" ht="12.75" outlineLevel="1">
      <c r="A22" s="7"/>
      <c r="B22" s="7"/>
      <c r="C22" s="263"/>
      <c r="D22" s="8" t="s">
        <v>72</v>
      </c>
      <c r="E22" s="237">
        <f>1*SUMIF('XXXXPLC_NY Query output'!$D:$D,E$6&amp;"_"&amp;"Ext"&amp;"_"&amp;$D22,'XXXXPLC_NY Query output'!$I:$I)/1000000</f>
        <v>0</v>
      </c>
      <c r="F22" s="6">
        <f>1*SUMIF('XXXXPLC_NY Query output'!$D:$D,F$6&amp;"_"&amp;"Ext"&amp;"_"&amp;$D22,'XXXXPLC_NY Query output'!$I:$I)/1000000</f>
        <v>0</v>
      </c>
      <c r="G22" s="6">
        <f>1*SUMIF('XXXXPLC_NY Query output'!$D:$D,G$6&amp;"_"&amp;"Ext"&amp;"_"&amp;$D22,'XXXXPLC_NY Query output'!$I:$I)/1000000</f>
        <v>0</v>
      </c>
      <c r="H22" s="6">
        <f>1*SUMIF('XXXXPLC_NY Query output'!$D:$D,H$6&amp;"_"&amp;"Ext"&amp;"_"&amp;$D22,'XXXXPLC_NY Query output'!$I:$I)/1000000</f>
        <v>0</v>
      </c>
      <c r="I22" s="6">
        <f>1*SUMIF('XXXXPLC_NY Query output'!$D:$D,I$6&amp;"_"&amp;"Ext"&amp;"_"&amp;$D22,'XXXXPLC_NY Query output'!$I:$I)/1000000</f>
        <v>0</v>
      </c>
      <c r="J22" s="6">
        <f>1*SUMIF('XXXXPLC_NY Query output'!$D:$D,J$6&amp;"_"&amp;"Ext"&amp;"_"&amp;$D22,'XXXXPLC_NY Query output'!$I:$I)/1000000</f>
        <v>0</v>
      </c>
      <c r="K22" s="6">
        <f>1*SUMIF('XXXXPLC_NY Query output'!$D:$D,K$6&amp;"_"&amp;"Ext"&amp;"_"&amp;$D22,'XXXXPLC_NY Query output'!$I:$I)/1000000</f>
        <v>0</v>
      </c>
      <c r="L22" s="6">
        <f>1*SUMIF('XXXXPLC_NY Query output'!$D:$D,L$6&amp;"_"&amp;"Ext"&amp;"_"&amp;$D22,'XXXXPLC_NY Query output'!$I:$I)/1000000</f>
        <v>0</v>
      </c>
      <c r="M22" s="6">
        <f>1*SUMIF('XXXXPLC_NY Query output'!$D:$D,M$6&amp;"_"&amp;"Ext"&amp;"_"&amp;$D22,'XXXXPLC_NY Query output'!$I:$I)/1000000</f>
        <v>0</v>
      </c>
      <c r="N22" s="6">
        <f>1*SUMIF('XXXXPLC_NY Query output'!$D:$D,N$6&amp;"_"&amp;"Ext"&amp;"_"&amp;$D22,'XXXXPLC_NY Query output'!$I:$I)/1000000</f>
        <v>0</v>
      </c>
      <c r="O22" s="6">
        <f>1*SUMIF('XXXXPLC_NY Query output'!$D:$D,O$6&amp;"_"&amp;"Ext"&amp;"_"&amp;$D22,'XXXXPLC_NY Query output'!$I:$I)/1000000</f>
        <v>0</v>
      </c>
      <c r="P22" s="6">
        <f>1*SUMIF('XXXXPLC_NY Query output'!$D:$D,P$6&amp;"_"&amp;"Ext"&amp;"_"&amp;$D22,'XXXXPLC_NY Query output'!$I:$I)/1000000</f>
        <v>0</v>
      </c>
      <c r="Q22" s="46">
        <f>1*SUMIF('XXXXPLC_NY Query output'!$D:$D,Q$6&amp;"_"&amp;"Ext"&amp;"_"&amp;$D22,'XXXXPLC_NY Query output'!$I:$I)/1000000</f>
        <v>0</v>
      </c>
      <c r="U22"/>
      <c r="V22"/>
      <c r="W22"/>
      <c r="X22"/>
      <c r="Y22"/>
      <c r="Z22"/>
      <c r="AA22"/>
    </row>
    <row r="23" spans="1:33" ht="12.75" outlineLevel="1">
      <c r="A23" s="7"/>
      <c r="B23" s="7"/>
      <c r="C23" s="263"/>
      <c r="D23" s="8" t="s">
        <v>119</v>
      </c>
      <c r="E23" s="237">
        <f>1*SUMIF('XXXXPLC_NY Query output'!$D:$D,E$6&amp;"_"&amp;"Ext"&amp;"_"&amp;$D23,'XXXXPLC_NY Query output'!$I:$I)/1000000</f>
        <v>0</v>
      </c>
      <c r="F23" s="6">
        <f>1*SUMIF('XXXXPLC_NY Query output'!$D:$D,F$6&amp;"_"&amp;"Ext"&amp;"_"&amp;$D23,'XXXXPLC_NY Query output'!$I:$I)/1000000</f>
        <v>0</v>
      </c>
      <c r="G23" s="6">
        <f>1*SUMIF('XXXXPLC_NY Query output'!$D:$D,G$6&amp;"_"&amp;"Ext"&amp;"_"&amp;$D23,'XXXXPLC_NY Query output'!$I:$I)/1000000</f>
        <v>0</v>
      </c>
      <c r="H23" s="6">
        <f>1*SUMIF('XXXXPLC_NY Query output'!$D:$D,H$6&amp;"_"&amp;"Ext"&amp;"_"&amp;$D23,'XXXXPLC_NY Query output'!$I:$I)/1000000</f>
        <v>0</v>
      </c>
      <c r="I23" s="6">
        <f>1*SUMIF('XXXXPLC_NY Query output'!$D:$D,I$6&amp;"_"&amp;"Ext"&amp;"_"&amp;$D23,'XXXXPLC_NY Query output'!$I:$I)/1000000</f>
        <v>0</v>
      </c>
      <c r="J23" s="6">
        <f>1*SUMIF('XXXXPLC_NY Query output'!$D:$D,J$6&amp;"_"&amp;"Ext"&amp;"_"&amp;$D23,'XXXXPLC_NY Query output'!$I:$I)/1000000</f>
        <v>0</v>
      </c>
      <c r="K23" s="6">
        <f>1*SUMIF('XXXXPLC_NY Query output'!$D:$D,K$6&amp;"_"&amp;"Ext"&amp;"_"&amp;$D23,'XXXXPLC_NY Query output'!$I:$I)/1000000</f>
        <v>0</v>
      </c>
      <c r="L23" s="6">
        <f>1*SUMIF('XXXXPLC_NY Query output'!$D:$D,L$6&amp;"_"&amp;"Ext"&amp;"_"&amp;$D23,'XXXXPLC_NY Query output'!$I:$I)/1000000</f>
        <v>0</v>
      </c>
      <c r="M23" s="6">
        <f>1*SUMIF('XXXXPLC_NY Query output'!$D:$D,M$6&amp;"_"&amp;"Ext"&amp;"_"&amp;$D23,'XXXXPLC_NY Query output'!$I:$I)/1000000</f>
        <v>0</v>
      </c>
      <c r="N23" s="6">
        <f>1*SUMIF('XXXXPLC_NY Query output'!$D:$D,N$6&amp;"_"&amp;"Ext"&amp;"_"&amp;$D23,'XXXXPLC_NY Query output'!$I:$I)/1000000</f>
        <v>0</v>
      </c>
      <c r="O23" s="6">
        <f>1*SUMIF('XXXXPLC_NY Query output'!$D:$D,O$6&amp;"_"&amp;"Ext"&amp;"_"&amp;$D23,'XXXXPLC_NY Query output'!$I:$I)/1000000</f>
        <v>0</v>
      </c>
      <c r="P23" s="6">
        <f>1*SUMIF('XXXXPLC_NY Query output'!$D:$D,P$6&amp;"_"&amp;"Ext"&amp;"_"&amp;$D23,'XXXXPLC_NY Query output'!$I:$I)/1000000</f>
        <v>0</v>
      </c>
      <c r="Q23" s="46">
        <f>1*SUMIF('XXXXPLC_NY Query output'!$D:$D,Q$6&amp;"_"&amp;"Ext"&amp;"_"&amp;$D23,'XXXXPLC_NY Query output'!$I:$I)/1000000</f>
        <v>0</v>
      </c>
      <c r="U23"/>
      <c r="V23"/>
      <c r="W23"/>
      <c r="X23"/>
      <c r="Y23"/>
      <c r="Z23"/>
      <c r="AA23"/>
    </row>
    <row r="24" spans="1:33" ht="12.75" outlineLevel="1">
      <c r="A24" s="7"/>
      <c r="B24" s="7"/>
      <c r="C24" s="263"/>
      <c r="D24" s="8" t="s">
        <v>120</v>
      </c>
      <c r="E24" s="237">
        <f>1*SUMIF('XXXXPLC_NY Query output'!$D:$D,E$6&amp;"_"&amp;"Ext"&amp;"_"&amp;$D24,'XXXXPLC_NY Query output'!$I:$I)/1000000</f>
        <v>0</v>
      </c>
      <c r="F24" s="6">
        <f>1*SUMIF('XXXXPLC_NY Query output'!$D:$D,F$6&amp;"_"&amp;"Ext"&amp;"_"&amp;$D24,'XXXXPLC_NY Query output'!$I:$I)/1000000</f>
        <v>0</v>
      </c>
      <c r="G24" s="6">
        <f>1*SUMIF('XXXXPLC_NY Query output'!$D:$D,G$6&amp;"_"&amp;"Ext"&amp;"_"&amp;$D24,'XXXXPLC_NY Query output'!$I:$I)/1000000</f>
        <v>0</v>
      </c>
      <c r="H24" s="6">
        <f>1*SUMIF('XXXXPLC_NY Query output'!$D:$D,H$6&amp;"_"&amp;"Ext"&amp;"_"&amp;$D24,'XXXXPLC_NY Query output'!$I:$I)/1000000</f>
        <v>0</v>
      </c>
      <c r="I24" s="6">
        <f>1*SUMIF('XXXXPLC_NY Query output'!$D:$D,I$6&amp;"_"&amp;"Ext"&amp;"_"&amp;$D24,'XXXXPLC_NY Query output'!$I:$I)/1000000</f>
        <v>0</v>
      </c>
      <c r="J24" s="6">
        <f>1*SUMIF('XXXXPLC_NY Query output'!$D:$D,J$6&amp;"_"&amp;"Ext"&amp;"_"&amp;$D24,'XXXXPLC_NY Query output'!$I:$I)/1000000</f>
        <v>0</v>
      </c>
      <c r="K24" s="6">
        <f>1*SUMIF('XXXXPLC_NY Query output'!$D:$D,K$6&amp;"_"&amp;"Ext"&amp;"_"&amp;$D24,'XXXXPLC_NY Query output'!$I:$I)/1000000</f>
        <v>0</v>
      </c>
      <c r="L24" s="6">
        <f>1*SUMIF('XXXXPLC_NY Query output'!$D:$D,L$6&amp;"_"&amp;"Ext"&amp;"_"&amp;$D24,'XXXXPLC_NY Query output'!$I:$I)/1000000</f>
        <v>0</v>
      </c>
      <c r="M24" s="6">
        <f>1*SUMIF('XXXXPLC_NY Query output'!$D:$D,M$6&amp;"_"&amp;"Ext"&amp;"_"&amp;$D24,'XXXXPLC_NY Query output'!$I:$I)/1000000</f>
        <v>0</v>
      </c>
      <c r="N24" s="6">
        <f>1*SUMIF('XXXXPLC_NY Query output'!$D:$D,N$6&amp;"_"&amp;"Ext"&amp;"_"&amp;$D24,'XXXXPLC_NY Query output'!$I:$I)/1000000</f>
        <v>0</v>
      </c>
      <c r="O24" s="6">
        <f>1*SUMIF('XXXXPLC_NY Query output'!$D:$D,O$6&amp;"_"&amp;"Ext"&amp;"_"&amp;$D24,'XXXXPLC_NY Query output'!$I:$I)/1000000</f>
        <v>0</v>
      </c>
      <c r="P24" s="6">
        <f>1*SUMIF('XXXXPLC_NY Query output'!$D:$D,P$6&amp;"_"&amp;"Ext"&amp;"_"&amp;$D24,'XXXXPLC_NY Query output'!$I:$I)/1000000</f>
        <v>0</v>
      </c>
      <c r="Q24" s="46">
        <f>1*SUMIF('XXXXPLC_NY Query output'!$D:$D,Q$6&amp;"_"&amp;"Ext"&amp;"_"&amp;$D24,'XXXXPLC_NY Query output'!$I:$I)/1000000</f>
        <v>0</v>
      </c>
      <c r="U24"/>
      <c r="V24"/>
      <c r="W24" s="90"/>
    </row>
    <row r="25" spans="1:33" ht="12.75" outlineLevel="1">
      <c r="A25" s="7"/>
      <c r="B25" s="7"/>
      <c r="C25" s="263"/>
      <c r="D25" s="8" t="s">
        <v>121</v>
      </c>
      <c r="E25" s="237">
        <f>1*SUMIF('XXXXPLC_NY Query output'!$D:$D,E$6&amp;"_"&amp;"Ext"&amp;"_"&amp;$D25,'XXXXPLC_NY Query output'!$I:$I)/1000000</f>
        <v>0</v>
      </c>
      <c r="F25" s="6">
        <f>1*SUMIF('XXXXPLC_NY Query output'!$D:$D,F$6&amp;"_"&amp;"Ext"&amp;"_"&amp;$D25,'XXXXPLC_NY Query output'!$I:$I)/1000000</f>
        <v>0</v>
      </c>
      <c r="G25" s="6">
        <f>1*SUMIF('XXXXPLC_NY Query output'!$D:$D,G$6&amp;"_"&amp;"Ext"&amp;"_"&amp;$D25,'XXXXPLC_NY Query output'!$I:$I)/1000000</f>
        <v>0</v>
      </c>
      <c r="H25" s="6">
        <f>1*SUMIF('XXXXPLC_NY Query output'!$D:$D,H$6&amp;"_"&amp;"Ext"&amp;"_"&amp;$D25,'XXXXPLC_NY Query output'!$I:$I)/1000000</f>
        <v>0</v>
      </c>
      <c r="I25" s="6">
        <f>1*SUMIF('XXXXPLC_NY Query output'!$D:$D,I$6&amp;"_"&amp;"Ext"&amp;"_"&amp;$D25,'XXXXPLC_NY Query output'!$I:$I)/1000000</f>
        <v>0</v>
      </c>
      <c r="J25" s="6">
        <f>1*SUMIF('XXXXPLC_NY Query output'!$D:$D,J$6&amp;"_"&amp;"Ext"&amp;"_"&amp;$D25,'XXXXPLC_NY Query output'!$I:$I)/1000000</f>
        <v>0</v>
      </c>
      <c r="K25" s="6">
        <f>1*SUMIF('XXXXPLC_NY Query output'!$D:$D,K$6&amp;"_"&amp;"Ext"&amp;"_"&amp;$D25,'XXXXPLC_NY Query output'!$I:$I)/1000000</f>
        <v>0</v>
      </c>
      <c r="L25" s="6">
        <f>1*SUMIF('XXXXPLC_NY Query output'!$D:$D,L$6&amp;"_"&amp;"Ext"&amp;"_"&amp;$D25,'XXXXPLC_NY Query output'!$I:$I)/1000000</f>
        <v>0</v>
      </c>
      <c r="M25" s="6">
        <f>1*SUMIF('XXXXPLC_NY Query output'!$D:$D,M$6&amp;"_"&amp;"Ext"&amp;"_"&amp;$D25,'XXXXPLC_NY Query output'!$I:$I)/1000000</f>
        <v>0</v>
      </c>
      <c r="N25" s="6">
        <f>1*SUMIF('XXXXPLC_NY Query output'!$D:$D,N$6&amp;"_"&amp;"Ext"&amp;"_"&amp;$D25,'XXXXPLC_NY Query output'!$I:$I)/1000000</f>
        <v>0</v>
      </c>
      <c r="O25" s="6">
        <f>1*SUMIF('XXXXPLC_NY Query output'!$D:$D,O$6&amp;"_"&amp;"Ext"&amp;"_"&amp;$D25,'XXXXPLC_NY Query output'!$I:$I)/1000000</f>
        <v>0</v>
      </c>
      <c r="P25" s="6">
        <f>1*SUMIF('XXXXPLC_NY Query output'!$D:$D,P$6&amp;"_"&amp;"Ext"&amp;"_"&amp;$D25,'XXXXPLC_NY Query output'!$I:$I)/1000000</f>
        <v>0</v>
      </c>
      <c r="Q25" s="46">
        <f>1*SUMIF('XXXXPLC_NY Query output'!$D:$D,Q$6&amp;"_"&amp;"Ext"&amp;"_"&amp;$D25,'XXXXPLC_NY Query output'!$I:$I)/1000000</f>
        <v>0</v>
      </c>
      <c r="U25"/>
      <c r="V25"/>
      <c r="W25" s="90"/>
    </row>
    <row r="26" spans="1:33" ht="12.75" outlineLevel="1">
      <c r="A26" s="7"/>
      <c r="B26" s="7"/>
      <c r="C26" s="263"/>
      <c r="D26" s="160" t="s">
        <v>122</v>
      </c>
      <c r="E26" s="237">
        <f>1*SUMIF('XXXXPLC_NY Query output'!$D:$D,E$6&amp;"_"&amp;"Ext"&amp;"_"&amp;$D26,'XXXXPLC_NY Query output'!$I:$I)/1000000</f>
        <v>0</v>
      </c>
      <c r="F26" s="6">
        <f>1*SUMIF('XXXXPLC_NY Query output'!$D:$D,F$6&amp;"_"&amp;"Ext"&amp;"_"&amp;$D26,'XXXXPLC_NY Query output'!$I:$I)/1000000</f>
        <v>0</v>
      </c>
      <c r="G26" s="6">
        <f>1*SUMIF('XXXXPLC_NY Query output'!$D:$D,G$6&amp;"_"&amp;"Ext"&amp;"_"&amp;$D26,'XXXXPLC_NY Query output'!$I:$I)/1000000</f>
        <v>0</v>
      </c>
      <c r="H26" s="6">
        <f>1*SUMIF('XXXXPLC_NY Query output'!$D:$D,H$6&amp;"_"&amp;"Ext"&amp;"_"&amp;$D26,'XXXXPLC_NY Query output'!$I:$I)/1000000</f>
        <v>0</v>
      </c>
      <c r="I26" s="6">
        <f>1*SUMIF('XXXXPLC_NY Query output'!$D:$D,I$6&amp;"_"&amp;"Ext"&amp;"_"&amp;$D26,'XXXXPLC_NY Query output'!$I:$I)/1000000</f>
        <v>0</v>
      </c>
      <c r="J26" s="6">
        <f>1*SUMIF('XXXXPLC_NY Query output'!$D:$D,J$6&amp;"_"&amp;"Ext"&amp;"_"&amp;$D26,'XXXXPLC_NY Query output'!$I:$I)/1000000</f>
        <v>0</v>
      </c>
      <c r="K26" s="6">
        <f>1*SUMIF('XXXXPLC_NY Query output'!$D:$D,K$6&amp;"_"&amp;"Ext"&amp;"_"&amp;$D26,'XXXXPLC_NY Query output'!$I:$I)/1000000</f>
        <v>0</v>
      </c>
      <c r="L26" s="6">
        <f>1*SUMIF('XXXXPLC_NY Query output'!$D:$D,L$6&amp;"_"&amp;"Ext"&amp;"_"&amp;$D26,'XXXXPLC_NY Query output'!$I:$I)/1000000</f>
        <v>0</v>
      </c>
      <c r="M26" s="6">
        <f>1*SUMIF('XXXXPLC_NY Query output'!$D:$D,M$6&amp;"_"&amp;"Ext"&amp;"_"&amp;$D26,'XXXXPLC_NY Query output'!$I:$I)/1000000</f>
        <v>0</v>
      </c>
      <c r="N26" s="6">
        <f>1*SUMIF('XXXXPLC_NY Query output'!$D:$D,N$6&amp;"_"&amp;"Ext"&amp;"_"&amp;$D26,'XXXXPLC_NY Query output'!$I:$I)/1000000</f>
        <v>0</v>
      </c>
      <c r="O26" s="6">
        <f>1*SUMIF('XXXXPLC_NY Query output'!$D:$D,O$6&amp;"_"&amp;"Ext"&amp;"_"&amp;$D26,'XXXXPLC_NY Query output'!$I:$I)/1000000</f>
        <v>0</v>
      </c>
      <c r="P26" s="6">
        <f>1*SUMIF('XXXXPLC_NY Query output'!$D:$D,P$6&amp;"_"&amp;"Ext"&amp;"_"&amp;$D26,'XXXXPLC_NY Query output'!$I:$I)/1000000</f>
        <v>0</v>
      </c>
      <c r="Q26" s="46">
        <f>1*SUMIF('XXXXPLC_NY Query output'!$D:$D,Q$6&amp;"_"&amp;"Ext"&amp;"_"&amp;$D26,'XXXXPLC_NY Query output'!$I:$I)/1000000</f>
        <v>0</v>
      </c>
      <c r="U26"/>
      <c r="V26"/>
      <c r="W26"/>
    </row>
    <row r="27" spans="1:33" ht="12.75" outlineLevel="1">
      <c r="A27" s="7"/>
      <c r="B27" s="7"/>
      <c r="C27" s="263"/>
      <c r="D27" s="160" t="s">
        <v>123</v>
      </c>
      <c r="E27" s="237">
        <f>1*SUMIF('XXXXPLC_NY Query output'!$D:$D,E$6&amp;"_"&amp;"Ext"&amp;"_"&amp;$D27,'XXXXPLC_NY Query output'!$I:$I)/1000000</f>
        <v>0</v>
      </c>
      <c r="F27" s="6">
        <f>1*SUMIF('XXXXPLC_NY Query output'!$D:$D,F$6&amp;"_"&amp;"Ext"&amp;"_"&amp;$D27,'XXXXPLC_NY Query output'!$I:$I)/1000000</f>
        <v>0</v>
      </c>
      <c r="G27" s="6">
        <f>1*SUMIF('XXXXPLC_NY Query output'!$D:$D,G$6&amp;"_"&amp;"Ext"&amp;"_"&amp;$D27,'XXXXPLC_NY Query output'!$I:$I)/1000000</f>
        <v>0</v>
      </c>
      <c r="H27" s="6">
        <f>1*SUMIF('XXXXPLC_NY Query output'!$D:$D,H$6&amp;"_"&amp;"Ext"&amp;"_"&amp;$D27,'XXXXPLC_NY Query output'!$I:$I)/1000000</f>
        <v>0</v>
      </c>
      <c r="I27" s="6">
        <f>1*SUMIF('XXXXPLC_NY Query output'!$D:$D,I$6&amp;"_"&amp;"Ext"&amp;"_"&amp;$D27,'XXXXPLC_NY Query output'!$I:$I)/1000000</f>
        <v>0</v>
      </c>
      <c r="J27" s="6">
        <f>1*SUMIF('XXXXPLC_NY Query output'!$D:$D,J$6&amp;"_"&amp;"Ext"&amp;"_"&amp;$D27,'XXXXPLC_NY Query output'!$I:$I)/1000000</f>
        <v>0</v>
      </c>
      <c r="K27" s="6">
        <f>1*SUMIF('XXXXPLC_NY Query output'!$D:$D,K$6&amp;"_"&amp;"Ext"&amp;"_"&amp;$D27,'XXXXPLC_NY Query output'!$I:$I)/1000000</f>
        <v>0</v>
      </c>
      <c r="L27" s="6">
        <f>1*SUMIF('XXXXPLC_NY Query output'!$D:$D,L$6&amp;"_"&amp;"Ext"&amp;"_"&amp;$D27,'XXXXPLC_NY Query output'!$I:$I)/1000000</f>
        <v>0</v>
      </c>
      <c r="M27" s="6">
        <f>1*SUMIF('XXXXPLC_NY Query output'!$D:$D,M$6&amp;"_"&amp;"Ext"&amp;"_"&amp;$D27,'XXXXPLC_NY Query output'!$I:$I)/1000000</f>
        <v>0</v>
      </c>
      <c r="N27" s="6">
        <f>1*SUMIF('XXXXPLC_NY Query output'!$D:$D,N$6&amp;"_"&amp;"Ext"&amp;"_"&amp;$D27,'XXXXPLC_NY Query output'!$I:$I)/1000000</f>
        <v>0</v>
      </c>
      <c r="O27" s="6">
        <f>1*SUMIF('XXXXPLC_NY Query output'!$D:$D,O$6&amp;"_"&amp;"Ext"&amp;"_"&amp;$D27,'XXXXPLC_NY Query output'!$I:$I)/1000000</f>
        <v>0</v>
      </c>
      <c r="P27" s="6">
        <f>1*SUMIF('XXXXPLC_NY Query output'!$D:$D,P$6&amp;"_"&amp;"Ext"&amp;"_"&amp;$D27,'XXXXPLC_NY Query output'!$I:$I)/1000000</f>
        <v>0</v>
      </c>
      <c r="Q27" s="46">
        <f>1*SUMIF('XXXXPLC_NY Query output'!$D:$D,Q$6&amp;"_"&amp;"Ext"&amp;"_"&amp;$D27,'XXXXPLC_NY Query output'!$I:$I)/1000000</f>
        <v>0</v>
      </c>
      <c r="U27"/>
      <c r="V27"/>
      <c r="W27"/>
    </row>
    <row r="28" spans="1:33" ht="12.75" outlineLevel="1">
      <c r="A28" s="7"/>
      <c r="B28" s="7"/>
      <c r="C28" s="263"/>
      <c r="D28" s="160" t="s">
        <v>92</v>
      </c>
      <c r="E28" s="237">
        <f>1*SUMIF('XXXXPLC_NY Query output'!$D:$D,E$6&amp;"_"&amp;"Ext"&amp;"_"&amp;$D28,'XXXXPLC_NY Query output'!$I:$I)/1000000</f>
        <v>0</v>
      </c>
      <c r="F28" s="6">
        <f>1*SUMIF('XXXXPLC_NY Query output'!$D:$D,F$6&amp;"_"&amp;"Ext"&amp;"_"&amp;$D28,'XXXXPLC_NY Query output'!$I:$I)/1000000</f>
        <v>0</v>
      </c>
      <c r="G28" s="6">
        <f>1*SUMIF('XXXXPLC_NY Query output'!$D:$D,G$6&amp;"_"&amp;"Ext"&amp;"_"&amp;$D28,'XXXXPLC_NY Query output'!$I:$I)/1000000</f>
        <v>0</v>
      </c>
      <c r="H28" s="6">
        <f>1*SUMIF('XXXXPLC_NY Query output'!$D:$D,H$6&amp;"_"&amp;"Ext"&amp;"_"&amp;$D28,'XXXXPLC_NY Query output'!$I:$I)/1000000</f>
        <v>0</v>
      </c>
      <c r="I28" s="6">
        <f>1*SUMIF('XXXXPLC_NY Query output'!$D:$D,I$6&amp;"_"&amp;"Ext"&amp;"_"&amp;$D28,'XXXXPLC_NY Query output'!$I:$I)/1000000</f>
        <v>0</v>
      </c>
      <c r="J28" s="6">
        <f>1*SUMIF('XXXXPLC_NY Query output'!$D:$D,J$6&amp;"_"&amp;"Ext"&amp;"_"&amp;$D28,'XXXXPLC_NY Query output'!$I:$I)/1000000</f>
        <v>0</v>
      </c>
      <c r="K28" s="6">
        <f>1*SUMIF('XXXXPLC_NY Query output'!$D:$D,K$6&amp;"_"&amp;"Ext"&amp;"_"&amp;$D28,'XXXXPLC_NY Query output'!$I:$I)/1000000</f>
        <v>0</v>
      </c>
      <c r="L28" s="6">
        <f>1*SUMIF('XXXXPLC_NY Query output'!$D:$D,L$6&amp;"_"&amp;"Ext"&amp;"_"&amp;$D28,'XXXXPLC_NY Query output'!$I:$I)/1000000</f>
        <v>0</v>
      </c>
      <c r="M28" s="6">
        <f>1*SUMIF('XXXXPLC_NY Query output'!$D:$D,M$6&amp;"_"&amp;"Ext"&amp;"_"&amp;$D28,'XXXXPLC_NY Query output'!$I:$I)/1000000</f>
        <v>0</v>
      </c>
      <c r="N28" s="6">
        <f>1*SUMIF('XXXXPLC_NY Query output'!$D:$D,N$6&amp;"_"&amp;"Ext"&amp;"_"&amp;$D28,'XXXXPLC_NY Query output'!$I:$I)/1000000</f>
        <v>0</v>
      </c>
      <c r="O28" s="6">
        <f>1*SUMIF('XXXXPLC_NY Query output'!$D:$D,O$6&amp;"_"&amp;"Ext"&amp;"_"&amp;$D28,'XXXXPLC_NY Query output'!$I:$I)/1000000</f>
        <v>0</v>
      </c>
      <c r="P28" s="6">
        <f>1*SUMIF('XXXXPLC_NY Query output'!$D:$D,P$6&amp;"_"&amp;"Ext"&amp;"_"&amp;$D28,'XXXXPLC_NY Query output'!$I:$I)/1000000</f>
        <v>0</v>
      </c>
      <c r="Q28" s="46">
        <f>1*SUMIF('XXXXPLC_NY Query output'!$D:$D,Q$6&amp;"_"&amp;"Ext"&amp;"_"&amp;$D28,'XXXXPLC_NY Query output'!$I:$I)/1000000</f>
        <v>0</v>
      </c>
      <c r="U28" s="80" t="s">
        <v>266</v>
      </c>
      <c r="V28" s="80" t="s">
        <v>146</v>
      </c>
      <c r="W28" s="138"/>
      <c r="X28" s="138"/>
      <c r="Y28" s="138"/>
      <c r="Z28" s="138"/>
      <c r="AA28" s="138"/>
      <c r="AB28" s="138"/>
      <c r="AC28" s="138"/>
      <c r="AD28" s="138"/>
      <c r="AE28" s="138"/>
      <c r="AF28" s="138"/>
      <c r="AG28" s="139"/>
    </row>
    <row r="29" spans="1:33" ht="12.75" outlineLevel="1">
      <c r="A29" s="7"/>
      <c r="B29" s="7"/>
      <c r="C29" s="263"/>
      <c r="D29" s="160" t="s">
        <v>95</v>
      </c>
      <c r="E29" s="237">
        <f>1*SUMIF('XXXXPLC_NY Query output'!$D:$D,E$6&amp;"_"&amp;"Ext"&amp;"_"&amp;$D29,'XXXXPLC_NY Query output'!$I:$I)/1000000</f>
        <v>0</v>
      </c>
      <c r="F29" s="6">
        <f>1*SUMIF('XXXXPLC_NY Query output'!$D:$D,F$6&amp;"_"&amp;"Ext"&amp;"_"&amp;$D29,'XXXXPLC_NY Query output'!$I:$I)/1000000</f>
        <v>0</v>
      </c>
      <c r="G29" s="6">
        <f>1*SUMIF('XXXXPLC_NY Query output'!$D:$D,G$6&amp;"_"&amp;"Ext"&amp;"_"&amp;$D29,'XXXXPLC_NY Query output'!$I:$I)/1000000</f>
        <v>0</v>
      </c>
      <c r="H29" s="6">
        <f>1*SUMIF('XXXXPLC_NY Query output'!$D:$D,H$6&amp;"_"&amp;"Ext"&amp;"_"&amp;$D29,'XXXXPLC_NY Query output'!$I:$I)/1000000</f>
        <v>0</v>
      </c>
      <c r="I29" s="6">
        <f>1*SUMIF('XXXXPLC_NY Query output'!$D:$D,I$6&amp;"_"&amp;"Ext"&amp;"_"&amp;$D29,'XXXXPLC_NY Query output'!$I:$I)/1000000</f>
        <v>0</v>
      </c>
      <c r="J29" s="6">
        <f>1*SUMIF('XXXXPLC_NY Query output'!$D:$D,J$6&amp;"_"&amp;"Ext"&amp;"_"&amp;$D29,'XXXXPLC_NY Query output'!$I:$I)/1000000</f>
        <v>0</v>
      </c>
      <c r="K29" s="6">
        <f>1*SUMIF('XXXXPLC_NY Query output'!$D:$D,K$6&amp;"_"&amp;"Ext"&amp;"_"&amp;$D29,'XXXXPLC_NY Query output'!$I:$I)/1000000</f>
        <v>0</v>
      </c>
      <c r="L29" s="6">
        <f>1*SUMIF('XXXXPLC_NY Query output'!$D:$D,L$6&amp;"_"&amp;"Ext"&amp;"_"&amp;$D29,'XXXXPLC_NY Query output'!$I:$I)/1000000</f>
        <v>0</v>
      </c>
      <c r="M29" s="6">
        <f>1*SUMIF('XXXXPLC_NY Query output'!$D:$D,M$6&amp;"_"&amp;"Ext"&amp;"_"&amp;$D29,'XXXXPLC_NY Query output'!$I:$I)/1000000</f>
        <v>0</v>
      </c>
      <c r="N29" s="6">
        <f>1*SUMIF('XXXXPLC_NY Query output'!$D:$D,N$6&amp;"_"&amp;"Ext"&amp;"_"&amp;$D29,'XXXXPLC_NY Query output'!$I:$I)/1000000</f>
        <v>0</v>
      </c>
      <c r="O29" s="6">
        <f>1*SUMIF('XXXXPLC_NY Query output'!$D:$D,O$6&amp;"_"&amp;"Ext"&amp;"_"&amp;$D29,'XXXXPLC_NY Query output'!$I:$I)/1000000</f>
        <v>0</v>
      </c>
      <c r="P29" s="6">
        <f>1*SUMIF('XXXXPLC_NY Query output'!$D:$D,P$6&amp;"_"&amp;"Ext"&amp;"_"&amp;$D29,'XXXXPLC_NY Query output'!$I:$I)/1000000</f>
        <v>0</v>
      </c>
      <c r="Q29" s="46">
        <f>1*SUMIF('XXXXPLC_NY Query output'!$D:$D,Q$6&amp;"_"&amp;"Ext"&amp;"_"&amp;$D29,'XXXXPLC_NY Query output'!$I:$I)/1000000</f>
        <v>0</v>
      </c>
      <c r="U29" s="80" t="s">
        <v>152</v>
      </c>
      <c r="V29" s="82" t="s">
        <v>111</v>
      </c>
      <c r="W29" s="141" t="s">
        <v>112</v>
      </c>
      <c r="X29" s="141" t="s">
        <v>101</v>
      </c>
      <c r="Y29" s="141" t="s">
        <v>108</v>
      </c>
      <c r="Z29" s="141" t="s">
        <v>102</v>
      </c>
      <c r="AA29" s="141" t="s">
        <v>106</v>
      </c>
      <c r="AB29" s="141" t="s">
        <v>113</v>
      </c>
      <c r="AC29" s="141" t="s">
        <v>103</v>
      </c>
      <c r="AD29" s="141" t="s">
        <v>109</v>
      </c>
      <c r="AE29" s="141" t="s">
        <v>107</v>
      </c>
      <c r="AF29" s="141" t="s">
        <v>110</v>
      </c>
      <c r="AG29" s="81" t="s">
        <v>63</v>
      </c>
    </row>
    <row r="30" spans="1:33" ht="12.75" outlineLevel="1">
      <c r="A30" s="7"/>
      <c r="B30" s="7"/>
      <c r="C30" s="263"/>
      <c r="D30" s="160" t="s">
        <v>67</v>
      </c>
      <c r="E30" s="237">
        <f>1*SUMIF('XXXXPLC_NY Query output'!$D:$D,E$6&amp;"_"&amp;"Ext"&amp;"_"&amp;$D30,'XXXXPLC_NY Query output'!$I:$I)/1000000</f>
        <v>0</v>
      </c>
      <c r="F30" s="6">
        <f>1*SUMIF('XXXXPLC_NY Query output'!$D:$D,F$6&amp;"_"&amp;"Ext"&amp;"_"&amp;$D30,'XXXXPLC_NY Query output'!$I:$I)/1000000</f>
        <v>9</v>
      </c>
      <c r="G30" s="6">
        <f>1*SUMIF('XXXXPLC_NY Query output'!$D:$D,G$6&amp;"_"&amp;"Ext"&amp;"_"&amp;$D30,'XXXXPLC_NY Query output'!$I:$I)/1000000</f>
        <v>0</v>
      </c>
      <c r="H30" s="6">
        <f>1*SUMIF('XXXXPLC_NY Query output'!$D:$D,H$6&amp;"_"&amp;"Ext"&amp;"_"&amp;$D30,'XXXXPLC_NY Query output'!$I:$I)/1000000</f>
        <v>0</v>
      </c>
      <c r="I30" s="6">
        <f>1*SUMIF('XXXXPLC_NY Query output'!$D:$D,I$6&amp;"_"&amp;"Ext"&amp;"_"&amp;$D30,'XXXXPLC_NY Query output'!$I:$I)/1000000</f>
        <v>0</v>
      </c>
      <c r="J30" s="6">
        <f>1*SUMIF('XXXXPLC_NY Query output'!$D:$D,J$6&amp;"_"&amp;"Ext"&amp;"_"&amp;$D30,'XXXXPLC_NY Query output'!$I:$I)/1000000</f>
        <v>0</v>
      </c>
      <c r="K30" s="6">
        <f>1*SUMIF('XXXXPLC_NY Query output'!$D:$D,K$6&amp;"_"&amp;"Ext"&amp;"_"&amp;$D30,'XXXXPLC_NY Query output'!$I:$I)/1000000</f>
        <v>0</v>
      </c>
      <c r="L30" s="6">
        <f>1*SUMIF('XXXXPLC_NY Query output'!$D:$D,L$6&amp;"_"&amp;"Ext"&amp;"_"&amp;$D30,'XXXXPLC_NY Query output'!$I:$I)/1000000</f>
        <v>0</v>
      </c>
      <c r="M30" s="6">
        <f>1*SUMIF('XXXXPLC_NY Query output'!$D:$D,M$6&amp;"_"&amp;"Ext"&amp;"_"&amp;$D30,'XXXXPLC_NY Query output'!$I:$I)/1000000</f>
        <v>0</v>
      </c>
      <c r="N30" s="6">
        <f>1*SUMIF('XXXXPLC_NY Query output'!$D:$D,N$6&amp;"_"&amp;"Ext"&amp;"_"&amp;$D30,'XXXXPLC_NY Query output'!$I:$I)/1000000</f>
        <v>0</v>
      </c>
      <c r="O30" s="6">
        <f>1*SUMIF('XXXXPLC_NY Query output'!$D:$D,O$6&amp;"_"&amp;"Ext"&amp;"_"&amp;$D30,'XXXXPLC_NY Query output'!$I:$I)/1000000</f>
        <v>0</v>
      </c>
      <c r="P30" s="6">
        <f>1*SUMIF('XXXXPLC_NY Query output'!$D:$D,P$6&amp;"_"&amp;"Ext"&amp;"_"&amp;$D30,'XXXXPLC_NY Query output'!$I:$I)/1000000</f>
        <v>0</v>
      </c>
      <c r="Q30" s="46">
        <f>1*SUMIF('XXXXPLC_NY Query output'!$D:$D,Q$6&amp;"_"&amp;"Ext"&amp;"_"&amp;$D30,'XXXXPLC_NY Query output'!$I:$I)/1000000</f>
        <v>0</v>
      </c>
      <c r="U30" s="82" t="s">
        <v>78</v>
      </c>
      <c r="V30" s="140">
        <v>-1519099.7100000002</v>
      </c>
      <c r="W30" s="142">
        <v>-819230.96000000066</v>
      </c>
      <c r="X30" s="142">
        <v>-221938.8900000006</v>
      </c>
      <c r="Y30" s="142">
        <v>-88837.02</v>
      </c>
      <c r="Z30" s="142"/>
      <c r="AA30" s="142">
        <v>86.16</v>
      </c>
      <c r="AB30" s="142">
        <v>-1516255.6799999997</v>
      </c>
      <c r="AC30" s="142">
        <v>-1826562.5</v>
      </c>
      <c r="AD30" s="142">
        <v>-82854062.690000027</v>
      </c>
      <c r="AE30" s="142">
        <v>380089.00000000006</v>
      </c>
      <c r="AF30" s="142">
        <v>-100519583.94000003</v>
      </c>
      <c r="AG30" s="87">
        <v>-188985396.23000005</v>
      </c>
    </row>
    <row r="31" spans="1:33" ht="12.75" outlineLevel="1">
      <c r="A31" s="7"/>
      <c r="B31" s="7"/>
      <c r="C31" s="263"/>
      <c r="D31" s="160" t="s">
        <v>124</v>
      </c>
      <c r="E31" s="237">
        <f>1*SUMIF('XXXXPLC_NY Query output'!$D:$D,E$6&amp;"_"&amp;"Ext"&amp;"_"&amp;$D31,'XXXXPLC_NY Query output'!$I:$I)/1000000</f>
        <v>0</v>
      </c>
      <c r="F31" s="6">
        <f>1*SUMIF('XXXXPLC_NY Query output'!$D:$D,F$6&amp;"_"&amp;"Ext"&amp;"_"&amp;$D31,'XXXXPLC_NY Query output'!$I:$I)/1000000</f>
        <v>0</v>
      </c>
      <c r="G31" s="6">
        <f>1*SUMIF('XXXXPLC_NY Query output'!$D:$D,G$6&amp;"_"&amp;"Ext"&amp;"_"&amp;$D31,'XXXXPLC_NY Query output'!$I:$I)/1000000</f>
        <v>0</v>
      </c>
      <c r="H31" s="6">
        <f>1*SUMIF('XXXXPLC_NY Query output'!$D:$D,H$6&amp;"_"&amp;"Ext"&amp;"_"&amp;$D31,'XXXXPLC_NY Query output'!$I:$I)/1000000</f>
        <v>0</v>
      </c>
      <c r="I31" s="6">
        <f>1*SUMIF('XXXXPLC_NY Query output'!$D:$D,I$6&amp;"_"&amp;"Ext"&amp;"_"&amp;$D31,'XXXXPLC_NY Query output'!$I:$I)/1000000</f>
        <v>0</v>
      </c>
      <c r="J31" s="6">
        <f>1*SUMIF('XXXXPLC_NY Query output'!$D:$D,J$6&amp;"_"&amp;"Ext"&amp;"_"&amp;$D31,'XXXXPLC_NY Query output'!$I:$I)/1000000</f>
        <v>0</v>
      </c>
      <c r="K31" s="6">
        <f>1*SUMIF('XXXXPLC_NY Query output'!$D:$D,K$6&amp;"_"&amp;"Ext"&amp;"_"&amp;$D31,'XXXXPLC_NY Query output'!$I:$I)/1000000</f>
        <v>0</v>
      </c>
      <c r="L31" s="6">
        <f>1*SUMIF('XXXXPLC_NY Query output'!$D:$D,L$6&amp;"_"&amp;"Ext"&amp;"_"&amp;$D31,'XXXXPLC_NY Query output'!$I:$I)/1000000</f>
        <v>0</v>
      </c>
      <c r="M31" s="6">
        <f>1*SUMIF('XXXXPLC_NY Query output'!$D:$D,M$6&amp;"_"&amp;"Ext"&amp;"_"&amp;$D31,'XXXXPLC_NY Query output'!$I:$I)/1000000</f>
        <v>0</v>
      </c>
      <c r="N31" s="6">
        <f>1*SUMIF('XXXXPLC_NY Query output'!$D:$D,N$6&amp;"_"&amp;"Ext"&amp;"_"&amp;$D31,'XXXXPLC_NY Query output'!$I:$I)/1000000</f>
        <v>0</v>
      </c>
      <c r="O31" s="6">
        <f>1*SUMIF('XXXXPLC_NY Query output'!$D:$D,O$6&amp;"_"&amp;"Ext"&amp;"_"&amp;$D31,'XXXXPLC_NY Query output'!$I:$I)/1000000</f>
        <v>0</v>
      </c>
      <c r="P31" s="6">
        <f>1*SUMIF('XXXXPLC_NY Query output'!$D:$D,P$6&amp;"_"&amp;"Ext"&amp;"_"&amp;$D31,'XXXXPLC_NY Query output'!$I:$I)/1000000</f>
        <v>0</v>
      </c>
      <c r="Q31" s="46">
        <f>1*SUMIF('XXXXPLC_NY Query output'!$D:$D,Q$6&amp;"_"&amp;"Ext"&amp;"_"&amp;$D31,'XXXXPLC_NY Query output'!$I:$I)/1000000</f>
        <v>0</v>
      </c>
      <c r="U31" s="83" t="s">
        <v>263</v>
      </c>
      <c r="V31" s="143"/>
      <c r="W31" s="90"/>
      <c r="X31" s="90"/>
      <c r="Y31" s="90"/>
      <c r="Z31" s="90">
        <v>-9021000</v>
      </c>
      <c r="AA31" s="90"/>
      <c r="AB31" s="90"/>
      <c r="AC31" s="90"/>
      <c r="AD31" s="90">
        <v>9375</v>
      </c>
      <c r="AE31" s="90"/>
      <c r="AF31" s="90"/>
      <c r="AG31" s="88">
        <v>-9011625</v>
      </c>
    </row>
    <row r="32" spans="1:33" ht="12.75" outlineLevel="1">
      <c r="A32" s="7"/>
      <c r="B32" s="7"/>
      <c r="C32" s="263"/>
      <c r="D32" s="160" t="s">
        <v>125</v>
      </c>
      <c r="E32" s="237">
        <f>1*SUMIF('XXXXPLC_NY Query output'!$D:$D,E$6&amp;"_"&amp;"Ext"&amp;"_"&amp;$D32,'XXXXPLC_NY Query output'!$I:$I)/1000000</f>
        <v>0</v>
      </c>
      <c r="F32" s="6">
        <f>1*SUMIF('XXXXPLC_NY Query output'!$D:$D,F$6&amp;"_"&amp;"Ext"&amp;"_"&amp;$D32,'XXXXPLC_NY Query output'!$I:$I)/1000000</f>
        <v>0</v>
      </c>
      <c r="G32" s="6">
        <f>1*SUMIF('XXXXPLC_NY Query output'!$D:$D,G$6&amp;"_"&amp;"Ext"&amp;"_"&amp;$D32,'XXXXPLC_NY Query output'!$I:$I)/1000000</f>
        <v>0</v>
      </c>
      <c r="H32" s="6">
        <f>1*SUMIF('XXXXPLC_NY Query output'!$D:$D,H$6&amp;"_"&amp;"Ext"&amp;"_"&amp;$D32,'XXXXPLC_NY Query output'!$I:$I)/1000000</f>
        <v>0</v>
      </c>
      <c r="I32" s="6">
        <f>1*SUMIF('XXXXPLC_NY Query output'!$D:$D,I$6&amp;"_"&amp;"Ext"&amp;"_"&amp;$D32,'XXXXPLC_NY Query output'!$I:$I)/1000000</f>
        <v>0</v>
      </c>
      <c r="J32" s="6">
        <f>1*SUMIF('XXXXPLC_NY Query output'!$D:$D,J$6&amp;"_"&amp;"Ext"&amp;"_"&amp;$D32,'XXXXPLC_NY Query output'!$I:$I)/1000000</f>
        <v>0</v>
      </c>
      <c r="K32" s="6">
        <f>1*SUMIF('XXXXPLC_NY Query output'!$D:$D,K$6&amp;"_"&amp;"Ext"&amp;"_"&amp;$D32,'XXXXPLC_NY Query output'!$I:$I)/1000000</f>
        <v>0</v>
      </c>
      <c r="L32" s="6">
        <f>1*SUMIF('XXXXPLC_NY Query output'!$D:$D,L$6&amp;"_"&amp;"Ext"&amp;"_"&amp;$D32,'XXXXPLC_NY Query output'!$I:$I)/1000000</f>
        <v>0</v>
      </c>
      <c r="M32" s="6">
        <f>1*SUMIF('XXXXPLC_NY Query output'!$D:$D,M$6&amp;"_"&amp;"Ext"&amp;"_"&amp;$D32,'XXXXPLC_NY Query output'!$I:$I)/1000000</f>
        <v>0</v>
      </c>
      <c r="N32" s="6">
        <f>1*SUMIF('XXXXPLC_NY Query output'!$D:$D,N$6&amp;"_"&amp;"Ext"&amp;"_"&amp;$D32,'XXXXPLC_NY Query output'!$I:$I)/1000000</f>
        <v>0</v>
      </c>
      <c r="O32" s="6">
        <f>1*SUMIF('XXXXPLC_NY Query output'!$D:$D,O$6&amp;"_"&amp;"Ext"&amp;"_"&amp;$D32,'XXXXPLC_NY Query output'!$I:$I)/1000000</f>
        <v>0</v>
      </c>
      <c r="P32" s="6">
        <f>1*SUMIF('XXXXPLC_NY Query output'!$D:$D,P$6&amp;"_"&amp;"Ext"&amp;"_"&amp;$D32,'XXXXPLC_NY Query output'!$I:$I)/1000000</f>
        <v>0</v>
      </c>
      <c r="Q32" s="46">
        <f>1*SUMIF('XXXXPLC_NY Query output'!$D:$D,Q$6&amp;"_"&amp;"Ext"&amp;"_"&amp;$D32,'XXXXPLC_NY Query output'!$I:$I)/1000000</f>
        <v>0</v>
      </c>
      <c r="U32" s="84" t="s">
        <v>63</v>
      </c>
      <c r="V32" s="144">
        <v>-1519099.7100000002</v>
      </c>
      <c r="W32" s="145">
        <v>-819230.96000000066</v>
      </c>
      <c r="X32" s="145">
        <v>-221938.8900000006</v>
      </c>
      <c r="Y32" s="145">
        <v>-88837.02</v>
      </c>
      <c r="Z32" s="145">
        <v>-9021000</v>
      </c>
      <c r="AA32" s="145">
        <v>86.16</v>
      </c>
      <c r="AB32" s="145">
        <v>-1516255.6799999997</v>
      </c>
      <c r="AC32" s="145">
        <v>-1826562.5</v>
      </c>
      <c r="AD32" s="145">
        <v>-82844687.690000027</v>
      </c>
      <c r="AE32" s="145">
        <v>380089.00000000006</v>
      </c>
      <c r="AF32" s="145">
        <v>-100519583.94000003</v>
      </c>
      <c r="AG32" s="89">
        <v>-197997021.23000005</v>
      </c>
    </row>
    <row r="33" spans="1:220" ht="12.75" outlineLevel="1">
      <c r="A33" s="7"/>
      <c r="B33" s="7"/>
      <c r="C33" s="263"/>
      <c r="D33" s="160" t="s">
        <v>126</v>
      </c>
      <c r="E33" s="237">
        <f>1*SUMIF('XXXXPLC_NY Query output'!$D:$D,E$6&amp;"_"&amp;"Ext"&amp;"_"&amp;$D33,'XXXXPLC_NY Query output'!$I:$I)/1000000</f>
        <v>0</v>
      </c>
      <c r="F33" s="6">
        <f>1*SUMIF('XXXXPLC_NY Query output'!$D:$D,F$6&amp;"_"&amp;"Ext"&amp;"_"&amp;$D33,'XXXXPLC_NY Query output'!$I:$I)/1000000</f>
        <v>2.1000000000000001E-2</v>
      </c>
      <c r="G33" s="6">
        <f>1*SUMIF('XXXXPLC_NY Query output'!$D:$D,G$6&amp;"_"&amp;"Ext"&amp;"_"&amp;$D33,'XXXXPLC_NY Query output'!$I:$I)/1000000</f>
        <v>2.4301124999999999</v>
      </c>
      <c r="H33" s="6">
        <f>1*SUMIF('XXXXPLC_NY Query output'!$D:$D,H$6&amp;"_"&amp;"Ext"&amp;"_"&amp;$D33,'XXXXPLC_NY Query output'!$I:$I)/1000000</f>
        <v>0</v>
      </c>
      <c r="I33" s="6">
        <f>1*SUMIF('XXXXPLC_NY Query output'!$D:$D,I$6&amp;"_"&amp;"Ext"&amp;"_"&amp;$D33,'XXXXPLC_NY Query output'!$I:$I)/1000000</f>
        <v>0</v>
      </c>
      <c r="J33" s="6">
        <f>1*SUMIF('XXXXPLC_NY Query output'!$D:$D,J$6&amp;"_"&amp;"Ext"&amp;"_"&amp;$D33,'XXXXPLC_NY Query output'!$I:$I)/1000000</f>
        <v>0</v>
      </c>
      <c r="K33" s="6">
        <f>1*SUMIF('XXXXPLC_NY Query output'!$D:$D,K$6&amp;"_"&amp;"Ext"&amp;"_"&amp;$D33,'XXXXPLC_NY Query output'!$I:$I)/1000000</f>
        <v>-0.55067675999999999</v>
      </c>
      <c r="L33" s="6">
        <f>1*SUMIF('XXXXPLC_NY Query output'!$D:$D,L$6&amp;"_"&amp;"Ext"&amp;"_"&amp;$D33,'XXXXPLC_NY Query output'!$I:$I)/1000000</f>
        <v>0.75187499999999996</v>
      </c>
      <c r="M33" s="6">
        <f>1*SUMIF('XXXXPLC_NY Query output'!$D:$D,M$6&amp;"_"&amp;"Ext"&amp;"_"&amp;$D33,'XXXXPLC_NY Query output'!$I:$I)/1000000</f>
        <v>-0.40653909000000016</v>
      </c>
      <c r="N33" s="6">
        <f>1*SUMIF('XXXXPLC_NY Query output'!$D:$D,N$6&amp;"_"&amp;"Ext"&amp;"_"&amp;$D33,'XXXXPLC_NY Query output'!$I:$I)/1000000</f>
        <v>0.13096868000000006</v>
      </c>
      <c r="O33" s="6">
        <f>1*SUMIF('XXXXPLC_NY Query output'!$D:$D,O$6&amp;"_"&amp;"Ext"&amp;"_"&amp;$D33,'XXXXPLC_NY Query output'!$I:$I)/1000000</f>
        <v>1.9199817400000003</v>
      </c>
      <c r="P33" s="6">
        <f>1*SUMIF('XXXXPLC_NY Query output'!$D:$D,P$6&amp;"_"&amp;"Ext"&amp;"_"&amp;$D33,'XXXXPLC_NY Query output'!$I:$I)/1000000</f>
        <v>0.92562414000000004</v>
      </c>
      <c r="Q33" s="46">
        <f>1*SUMIF('XXXXPLC_NY Query output'!$D:$D,Q$6&amp;"_"&amp;"Ext"&amp;"_"&amp;$D33,'XXXXPLC_NY Query output'!$I:$I)/1000000</f>
        <v>1.4321835899999997</v>
      </c>
      <c r="U33"/>
      <c r="V33"/>
      <c r="W33"/>
      <c r="X33"/>
      <c r="Y33"/>
      <c r="Z33"/>
      <c r="AA33"/>
      <c r="AB33"/>
      <c r="AC33"/>
      <c r="AD33"/>
      <c r="AE33"/>
      <c r="AF33"/>
    </row>
    <row r="34" spans="1:220" ht="12.75" outlineLevel="1">
      <c r="A34" s="7"/>
      <c r="B34" s="7"/>
      <c r="C34" s="263"/>
      <c r="D34" s="160" t="s">
        <v>127</v>
      </c>
      <c r="E34" s="237">
        <f>1*SUMIF('XXXXPLC_NY Query output'!$D:$D,E$6&amp;"_"&amp;"Ext"&amp;"_"&amp;$D34,'XXXXPLC_NY Query output'!$I:$I)/1000000</f>
        <v>0</v>
      </c>
      <c r="F34" s="6">
        <f>1*SUMIF('XXXXPLC_NY Query output'!$D:$D,F$6&amp;"_"&amp;"Ext"&amp;"_"&amp;$D34,'XXXXPLC_NY Query output'!$I:$I)/1000000</f>
        <v>0</v>
      </c>
      <c r="G34" s="6">
        <f>1*SUMIF('XXXXPLC_NY Query output'!$D:$D,G$6&amp;"_"&amp;"Ext"&amp;"_"&amp;$D34,'XXXXPLC_NY Query output'!$I:$I)/1000000</f>
        <v>0</v>
      </c>
      <c r="H34" s="6">
        <f>1*SUMIF('XXXXPLC_NY Query output'!$D:$D,H$6&amp;"_"&amp;"Ext"&amp;"_"&amp;$D34,'XXXXPLC_NY Query output'!$I:$I)/1000000</f>
        <v>0</v>
      </c>
      <c r="I34" s="6">
        <f>1*SUMIF('XXXXPLC_NY Query output'!$D:$D,I$6&amp;"_"&amp;"Ext"&amp;"_"&amp;$D34,'XXXXPLC_NY Query output'!$I:$I)/1000000</f>
        <v>0</v>
      </c>
      <c r="J34" s="6">
        <f>1*SUMIF('XXXXPLC_NY Query output'!$D:$D,J$6&amp;"_"&amp;"Ext"&amp;"_"&amp;$D34,'XXXXPLC_NY Query output'!$I:$I)/1000000</f>
        <v>0</v>
      </c>
      <c r="K34" s="6">
        <f>1*SUMIF('XXXXPLC_NY Query output'!$D:$D,K$6&amp;"_"&amp;"Ext"&amp;"_"&amp;$D34,'XXXXPLC_NY Query output'!$I:$I)/1000000</f>
        <v>0</v>
      </c>
      <c r="L34" s="6">
        <f>1*SUMIF('XXXXPLC_NY Query output'!$D:$D,L$6&amp;"_"&amp;"Ext"&amp;"_"&amp;$D34,'XXXXPLC_NY Query output'!$I:$I)/1000000</f>
        <v>0</v>
      </c>
      <c r="M34" s="6">
        <f>1*SUMIF('XXXXPLC_NY Query output'!$D:$D,M$6&amp;"_"&amp;"Ext"&amp;"_"&amp;$D34,'XXXXPLC_NY Query output'!$I:$I)/1000000</f>
        <v>0</v>
      </c>
      <c r="N34" s="6">
        <f>1*SUMIF('XXXXPLC_NY Query output'!$D:$D,N$6&amp;"_"&amp;"Ext"&amp;"_"&amp;$D34,'XXXXPLC_NY Query output'!$I:$I)/1000000</f>
        <v>0</v>
      </c>
      <c r="O34" s="6">
        <f>1*SUMIF('XXXXPLC_NY Query output'!$D:$D,O$6&amp;"_"&amp;"Ext"&amp;"_"&amp;$D34,'XXXXPLC_NY Query output'!$I:$I)/1000000</f>
        <v>0</v>
      </c>
      <c r="P34" s="6">
        <f>1*SUMIF('XXXXPLC_NY Query output'!$D:$D,P$6&amp;"_"&amp;"Ext"&amp;"_"&amp;$D34,'XXXXPLC_NY Query output'!$I:$I)/1000000</f>
        <v>0</v>
      </c>
      <c r="Q34" s="46">
        <f>1*SUMIF('XXXXPLC_NY Query output'!$D:$D,Q$6&amp;"_"&amp;"Ext"&amp;"_"&amp;$D34,'XXXXPLC_NY Query output'!$I:$I)/1000000</f>
        <v>0</v>
      </c>
      <c r="U34"/>
      <c r="V34"/>
      <c r="W34"/>
      <c r="X34"/>
      <c r="Y34"/>
      <c r="Z34"/>
      <c r="AA34"/>
      <c r="AB34"/>
      <c r="AC34"/>
      <c r="AD34"/>
      <c r="AE34"/>
      <c r="AF34"/>
    </row>
    <row r="35" spans="1:220" ht="12.75" outlineLevel="1">
      <c r="A35" s="7"/>
      <c r="B35" s="7"/>
      <c r="C35" s="263"/>
      <c r="D35" s="160"/>
      <c r="E35" s="237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46"/>
      <c r="U35"/>
      <c r="V35"/>
      <c r="W35"/>
      <c r="X35"/>
      <c r="Y35"/>
      <c r="Z35"/>
      <c r="AA35"/>
      <c r="AB35"/>
      <c r="AC35"/>
      <c r="AD35"/>
      <c r="AE35"/>
      <c r="AF35"/>
    </row>
    <row r="36" spans="1:220" ht="12.75" outlineLevel="1">
      <c r="A36" s="7"/>
      <c r="B36" s="7"/>
      <c r="C36" s="263"/>
      <c r="D36" s="160" t="s">
        <v>156</v>
      </c>
      <c r="E36" s="237">
        <f>1*SUMIF('XXXXPLC_NY Query output'!$E:$E,E$6&amp;"_San Sabia Capital Corporation",'XXXXPLC_NY Query output'!$I:$I)/1000000</f>
        <v>0</v>
      </c>
      <c r="F36" s="6">
        <f>1*SUMIF('XXXXPLC_NY Query output'!$E:$E,F$6&amp;"_San Sabia Capital Corporation",'XXXXPLC_NY Query output'!$I:$I)/1000000</f>
        <v>-9.0210000000000008</v>
      </c>
      <c r="G36" s="6">
        <f>1*SUMIF('XXXXPLC_NY Query output'!$E:$E,G$6&amp;"_San Sabia Capital Corporation",'XXXXPLC_NY Query output'!$I:$I)/1000000</f>
        <v>0</v>
      </c>
      <c r="H36" s="6">
        <f>1*SUMIF('XXXXPLC_NY Query output'!$E:$E,H$6&amp;"_San Sabia Capital Corporation",'XXXXPLC_NY Query output'!$I:$I)/1000000</f>
        <v>0</v>
      </c>
      <c r="I36" s="6">
        <f>1*SUMIF('XXXXPLC_NY Query output'!$E:$E,I$6&amp;"_San Sabia Capital Corporation",'XXXXPLC_NY Query output'!$I:$I)/1000000</f>
        <v>0</v>
      </c>
      <c r="J36" s="6">
        <f>1*SUMIF('XXXXPLC_NY Query output'!$E:$E,J$6&amp;"_San Sabia Capital Corporation",'XXXXPLC_NY Query output'!$I:$I)/1000000</f>
        <v>0</v>
      </c>
      <c r="K36" s="6">
        <f>1*SUMIF('XXXXPLC_NY Query output'!$E:$E,K$6&amp;"_San Sabia Capital Corporation",'XXXXPLC_NY Query output'!$I:$I)/1000000</f>
        <v>0</v>
      </c>
      <c r="L36" s="6">
        <f>1*SUMIF('XXXXPLC_NY Query output'!$E:$E,L$6&amp;"_San Sabia Capital Corporation",'XXXXPLC_NY Query output'!$I:$I)/1000000</f>
        <v>0</v>
      </c>
      <c r="M36" s="6">
        <f>1*SUMIF('XXXXPLC_NY Query output'!$E:$E,M$6&amp;"_San Sabia Capital Corporation",'XXXXPLC_NY Query output'!$I:$I)/1000000</f>
        <v>9.3749999999999997E-3</v>
      </c>
      <c r="N36" s="6">
        <f>1*SUMIF('XXXXPLC_NY Query output'!$E:$E,N$6&amp;"_San Sabia Capital Corporation",'XXXXPLC_NY Query output'!$I:$I)/1000000</f>
        <v>0</v>
      </c>
      <c r="O36" s="6">
        <f>1*SUMIF('XXXXPLC_NY Query output'!$E:$E,O$6&amp;"_San Sabia Capital Corporation",'XXXXPLC_NY Query output'!$I:$I)/1000000</f>
        <v>0</v>
      </c>
      <c r="P36" s="6">
        <f>1*SUMIF('XXXXPLC_NY Query output'!$E:$E,P$6&amp;"_San Sabia Capital Corporation",'XXXXPLC_NY Query output'!$I:$I)/1000000</f>
        <v>0</v>
      </c>
      <c r="Q36" s="46">
        <f>1*SUMIF('XXXXPLC_NY Query output'!$E:$E,Q$6&amp;"_San Sabia Capital Corporation",'XXXXPLC_NY Query output'!$I:$I)/1000000</f>
        <v>0</v>
      </c>
      <c r="U36"/>
      <c r="V36"/>
      <c r="W36"/>
      <c r="X36"/>
      <c r="Y36"/>
      <c r="Z36"/>
      <c r="AA36"/>
      <c r="AB36"/>
      <c r="AC36"/>
      <c r="AD36"/>
      <c r="AE36"/>
      <c r="AF36"/>
    </row>
    <row r="37" spans="1:220" ht="12.75" outlineLevel="1">
      <c r="A37" s="7"/>
      <c r="B37" s="7"/>
      <c r="C37" s="263"/>
      <c r="D37" s="160" t="s">
        <v>151</v>
      </c>
      <c r="E37" s="237">
        <f>1*SUMIF('XXXXPLC_NY Query output'!$E:$E,E$6&amp;"_Depfa Bank Plc",'XXXXPLC_NY Query output'!$I:$I)/1000000</f>
        <v>-0.22193889000000058</v>
      </c>
      <c r="F37" s="6">
        <f>1*SUMIF('XXXXPLC_NY Query output'!$E:$E,F$6&amp;"_Depfa Bank Plc",'XXXXPLC_NY Query output'!$I:$I)/1000000</f>
        <v>0</v>
      </c>
      <c r="G37" s="6">
        <f>1*SUMIF('XXXXPLC_NY Query output'!$E:$E,G$6&amp;"_Depfa Bank Plc",'XXXXPLC_NY Query output'!$I:$I)/1000000</f>
        <v>-1.8265625000000001</v>
      </c>
      <c r="H37" s="6">
        <f>1*SUMIF('XXXXPLC_NY Query output'!$E:$E,H$6&amp;"_Depfa Bank Plc",'XXXXPLC_NY Query output'!$I:$I)/1000000</f>
        <v>0</v>
      </c>
      <c r="I37" s="6">
        <f>1*SUMIF('XXXXPLC_NY Query output'!$E:$E,I$6&amp;"_Depfa Bank Plc",'XXXXPLC_NY Query output'!$I:$I)/1000000</f>
        <v>0</v>
      </c>
      <c r="J37" s="6">
        <f>1*SUMIF('XXXXPLC_NY Query output'!$E:$E,J$6&amp;"_Depfa Bank Plc",'XXXXPLC_NY Query output'!$I:$I)/1000000</f>
        <v>8.6160000000000002E-5</v>
      </c>
      <c r="K37" s="6">
        <f>1*SUMIF('XXXXPLC_NY Query output'!$E:$E,K$6&amp;"_Depfa Bank Plc",'XXXXPLC_NY Query output'!$I:$I)/1000000</f>
        <v>0.38008900000000007</v>
      </c>
      <c r="L37" s="6">
        <f>1*SUMIF('XXXXPLC_NY Query output'!$E:$E,L$6&amp;"_Depfa Bank Plc",'XXXXPLC_NY Query output'!$I:$I)/1000000</f>
        <v>-8.8837020000000003E-2</v>
      </c>
      <c r="M37" s="6">
        <f>1*SUMIF('XXXXPLC_NY Query output'!$E:$E,M$6&amp;"_Depfa Bank Plc",'XXXXPLC_NY Query output'!$I:$I)/1000000</f>
        <v>-82.854062689999992</v>
      </c>
      <c r="N37" s="6">
        <f>1*SUMIF('XXXXPLC_NY Query output'!$E:$E,N$6&amp;"_Depfa Bank Plc",'XXXXPLC_NY Query output'!$I:$I)/1000000</f>
        <v>-100.51958394000003</v>
      </c>
      <c r="O37" s="6">
        <f>1*SUMIF('XXXXPLC_NY Query output'!$E:$E,O$6&amp;"_Depfa Bank Plc",'XXXXPLC_NY Query output'!$I:$I)/1000000</f>
        <v>-1.519099709999999</v>
      </c>
      <c r="P37" s="6">
        <f>1*SUMIF('XXXXPLC_NY Query output'!$E:$E,P$6&amp;"_Depfa Bank Plc",'XXXXPLC_NY Query output'!$I:$I)/1000000</f>
        <v>-0.81923096000000051</v>
      </c>
      <c r="Q37" s="46">
        <f>1*SUMIF('XXXXPLC_NY Query output'!$E:$E,Q$6&amp;"_Depfa Bank Plc",'XXXXPLC_NY Query output'!$I:$I)/1000000</f>
        <v>-1.5162556800000009</v>
      </c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</row>
    <row r="38" spans="1:220" ht="12.75" outlineLevel="1">
      <c r="A38" s="7"/>
      <c r="B38" s="7"/>
      <c r="C38" s="263"/>
      <c r="D38" s="160"/>
      <c r="E38" s="23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46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</row>
    <row r="39" spans="1:220" ht="12.75">
      <c r="C39" s="263"/>
      <c r="D39" s="161" t="s">
        <v>128</v>
      </c>
      <c r="E39" s="240">
        <f>SUM(E9:E34,E36:E37)</f>
        <v>91.947561532124993</v>
      </c>
      <c r="F39" s="33">
        <f t="shared" ref="F39:Q39" si="1">SUM(F9:F34,F36:F37)</f>
        <v>0</v>
      </c>
      <c r="G39" s="33">
        <f t="shared" si="1"/>
        <v>0.60354999999999981</v>
      </c>
      <c r="H39" s="33">
        <f t="shared" si="1"/>
        <v>0</v>
      </c>
      <c r="I39" s="33">
        <f t="shared" si="1"/>
        <v>0</v>
      </c>
      <c r="J39" s="33">
        <f t="shared" si="1"/>
        <v>8.6160000000000002E-5</v>
      </c>
      <c r="K39" s="33">
        <f t="shared" si="1"/>
        <v>15.02123385</v>
      </c>
      <c r="L39" s="33">
        <f t="shared" si="1"/>
        <v>0.66303797999999992</v>
      </c>
      <c r="M39" s="33">
        <f t="shared" si="1"/>
        <v>82.839311580000029</v>
      </c>
      <c r="N39" s="33">
        <f t="shared" si="1"/>
        <v>-51.141046290000034</v>
      </c>
      <c r="O39" s="33">
        <f t="shared" si="1"/>
        <v>-14.816805749999991</v>
      </c>
      <c r="P39" s="33">
        <f t="shared" si="1"/>
        <v>17.74470153</v>
      </c>
      <c r="Q39" s="48">
        <f t="shared" si="1"/>
        <v>-16.024128530000009</v>
      </c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</row>
    <row r="40" spans="1:220" ht="15">
      <c r="C40" s="264"/>
      <c r="D40" s="162" t="s">
        <v>129</v>
      </c>
      <c r="E40" s="49">
        <f>E39</f>
        <v>91.947561532124993</v>
      </c>
      <c r="F40" s="34">
        <f t="shared" ref="F40:Q40" si="2">E40+F39</f>
        <v>91.947561532124993</v>
      </c>
      <c r="G40" s="34">
        <f t="shared" si="2"/>
        <v>92.551111532124992</v>
      </c>
      <c r="H40" s="34">
        <f t="shared" si="2"/>
        <v>92.551111532124992</v>
      </c>
      <c r="I40" s="34">
        <f t="shared" si="2"/>
        <v>92.551111532124992</v>
      </c>
      <c r="J40" s="34">
        <f t="shared" si="2"/>
        <v>92.551197692124987</v>
      </c>
      <c r="K40" s="34">
        <f t="shared" si="2"/>
        <v>107.57243154212499</v>
      </c>
      <c r="L40" s="34">
        <f t="shared" si="2"/>
        <v>108.23546952212499</v>
      </c>
      <c r="M40" s="34">
        <f t="shared" si="2"/>
        <v>191.07478110212503</v>
      </c>
      <c r="N40" s="34">
        <f t="shared" si="2"/>
        <v>139.93373481212501</v>
      </c>
      <c r="O40" s="34">
        <f t="shared" si="2"/>
        <v>125.11692906212502</v>
      </c>
      <c r="P40" s="34">
        <f t="shared" si="2"/>
        <v>142.86163059212504</v>
      </c>
      <c r="Q40" s="50">
        <f t="shared" si="2"/>
        <v>126.83750206212503</v>
      </c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</row>
    <row r="41" spans="1:220" ht="12.75">
      <c r="A41" s="3"/>
      <c r="B41" s="3"/>
      <c r="C41" s="2"/>
      <c r="D41" s="163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</row>
    <row r="42" spans="1:220" ht="36.75" customHeight="1">
      <c r="A42" s="3"/>
      <c r="B42" s="3"/>
      <c r="C42" s="265" t="s">
        <v>295</v>
      </c>
      <c r="D42" s="95" t="s">
        <v>154</v>
      </c>
      <c r="E42" s="64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6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</row>
    <row r="43" spans="1:220" ht="34.5" customHeight="1">
      <c r="A43" s="3"/>
      <c r="B43" s="3"/>
      <c r="C43" s="266"/>
      <c r="D43" s="164" t="s">
        <v>263</v>
      </c>
      <c r="E43" s="154">
        <f>1*SUMIF('XXXXPLC_NY Query output'!$F:$F,E$6&amp;"_San Sabia Capital Corporation",'XXXXPLC_NY Query output'!$I:$I)/1000000</f>
        <v>0</v>
      </c>
      <c r="F43" s="155">
        <f>1*SUMIF('XXXXPLC_NY Query output'!$F:$F,F$6&amp;"_San Sabia Capital Corporation",'XXXXPLC_NY Query output'!$I:$I)/1000000</f>
        <v>9.0210000000000008</v>
      </c>
      <c r="G43" s="155">
        <f>1*SUMIF('XXXXPLC_NY Query output'!$F:$F,G$6&amp;"_San Sabia Capital Corporation",'XXXXPLC_NY Query output'!$I:$I)/1000000</f>
        <v>0</v>
      </c>
      <c r="H43" s="155">
        <f>1*SUMIF('XXXXPLC_NY Query output'!$F:$F,H$6&amp;"_San Sabia Capital Corporation",'XXXXPLC_NY Query output'!$I:$I)/1000000</f>
        <v>0</v>
      </c>
      <c r="I43" s="155">
        <f>1*SUMIF('XXXXPLC_NY Query output'!$F:$F,I$6&amp;"_San Sabia Capital Corporation",'XXXXPLC_NY Query output'!$I:$I)/1000000</f>
        <v>0</v>
      </c>
      <c r="J43" s="155">
        <f>1*SUMIF('XXXXPLC_NY Query output'!$F:$F,J$6&amp;"_San Sabia Capital Corporation",'XXXXPLC_NY Query output'!$I:$I)/1000000</f>
        <v>8.6160000000000002E-5</v>
      </c>
      <c r="K43" s="155">
        <f>1*SUMIF('XXXXPLC_NY Query output'!$F:$F,K$6&amp;"_San Sabia Capital Corporation",'XXXXPLC_NY Query output'!$I:$I)/1000000</f>
        <v>2.6214000000000001E-4</v>
      </c>
      <c r="L43" s="155">
        <f>1*SUMIF('XXXXPLC_NY Query output'!$F:$F,L$6&amp;"_San Sabia Capital Corporation",'XXXXPLC_NY Query output'!$I:$I)/1000000</f>
        <v>0</v>
      </c>
      <c r="M43" s="155">
        <f>1*SUMIF('XXXXPLC_NY Query output'!$F:$F,M$6&amp;"_San Sabia Capital Corporation",'XXXXPLC_NY Query output'!$I:$I)/1000000</f>
        <v>-1.7344645299999997</v>
      </c>
      <c r="N43" s="155">
        <f>1*SUMIF('XXXXPLC_NY Query output'!$F:$F,N$6&amp;"_San Sabia Capital Corporation",'XXXXPLC_NY Query output'!$I:$I)/1000000</f>
        <v>1.0891716100000002</v>
      </c>
      <c r="O43" s="155">
        <f>1*SUMIF('XXXXPLC_NY Query output'!$F:$F,O$6&amp;"_San Sabia Capital Corporation",'XXXXPLC_NY Query output'!$I:$I)/1000000</f>
        <v>-1.6186639699999998</v>
      </c>
      <c r="P43" s="155">
        <f>1*SUMIF('XXXXPLC_NY Query output'!$F:$F,P$6&amp;"_San Sabia Capital Corporation",'XXXXPLC_NY Query output'!$I:$I)/1000000</f>
        <v>-2.9142979999999929E-2</v>
      </c>
      <c r="Q43" s="156">
        <f>1*SUMIF('XXXXPLC_NY Query output'!$F:$F,Q$6&amp;"_San Sabia Capital Corporation",'XXXXPLC_NY Query output'!$I:$I)/1000000</f>
        <v>-0.52562964999999995</v>
      </c>
    </row>
    <row r="44" spans="1:220" ht="9" customHeight="1">
      <c r="A44" s="3"/>
      <c r="B44" s="3"/>
      <c r="C44" s="267"/>
      <c r="D44" s="165"/>
      <c r="E44" s="137"/>
      <c r="F44" s="135"/>
      <c r="G44" s="135"/>
      <c r="H44" s="135"/>
      <c r="I44" s="135"/>
      <c r="J44" s="135"/>
      <c r="K44" s="135"/>
      <c r="L44" s="135"/>
      <c r="M44" s="135"/>
      <c r="N44" s="135"/>
      <c r="O44" s="135"/>
      <c r="P44" s="135"/>
      <c r="Q44" s="136"/>
      <c r="U44" s="80" t="s">
        <v>266</v>
      </c>
      <c r="V44" s="81"/>
      <c r="W44"/>
      <c r="X44"/>
      <c r="Y44"/>
      <c r="Z44"/>
      <c r="AA44"/>
    </row>
    <row r="45" spans="1:220" ht="12.75">
      <c r="A45" s="3"/>
      <c r="B45" s="3"/>
      <c r="C45" s="2"/>
      <c r="D45" s="163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U45" s="80" t="s">
        <v>152</v>
      </c>
      <c r="V45" s="81" t="s">
        <v>62</v>
      </c>
      <c r="W45"/>
      <c r="X45"/>
      <c r="Y45"/>
      <c r="Z45"/>
      <c r="AA45"/>
    </row>
    <row r="46" spans="1:220" ht="14.25">
      <c r="C46" s="256" t="s">
        <v>130</v>
      </c>
      <c r="D46" s="166"/>
      <c r="E46" s="51"/>
      <c r="F46" s="35"/>
      <c r="G46" s="35"/>
      <c r="H46" s="35"/>
      <c r="I46" s="35"/>
      <c r="J46" s="35"/>
      <c r="K46" s="35"/>
      <c r="L46" s="35"/>
      <c r="M46" s="35"/>
      <c r="N46" s="35"/>
      <c r="O46" s="35"/>
      <c r="P46" s="36"/>
      <c r="Q46" s="52"/>
      <c r="U46" s="82" t="s">
        <v>78</v>
      </c>
      <c r="V46" s="87">
        <v>-188985396.22999996</v>
      </c>
      <c r="W46"/>
      <c r="X46"/>
      <c r="Y46"/>
      <c r="Z46"/>
      <c r="AA46"/>
    </row>
    <row r="47" spans="1:220" ht="14.25">
      <c r="C47" s="268"/>
      <c r="D47" s="167" t="s">
        <v>59</v>
      </c>
      <c r="E47" s="45"/>
      <c r="F47" s="6"/>
      <c r="G47" s="6"/>
      <c r="H47" s="6"/>
      <c r="I47" s="6"/>
      <c r="J47" s="6"/>
      <c r="K47" s="6"/>
      <c r="L47" s="6"/>
      <c r="M47" s="6"/>
      <c r="N47" s="6"/>
      <c r="O47" s="6"/>
      <c r="P47" s="13"/>
      <c r="Q47" s="53"/>
      <c r="U47" s="83" t="s">
        <v>263</v>
      </c>
      <c r="V47" s="88">
        <v>-9011625</v>
      </c>
      <c r="W47"/>
      <c r="X47"/>
      <c r="Y47"/>
      <c r="Z47"/>
      <c r="AA47"/>
    </row>
    <row r="48" spans="1:220" ht="14.25">
      <c r="A48" s="10"/>
      <c r="B48" s="10"/>
      <c r="C48" s="268"/>
      <c r="D48" s="167" t="s">
        <v>60</v>
      </c>
      <c r="E48" s="45"/>
      <c r="F48" s="6"/>
      <c r="G48" s="6"/>
      <c r="H48" s="6"/>
      <c r="I48" s="6"/>
      <c r="J48" s="6"/>
      <c r="K48" s="6"/>
      <c r="L48" s="6"/>
      <c r="M48" s="6"/>
      <c r="N48" s="6"/>
      <c r="O48" s="6"/>
      <c r="P48" s="13"/>
      <c r="Q48" s="53"/>
      <c r="U48" s="84" t="s">
        <v>63</v>
      </c>
      <c r="V48" s="89">
        <v>-197997021.22999996</v>
      </c>
      <c r="W48" s="90"/>
    </row>
    <row r="49" spans="1:366" ht="14.25">
      <c r="C49" s="268"/>
      <c r="D49" s="169" t="s">
        <v>324</v>
      </c>
      <c r="E49" s="45">
        <f ca="1">(1*SUMIF('GIC Assumptions'!$F:$H,'RiskCase Report'!E6,'GIC Assumptions'!$H:$H)/1000000)+(1*SUMIF('GIC Assumptions'!$F:$H,'RiskCase Report'!E6,'GIC Assumptions'!$G:$G)/1000000)</f>
        <v>-8.2618796672809722</v>
      </c>
      <c r="F49" s="6">
        <f ca="1">(1*SUMIF('GIC Assumptions'!$F:$H,'RiskCase Report'!F6,'GIC Assumptions'!$H:$H)/1000000)+(1*SUMIF('GIC Assumptions'!$F:$H,'RiskCase Report'!F6,'GIC Assumptions'!$G:$G)/1000000)</f>
        <v>-8.2618796672809722</v>
      </c>
      <c r="G49" s="6">
        <f ca="1">(1*SUMIF('GIC Assumptions'!$F:$G,'RiskCase Report'!G6,'GIC Assumptions'!$H:$H)/1000000)+(1*SUMIF('GIC Assumptions'!$F:$H,'RiskCase Report'!G6,'GIC Assumptions'!$G:$G)/1000000)</f>
        <v>-11.919892872280974</v>
      </c>
      <c r="H49" s="6">
        <f ca="1">(1*SUMIF('GIC Assumptions'!$F:$H,'RiskCase Report'!H6,'GIC Assumptions'!$H:$H)/1000000)+(1*SUMIF('GIC Assumptions'!$F:$H,'RiskCase Report'!H6,'GIC Assumptions'!$G:$G)/1000000)</f>
        <v>-3.9608180066541907</v>
      </c>
      <c r="I49" s="6">
        <f ca="1">(1*SUMIF('GIC Assumptions'!$F:$H,'RiskCase Report'!I6,'GIC Assumptions'!$H:$H)/1000000)+(1*SUMIF('GIC Assumptions'!$F:$H,'RiskCase Report'!I6,'GIC Assumptions'!$G:$G)/1000000)</f>
        <v>-3.9608180066541907</v>
      </c>
      <c r="J49" s="6">
        <f ca="1">(1*SUMIF('GIC Assumptions'!$F:$H,'RiskCase Report'!J6,'GIC Assumptions'!$H:$H)/1000000)+(1*SUMIF('GIC Assumptions'!$F:$H,'RiskCase Report'!J6,'GIC Assumptions'!$G:$G)/1000000)</f>
        <v>-5.1868989375283112</v>
      </c>
      <c r="K49" s="6">
        <f ca="1">(1*SUMIF('GIC Assumptions'!$F:$H,'RiskCase Report'!K6,'GIC Assumptions'!$H:$H)/1000000)+(1*SUMIF('GIC Assumptions'!$F:$H,'RiskCase Report'!K6,'GIC Assumptions'!$G:$G)/1000000)</f>
        <v>-20.408467546253917</v>
      </c>
      <c r="L49" s="6">
        <f ca="1">(1*SUMIF('GIC Assumptions'!$F:$H,'RiskCase Report'!L6,'GIC Assumptions'!$H:$H)/1000000)+(1*SUMIF('GIC Assumptions'!$F:$H,'RiskCase Report'!L6,'GIC Assumptions'!$G:$G)/1000000)</f>
        <v>-28.57185456475548</v>
      </c>
      <c r="M49" s="6">
        <f ca="1">(1*SUMIF('GIC Assumptions'!$F:$H,'RiskCase Report'!M6,'GIC Assumptions'!$H:$H)/1000000)+(1*SUMIF('GIC Assumptions'!$F:$H,'RiskCase Report'!M6,'GIC Assumptions'!$G:$G)/1000000)</f>
        <v>-58.917290822848535</v>
      </c>
      <c r="N49" s="6">
        <f ca="1">(1*SUMIF('GIC Assumptions'!$F:$H,'RiskCase Report'!N6,'GIC Assumptions'!$H:$H)/1000000)+(1*SUMIF('GIC Assumptions'!$F:$H,'RiskCase Report'!N6,'GIC Assumptions'!$G:$G)/1000000)</f>
        <v>-1.7523989184623783</v>
      </c>
      <c r="O49" s="6">
        <f ca="1">(1*SUMIF('GIC Assumptions'!$F:$H,'RiskCase Report'!O6,'GIC Assumptions'!$H:$H)/1000000)+(1*SUMIF('GIC Assumptions'!$F:$H,'RiskCase Report'!O6,'GIC Assumptions'!$G:$G)/1000000)</f>
        <v>0</v>
      </c>
      <c r="P49" s="13">
        <f ca="1">(1*SUMIF('GIC Assumptions'!$F:$H,'RiskCase Report'!P6,'GIC Assumptions'!$H:$H)/1000000)+(1*SUMIF('GIC Assumptions'!$F:$H,'RiskCase Report'!P6,'GIC Assumptions'!$G:$G)/1000000)</f>
        <v>0</v>
      </c>
      <c r="Q49" s="53">
        <f ca="1">(1*SUMIF('GIC Assumptions'!$F:$H,'RiskCase Report'!Q6,'GIC Assumptions'!$H:$H)/1000000)+(1*SUMIF('GIC Assumptions'!$F:$H,'RiskCase Report'!Q6,'GIC Assumptions'!$G:$G)/1000000)</f>
        <v>0</v>
      </c>
      <c r="U49"/>
      <c r="V49"/>
    </row>
    <row r="50" spans="1:366" ht="14.25">
      <c r="C50" s="268"/>
      <c r="D50" s="169" t="s">
        <v>325</v>
      </c>
      <c r="E50" s="45">
        <f ca="1">1*SUMIF('GIC Assumptions'!$F:$H,'RiskCase Report'!E6,'GIC Assumptions'!$I:$I)/1000000</f>
        <v>0</v>
      </c>
      <c r="F50" s="6">
        <f ca="1">1*SUMIF('GIC Assumptions'!$F:$H,'RiskCase Report'!F6,'GIC Assumptions'!$I:$I)/1000000</f>
        <v>6.609503733824778</v>
      </c>
      <c r="G50" s="6">
        <f ca="1">1*SUMIF('GIC Assumptions'!$F:$H,'RiskCase Report'!G6,'GIC Assumptions'!$I:$I)/1000000</f>
        <v>6.609503733824778</v>
      </c>
      <c r="H50" s="6">
        <f ca="1">1*SUMIF('GIC Assumptions'!$F:$H,'RiskCase Report'!H6,'GIC Assumptions'!$I:$I)/1000000</f>
        <v>6.609503733824778</v>
      </c>
      <c r="I50" s="6">
        <f ca="1">1*SUMIF('GIC Assumptions'!$F:$H,'RiskCase Report'!I6,'GIC Assumptions'!$I:$I)/1000000</f>
        <v>0.24224384132335164</v>
      </c>
      <c r="J50" s="6">
        <f ca="1">1*SUMIF('GIC Assumptions'!$F:$H,'RiskCase Report'!J6,'GIC Assumptions'!$I:$I)/1000000</f>
        <v>1.2191454595540183</v>
      </c>
      <c r="K50" s="6">
        <f ca="1">1*SUMIF('GIC Assumptions'!$F:$H,'RiskCase Report'!K6,'GIC Assumptions'!$I:$I)/1000000</f>
        <v>13.307626197394489</v>
      </c>
      <c r="L50" s="6">
        <f ca="1">1*SUMIF('GIC Assumptions'!$F:$H,'RiskCase Report'!L6,'GIC Assumptions'!$I:$I)/1000000</f>
        <v>22.857483651804383</v>
      </c>
      <c r="M50" s="6">
        <f ca="1">1*SUMIF('GIC Assumptions'!$F:$H,'RiskCase Report'!M6,'GIC Assumptions'!$I:$I)/1000000</f>
        <v>50.391238801903924</v>
      </c>
      <c r="N50" s="6">
        <f ca="1">1*SUMIF('GIC Assumptions'!$F:$H,'RiskCase Report'!N6,'GIC Assumptions'!$I:$I)/1000000</f>
        <v>1.4098677985455141</v>
      </c>
      <c r="O50" s="6">
        <f ca="1">1*SUMIF('GIC Assumptions'!$F:$H,'RiskCase Report'!O6,'GIC Assumptions'!$I:$I)/1000000</f>
        <v>0</v>
      </c>
      <c r="P50" s="13">
        <f ca="1">1*SUMIF('GIC Assumptions'!$F:$H,'RiskCase Report'!P6,'GIC Assumptions'!$I:$I)/1000000</f>
        <v>0</v>
      </c>
      <c r="Q50" s="53">
        <f ca="1">1*SUMIF('GIC Assumptions'!$F:$H,'RiskCase Report'!Q6,'GIC Assumptions'!$I:$I)/1000000</f>
        <v>0</v>
      </c>
      <c r="U50"/>
      <c r="V50"/>
    </row>
    <row r="51" spans="1:366" ht="14.25">
      <c r="C51" s="268"/>
      <c r="D51" s="167" t="s">
        <v>61</v>
      </c>
      <c r="E51" s="45"/>
      <c r="F51" s="6"/>
      <c r="G51" s="6"/>
      <c r="H51" s="6"/>
      <c r="I51" s="6"/>
      <c r="J51" s="6"/>
      <c r="K51" s="6"/>
      <c r="L51" s="6"/>
      <c r="M51" s="6"/>
      <c r="N51" s="6"/>
      <c r="O51" s="6"/>
      <c r="P51" s="13"/>
      <c r="Q51" s="53"/>
      <c r="U51"/>
      <c r="V51"/>
    </row>
    <row r="52" spans="1:366" ht="12.75">
      <c r="C52" s="268"/>
      <c r="D52" s="168"/>
      <c r="E52" s="45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46"/>
      <c r="U52"/>
      <c r="V52"/>
    </row>
    <row r="53" spans="1:366" ht="9.75" customHeight="1">
      <c r="C53" s="268"/>
      <c r="D53" s="169" t="s">
        <v>68</v>
      </c>
      <c r="E53" s="45">
        <f>SUMIF(Inputs!$H:$H,E$7,Inputs!$I:$I)/1000000</f>
        <v>0</v>
      </c>
      <c r="F53" s="6">
        <f>SUMIF(Inputs!$H:$H,F$7,Inputs!$I:$I)/1000000</f>
        <v>0</v>
      </c>
      <c r="G53" s="6">
        <f>SUMIF(Inputs!$H:$H,G$7,Inputs!$I:$I)/1000000</f>
        <v>0</v>
      </c>
      <c r="H53" s="6">
        <f>SUMIF(Inputs!$H:$H,H$7,Inputs!$I:$I)/1000000</f>
        <v>0</v>
      </c>
      <c r="I53" s="6">
        <f>SUMIF(Inputs!$H:$H,I$7,Inputs!$I:$I)/1000000</f>
        <v>0</v>
      </c>
      <c r="J53" s="6">
        <f>SUMIF(Inputs!$H:$H,"&lt;="&amp;J$7,Inputs!$I:$I)/1000000 - SUM($E53:I53)</f>
        <v>0</v>
      </c>
      <c r="K53" s="6">
        <f>SUMIF(Inputs!$H:$H,"&lt;="&amp;K$7,Inputs!$I:$I)/1000000 - SUM($E53:J53)</f>
        <v>0</v>
      </c>
      <c r="L53" s="6">
        <f>SUMIF(Inputs!$H:$H,"&lt;="&amp;L$7,Inputs!$I:$I)/1000000 - SUM($E53:K53)</f>
        <v>0</v>
      </c>
      <c r="M53" s="6">
        <f>SUMIF(Inputs!$H:$H,"&lt;="&amp;M$7,Inputs!$I:$I)/1000000 - SUM($E53:L53)</f>
        <v>0</v>
      </c>
      <c r="N53" s="6">
        <f>SUMIF(Inputs!$H:$H,"&lt;="&amp;N$7,Inputs!$I:$I)/1000000 - SUM($E53:M53)</f>
        <v>0</v>
      </c>
      <c r="O53" s="6">
        <f>SUMIF(Inputs!$H:$H,"&lt;="&amp;O$7,Inputs!$I:$I)/1000000 - SUM($E53:N53)</f>
        <v>0</v>
      </c>
      <c r="P53" s="6">
        <f>SUMIF(Inputs!$H:$H,"&lt;="&amp;P$7,Inputs!$I:$I)/1000000 - SUM($E53:O53)</f>
        <v>0</v>
      </c>
      <c r="Q53" s="46">
        <f>SUMIF(Inputs!$H:$H,"&lt;="&amp;Q$7,Inputs!$I:$I)/1000000 - SUM($E53:P53)</f>
        <v>0</v>
      </c>
      <c r="U53"/>
      <c r="V53"/>
    </row>
    <row r="54" spans="1:366" ht="9" customHeight="1">
      <c r="C54" s="268"/>
      <c r="D54" s="167"/>
      <c r="E54" s="45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46"/>
      <c r="U54"/>
      <c r="V54"/>
    </row>
    <row r="55" spans="1:366" ht="12.75">
      <c r="C55" s="268"/>
      <c r="D55" s="167"/>
      <c r="E55" s="45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46"/>
      <c r="U55" s="80" t="s">
        <v>266</v>
      </c>
      <c r="V55" s="138"/>
      <c r="W55" s="80" t="s">
        <v>267</v>
      </c>
      <c r="X55" s="138"/>
      <c r="Y55" s="138"/>
      <c r="Z55" s="138"/>
      <c r="AA55" s="138"/>
      <c r="AB55" s="138"/>
      <c r="AC55" s="138"/>
      <c r="AD55" s="138"/>
      <c r="AE55" s="138"/>
      <c r="AF55" s="138"/>
      <c r="AG55" s="138"/>
      <c r="AH55" s="138"/>
      <c r="AI55" s="138"/>
      <c r="AJ55" s="138"/>
      <c r="AK55" s="138"/>
      <c r="AL55" s="138"/>
      <c r="AM55" s="138"/>
      <c r="AN55" s="138"/>
      <c r="AO55" s="138"/>
      <c r="AP55" s="138"/>
      <c r="AQ55" s="138"/>
      <c r="AR55" s="138"/>
      <c r="AS55" s="138"/>
      <c r="AT55" s="138"/>
      <c r="AU55" s="138"/>
      <c r="AV55" s="138"/>
      <c r="AW55" s="138"/>
      <c r="AX55" s="138"/>
      <c r="AY55" s="138"/>
      <c r="AZ55" s="138"/>
      <c r="BA55" s="138"/>
      <c r="BB55" s="138"/>
      <c r="BC55" s="138"/>
      <c r="BD55" s="138"/>
      <c r="BE55" s="138"/>
      <c r="BF55" s="138"/>
      <c r="BG55" s="138"/>
      <c r="BH55" s="138"/>
      <c r="BI55" s="138"/>
      <c r="BJ55" s="138"/>
      <c r="BK55" s="138"/>
      <c r="BL55" s="138"/>
      <c r="BM55" s="138"/>
      <c r="BN55" s="138"/>
      <c r="BO55" s="138"/>
      <c r="BP55" s="138"/>
      <c r="BQ55" s="138"/>
      <c r="BR55" s="138"/>
      <c r="BS55" s="138"/>
      <c r="BT55" s="138"/>
      <c r="BU55" s="138"/>
      <c r="BV55" s="138"/>
      <c r="BW55" s="138"/>
      <c r="BX55" s="138"/>
      <c r="BY55" s="138"/>
      <c r="BZ55" s="138"/>
      <c r="CA55" s="138"/>
      <c r="CB55" s="138"/>
      <c r="CC55" s="138"/>
      <c r="CD55" s="138"/>
      <c r="CE55" s="138"/>
      <c r="CF55" s="138"/>
      <c r="CG55" s="138"/>
      <c r="CH55" s="138"/>
      <c r="CI55" s="138"/>
      <c r="CJ55" s="138"/>
      <c r="CK55" s="138"/>
      <c r="CL55" s="138"/>
      <c r="CM55" s="138"/>
      <c r="CN55" s="138"/>
      <c r="CO55" s="138"/>
      <c r="CP55" s="138"/>
      <c r="CQ55" s="138"/>
      <c r="CR55" s="138"/>
      <c r="CS55" s="138"/>
      <c r="CT55" s="138"/>
      <c r="CU55" s="138"/>
      <c r="CV55" s="138"/>
      <c r="CW55" s="138"/>
      <c r="CX55" s="138"/>
      <c r="CY55" s="138"/>
      <c r="CZ55" s="138"/>
      <c r="DA55" s="138"/>
      <c r="DB55" s="138"/>
      <c r="DC55" s="138"/>
      <c r="DD55" s="138"/>
      <c r="DE55" s="138"/>
      <c r="DF55" s="138"/>
      <c r="DG55" s="138"/>
      <c r="DH55" s="138"/>
      <c r="DI55" s="138"/>
      <c r="DJ55" s="138"/>
      <c r="DK55" s="138"/>
      <c r="DL55" s="138"/>
      <c r="DM55" s="138"/>
      <c r="DN55" s="138"/>
      <c r="DO55" s="138"/>
      <c r="DP55" s="138"/>
      <c r="DQ55" s="138"/>
      <c r="DR55" s="138"/>
      <c r="DS55" s="138"/>
      <c r="DT55" s="138"/>
      <c r="DU55" s="138"/>
      <c r="DV55" s="138"/>
      <c r="DW55" s="138"/>
      <c r="DX55" s="138"/>
      <c r="DY55" s="138"/>
      <c r="DZ55" s="138"/>
      <c r="EA55" s="138"/>
      <c r="EB55" s="138"/>
      <c r="EC55" s="138"/>
      <c r="ED55" s="138"/>
      <c r="EE55" s="138"/>
      <c r="EF55" s="138"/>
      <c r="EG55" s="138"/>
      <c r="EH55" s="138"/>
      <c r="EI55" s="138"/>
      <c r="EJ55" s="138"/>
      <c r="EK55" s="138"/>
      <c r="EL55" s="138"/>
      <c r="EM55" s="138"/>
      <c r="EN55" s="138"/>
      <c r="EO55" s="138"/>
      <c r="EP55" s="138"/>
      <c r="EQ55" s="138"/>
      <c r="ER55" s="138"/>
      <c r="ES55" s="138"/>
      <c r="ET55" s="138"/>
      <c r="EU55" s="138"/>
      <c r="EV55" s="138"/>
      <c r="EW55" s="138"/>
      <c r="EX55" s="138"/>
      <c r="EY55" s="138"/>
      <c r="EZ55" s="138"/>
      <c r="FA55" s="138"/>
      <c r="FB55" s="139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</row>
    <row r="56" spans="1:366" ht="12.75">
      <c r="C56" s="268"/>
      <c r="D56" s="161" t="s">
        <v>131</v>
      </c>
      <c r="E56" s="47">
        <f ca="1">SUM(E46:E51,E53)</f>
        <v>-8.2618796672809722</v>
      </c>
      <c r="F56" s="33">
        <f t="shared" ref="F56:Q56" ca="1" si="3">SUM(F46:F51,F53)</f>
        <v>-1.6523759334561943</v>
      </c>
      <c r="G56" s="33">
        <f t="shared" ca="1" si="3"/>
        <v>-5.3103891384561956</v>
      </c>
      <c r="H56" s="33">
        <f t="shared" ca="1" si="3"/>
        <v>2.6486857271705873</v>
      </c>
      <c r="I56" s="33">
        <f t="shared" ca="1" si="3"/>
        <v>-3.7185741653308391</v>
      </c>
      <c r="J56" s="33">
        <f t="shared" ca="1" si="3"/>
        <v>-3.9677534779742931</v>
      </c>
      <c r="K56" s="33">
        <f t="shared" ca="1" si="3"/>
        <v>-7.1008413488594275</v>
      </c>
      <c r="L56" s="33">
        <f t="shared" ca="1" si="3"/>
        <v>-5.7143709129510967</v>
      </c>
      <c r="M56" s="33">
        <f t="shared" ca="1" si="3"/>
        <v>-8.5260520209446113</v>
      </c>
      <c r="N56" s="33">
        <f t="shared" ca="1" si="3"/>
        <v>-0.34253111991686414</v>
      </c>
      <c r="O56" s="33">
        <f t="shared" ca="1" si="3"/>
        <v>0</v>
      </c>
      <c r="P56" s="33">
        <f t="shared" ca="1" si="3"/>
        <v>0</v>
      </c>
      <c r="Q56" s="48">
        <f t="shared" ca="1" si="3"/>
        <v>0</v>
      </c>
      <c r="U56" s="80" t="s">
        <v>269</v>
      </c>
      <c r="V56" s="80" t="s">
        <v>268</v>
      </c>
      <c r="W56" s="146">
        <v>42541</v>
      </c>
      <c r="X56" s="147">
        <v>42569</v>
      </c>
      <c r="Y56" s="147">
        <v>42580</v>
      </c>
      <c r="Z56" s="147">
        <v>42551</v>
      </c>
      <c r="AA56" s="147">
        <v>42521</v>
      </c>
      <c r="AB56" s="147">
        <v>42530</v>
      </c>
      <c r="AC56" s="147">
        <v>42584</v>
      </c>
      <c r="AD56" s="147">
        <v>42583</v>
      </c>
      <c r="AE56" s="147">
        <v>42597</v>
      </c>
      <c r="AF56" s="147">
        <v>42509</v>
      </c>
      <c r="AG56" s="147">
        <v>42570</v>
      </c>
      <c r="AH56" s="147">
        <v>42578</v>
      </c>
      <c r="AI56" s="147">
        <v>42576</v>
      </c>
      <c r="AJ56" s="147">
        <v>42552</v>
      </c>
      <c r="AK56" s="147">
        <v>42506</v>
      </c>
      <c r="AL56" s="147">
        <v>42522</v>
      </c>
      <c r="AM56" s="147">
        <v>42594</v>
      </c>
      <c r="AN56" s="147">
        <v>42535</v>
      </c>
      <c r="AO56" s="147">
        <v>42538</v>
      </c>
      <c r="AP56" s="147">
        <v>42536</v>
      </c>
      <c r="AQ56" s="147">
        <v>42531</v>
      </c>
      <c r="AR56" s="147">
        <v>42613</v>
      </c>
      <c r="AS56" s="147">
        <v>42614</v>
      </c>
      <c r="AT56" s="147">
        <v>42611</v>
      </c>
      <c r="AU56" s="147">
        <v>42601</v>
      </c>
      <c r="AV56" s="147">
        <v>42632</v>
      </c>
      <c r="AW56" s="147">
        <v>42627</v>
      </c>
      <c r="AX56" s="147">
        <v>42643</v>
      </c>
      <c r="AY56" s="147">
        <v>42646</v>
      </c>
      <c r="AZ56" s="147">
        <v>42644</v>
      </c>
      <c r="BA56" s="147">
        <v>42675</v>
      </c>
      <c r="BB56" s="147">
        <v>42704</v>
      </c>
      <c r="BC56" s="147">
        <v>42689</v>
      </c>
      <c r="BD56" s="147">
        <v>42674</v>
      </c>
      <c r="BE56" s="147">
        <v>42662</v>
      </c>
      <c r="BF56" s="147">
        <v>42692</v>
      </c>
      <c r="BG56" s="147">
        <v>42668</v>
      </c>
      <c r="BH56" s="147">
        <v>42723</v>
      </c>
      <c r="BI56" s="147">
        <v>42713</v>
      </c>
      <c r="BJ56" s="147">
        <v>42705</v>
      </c>
      <c r="BK56" s="147">
        <v>42734</v>
      </c>
      <c r="BL56" s="147">
        <v>42718</v>
      </c>
      <c r="BM56" s="147">
        <v>42736</v>
      </c>
      <c r="BN56" s="147">
        <v>42719</v>
      </c>
      <c r="BO56" s="147">
        <v>42716</v>
      </c>
      <c r="BP56" s="147">
        <v>42767</v>
      </c>
      <c r="BQ56" s="147">
        <v>42738</v>
      </c>
      <c r="BR56" s="147">
        <v>42766</v>
      </c>
      <c r="BS56" s="147">
        <v>42765</v>
      </c>
      <c r="BT56" s="147">
        <v>42768</v>
      </c>
      <c r="BU56" s="147">
        <v>42762</v>
      </c>
      <c r="BV56" s="147">
        <v>42754</v>
      </c>
      <c r="BW56" s="147">
        <v>42781</v>
      </c>
      <c r="BX56" s="147">
        <v>42783</v>
      </c>
      <c r="BY56" s="147">
        <v>42795</v>
      </c>
      <c r="BZ56" s="147">
        <v>42794</v>
      </c>
      <c r="CA56" s="147">
        <v>42808</v>
      </c>
      <c r="CB56" s="147">
        <v>42828</v>
      </c>
      <c r="CC56" s="147">
        <v>42825</v>
      </c>
      <c r="CD56" s="147">
        <v>42811</v>
      </c>
      <c r="CE56" s="147">
        <v>42826</v>
      </c>
      <c r="CF56" s="147">
        <v>42886</v>
      </c>
      <c r="CG56" s="147">
        <v>42887</v>
      </c>
      <c r="CH56" s="147">
        <v>42856</v>
      </c>
      <c r="CI56" s="147">
        <v>42853</v>
      </c>
      <c r="CJ56" s="147">
        <v>42870</v>
      </c>
      <c r="CK56" s="147">
        <v>42857</v>
      </c>
      <c r="CL56" s="147">
        <v>42874</v>
      </c>
      <c r="CM56" s="147">
        <v>42844</v>
      </c>
      <c r="CN56" s="147">
        <v>42905</v>
      </c>
      <c r="CO56" s="147">
        <v>42898</v>
      </c>
      <c r="CP56" s="147">
        <v>42900</v>
      </c>
      <c r="CQ56" s="147">
        <v>42895</v>
      </c>
      <c r="CR56" s="147">
        <v>43098</v>
      </c>
      <c r="CS56" s="147">
        <v>43188</v>
      </c>
      <c r="CT56" s="147">
        <v>42978</v>
      </c>
      <c r="CU56" s="147">
        <v>43159</v>
      </c>
      <c r="CV56" s="147">
        <v>42916</v>
      </c>
      <c r="CW56" s="147">
        <v>42919</v>
      </c>
      <c r="CX56" s="147">
        <v>42948</v>
      </c>
      <c r="CY56" s="147">
        <v>42979</v>
      </c>
      <c r="CZ56" s="147">
        <v>43010</v>
      </c>
      <c r="DA56" s="147">
        <v>43040</v>
      </c>
      <c r="DB56" s="147">
        <v>43070</v>
      </c>
      <c r="DC56" s="147">
        <v>43102</v>
      </c>
      <c r="DD56" s="147">
        <v>43132</v>
      </c>
      <c r="DE56" s="147">
        <v>43160</v>
      </c>
      <c r="DF56" s="147">
        <v>43193</v>
      </c>
      <c r="DG56" s="147">
        <v>42549</v>
      </c>
      <c r="DH56" s="147">
        <v>42933</v>
      </c>
      <c r="DI56" s="147">
        <v>43088</v>
      </c>
      <c r="DJ56" s="147">
        <v>43054</v>
      </c>
      <c r="DK56" s="147">
        <v>42947</v>
      </c>
      <c r="DL56" s="147">
        <v>43007</v>
      </c>
      <c r="DM56" s="147">
        <v>43039</v>
      </c>
      <c r="DN56" s="147">
        <v>43069</v>
      </c>
      <c r="DO56" s="147">
        <v>43131</v>
      </c>
      <c r="DP56" s="147">
        <v>42503</v>
      </c>
      <c r="DQ56" s="147">
        <v>42962</v>
      </c>
      <c r="DR56" s="147">
        <v>43146</v>
      </c>
      <c r="DS56" s="147">
        <v>43192</v>
      </c>
      <c r="DT56" s="147">
        <v>43161</v>
      </c>
      <c r="DU56" s="147">
        <v>43189</v>
      </c>
      <c r="DV56" s="147">
        <v>43038</v>
      </c>
      <c r="DW56" s="147">
        <v>43129</v>
      </c>
      <c r="DX56" s="147">
        <v>42608</v>
      </c>
      <c r="DY56" s="147">
        <v>42992</v>
      </c>
      <c r="DZ56" s="147">
        <v>43083</v>
      </c>
      <c r="EA56" s="147">
        <v>43173</v>
      </c>
      <c r="EB56" s="147">
        <v>42634</v>
      </c>
      <c r="EC56" s="147">
        <v>42997</v>
      </c>
      <c r="ED56" s="147">
        <v>43178</v>
      </c>
      <c r="EE56" s="147">
        <v>42943</v>
      </c>
      <c r="EF56" s="147">
        <v>43080</v>
      </c>
      <c r="EG56" s="147">
        <v>42502</v>
      </c>
      <c r="EH56" s="147">
        <v>42935</v>
      </c>
      <c r="EI56" s="147">
        <v>42965</v>
      </c>
      <c r="EJ56" s="147">
        <v>43027</v>
      </c>
      <c r="EK56" s="147">
        <v>43056</v>
      </c>
      <c r="EL56" s="147">
        <v>43119</v>
      </c>
      <c r="EM56" s="147">
        <v>43147</v>
      </c>
      <c r="EN56" s="147">
        <v>43209</v>
      </c>
      <c r="EO56" s="147">
        <v>42951</v>
      </c>
      <c r="EP56" s="147">
        <v>42917</v>
      </c>
      <c r="EQ56" s="147">
        <v>42949</v>
      </c>
      <c r="ER56" s="147">
        <v>43009</v>
      </c>
      <c r="ES56" s="147">
        <v>43101</v>
      </c>
      <c r="ET56" s="147">
        <v>43133</v>
      </c>
      <c r="EU56" s="147">
        <v>43191</v>
      </c>
      <c r="EV56" s="147">
        <v>43084</v>
      </c>
      <c r="EW56" s="147">
        <v>42657</v>
      </c>
      <c r="EX56" s="147">
        <v>42839</v>
      </c>
      <c r="EY56" s="147">
        <v>43221</v>
      </c>
      <c r="EZ56" s="147">
        <v>43220</v>
      </c>
      <c r="FA56" s="147">
        <v>42501</v>
      </c>
      <c r="FB56" s="148" t="s">
        <v>63</v>
      </c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</row>
    <row r="57" spans="1:366" ht="15">
      <c r="C57" s="269"/>
      <c r="D57" s="162" t="s">
        <v>132</v>
      </c>
      <c r="E57" s="49">
        <f ca="1">E56</f>
        <v>-8.2618796672809722</v>
      </c>
      <c r="F57" s="34">
        <f ca="1">E57+F56</f>
        <v>-9.9142556007371674</v>
      </c>
      <c r="G57" s="34">
        <f t="shared" ref="G57:Q57" ca="1" si="4">F57+G56</f>
        <v>-15.224644739193362</v>
      </c>
      <c r="H57" s="34">
        <f t="shared" ca="1" si="4"/>
        <v>-12.575959012022775</v>
      </c>
      <c r="I57" s="34">
        <f t="shared" ca="1" si="4"/>
        <v>-16.294533177353614</v>
      </c>
      <c r="J57" s="34">
        <f t="shared" ca="1" si="4"/>
        <v>-20.262286655327905</v>
      </c>
      <c r="K57" s="34">
        <f t="shared" ca="1" si="4"/>
        <v>-27.363128004187331</v>
      </c>
      <c r="L57" s="34">
        <f t="shared" ca="1" si="4"/>
        <v>-33.077498917138428</v>
      </c>
      <c r="M57" s="34">
        <f t="shared" ca="1" si="4"/>
        <v>-41.603550938083039</v>
      </c>
      <c r="N57" s="34">
        <f t="shared" ca="1" si="4"/>
        <v>-41.946082057999902</v>
      </c>
      <c r="O57" s="34">
        <f t="shared" ca="1" si="4"/>
        <v>-41.946082057999902</v>
      </c>
      <c r="P57" s="34">
        <f t="shared" ca="1" si="4"/>
        <v>-41.946082057999902</v>
      </c>
      <c r="Q57" s="50">
        <f t="shared" ca="1" si="4"/>
        <v>-41.946082057999902</v>
      </c>
      <c r="U57" s="82" t="s">
        <v>883</v>
      </c>
      <c r="V57" s="82" t="s">
        <v>882</v>
      </c>
      <c r="W57" s="140"/>
      <c r="X57" s="142"/>
      <c r="Y57" s="142"/>
      <c r="Z57" s="142"/>
      <c r="AA57" s="142"/>
      <c r="AB57" s="142"/>
      <c r="AC57" s="142"/>
      <c r="AD57" s="142"/>
      <c r="AE57" s="142"/>
      <c r="AF57" s="142">
        <v>86.16</v>
      </c>
      <c r="AG57" s="142"/>
      <c r="AH57" s="142"/>
      <c r="AI57" s="142"/>
      <c r="AJ57" s="142"/>
      <c r="AK57" s="142"/>
      <c r="AL57" s="142"/>
      <c r="AM57" s="142"/>
      <c r="AN57" s="142"/>
      <c r="AO57" s="142"/>
      <c r="AP57" s="142"/>
      <c r="AQ57" s="142"/>
      <c r="AR57" s="142"/>
      <c r="AS57" s="142"/>
      <c r="AT57" s="142"/>
      <c r="AU57" s="142"/>
      <c r="AV57" s="142"/>
      <c r="AW57" s="142"/>
      <c r="AX57" s="142"/>
      <c r="AY57" s="142"/>
      <c r="AZ57" s="142"/>
      <c r="BA57" s="142"/>
      <c r="BB57" s="142"/>
      <c r="BC57" s="142"/>
      <c r="BD57" s="142"/>
      <c r="BE57" s="142"/>
      <c r="BF57" s="142"/>
      <c r="BG57" s="142"/>
      <c r="BH57" s="142"/>
      <c r="BI57" s="142"/>
      <c r="BJ57" s="142"/>
      <c r="BK57" s="142"/>
      <c r="BL57" s="142"/>
      <c r="BM57" s="142"/>
      <c r="BN57" s="142"/>
      <c r="BO57" s="142"/>
      <c r="BP57" s="142"/>
      <c r="BQ57" s="142"/>
      <c r="BR57" s="142"/>
      <c r="BS57" s="142"/>
      <c r="BT57" s="142"/>
      <c r="BU57" s="142"/>
      <c r="BV57" s="142"/>
      <c r="BW57" s="142"/>
      <c r="BX57" s="142"/>
      <c r="BY57" s="142"/>
      <c r="BZ57" s="142"/>
      <c r="CA57" s="142"/>
      <c r="CB57" s="142"/>
      <c r="CC57" s="142"/>
      <c r="CD57" s="142"/>
      <c r="CE57" s="142"/>
      <c r="CF57" s="142"/>
      <c r="CG57" s="142"/>
      <c r="CH57" s="142"/>
      <c r="CI57" s="142"/>
      <c r="CJ57" s="142"/>
      <c r="CK57" s="142"/>
      <c r="CL57" s="142"/>
      <c r="CM57" s="142"/>
      <c r="CN57" s="142"/>
      <c r="CO57" s="142"/>
      <c r="CP57" s="142"/>
      <c r="CQ57" s="142"/>
      <c r="CR57" s="142"/>
      <c r="CS57" s="142"/>
      <c r="CT57" s="142"/>
      <c r="CU57" s="142"/>
      <c r="CV57" s="142"/>
      <c r="CW57" s="142"/>
      <c r="CX57" s="142"/>
      <c r="CY57" s="142"/>
      <c r="CZ57" s="142"/>
      <c r="DA57" s="142"/>
      <c r="DB57" s="142"/>
      <c r="DC57" s="142"/>
      <c r="DD57" s="142"/>
      <c r="DE57" s="142"/>
      <c r="DF57" s="142"/>
      <c r="DG57" s="142"/>
      <c r="DH57" s="142"/>
      <c r="DI57" s="142"/>
      <c r="DJ57" s="142"/>
      <c r="DK57" s="142"/>
      <c r="DL57" s="142"/>
      <c r="DM57" s="142"/>
      <c r="DN57" s="142"/>
      <c r="DO57" s="142"/>
      <c r="DP57" s="142"/>
      <c r="DQ57" s="142"/>
      <c r="DR57" s="142"/>
      <c r="DS57" s="142"/>
      <c r="DT57" s="142"/>
      <c r="DU57" s="142"/>
      <c r="DV57" s="142"/>
      <c r="DW57" s="142"/>
      <c r="DX57" s="142"/>
      <c r="DY57" s="142"/>
      <c r="DZ57" s="142"/>
      <c r="EA57" s="142"/>
      <c r="EB57" s="142"/>
      <c r="EC57" s="142"/>
      <c r="ED57" s="142"/>
      <c r="EE57" s="142"/>
      <c r="EF57" s="142"/>
      <c r="EG57" s="142"/>
      <c r="EH57" s="142"/>
      <c r="EI57" s="142"/>
      <c r="EJ57" s="142"/>
      <c r="EK57" s="142"/>
      <c r="EL57" s="142"/>
      <c r="EM57" s="142"/>
      <c r="EN57" s="142"/>
      <c r="EO57" s="142"/>
      <c r="EP57" s="142"/>
      <c r="EQ57" s="142"/>
      <c r="ER57" s="142"/>
      <c r="ES57" s="142"/>
      <c r="ET57" s="142"/>
      <c r="EU57" s="142"/>
      <c r="EV57" s="142"/>
      <c r="EW57" s="142"/>
      <c r="EX57" s="142"/>
      <c r="EY57" s="142"/>
      <c r="EZ57" s="142"/>
      <c r="FA57" s="142"/>
      <c r="FB57" s="87">
        <v>86.16</v>
      </c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</row>
    <row r="58" spans="1:366" ht="13.5" customHeight="1">
      <c r="C58" s="2"/>
      <c r="D58" s="163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U58" s="82" t="s">
        <v>336</v>
      </c>
      <c r="V58" s="82" t="s">
        <v>337</v>
      </c>
      <c r="W58" s="140"/>
      <c r="X58" s="142"/>
      <c r="Y58" s="142">
        <v>368013.33</v>
      </c>
      <c r="Z58" s="142">
        <v>403011.68999999994</v>
      </c>
      <c r="AA58" s="142"/>
      <c r="AB58" s="142"/>
      <c r="AC58" s="142"/>
      <c r="AD58" s="142">
        <v>-693.66</v>
      </c>
      <c r="AE58" s="142"/>
      <c r="AF58" s="142"/>
      <c r="AG58" s="142">
        <v>88.05</v>
      </c>
      <c r="AH58" s="142"/>
      <c r="AI58" s="142"/>
      <c r="AJ58" s="142">
        <v>258060.71000000002</v>
      </c>
      <c r="AK58" s="142"/>
      <c r="AL58" s="142"/>
      <c r="AM58" s="142"/>
      <c r="AN58" s="142"/>
      <c r="AO58" s="142">
        <v>82.19</v>
      </c>
      <c r="AP58" s="142">
        <v>-207625</v>
      </c>
      <c r="AQ58" s="142"/>
      <c r="AR58" s="142"/>
      <c r="AS58" s="142"/>
      <c r="AT58" s="142"/>
      <c r="AU58" s="142"/>
      <c r="AV58" s="142"/>
      <c r="AW58" s="142"/>
      <c r="AX58" s="142"/>
      <c r="AY58" s="142"/>
      <c r="AZ58" s="142"/>
      <c r="BA58" s="142"/>
      <c r="BB58" s="142"/>
      <c r="BC58" s="142"/>
      <c r="BD58" s="142"/>
      <c r="BE58" s="142"/>
      <c r="BF58" s="142"/>
      <c r="BG58" s="142"/>
      <c r="BH58" s="142"/>
      <c r="BI58" s="142"/>
      <c r="BJ58" s="142"/>
      <c r="BK58" s="142"/>
      <c r="BL58" s="142"/>
      <c r="BM58" s="142"/>
      <c r="BN58" s="142"/>
      <c r="BO58" s="142"/>
      <c r="BP58" s="142"/>
      <c r="BQ58" s="142"/>
      <c r="BR58" s="142"/>
      <c r="BS58" s="142"/>
      <c r="BT58" s="142"/>
      <c r="BU58" s="142"/>
      <c r="BV58" s="142"/>
      <c r="BW58" s="142"/>
      <c r="BX58" s="142"/>
      <c r="BY58" s="142"/>
      <c r="BZ58" s="142"/>
      <c r="CA58" s="142"/>
      <c r="CB58" s="142"/>
      <c r="CC58" s="142"/>
      <c r="CD58" s="142"/>
      <c r="CE58" s="142"/>
      <c r="CF58" s="142"/>
      <c r="CG58" s="142"/>
      <c r="CH58" s="142"/>
      <c r="CI58" s="142"/>
      <c r="CJ58" s="142"/>
      <c r="CK58" s="142"/>
      <c r="CL58" s="142"/>
      <c r="CM58" s="142"/>
      <c r="CN58" s="142"/>
      <c r="CO58" s="142"/>
      <c r="CP58" s="142"/>
      <c r="CQ58" s="142"/>
      <c r="CR58" s="142"/>
      <c r="CS58" s="142"/>
      <c r="CT58" s="142"/>
      <c r="CU58" s="142"/>
      <c r="CV58" s="142"/>
      <c r="CW58" s="142"/>
      <c r="CX58" s="142"/>
      <c r="CY58" s="142"/>
      <c r="CZ58" s="142"/>
      <c r="DA58" s="142"/>
      <c r="DB58" s="142"/>
      <c r="DC58" s="142"/>
      <c r="DD58" s="142"/>
      <c r="DE58" s="142"/>
      <c r="DF58" s="142"/>
      <c r="DG58" s="142"/>
      <c r="DH58" s="142"/>
      <c r="DI58" s="142"/>
      <c r="DJ58" s="142"/>
      <c r="DK58" s="142"/>
      <c r="DL58" s="142"/>
      <c r="DM58" s="142"/>
      <c r="DN58" s="142"/>
      <c r="DO58" s="142"/>
      <c r="DP58" s="142"/>
      <c r="DQ58" s="142"/>
      <c r="DR58" s="142"/>
      <c r="DS58" s="142"/>
      <c r="DT58" s="142"/>
      <c r="DU58" s="142"/>
      <c r="DV58" s="142"/>
      <c r="DW58" s="142"/>
      <c r="DX58" s="142"/>
      <c r="DY58" s="142"/>
      <c r="DZ58" s="142"/>
      <c r="EA58" s="142"/>
      <c r="EB58" s="142"/>
      <c r="EC58" s="142"/>
      <c r="ED58" s="142"/>
      <c r="EE58" s="142"/>
      <c r="EF58" s="142"/>
      <c r="EG58" s="142"/>
      <c r="EH58" s="142"/>
      <c r="EI58" s="142"/>
      <c r="EJ58" s="142"/>
      <c r="EK58" s="142"/>
      <c r="EL58" s="142"/>
      <c r="EM58" s="142"/>
      <c r="EN58" s="142"/>
      <c r="EO58" s="142"/>
      <c r="EP58" s="142"/>
      <c r="EQ58" s="142"/>
      <c r="ER58" s="142"/>
      <c r="ES58" s="142"/>
      <c r="ET58" s="142"/>
      <c r="EU58" s="142"/>
      <c r="EV58" s="142"/>
      <c r="EW58" s="142"/>
      <c r="EX58" s="142"/>
      <c r="EY58" s="142"/>
      <c r="EZ58" s="142"/>
      <c r="FA58" s="142"/>
      <c r="FB58" s="87">
        <v>820937.31</v>
      </c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</row>
    <row r="59" spans="1:366" ht="13.5" customHeight="1">
      <c r="C59" s="11"/>
      <c r="D59" s="170" t="s">
        <v>133</v>
      </c>
      <c r="E59" s="54">
        <f ca="1">SUM(E57,E40)</f>
        <v>83.685681864844014</v>
      </c>
      <c r="F59" s="37">
        <f t="shared" ref="F59:Q59" ca="1" si="5">SUM(F57,F40)</f>
        <v>82.033305931387829</v>
      </c>
      <c r="G59" s="37">
        <f t="shared" ca="1" si="5"/>
        <v>77.326466792931626</v>
      </c>
      <c r="H59" s="37">
        <f t="shared" ca="1" si="5"/>
        <v>79.975152520102213</v>
      </c>
      <c r="I59" s="37">
        <f t="shared" ca="1" si="5"/>
        <v>76.256578354771378</v>
      </c>
      <c r="J59" s="37">
        <f t="shared" ca="1" si="5"/>
        <v>72.288911036797089</v>
      </c>
      <c r="K59" s="37">
        <f t="shared" ca="1" si="5"/>
        <v>80.209303537937657</v>
      </c>
      <c r="L59" s="37">
        <f t="shared" ca="1" si="5"/>
        <v>75.157970604986559</v>
      </c>
      <c r="M59" s="37">
        <f t="shared" ca="1" si="5"/>
        <v>149.471230164042</v>
      </c>
      <c r="N59" s="37">
        <f t="shared" ca="1" si="5"/>
        <v>97.987652754125108</v>
      </c>
      <c r="O59" s="37">
        <f t="shared" ca="1" si="5"/>
        <v>83.170847004125122</v>
      </c>
      <c r="P59" s="37">
        <f t="shared" ca="1" si="5"/>
        <v>100.91554853412514</v>
      </c>
      <c r="Q59" s="55">
        <f t="shared" ca="1" si="5"/>
        <v>84.891420004125123</v>
      </c>
      <c r="U59" s="150"/>
      <c r="V59" s="83" t="s">
        <v>335</v>
      </c>
      <c r="W59" s="143"/>
      <c r="X59" s="90"/>
      <c r="Y59" s="90"/>
      <c r="Z59" s="90">
        <v>-624999.99999999988</v>
      </c>
      <c r="AA59" s="90"/>
      <c r="AB59" s="90"/>
      <c r="AC59" s="90"/>
      <c r="AD59" s="90"/>
      <c r="AE59" s="90"/>
      <c r="AF59" s="90"/>
      <c r="AG59" s="90"/>
      <c r="AH59" s="90"/>
      <c r="AI59" s="90"/>
      <c r="AJ59" s="90"/>
      <c r="AK59" s="90"/>
      <c r="AL59" s="90"/>
      <c r="AM59" s="90"/>
      <c r="AN59" s="90"/>
      <c r="AO59" s="90"/>
      <c r="AP59" s="90"/>
      <c r="AQ59" s="90"/>
      <c r="AR59" s="90"/>
      <c r="AS59" s="90"/>
      <c r="AT59" s="90"/>
      <c r="AU59" s="90"/>
      <c r="AV59" s="90"/>
      <c r="AW59" s="90"/>
      <c r="AX59" s="90"/>
      <c r="AY59" s="90"/>
      <c r="AZ59" s="90"/>
      <c r="BA59" s="90"/>
      <c r="BB59" s="90"/>
      <c r="BC59" s="90"/>
      <c r="BD59" s="90"/>
      <c r="BE59" s="90"/>
      <c r="BF59" s="90"/>
      <c r="BG59" s="90"/>
      <c r="BH59" s="90"/>
      <c r="BI59" s="90"/>
      <c r="BJ59" s="90"/>
      <c r="BK59" s="90"/>
      <c r="BL59" s="90"/>
      <c r="BM59" s="90"/>
      <c r="BN59" s="90"/>
      <c r="BO59" s="90"/>
      <c r="BP59" s="90"/>
      <c r="BQ59" s="90"/>
      <c r="BR59" s="90"/>
      <c r="BS59" s="90"/>
      <c r="BT59" s="90"/>
      <c r="BU59" s="90"/>
      <c r="BV59" s="90"/>
      <c r="BW59" s="90"/>
      <c r="BX59" s="90"/>
      <c r="BY59" s="90"/>
      <c r="BZ59" s="90"/>
      <c r="CA59" s="90"/>
      <c r="CB59" s="90"/>
      <c r="CC59" s="90"/>
      <c r="CD59" s="90"/>
      <c r="CE59" s="90"/>
      <c r="CF59" s="90"/>
      <c r="CG59" s="90"/>
      <c r="CH59" s="90"/>
      <c r="CI59" s="90"/>
      <c r="CJ59" s="90"/>
      <c r="CK59" s="90"/>
      <c r="CL59" s="90"/>
      <c r="CM59" s="90"/>
      <c r="CN59" s="90"/>
      <c r="CO59" s="90"/>
      <c r="CP59" s="90"/>
      <c r="CQ59" s="90"/>
      <c r="CR59" s="90"/>
      <c r="CS59" s="90"/>
      <c r="CT59" s="90"/>
      <c r="CU59" s="90"/>
      <c r="CV59" s="90"/>
      <c r="CW59" s="90"/>
      <c r="CX59" s="90"/>
      <c r="CY59" s="90"/>
      <c r="CZ59" s="90"/>
      <c r="DA59" s="90"/>
      <c r="DB59" s="90"/>
      <c r="DC59" s="90"/>
      <c r="DD59" s="90"/>
      <c r="DE59" s="90"/>
      <c r="DF59" s="90"/>
      <c r="DG59" s="90"/>
      <c r="DH59" s="90"/>
      <c r="DI59" s="90"/>
      <c r="DJ59" s="90"/>
      <c r="DK59" s="90"/>
      <c r="DL59" s="90"/>
      <c r="DM59" s="90"/>
      <c r="DN59" s="90"/>
      <c r="DO59" s="90"/>
      <c r="DP59" s="90"/>
      <c r="DQ59" s="90"/>
      <c r="DR59" s="90"/>
      <c r="DS59" s="90"/>
      <c r="DT59" s="90"/>
      <c r="DU59" s="90"/>
      <c r="DV59" s="90"/>
      <c r="DW59" s="90"/>
      <c r="DX59" s="90"/>
      <c r="DY59" s="90"/>
      <c r="DZ59" s="90"/>
      <c r="EA59" s="90"/>
      <c r="EB59" s="90"/>
      <c r="EC59" s="90"/>
      <c r="ED59" s="90"/>
      <c r="EE59" s="90"/>
      <c r="EF59" s="90"/>
      <c r="EG59" s="90"/>
      <c r="EH59" s="90"/>
      <c r="EI59" s="90"/>
      <c r="EJ59" s="90"/>
      <c r="EK59" s="90"/>
      <c r="EL59" s="90"/>
      <c r="EM59" s="90"/>
      <c r="EN59" s="90"/>
      <c r="EO59" s="90"/>
      <c r="EP59" s="90"/>
      <c r="EQ59" s="90"/>
      <c r="ER59" s="90"/>
      <c r="ES59" s="90"/>
      <c r="ET59" s="90"/>
      <c r="EU59" s="90"/>
      <c r="EV59" s="90"/>
      <c r="EW59" s="90"/>
      <c r="EX59" s="90"/>
      <c r="EY59" s="90"/>
      <c r="EZ59" s="90"/>
      <c r="FA59" s="90"/>
      <c r="FB59" s="88">
        <v>-624999.99999999988</v>
      </c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</row>
    <row r="60" spans="1:366" ht="12.75">
      <c r="C60" s="2"/>
      <c r="D60" s="163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U60" s="150"/>
      <c r="V60" s="83" t="s">
        <v>884</v>
      </c>
      <c r="W60" s="143"/>
      <c r="X60" s="90"/>
      <c r="Y60" s="90"/>
      <c r="Z60" s="90"/>
      <c r="AA60" s="90"/>
      <c r="AB60" s="90"/>
      <c r="AC60" s="90"/>
      <c r="AD60" s="90"/>
      <c r="AE60" s="90"/>
      <c r="AF60" s="90"/>
      <c r="AG60" s="90"/>
      <c r="AH60" s="90"/>
      <c r="AI60" s="90"/>
      <c r="AJ60" s="90"/>
      <c r="AK60" s="90"/>
      <c r="AL60" s="90"/>
      <c r="AM60" s="90"/>
      <c r="AN60" s="90"/>
      <c r="AO60" s="90"/>
      <c r="AP60" s="90">
        <v>-83050000</v>
      </c>
      <c r="AQ60" s="90"/>
      <c r="AR60" s="90"/>
      <c r="AS60" s="90"/>
      <c r="AT60" s="90"/>
      <c r="AU60" s="90"/>
      <c r="AV60" s="90"/>
      <c r="AW60" s="90"/>
      <c r="AX60" s="90"/>
      <c r="AY60" s="90"/>
      <c r="AZ60" s="90"/>
      <c r="BA60" s="90"/>
      <c r="BB60" s="90"/>
      <c r="BC60" s="90"/>
      <c r="BD60" s="90"/>
      <c r="BE60" s="90"/>
      <c r="BF60" s="90"/>
      <c r="BG60" s="90"/>
      <c r="BH60" s="90"/>
      <c r="BI60" s="90"/>
      <c r="BJ60" s="90"/>
      <c r="BK60" s="90"/>
      <c r="BL60" s="90"/>
      <c r="BM60" s="90"/>
      <c r="BN60" s="90"/>
      <c r="BO60" s="90"/>
      <c r="BP60" s="90"/>
      <c r="BQ60" s="90"/>
      <c r="BR60" s="90"/>
      <c r="BS60" s="90"/>
      <c r="BT60" s="90"/>
      <c r="BU60" s="90"/>
      <c r="BV60" s="90"/>
      <c r="BW60" s="90"/>
      <c r="BX60" s="90"/>
      <c r="BY60" s="90"/>
      <c r="BZ60" s="90"/>
      <c r="CA60" s="90"/>
      <c r="CB60" s="90"/>
      <c r="CC60" s="90"/>
      <c r="CD60" s="90"/>
      <c r="CE60" s="90"/>
      <c r="CF60" s="90"/>
      <c r="CG60" s="90"/>
      <c r="CH60" s="90"/>
      <c r="CI60" s="90"/>
      <c r="CJ60" s="90"/>
      <c r="CK60" s="90"/>
      <c r="CL60" s="90"/>
      <c r="CM60" s="90"/>
      <c r="CN60" s="90"/>
      <c r="CO60" s="90"/>
      <c r="CP60" s="90"/>
      <c r="CQ60" s="90"/>
      <c r="CR60" s="90"/>
      <c r="CS60" s="90"/>
      <c r="CT60" s="90"/>
      <c r="CU60" s="90"/>
      <c r="CV60" s="90"/>
      <c r="CW60" s="90"/>
      <c r="CX60" s="90"/>
      <c r="CY60" s="90"/>
      <c r="CZ60" s="90"/>
      <c r="DA60" s="90"/>
      <c r="DB60" s="90"/>
      <c r="DC60" s="90"/>
      <c r="DD60" s="90"/>
      <c r="DE60" s="90"/>
      <c r="DF60" s="90"/>
      <c r="DG60" s="90"/>
      <c r="DH60" s="90"/>
      <c r="DI60" s="90"/>
      <c r="DJ60" s="90"/>
      <c r="DK60" s="90"/>
      <c r="DL60" s="90"/>
      <c r="DM60" s="90"/>
      <c r="DN60" s="90"/>
      <c r="DO60" s="90"/>
      <c r="DP60" s="90"/>
      <c r="DQ60" s="90"/>
      <c r="DR60" s="90"/>
      <c r="DS60" s="90"/>
      <c r="DT60" s="90"/>
      <c r="DU60" s="90"/>
      <c r="DV60" s="90"/>
      <c r="DW60" s="90"/>
      <c r="DX60" s="90"/>
      <c r="DY60" s="90"/>
      <c r="DZ60" s="90"/>
      <c r="EA60" s="90"/>
      <c r="EB60" s="90"/>
      <c r="EC60" s="90"/>
      <c r="ED60" s="90"/>
      <c r="EE60" s="90"/>
      <c r="EF60" s="90"/>
      <c r="EG60" s="90"/>
      <c r="EH60" s="90"/>
      <c r="EI60" s="90"/>
      <c r="EJ60" s="90"/>
      <c r="EK60" s="90"/>
      <c r="EL60" s="90"/>
      <c r="EM60" s="90"/>
      <c r="EN60" s="90"/>
      <c r="EO60" s="90"/>
      <c r="EP60" s="90"/>
      <c r="EQ60" s="90"/>
      <c r="ER60" s="90"/>
      <c r="ES60" s="90"/>
      <c r="ET60" s="90"/>
      <c r="EU60" s="90"/>
      <c r="EV60" s="90"/>
      <c r="EW60" s="90"/>
      <c r="EX60" s="90"/>
      <c r="EY60" s="90"/>
      <c r="EZ60" s="90"/>
      <c r="FA60" s="90"/>
      <c r="FB60" s="88">
        <v>-83050000</v>
      </c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</row>
    <row r="61" spans="1:366" ht="14.25">
      <c r="C61" s="256" t="s">
        <v>134</v>
      </c>
      <c r="D61" s="166" t="s">
        <v>135</v>
      </c>
      <c r="E61" s="51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6"/>
      <c r="Q61" s="52"/>
      <c r="U61" s="82" t="s">
        <v>275</v>
      </c>
      <c r="V61" s="82" t="s">
        <v>274</v>
      </c>
      <c r="W61" s="140"/>
      <c r="X61" s="142"/>
      <c r="Y61" s="142"/>
      <c r="Z61" s="142"/>
      <c r="AA61" s="142"/>
      <c r="AB61" s="142"/>
      <c r="AC61" s="142"/>
      <c r="AD61" s="142"/>
      <c r="AE61" s="142"/>
      <c r="AF61" s="142"/>
      <c r="AG61" s="142"/>
      <c r="AH61" s="142"/>
      <c r="AI61" s="142"/>
      <c r="AJ61" s="142"/>
      <c r="AK61" s="142"/>
      <c r="AL61" s="142"/>
      <c r="AM61" s="142"/>
      <c r="AN61" s="142"/>
      <c r="AO61" s="142"/>
      <c r="AP61" s="142"/>
      <c r="AQ61" s="142"/>
      <c r="AR61" s="142"/>
      <c r="AS61" s="142"/>
      <c r="AT61" s="142"/>
      <c r="AU61" s="142"/>
      <c r="AV61" s="142"/>
      <c r="AW61" s="142"/>
      <c r="AX61" s="142"/>
      <c r="AY61" s="142"/>
      <c r="AZ61" s="142"/>
      <c r="BA61" s="142"/>
      <c r="BB61" s="142"/>
      <c r="BC61" s="142"/>
      <c r="BD61" s="142"/>
      <c r="BE61" s="142"/>
      <c r="BF61" s="142"/>
      <c r="BG61" s="142"/>
      <c r="BH61" s="142"/>
      <c r="BI61" s="142"/>
      <c r="BJ61" s="142"/>
      <c r="BK61" s="142"/>
      <c r="BL61" s="142"/>
      <c r="BM61" s="142"/>
      <c r="BN61" s="142"/>
      <c r="BO61" s="142"/>
      <c r="BP61" s="142"/>
      <c r="BQ61" s="142"/>
      <c r="BR61" s="142"/>
      <c r="BS61" s="142"/>
      <c r="BT61" s="142"/>
      <c r="BU61" s="142"/>
      <c r="BV61" s="142"/>
      <c r="BW61" s="142"/>
      <c r="BX61" s="142"/>
      <c r="BY61" s="142"/>
      <c r="BZ61" s="142"/>
      <c r="CA61" s="142"/>
      <c r="CB61" s="142"/>
      <c r="CC61" s="142"/>
      <c r="CD61" s="142"/>
      <c r="CE61" s="142"/>
      <c r="CF61" s="142"/>
      <c r="CG61" s="142"/>
      <c r="CH61" s="142"/>
      <c r="CI61" s="142"/>
      <c r="CJ61" s="142"/>
      <c r="CK61" s="142"/>
      <c r="CL61" s="142"/>
      <c r="CM61" s="142"/>
      <c r="CN61" s="142"/>
      <c r="CO61" s="142"/>
      <c r="CP61" s="142"/>
      <c r="CQ61" s="142"/>
      <c r="CR61" s="142"/>
      <c r="CS61" s="142"/>
      <c r="CT61" s="142"/>
      <c r="CU61" s="142"/>
      <c r="CV61" s="142"/>
      <c r="CW61" s="142"/>
      <c r="CX61" s="142"/>
      <c r="CY61" s="142"/>
      <c r="CZ61" s="142"/>
      <c r="DA61" s="142"/>
      <c r="DB61" s="142"/>
      <c r="DC61" s="142"/>
      <c r="DD61" s="142"/>
      <c r="DE61" s="142"/>
      <c r="DF61" s="142"/>
      <c r="DG61" s="142">
        <v>9375</v>
      </c>
      <c r="DH61" s="142"/>
      <c r="DI61" s="142"/>
      <c r="DJ61" s="142"/>
      <c r="DK61" s="142"/>
      <c r="DL61" s="142"/>
      <c r="DM61" s="142"/>
      <c r="DN61" s="142"/>
      <c r="DO61" s="142"/>
      <c r="DP61" s="142"/>
      <c r="DQ61" s="142"/>
      <c r="DR61" s="142"/>
      <c r="DS61" s="142"/>
      <c r="DT61" s="142"/>
      <c r="DU61" s="142"/>
      <c r="DV61" s="142"/>
      <c r="DW61" s="142"/>
      <c r="DX61" s="142"/>
      <c r="DY61" s="142"/>
      <c r="DZ61" s="142"/>
      <c r="EA61" s="142"/>
      <c r="EB61" s="142"/>
      <c r="EC61" s="142"/>
      <c r="ED61" s="142"/>
      <c r="EE61" s="142"/>
      <c r="EF61" s="142"/>
      <c r="EG61" s="142"/>
      <c r="EH61" s="142"/>
      <c r="EI61" s="142"/>
      <c r="EJ61" s="142"/>
      <c r="EK61" s="142"/>
      <c r="EL61" s="142"/>
      <c r="EM61" s="142"/>
      <c r="EN61" s="142"/>
      <c r="EO61" s="142"/>
      <c r="EP61" s="142"/>
      <c r="EQ61" s="142"/>
      <c r="ER61" s="142"/>
      <c r="ES61" s="142"/>
      <c r="ET61" s="142"/>
      <c r="EU61" s="142"/>
      <c r="EV61" s="142"/>
      <c r="EW61" s="142"/>
      <c r="EX61" s="142"/>
      <c r="EY61" s="142"/>
      <c r="EZ61" s="142"/>
      <c r="FA61" s="142"/>
      <c r="FB61" s="87">
        <v>9375</v>
      </c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</row>
    <row r="62" spans="1:366" ht="14.25">
      <c r="C62" s="257"/>
      <c r="D62" s="168" t="s">
        <v>136</v>
      </c>
      <c r="E62" s="45"/>
      <c r="F62" s="6"/>
      <c r="G62" s="6"/>
      <c r="H62" s="6"/>
      <c r="I62" s="6"/>
      <c r="J62" s="6"/>
      <c r="K62" s="6"/>
      <c r="L62" s="6"/>
      <c r="M62" s="6"/>
      <c r="N62" s="6"/>
      <c r="O62" s="6"/>
      <c r="P62" s="13"/>
      <c r="Q62" s="53"/>
      <c r="U62" s="82" t="s">
        <v>771</v>
      </c>
      <c r="V62" s="82" t="s">
        <v>770</v>
      </c>
      <c r="W62" s="140"/>
      <c r="X62" s="142"/>
      <c r="Y62" s="142"/>
      <c r="Z62" s="142"/>
      <c r="AA62" s="142"/>
      <c r="AB62" s="142"/>
      <c r="AC62" s="142"/>
      <c r="AD62" s="142"/>
      <c r="AE62" s="142">
        <v>-927850</v>
      </c>
      <c r="AF62" s="142"/>
      <c r="AG62" s="142"/>
      <c r="AH62" s="142"/>
      <c r="AI62" s="142"/>
      <c r="AJ62" s="142"/>
      <c r="AK62" s="142"/>
      <c r="AL62" s="142"/>
      <c r="AM62" s="142">
        <v>-220340</v>
      </c>
      <c r="AN62" s="142"/>
      <c r="AO62" s="142"/>
      <c r="AP62" s="142"/>
      <c r="AQ62" s="142"/>
      <c r="AR62" s="142">
        <v>386849.31999999995</v>
      </c>
      <c r="AS62" s="142">
        <v>-6311.87</v>
      </c>
      <c r="AT62" s="142"/>
      <c r="AU62" s="142">
        <v>80.44</v>
      </c>
      <c r="AV62" s="142">
        <v>6534.8600000000006</v>
      </c>
      <c r="AW62" s="142"/>
      <c r="AX62" s="142">
        <v>359109.63999999996</v>
      </c>
      <c r="AY62" s="142">
        <v>-7612.88</v>
      </c>
      <c r="AZ62" s="142"/>
      <c r="BA62" s="142">
        <v>-1025.2199999999998</v>
      </c>
      <c r="BB62" s="142"/>
      <c r="BC62" s="142"/>
      <c r="BD62" s="142">
        <v>-109142.81000000001</v>
      </c>
      <c r="BE62" s="142">
        <v>124.57999999999998</v>
      </c>
      <c r="BF62" s="142"/>
      <c r="BG62" s="142"/>
      <c r="BH62" s="142"/>
      <c r="BI62" s="142"/>
      <c r="BJ62" s="142"/>
      <c r="BK62" s="142"/>
      <c r="BL62" s="142"/>
      <c r="BM62" s="142"/>
      <c r="BN62" s="142"/>
      <c r="BO62" s="142"/>
      <c r="BP62" s="142"/>
      <c r="BQ62" s="142"/>
      <c r="BR62" s="142"/>
      <c r="BS62" s="142"/>
      <c r="BT62" s="142"/>
      <c r="BU62" s="142"/>
      <c r="BV62" s="142"/>
      <c r="BW62" s="142"/>
      <c r="BX62" s="142"/>
      <c r="BY62" s="142"/>
      <c r="BZ62" s="142"/>
      <c r="CA62" s="142"/>
      <c r="CB62" s="142"/>
      <c r="CC62" s="142"/>
      <c r="CD62" s="142"/>
      <c r="CE62" s="142"/>
      <c r="CF62" s="142"/>
      <c r="CG62" s="142"/>
      <c r="CH62" s="142"/>
      <c r="CI62" s="142"/>
      <c r="CJ62" s="142"/>
      <c r="CK62" s="142"/>
      <c r="CL62" s="142"/>
      <c r="CM62" s="142"/>
      <c r="CN62" s="142"/>
      <c r="CO62" s="142"/>
      <c r="CP62" s="142"/>
      <c r="CQ62" s="142"/>
      <c r="CR62" s="142"/>
      <c r="CS62" s="142"/>
      <c r="CT62" s="142"/>
      <c r="CU62" s="142"/>
      <c r="CV62" s="142"/>
      <c r="CW62" s="142"/>
      <c r="CX62" s="142"/>
      <c r="CY62" s="142"/>
      <c r="CZ62" s="142"/>
      <c r="DA62" s="142"/>
      <c r="DB62" s="142"/>
      <c r="DC62" s="142"/>
      <c r="DD62" s="142"/>
      <c r="DE62" s="142"/>
      <c r="DF62" s="142"/>
      <c r="DG62" s="142"/>
      <c r="DH62" s="142"/>
      <c r="DI62" s="142"/>
      <c r="DJ62" s="142"/>
      <c r="DK62" s="142"/>
      <c r="DL62" s="142"/>
      <c r="DM62" s="142"/>
      <c r="DN62" s="142"/>
      <c r="DO62" s="142"/>
      <c r="DP62" s="142"/>
      <c r="DQ62" s="142"/>
      <c r="DR62" s="142"/>
      <c r="DS62" s="142"/>
      <c r="DT62" s="142"/>
      <c r="DU62" s="142"/>
      <c r="DV62" s="142"/>
      <c r="DW62" s="142"/>
      <c r="DX62" s="142"/>
      <c r="DY62" s="142"/>
      <c r="DZ62" s="142"/>
      <c r="EA62" s="142"/>
      <c r="EB62" s="142"/>
      <c r="EC62" s="142"/>
      <c r="ED62" s="142"/>
      <c r="EE62" s="142"/>
      <c r="EF62" s="142"/>
      <c r="EG62" s="142"/>
      <c r="EH62" s="142"/>
      <c r="EI62" s="142"/>
      <c r="EJ62" s="142"/>
      <c r="EK62" s="142"/>
      <c r="EL62" s="142"/>
      <c r="EM62" s="142"/>
      <c r="EN62" s="142"/>
      <c r="EO62" s="142"/>
      <c r="EP62" s="142"/>
      <c r="EQ62" s="142"/>
      <c r="ER62" s="142"/>
      <c r="ES62" s="142"/>
      <c r="ET62" s="142"/>
      <c r="EU62" s="142"/>
      <c r="EV62" s="142"/>
      <c r="EW62" s="142"/>
      <c r="EX62" s="142"/>
      <c r="EY62" s="142"/>
      <c r="EZ62" s="142"/>
      <c r="FA62" s="142"/>
      <c r="FB62" s="87">
        <v>-519583.94000000012</v>
      </c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</row>
    <row r="63" spans="1:366" s="2" customFormat="1" ht="14.25">
      <c r="A63" s="9"/>
      <c r="B63" s="9"/>
      <c r="C63" s="257"/>
      <c r="D63" s="168" t="s">
        <v>137</v>
      </c>
      <c r="E63" s="45"/>
      <c r="F63" s="6"/>
      <c r="G63" s="6"/>
      <c r="H63" s="6"/>
      <c r="I63" s="6"/>
      <c r="J63" s="6"/>
      <c r="K63" s="6"/>
      <c r="L63" s="6"/>
      <c r="M63" s="6"/>
      <c r="N63" s="6"/>
      <c r="O63" s="6"/>
      <c r="P63" s="13"/>
      <c r="Q63" s="53"/>
      <c r="S63" s="151"/>
      <c r="T63" s="151"/>
      <c r="U63" s="150"/>
      <c r="V63" s="83" t="s">
        <v>1778</v>
      </c>
      <c r="W63" s="143"/>
      <c r="X63" s="90"/>
      <c r="Y63" s="90"/>
      <c r="Z63" s="90"/>
      <c r="AA63" s="90"/>
      <c r="AB63" s="90"/>
      <c r="AC63" s="90"/>
      <c r="AD63" s="90"/>
      <c r="AE63" s="90"/>
      <c r="AF63" s="90"/>
      <c r="AG63" s="90"/>
      <c r="AH63" s="90"/>
      <c r="AI63" s="90"/>
      <c r="AJ63" s="90"/>
      <c r="AK63" s="90"/>
      <c r="AL63" s="90"/>
      <c r="AM63" s="90">
        <v>-100000000</v>
      </c>
      <c r="AN63" s="90"/>
      <c r="AO63" s="90"/>
      <c r="AP63" s="90"/>
      <c r="AQ63" s="90"/>
      <c r="AR63" s="90"/>
      <c r="AS63" s="90"/>
      <c r="AT63" s="90"/>
      <c r="AU63" s="90"/>
      <c r="AV63" s="90"/>
      <c r="AW63" s="90"/>
      <c r="AX63" s="90"/>
      <c r="AY63" s="90"/>
      <c r="AZ63" s="90"/>
      <c r="BA63" s="90"/>
      <c r="BB63" s="90"/>
      <c r="BC63" s="90"/>
      <c r="BD63" s="90"/>
      <c r="BE63" s="90"/>
      <c r="BF63" s="90"/>
      <c r="BG63" s="90"/>
      <c r="BH63" s="90"/>
      <c r="BI63" s="90"/>
      <c r="BJ63" s="90"/>
      <c r="BK63" s="90"/>
      <c r="BL63" s="90"/>
      <c r="BM63" s="90"/>
      <c r="BN63" s="90"/>
      <c r="BO63" s="90"/>
      <c r="BP63" s="90"/>
      <c r="BQ63" s="90"/>
      <c r="BR63" s="90"/>
      <c r="BS63" s="90"/>
      <c r="BT63" s="90"/>
      <c r="BU63" s="90"/>
      <c r="BV63" s="90"/>
      <c r="BW63" s="90"/>
      <c r="BX63" s="90"/>
      <c r="BY63" s="90"/>
      <c r="BZ63" s="90"/>
      <c r="CA63" s="90"/>
      <c r="CB63" s="90"/>
      <c r="CC63" s="90"/>
      <c r="CD63" s="90"/>
      <c r="CE63" s="90"/>
      <c r="CF63" s="90"/>
      <c r="CG63" s="90"/>
      <c r="CH63" s="90"/>
      <c r="CI63" s="90"/>
      <c r="CJ63" s="90"/>
      <c r="CK63" s="90"/>
      <c r="CL63" s="90"/>
      <c r="CM63" s="90"/>
      <c r="CN63" s="90"/>
      <c r="CO63" s="90"/>
      <c r="CP63" s="90"/>
      <c r="CQ63" s="90"/>
      <c r="CR63" s="90"/>
      <c r="CS63" s="90"/>
      <c r="CT63" s="90"/>
      <c r="CU63" s="90"/>
      <c r="CV63" s="90"/>
      <c r="CW63" s="90"/>
      <c r="CX63" s="90"/>
      <c r="CY63" s="90"/>
      <c r="CZ63" s="90"/>
      <c r="DA63" s="90"/>
      <c r="DB63" s="90"/>
      <c r="DC63" s="90"/>
      <c r="DD63" s="90"/>
      <c r="DE63" s="90"/>
      <c r="DF63" s="90"/>
      <c r="DG63" s="90"/>
      <c r="DH63" s="90"/>
      <c r="DI63" s="90"/>
      <c r="DJ63" s="90"/>
      <c r="DK63" s="90"/>
      <c r="DL63" s="90"/>
      <c r="DM63" s="90"/>
      <c r="DN63" s="90"/>
      <c r="DO63" s="90"/>
      <c r="DP63" s="90"/>
      <c r="DQ63" s="90"/>
      <c r="DR63" s="90"/>
      <c r="DS63" s="90"/>
      <c r="DT63" s="90"/>
      <c r="DU63" s="90"/>
      <c r="DV63" s="90"/>
      <c r="DW63" s="90"/>
      <c r="DX63" s="90"/>
      <c r="DY63" s="90"/>
      <c r="DZ63" s="90"/>
      <c r="EA63" s="90"/>
      <c r="EB63" s="90"/>
      <c r="EC63" s="90"/>
      <c r="ED63" s="90"/>
      <c r="EE63" s="90"/>
      <c r="EF63" s="90"/>
      <c r="EG63" s="90"/>
      <c r="EH63" s="90"/>
      <c r="EI63" s="90"/>
      <c r="EJ63" s="90"/>
      <c r="EK63" s="90"/>
      <c r="EL63" s="90"/>
      <c r="EM63" s="90"/>
      <c r="EN63" s="90"/>
      <c r="EO63" s="90"/>
      <c r="EP63" s="90"/>
      <c r="EQ63" s="90"/>
      <c r="ER63" s="90"/>
      <c r="ES63" s="90"/>
      <c r="ET63" s="90"/>
      <c r="EU63" s="90"/>
      <c r="EV63" s="90"/>
      <c r="EW63" s="90"/>
      <c r="EX63" s="90"/>
      <c r="EY63" s="90"/>
      <c r="EZ63" s="90"/>
      <c r="FA63" s="90"/>
      <c r="FB63" s="88">
        <v>-100000000</v>
      </c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 s="151"/>
      <c r="NB63" s="151"/>
    </row>
    <row r="64" spans="1:366" s="2" customFormat="1" ht="14.25">
      <c r="A64" s="9"/>
      <c r="B64" s="9"/>
      <c r="C64" s="257"/>
      <c r="D64" s="168" t="s">
        <v>138</v>
      </c>
      <c r="E64" s="45"/>
      <c r="F64" s="6"/>
      <c r="G64" s="6"/>
      <c r="H64" s="6"/>
      <c r="I64" s="6"/>
      <c r="J64" s="6"/>
      <c r="K64" s="6"/>
      <c r="L64" s="6"/>
      <c r="M64" s="6"/>
      <c r="N64" s="6"/>
      <c r="O64" s="6"/>
      <c r="P64" s="13"/>
      <c r="Q64" s="53"/>
      <c r="S64" s="151"/>
      <c r="T64" s="151"/>
      <c r="U64" s="82" t="s">
        <v>292</v>
      </c>
      <c r="V64" s="82" t="s">
        <v>286</v>
      </c>
      <c r="W64" s="140"/>
      <c r="X64" s="142"/>
      <c r="Y64" s="142"/>
      <c r="Z64" s="142"/>
      <c r="AA64" s="142"/>
      <c r="AB64" s="142"/>
      <c r="AC64" s="142"/>
      <c r="AD64" s="142"/>
      <c r="AE64" s="142"/>
      <c r="AF64" s="142"/>
      <c r="AG64" s="142"/>
      <c r="AH64" s="142"/>
      <c r="AI64" s="142"/>
      <c r="AJ64" s="142"/>
      <c r="AK64" s="142"/>
      <c r="AL64" s="142"/>
      <c r="AM64" s="142"/>
      <c r="AN64" s="142"/>
      <c r="AO64" s="142"/>
      <c r="AP64" s="142"/>
      <c r="AQ64" s="142"/>
      <c r="AR64" s="142"/>
      <c r="AS64" s="142"/>
      <c r="AT64" s="142"/>
      <c r="AU64" s="142"/>
      <c r="AV64" s="142"/>
      <c r="AW64" s="142"/>
      <c r="AX64" s="142"/>
      <c r="AY64" s="142"/>
      <c r="AZ64" s="142"/>
      <c r="BA64" s="142"/>
      <c r="BB64" s="142"/>
      <c r="BC64" s="142"/>
      <c r="BD64" s="142"/>
      <c r="BE64" s="142"/>
      <c r="BF64" s="142"/>
      <c r="BG64" s="142"/>
      <c r="BH64" s="142"/>
      <c r="BI64" s="142"/>
      <c r="BJ64" s="142"/>
      <c r="BK64" s="142">
        <v>-1600000</v>
      </c>
      <c r="BL64" s="142"/>
      <c r="BM64" s="142"/>
      <c r="BN64" s="142"/>
      <c r="BO64" s="142"/>
      <c r="BP64" s="142"/>
      <c r="BQ64" s="142"/>
      <c r="BR64" s="142"/>
      <c r="BS64" s="142"/>
      <c r="BT64" s="142"/>
      <c r="BU64" s="142"/>
      <c r="BV64" s="142"/>
      <c r="BW64" s="142"/>
      <c r="BX64" s="142"/>
      <c r="BY64" s="142"/>
      <c r="BZ64" s="142"/>
      <c r="CA64" s="142"/>
      <c r="CB64" s="142"/>
      <c r="CC64" s="142"/>
      <c r="CD64" s="142"/>
      <c r="CE64" s="142"/>
      <c r="CF64" s="142"/>
      <c r="CG64" s="142"/>
      <c r="CH64" s="142"/>
      <c r="CI64" s="142"/>
      <c r="CJ64" s="142"/>
      <c r="CK64" s="142"/>
      <c r="CL64" s="142"/>
      <c r="CM64" s="142"/>
      <c r="CN64" s="142"/>
      <c r="CO64" s="142"/>
      <c r="CP64" s="142"/>
      <c r="CQ64" s="142"/>
      <c r="CR64" s="142"/>
      <c r="CS64" s="142"/>
      <c r="CT64" s="142"/>
      <c r="CU64" s="142"/>
      <c r="CV64" s="142"/>
      <c r="CW64" s="142"/>
      <c r="CX64" s="142"/>
      <c r="CY64" s="142"/>
      <c r="CZ64" s="142"/>
      <c r="DA64" s="142"/>
      <c r="DB64" s="142"/>
      <c r="DC64" s="142"/>
      <c r="DD64" s="142"/>
      <c r="DE64" s="142"/>
      <c r="DF64" s="142"/>
      <c r="DG64" s="142"/>
      <c r="DH64" s="142"/>
      <c r="DI64" s="142"/>
      <c r="DJ64" s="142"/>
      <c r="DK64" s="142"/>
      <c r="DL64" s="142"/>
      <c r="DM64" s="142"/>
      <c r="DN64" s="142"/>
      <c r="DO64" s="142"/>
      <c r="DP64" s="142"/>
      <c r="DQ64" s="142"/>
      <c r="DR64" s="142"/>
      <c r="DS64" s="142"/>
      <c r="DT64" s="142"/>
      <c r="DU64" s="142"/>
      <c r="DV64" s="142"/>
      <c r="DW64" s="142"/>
      <c r="DX64" s="142"/>
      <c r="DY64" s="142"/>
      <c r="DZ64" s="142"/>
      <c r="EA64" s="142"/>
      <c r="EB64" s="142"/>
      <c r="EC64" s="142"/>
      <c r="ED64" s="142"/>
      <c r="EE64" s="142"/>
      <c r="EF64" s="142"/>
      <c r="EG64" s="142"/>
      <c r="EH64" s="142"/>
      <c r="EI64" s="142"/>
      <c r="EJ64" s="142"/>
      <c r="EK64" s="142"/>
      <c r="EL64" s="142"/>
      <c r="EM64" s="142"/>
      <c r="EN64" s="142"/>
      <c r="EO64" s="142"/>
      <c r="EP64" s="142"/>
      <c r="EQ64" s="142"/>
      <c r="ER64" s="142"/>
      <c r="ES64" s="142"/>
      <c r="ET64" s="142"/>
      <c r="EU64" s="142"/>
      <c r="EV64" s="142"/>
      <c r="EW64" s="142"/>
      <c r="EX64" s="142">
        <v>-300000</v>
      </c>
      <c r="EY64" s="142"/>
      <c r="EZ64" s="142"/>
      <c r="FA64" s="142"/>
      <c r="FB64" s="87">
        <v>-1900000</v>
      </c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</row>
    <row r="65" spans="1:364" s="2" customFormat="1" ht="14.25">
      <c r="A65" s="9"/>
      <c r="B65" s="9"/>
      <c r="C65" s="257"/>
      <c r="D65" s="168" t="s">
        <v>139</v>
      </c>
      <c r="E65" s="45"/>
      <c r="F65" s="6"/>
      <c r="G65" s="6"/>
      <c r="H65" s="6"/>
      <c r="I65" s="6"/>
      <c r="J65" s="6"/>
      <c r="K65" s="6"/>
      <c r="L65" s="6"/>
      <c r="M65" s="6"/>
      <c r="N65" s="6"/>
      <c r="O65" s="6"/>
      <c r="P65" s="13"/>
      <c r="Q65" s="53"/>
      <c r="S65" s="151"/>
      <c r="T65" s="151"/>
      <c r="U65" s="150"/>
      <c r="V65" s="83" t="s">
        <v>284</v>
      </c>
      <c r="W65" s="143"/>
      <c r="X65" s="90"/>
      <c r="Y65" s="90"/>
      <c r="Z65" s="90"/>
      <c r="AA65" s="90"/>
      <c r="AB65" s="90"/>
      <c r="AC65" s="90"/>
      <c r="AD65" s="90"/>
      <c r="AE65" s="90"/>
      <c r="AF65" s="90"/>
      <c r="AG65" s="90"/>
      <c r="AH65" s="90"/>
      <c r="AI65" s="90"/>
      <c r="AJ65" s="90"/>
      <c r="AK65" s="90"/>
      <c r="AL65" s="90"/>
      <c r="AM65" s="90"/>
      <c r="AN65" s="90"/>
      <c r="AO65" s="90"/>
      <c r="AP65" s="90"/>
      <c r="AQ65" s="90"/>
      <c r="AR65" s="90"/>
      <c r="AS65" s="90"/>
      <c r="AT65" s="90"/>
      <c r="AU65" s="90"/>
      <c r="AV65" s="90"/>
      <c r="AW65" s="90"/>
      <c r="AX65" s="90"/>
      <c r="AY65" s="90"/>
      <c r="AZ65" s="90"/>
      <c r="BA65" s="90"/>
      <c r="BB65" s="90">
        <v>14015294.120000001</v>
      </c>
      <c r="BC65" s="90"/>
      <c r="BD65" s="90"/>
      <c r="BE65" s="90"/>
      <c r="BF65" s="90"/>
      <c r="BG65" s="90"/>
      <c r="BH65" s="90"/>
      <c r="BI65" s="90"/>
      <c r="BJ65" s="90">
        <v>3375900</v>
      </c>
      <c r="BK65" s="90">
        <v>15410603.349999998</v>
      </c>
      <c r="BL65" s="90">
        <v>-67432287.109999985</v>
      </c>
      <c r="BM65" s="90">
        <v>4573800</v>
      </c>
      <c r="BN65" s="90">
        <v>-66900000</v>
      </c>
      <c r="BO65" s="90"/>
      <c r="BP65" s="90">
        <v>4951320</v>
      </c>
      <c r="BQ65" s="90"/>
      <c r="BR65" s="90">
        <v>18782612.029999997</v>
      </c>
      <c r="BS65" s="90"/>
      <c r="BT65" s="90">
        <v>-8888156.25</v>
      </c>
      <c r="BU65" s="90"/>
      <c r="BV65" s="90"/>
      <c r="BW65" s="90"/>
      <c r="BX65" s="90"/>
      <c r="BY65" s="90">
        <v>4951320</v>
      </c>
      <c r="BZ65" s="90">
        <v>19938393.5</v>
      </c>
      <c r="CA65" s="90">
        <v>-1688027.8499999999</v>
      </c>
      <c r="CB65" s="90"/>
      <c r="CC65" s="90">
        <v>17825263.43</v>
      </c>
      <c r="CD65" s="90"/>
      <c r="CE65" s="90">
        <v>4472160</v>
      </c>
      <c r="CF65" s="90"/>
      <c r="CG65" s="90"/>
      <c r="CH65" s="90">
        <v>4726260</v>
      </c>
      <c r="CI65" s="90">
        <v>18567857</v>
      </c>
      <c r="CJ65" s="90"/>
      <c r="CK65" s="90"/>
      <c r="CL65" s="90"/>
      <c r="CM65" s="90"/>
      <c r="CN65" s="90"/>
      <c r="CO65" s="90"/>
      <c r="CP65" s="90"/>
      <c r="CQ65" s="90"/>
      <c r="CR65" s="90"/>
      <c r="CS65" s="90"/>
      <c r="CT65" s="90"/>
      <c r="CU65" s="90"/>
      <c r="CV65" s="90"/>
      <c r="CW65" s="90"/>
      <c r="CX65" s="90"/>
      <c r="CY65" s="90"/>
      <c r="CZ65" s="90"/>
      <c r="DA65" s="90"/>
      <c r="DB65" s="90"/>
      <c r="DC65" s="90"/>
      <c r="DD65" s="90"/>
      <c r="DE65" s="90"/>
      <c r="DF65" s="90"/>
      <c r="DG65" s="90"/>
      <c r="DH65" s="90"/>
      <c r="DI65" s="90"/>
      <c r="DJ65" s="90"/>
      <c r="DK65" s="90"/>
      <c r="DL65" s="90"/>
      <c r="DM65" s="90"/>
      <c r="DN65" s="90"/>
      <c r="DO65" s="90"/>
      <c r="DP65" s="90"/>
      <c r="DQ65" s="90"/>
      <c r="DR65" s="90"/>
      <c r="DS65" s="90"/>
      <c r="DT65" s="90"/>
      <c r="DU65" s="90"/>
      <c r="DV65" s="90"/>
      <c r="DW65" s="90"/>
      <c r="DX65" s="90"/>
      <c r="DY65" s="90"/>
      <c r="DZ65" s="90"/>
      <c r="EA65" s="90"/>
      <c r="EB65" s="90"/>
      <c r="EC65" s="90"/>
      <c r="ED65" s="90"/>
      <c r="EE65" s="90"/>
      <c r="EF65" s="90"/>
      <c r="EG65" s="90"/>
      <c r="EH65" s="90"/>
      <c r="EI65" s="90"/>
      <c r="EJ65" s="90"/>
      <c r="EK65" s="90"/>
      <c r="EL65" s="90"/>
      <c r="EM65" s="90"/>
      <c r="EN65" s="90"/>
      <c r="EO65" s="90"/>
      <c r="EP65" s="90"/>
      <c r="EQ65" s="90"/>
      <c r="ER65" s="90"/>
      <c r="ES65" s="90"/>
      <c r="ET65" s="90"/>
      <c r="EU65" s="90"/>
      <c r="EV65" s="90"/>
      <c r="EW65" s="90"/>
      <c r="EX65" s="90"/>
      <c r="EY65" s="90"/>
      <c r="EZ65" s="90"/>
      <c r="FA65" s="90"/>
      <c r="FB65" s="88">
        <v>-13317687.779999986</v>
      </c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</row>
    <row r="66" spans="1:364" s="2" customFormat="1" ht="18" customHeight="1">
      <c r="A66" s="9"/>
      <c r="B66" s="9"/>
      <c r="C66" s="258"/>
      <c r="D66" s="171" t="s">
        <v>140</v>
      </c>
      <c r="E66" s="56">
        <f t="shared" ref="E66:Q66" si="6">SUM(E61:E65)</f>
        <v>0</v>
      </c>
      <c r="F66" s="38">
        <f t="shared" si="6"/>
        <v>0</v>
      </c>
      <c r="G66" s="38">
        <f t="shared" si="6"/>
        <v>0</v>
      </c>
      <c r="H66" s="38">
        <f t="shared" si="6"/>
        <v>0</v>
      </c>
      <c r="I66" s="38">
        <f t="shared" si="6"/>
        <v>0</v>
      </c>
      <c r="J66" s="38">
        <f t="shared" si="6"/>
        <v>0</v>
      </c>
      <c r="K66" s="38">
        <f t="shared" si="6"/>
        <v>0</v>
      </c>
      <c r="L66" s="38">
        <f t="shared" si="6"/>
        <v>0</v>
      </c>
      <c r="M66" s="38">
        <f t="shared" si="6"/>
        <v>0</v>
      </c>
      <c r="N66" s="38">
        <f t="shared" si="6"/>
        <v>0</v>
      </c>
      <c r="O66" s="38">
        <f t="shared" si="6"/>
        <v>0</v>
      </c>
      <c r="P66" s="38">
        <f t="shared" si="6"/>
        <v>0</v>
      </c>
      <c r="Q66" s="57">
        <f t="shared" si="6"/>
        <v>0</v>
      </c>
      <c r="S66" s="151"/>
      <c r="T66" s="151"/>
      <c r="U66" s="150"/>
      <c r="V66" s="83" t="s">
        <v>273</v>
      </c>
      <c r="W66" s="143"/>
      <c r="X66" s="90"/>
      <c r="Y66" s="90"/>
      <c r="Z66" s="90"/>
      <c r="AA66" s="90"/>
      <c r="AB66" s="90"/>
      <c r="AC66" s="90"/>
      <c r="AD66" s="90"/>
      <c r="AE66" s="90"/>
      <c r="AF66" s="90"/>
      <c r="AG66" s="90"/>
      <c r="AH66" s="90"/>
      <c r="AI66" s="90"/>
      <c r="AJ66" s="90"/>
      <c r="AK66" s="90"/>
      <c r="AL66" s="90"/>
      <c r="AM66" s="90"/>
      <c r="AN66" s="90"/>
      <c r="AO66" s="90"/>
      <c r="AP66" s="90"/>
      <c r="AQ66" s="90"/>
      <c r="AR66" s="90"/>
      <c r="AS66" s="90"/>
      <c r="AT66" s="90"/>
      <c r="AU66" s="90"/>
      <c r="AV66" s="90"/>
      <c r="AW66" s="90"/>
      <c r="AX66" s="90"/>
      <c r="AY66" s="90"/>
      <c r="AZ66" s="90"/>
      <c r="BA66" s="90"/>
      <c r="BB66" s="90">
        <v>-467387.22</v>
      </c>
      <c r="BC66" s="90">
        <v>2429359.7799999998</v>
      </c>
      <c r="BD66" s="90"/>
      <c r="BE66" s="90"/>
      <c r="BF66" s="90"/>
      <c r="BG66" s="90"/>
      <c r="BH66" s="90">
        <v>32562.499999999996</v>
      </c>
      <c r="BI66" s="90">
        <v>708750</v>
      </c>
      <c r="BJ66" s="90">
        <v>-111647.39</v>
      </c>
      <c r="BK66" s="90">
        <v>-380972.77999999997</v>
      </c>
      <c r="BL66" s="90"/>
      <c r="BM66" s="90">
        <v>-63775.219999999994</v>
      </c>
      <c r="BN66" s="90"/>
      <c r="BO66" s="90">
        <v>43125</v>
      </c>
      <c r="BP66" s="90">
        <v>-85565.889999999985</v>
      </c>
      <c r="BQ66" s="90">
        <v>-153630.76999999999</v>
      </c>
      <c r="BR66" s="90">
        <v>-61820.439999999995</v>
      </c>
      <c r="BS66" s="90"/>
      <c r="BT66" s="90"/>
      <c r="BU66" s="90">
        <v>-367596.16</v>
      </c>
      <c r="BV66" s="90"/>
      <c r="BW66" s="90">
        <v>1336953.97</v>
      </c>
      <c r="BX66" s="90"/>
      <c r="BY66" s="90">
        <v>-72765.39</v>
      </c>
      <c r="BZ66" s="90">
        <v>-144596.95000000001</v>
      </c>
      <c r="CA66" s="90"/>
      <c r="CB66" s="90">
        <v>-209.39000000000001</v>
      </c>
      <c r="CC66" s="90">
        <v>-221935.83</v>
      </c>
      <c r="CD66" s="90">
        <v>-13743.169999999998</v>
      </c>
      <c r="CE66" s="90">
        <v>-90165.89</v>
      </c>
      <c r="CF66" s="90"/>
      <c r="CG66" s="90"/>
      <c r="CH66" s="90">
        <v>-117234.3</v>
      </c>
      <c r="CI66" s="90">
        <v>-277722.71999999997</v>
      </c>
      <c r="CJ66" s="90"/>
      <c r="CK66" s="90">
        <v>0</v>
      </c>
      <c r="CL66" s="90"/>
      <c r="CM66" s="90"/>
      <c r="CN66" s="90"/>
      <c r="CO66" s="90"/>
      <c r="CP66" s="90"/>
      <c r="CQ66" s="90"/>
      <c r="CR66" s="90"/>
      <c r="CS66" s="90"/>
      <c r="CT66" s="90"/>
      <c r="CU66" s="90"/>
      <c r="CV66" s="90"/>
      <c r="CW66" s="90"/>
      <c r="CX66" s="90"/>
      <c r="CY66" s="90"/>
      <c r="CZ66" s="90"/>
      <c r="DA66" s="90"/>
      <c r="DB66" s="90"/>
      <c r="DC66" s="90"/>
      <c r="DD66" s="90"/>
      <c r="DE66" s="90"/>
      <c r="DF66" s="90"/>
      <c r="DG66" s="90"/>
      <c r="DH66" s="90"/>
      <c r="DI66" s="90"/>
      <c r="DJ66" s="90"/>
      <c r="DK66" s="90"/>
      <c r="DL66" s="90"/>
      <c r="DM66" s="90"/>
      <c r="DN66" s="90"/>
      <c r="DO66" s="90"/>
      <c r="DP66" s="90"/>
      <c r="DQ66" s="90"/>
      <c r="DR66" s="90"/>
      <c r="DS66" s="90"/>
      <c r="DT66" s="90"/>
      <c r="DU66" s="90"/>
      <c r="DV66" s="90"/>
      <c r="DW66" s="90"/>
      <c r="DX66" s="90"/>
      <c r="DY66" s="90"/>
      <c r="DZ66" s="90"/>
      <c r="EA66" s="90"/>
      <c r="EB66" s="90"/>
      <c r="EC66" s="90"/>
      <c r="ED66" s="90"/>
      <c r="EE66" s="90"/>
      <c r="EF66" s="90"/>
      <c r="EG66" s="90"/>
      <c r="EH66" s="90"/>
      <c r="EI66" s="90"/>
      <c r="EJ66" s="90"/>
      <c r="EK66" s="90"/>
      <c r="EL66" s="90"/>
      <c r="EM66" s="90"/>
      <c r="EN66" s="90"/>
      <c r="EO66" s="90"/>
      <c r="EP66" s="90"/>
      <c r="EQ66" s="90"/>
      <c r="ER66" s="90"/>
      <c r="ES66" s="90"/>
      <c r="ET66" s="90"/>
      <c r="EU66" s="90"/>
      <c r="EV66" s="90"/>
      <c r="EW66" s="90"/>
      <c r="EX66" s="90"/>
      <c r="EY66" s="90"/>
      <c r="EZ66" s="90"/>
      <c r="FA66" s="90"/>
      <c r="FB66" s="88">
        <v>1919981.7399999991</v>
      </c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</row>
    <row r="67" spans="1:364" s="2" customFormat="1" ht="15">
      <c r="A67" s="9"/>
      <c r="B67" s="9"/>
      <c r="C67" s="12"/>
      <c r="D67" s="170" t="s">
        <v>141</v>
      </c>
      <c r="E67" s="58">
        <f ca="1">SUM(E66,E59)</f>
        <v>83.685681864844014</v>
      </c>
      <c r="F67" s="39">
        <f t="shared" ref="F67:Q67" ca="1" si="7">SUM(F66,F59)</f>
        <v>82.033305931387829</v>
      </c>
      <c r="G67" s="39">
        <f t="shared" ca="1" si="7"/>
        <v>77.326466792931626</v>
      </c>
      <c r="H67" s="39">
        <f t="shared" ca="1" si="7"/>
        <v>79.975152520102213</v>
      </c>
      <c r="I67" s="39">
        <f t="shared" ca="1" si="7"/>
        <v>76.256578354771378</v>
      </c>
      <c r="J67" s="39">
        <f t="shared" ca="1" si="7"/>
        <v>72.288911036797089</v>
      </c>
      <c r="K67" s="39">
        <f t="shared" ca="1" si="7"/>
        <v>80.209303537937657</v>
      </c>
      <c r="L67" s="39">
        <f t="shared" ca="1" si="7"/>
        <v>75.157970604986559</v>
      </c>
      <c r="M67" s="39">
        <f t="shared" ca="1" si="7"/>
        <v>149.471230164042</v>
      </c>
      <c r="N67" s="39">
        <f t="shared" ca="1" si="7"/>
        <v>97.987652754125108</v>
      </c>
      <c r="O67" s="39">
        <f t="shared" ca="1" si="7"/>
        <v>83.170847004125122</v>
      </c>
      <c r="P67" s="40">
        <f t="shared" ca="1" si="7"/>
        <v>100.91554853412514</v>
      </c>
      <c r="Q67" s="59">
        <f t="shared" ca="1" si="7"/>
        <v>84.891420004125123</v>
      </c>
      <c r="S67" s="151"/>
      <c r="T67" s="151"/>
      <c r="U67" s="150"/>
      <c r="V67" s="83" t="s">
        <v>330</v>
      </c>
      <c r="W67" s="143"/>
      <c r="X67" s="90"/>
      <c r="Y67" s="90"/>
      <c r="Z67" s="90"/>
      <c r="AA67" s="90"/>
      <c r="AB67" s="90"/>
      <c r="AC67" s="90"/>
      <c r="AD67" s="90"/>
      <c r="AE67" s="90"/>
      <c r="AF67" s="90"/>
      <c r="AG67" s="90"/>
      <c r="AH67" s="90"/>
      <c r="AI67" s="90"/>
      <c r="AJ67" s="90"/>
      <c r="AK67" s="90"/>
      <c r="AL67" s="90"/>
      <c r="AM67" s="90"/>
      <c r="AN67" s="90"/>
      <c r="AO67" s="90"/>
      <c r="AP67" s="90"/>
      <c r="AQ67" s="90"/>
      <c r="AR67" s="90"/>
      <c r="AS67" s="90"/>
      <c r="AT67" s="90"/>
      <c r="AU67" s="90"/>
      <c r="AV67" s="90"/>
      <c r="AW67" s="90"/>
      <c r="AX67" s="90"/>
      <c r="AY67" s="90"/>
      <c r="AZ67" s="90"/>
      <c r="BA67" s="90"/>
      <c r="BB67" s="90"/>
      <c r="BC67" s="90"/>
      <c r="BD67" s="90"/>
      <c r="BE67" s="90"/>
      <c r="BF67" s="90"/>
      <c r="BG67" s="90"/>
      <c r="BH67" s="90"/>
      <c r="BI67" s="90"/>
      <c r="BJ67" s="90"/>
      <c r="BK67" s="90"/>
      <c r="BL67" s="90"/>
      <c r="BM67" s="90"/>
      <c r="BN67" s="90"/>
      <c r="BO67" s="90"/>
      <c r="BP67" s="90"/>
      <c r="BQ67" s="90"/>
      <c r="BR67" s="90"/>
      <c r="BS67" s="90"/>
      <c r="BT67" s="90"/>
      <c r="BU67" s="90"/>
      <c r="BV67" s="90"/>
      <c r="BW67" s="90"/>
      <c r="BX67" s="90"/>
      <c r="BY67" s="90"/>
      <c r="BZ67" s="90"/>
      <c r="CA67" s="90"/>
      <c r="CB67" s="90"/>
      <c r="CC67" s="90"/>
      <c r="CD67" s="90"/>
      <c r="CE67" s="90"/>
      <c r="CF67" s="90"/>
      <c r="CG67" s="90"/>
      <c r="CH67" s="90"/>
      <c r="CI67" s="90"/>
      <c r="CJ67" s="90"/>
      <c r="CK67" s="90"/>
      <c r="CL67" s="90"/>
      <c r="CM67" s="90"/>
      <c r="CN67" s="90"/>
      <c r="CO67" s="90"/>
      <c r="CP67" s="90"/>
      <c r="CQ67" s="90"/>
      <c r="CR67" s="90"/>
      <c r="CS67" s="90"/>
      <c r="CT67" s="90"/>
      <c r="CU67" s="90"/>
      <c r="CV67" s="90"/>
      <c r="CW67" s="90"/>
      <c r="CX67" s="90"/>
      <c r="CY67" s="90"/>
      <c r="CZ67" s="90"/>
      <c r="DA67" s="90"/>
      <c r="DB67" s="90"/>
      <c r="DC67" s="90"/>
      <c r="DD67" s="90"/>
      <c r="DE67" s="90"/>
      <c r="DF67" s="90"/>
      <c r="DG67" s="90"/>
      <c r="DH67" s="90">
        <v>0</v>
      </c>
      <c r="DI67" s="90"/>
      <c r="DJ67" s="90"/>
      <c r="DK67" s="90"/>
      <c r="DL67" s="90"/>
      <c r="DM67" s="90"/>
      <c r="DN67" s="90"/>
      <c r="DO67" s="90"/>
      <c r="DP67" s="90"/>
      <c r="DQ67" s="90"/>
      <c r="DR67" s="90"/>
      <c r="DS67" s="90"/>
      <c r="DT67" s="90"/>
      <c r="DU67" s="90"/>
      <c r="DV67" s="90"/>
      <c r="DW67" s="90"/>
      <c r="DX67" s="90"/>
      <c r="DY67" s="90"/>
      <c r="DZ67" s="90"/>
      <c r="EA67" s="90"/>
      <c r="EB67" s="90"/>
      <c r="EC67" s="90"/>
      <c r="ED67" s="90"/>
      <c r="EE67" s="90"/>
      <c r="EF67" s="90"/>
      <c r="EG67" s="90"/>
      <c r="EH67" s="90"/>
      <c r="EI67" s="90"/>
      <c r="EJ67" s="90"/>
      <c r="EK67" s="90"/>
      <c r="EL67" s="90"/>
      <c r="EM67" s="90"/>
      <c r="EN67" s="90"/>
      <c r="EO67" s="90">
        <v>0</v>
      </c>
      <c r="EP67" s="90"/>
      <c r="EQ67" s="90"/>
      <c r="ER67" s="90"/>
      <c r="ES67" s="90"/>
      <c r="ET67" s="90"/>
      <c r="EU67" s="90"/>
      <c r="EV67" s="90"/>
      <c r="EW67" s="90"/>
      <c r="EX67" s="90"/>
      <c r="EY67" s="90"/>
      <c r="EZ67" s="90"/>
      <c r="FA67" s="90"/>
      <c r="FB67" s="88">
        <v>0</v>
      </c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</row>
    <row r="68" spans="1:364" s="2" customFormat="1" ht="14.25">
      <c r="A68" s="9"/>
      <c r="B68" s="9"/>
      <c r="D68" s="172"/>
      <c r="E68" s="6"/>
      <c r="F68" s="6"/>
      <c r="G68" s="6"/>
      <c r="H68" s="6"/>
      <c r="I68" s="6"/>
      <c r="J68" s="6"/>
      <c r="K68" s="6"/>
      <c r="M68" s="6"/>
      <c r="N68" s="6"/>
      <c r="O68" s="6"/>
      <c r="P68" s="13"/>
      <c r="Q68" s="13"/>
      <c r="S68" s="151"/>
      <c r="T68" s="151"/>
      <c r="U68" s="150"/>
      <c r="V68" s="83" t="s">
        <v>290</v>
      </c>
      <c r="W68" s="143"/>
      <c r="X68" s="90"/>
      <c r="Y68" s="90"/>
      <c r="Z68" s="90"/>
      <c r="AA68" s="90"/>
      <c r="AB68" s="90"/>
      <c r="AC68" s="90"/>
      <c r="AD68" s="90"/>
      <c r="AE68" s="90"/>
      <c r="AF68" s="90"/>
      <c r="AG68" s="90"/>
      <c r="AH68" s="90"/>
      <c r="AI68" s="90"/>
      <c r="AJ68" s="90"/>
      <c r="AK68" s="90"/>
      <c r="AL68" s="90"/>
      <c r="AM68" s="90"/>
      <c r="AN68" s="90"/>
      <c r="AO68" s="90"/>
      <c r="AP68" s="90"/>
      <c r="AQ68" s="90"/>
      <c r="AR68" s="90"/>
      <c r="AS68" s="90"/>
      <c r="AT68" s="90"/>
      <c r="AU68" s="90"/>
      <c r="AV68" s="90"/>
      <c r="AW68" s="90"/>
      <c r="AX68" s="90"/>
      <c r="AY68" s="90"/>
      <c r="AZ68" s="90"/>
      <c r="BA68" s="90"/>
      <c r="BB68" s="90"/>
      <c r="BC68" s="90"/>
      <c r="BD68" s="90"/>
      <c r="BE68" s="90"/>
      <c r="BF68" s="90"/>
      <c r="BG68" s="90"/>
      <c r="BH68" s="90"/>
      <c r="BI68" s="90"/>
      <c r="BJ68" s="90"/>
      <c r="BK68" s="90"/>
      <c r="BL68" s="90"/>
      <c r="BM68" s="90"/>
      <c r="BN68" s="90"/>
      <c r="BO68" s="90"/>
      <c r="BP68" s="90"/>
      <c r="BQ68" s="90"/>
      <c r="BR68" s="90"/>
      <c r="BS68" s="90"/>
      <c r="BT68" s="90"/>
      <c r="BU68" s="90"/>
      <c r="BV68" s="90"/>
      <c r="BW68" s="90"/>
      <c r="BX68" s="90"/>
      <c r="BY68" s="90"/>
      <c r="BZ68" s="90"/>
      <c r="CA68" s="90"/>
      <c r="CB68" s="90"/>
      <c r="CC68" s="90"/>
      <c r="CD68" s="90"/>
      <c r="CE68" s="90"/>
      <c r="CF68" s="90">
        <v>12190822.710000001</v>
      </c>
      <c r="CG68" s="90">
        <v>3267000</v>
      </c>
      <c r="CH68" s="90"/>
      <c r="CI68" s="90"/>
      <c r="CJ68" s="90"/>
      <c r="CK68" s="90"/>
      <c r="CL68" s="90"/>
      <c r="CM68" s="90"/>
      <c r="CN68" s="90"/>
      <c r="CO68" s="90"/>
      <c r="CP68" s="90">
        <v>-40016727.460000001</v>
      </c>
      <c r="CQ68" s="90"/>
      <c r="CR68" s="90"/>
      <c r="CS68" s="90"/>
      <c r="CT68" s="90">
        <v>13329922.869999999</v>
      </c>
      <c r="CU68" s="90"/>
      <c r="CV68" s="90">
        <v>12510880.029999999</v>
      </c>
      <c r="CW68" s="90"/>
      <c r="CX68" s="90">
        <v>3267000</v>
      </c>
      <c r="CY68" s="90">
        <v>3375900</v>
      </c>
      <c r="CZ68" s="90"/>
      <c r="DA68" s="90">
        <v>3267000</v>
      </c>
      <c r="DB68" s="90"/>
      <c r="DC68" s="90"/>
      <c r="DD68" s="90"/>
      <c r="DE68" s="90"/>
      <c r="DF68" s="90"/>
      <c r="DG68" s="90"/>
      <c r="DH68" s="90"/>
      <c r="DI68" s="90"/>
      <c r="DJ68" s="90"/>
      <c r="DK68" s="90">
        <v>12406511.709999999</v>
      </c>
      <c r="DL68" s="90">
        <v>13625801.879999999</v>
      </c>
      <c r="DM68" s="90">
        <v>13480130.939999998</v>
      </c>
      <c r="DN68" s="90"/>
      <c r="DO68" s="90"/>
      <c r="DP68" s="90"/>
      <c r="DQ68" s="90"/>
      <c r="DR68" s="90"/>
      <c r="DS68" s="90"/>
      <c r="DT68" s="90"/>
      <c r="DU68" s="90"/>
      <c r="DV68" s="90"/>
      <c r="DW68" s="90"/>
      <c r="DX68" s="90"/>
      <c r="DY68" s="90">
        <v>-1726430.5799999998</v>
      </c>
      <c r="DZ68" s="90"/>
      <c r="EA68" s="90"/>
      <c r="EB68" s="90"/>
      <c r="EC68" s="90"/>
      <c r="ED68" s="90"/>
      <c r="EE68" s="90"/>
      <c r="EF68" s="90"/>
      <c r="EG68" s="90"/>
      <c r="EH68" s="90"/>
      <c r="EI68" s="90"/>
      <c r="EJ68" s="90"/>
      <c r="EK68" s="90"/>
      <c r="EL68" s="90"/>
      <c r="EM68" s="90"/>
      <c r="EN68" s="90"/>
      <c r="EO68" s="90"/>
      <c r="EP68" s="90">
        <v>3375900</v>
      </c>
      <c r="EQ68" s="90">
        <v>-38091303.75</v>
      </c>
      <c r="ER68" s="90">
        <v>3375900</v>
      </c>
      <c r="ES68" s="90"/>
      <c r="ET68" s="90"/>
      <c r="EU68" s="90"/>
      <c r="EV68" s="90"/>
      <c r="EW68" s="90"/>
      <c r="EX68" s="90"/>
      <c r="EY68" s="90"/>
      <c r="EZ68" s="90"/>
      <c r="FA68" s="90"/>
      <c r="FB68" s="88">
        <v>17638308.349999994</v>
      </c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</row>
    <row r="69" spans="1:364" s="2" customFormat="1" ht="12.75">
      <c r="A69" s="9"/>
      <c r="B69" s="9"/>
      <c r="D69" s="163"/>
      <c r="S69" s="151"/>
      <c r="T69" s="151"/>
      <c r="U69" s="150"/>
      <c r="V69" s="83" t="s">
        <v>270</v>
      </c>
      <c r="W69" s="143"/>
      <c r="X69" s="90"/>
      <c r="Y69" s="90"/>
      <c r="Z69" s="90"/>
      <c r="AA69" s="90"/>
      <c r="AB69" s="90"/>
      <c r="AC69" s="90"/>
      <c r="AD69" s="90"/>
      <c r="AE69" s="90"/>
      <c r="AF69" s="90"/>
      <c r="AG69" s="90"/>
      <c r="AH69" s="90"/>
      <c r="AI69" s="90"/>
      <c r="AJ69" s="90"/>
      <c r="AK69" s="90"/>
      <c r="AL69" s="90"/>
      <c r="AM69" s="90"/>
      <c r="AN69" s="90"/>
      <c r="AO69" s="90"/>
      <c r="AP69" s="90"/>
      <c r="AQ69" s="90"/>
      <c r="AR69" s="90"/>
      <c r="AS69" s="90"/>
      <c r="AT69" s="90"/>
      <c r="AU69" s="90"/>
      <c r="AV69" s="90"/>
      <c r="AW69" s="90"/>
      <c r="AX69" s="90"/>
      <c r="AY69" s="90"/>
      <c r="AZ69" s="90"/>
      <c r="BA69" s="90"/>
      <c r="BB69" s="90"/>
      <c r="BC69" s="90"/>
      <c r="BD69" s="90"/>
      <c r="BE69" s="90"/>
      <c r="BF69" s="90"/>
      <c r="BG69" s="90"/>
      <c r="BH69" s="90"/>
      <c r="BI69" s="90"/>
      <c r="BJ69" s="90"/>
      <c r="BK69" s="90"/>
      <c r="BL69" s="90"/>
      <c r="BM69" s="90"/>
      <c r="BN69" s="90"/>
      <c r="BO69" s="90"/>
      <c r="BP69" s="90"/>
      <c r="BQ69" s="90"/>
      <c r="BR69" s="90"/>
      <c r="BS69" s="90"/>
      <c r="BT69" s="90"/>
      <c r="BU69" s="90"/>
      <c r="BV69" s="90"/>
      <c r="BW69" s="90"/>
      <c r="BX69" s="90"/>
      <c r="BY69" s="90"/>
      <c r="BZ69" s="90"/>
      <c r="CA69" s="90"/>
      <c r="CB69" s="90"/>
      <c r="CC69" s="90"/>
      <c r="CD69" s="90"/>
      <c r="CE69" s="90"/>
      <c r="CF69" s="90">
        <v>-356504.44999999995</v>
      </c>
      <c r="CG69" s="90">
        <v>-197431.61</v>
      </c>
      <c r="CH69" s="90"/>
      <c r="CI69" s="90"/>
      <c r="CJ69" s="90">
        <v>2415494.86</v>
      </c>
      <c r="CK69" s="90"/>
      <c r="CL69" s="90"/>
      <c r="CM69" s="90"/>
      <c r="CN69" s="90">
        <v>32562.499999999996</v>
      </c>
      <c r="CO69" s="90">
        <v>43125</v>
      </c>
      <c r="CP69" s="90"/>
      <c r="CQ69" s="90">
        <v>708750</v>
      </c>
      <c r="CR69" s="90"/>
      <c r="CS69" s="90"/>
      <c r="CT69" s="90">
        <v>-368257.97</v>
      </c>
      <c r="CU69" s="90"/>
      <c r="CV69" s="90">
        <v>-404517.39999999997</v>
      </c>
      <c r="CW69" s="90">
        <v>-151926.05999999997</v>
      </c>
      <c r="CX69" s="90">
        <v>-165161.82999999999</v>
      </c>
      <c r="CY69" s="90">
        <v>-11194.85</v>
      </c>
      <c r="CZ69" s="90">
        <v>-203.95</v>
      </c>
      <c r="DA69" s="90">
        <v>-32610.52</v>
      </c>
      <c r="DB69" s="90"/>
      <c r="DC69" s="90"/>
      <c r="DD69" s="90"/>
      <c r="DE69" s="90"/>
      <c r="DF69" s="90"/>
      <c r="DG69" s="90"/>
      <c r="DH69" s="90">
        <v>0</v>
      </c>
      <c r="DI69" s="90"/>
      <c r="DJ69" s="90"/>
      <c r="DK69" s="90">
        <v>-297370.2</v>
      </c>
      <c r="DL69" s="90">
        <v>-393944.81999999995</v>
      </c>
      <c r="DM69" s="90">
        <v>-447962.83999999997</v>
      </c>
      <c r="DN69" s="90"/>
      <c r="DO69" s="90"/>
      <c r="DP69" s="90"/>
      <c r="DQ69" s="90">
        <v>1100000</v>
      </c>
      <c r="DR69" s="90"/>
      <c r="DS69" s="90"/>
      <c r="DT69" s="90"/>
      <c r="DU69" s="90"/>
      <c r="DV69" s="90"/>
      <c r="DW69" s="90"/>
      <c r="DX69" s="90"/>
      <c r="DY69" s="90"/>
      <c r="DZ69" s="90"/>
      <c r="EA69" s="90"/>
      <c r="EB69" s="90"/>
      <c r="EC69" s="90">
        <v>-14130.28</v>
      </c>
      <c r="ED69" s="90"/>
      <c r="EE69" s="90">
        <v>-367596.16</v>
      </c>
      <c r="EF69" s="90"/>
      <c r="EG69" s="90"/>
      <c r="EH69" s="90"/>
      <c r="EI69" s="90"/>
      <c r="EJ69" s="90"/>
      <c r="EK69" s="90"/>
      <c r="EL69" s="90"/>
      <c r="EM69" s="90"/>
      <c r="EN69" s="90"/>
      <c r="EO69" s="90">
        <v>0</v>
      </c>
      <c r="EP69" s="90">
        <v>-149033.84</v>
      </c>
      <c r="EQ69" s="90"/>
      <c r="ER69" s="90">
        <v>-16461.439999999999</v>
      </c>
      <c r="ES69" s="90"/>
      <c r="ET69" s="90"/>
      <c r="EU69" s="90"/>
      <c r="EV69" s="90"/>
      <c r="EW69" s="90"/>
      <c r="EX69" s="90"/>
      <c r="EY69" s="90"/>
      <c r="EZ69" s="90"/>
      <c r="FA69" s="90"/>
      <c r="FB69" s="88">
        <v>925624.14000000025</v>
      </c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</row>
    <row r="70" spans="1:364" s="2" customFormat="1" ht="14.25" customHeight="1">
      <c r="A70" s="9"/>
      <c r="B70" s="9"/>
      <c r="C70" s="256" t="s">
        <v>142</v>
      </c>
      <c r="D70" s="173" t="s">
        <v>142</v>
      </c>
      <c r="E70" s="62">
        <f t="shared" ref="E70:Q70" ca="1" si="8">E57+E40+E66</f>
        <v>83.685681864844014</v>
      </c>
      <c r="F70" s="42">
        <f t="shared" ca="1" si="8"/>
        <v>82.033305931387829</v>
      </c>
      <c r="G70" s="42">
        <f t="shared" ca="1" si="8"/>
        <v>77.326466792931626</v>
      </c>
      <c r="H70" s="42">
        <f t="shared" ca="1" si="8"/>
        <v>79.975152520102213</v>
      </c>
      <c r="I70" s="42">
        <f t="shared" ca="1" si="8"/>
        <v>76.256578354771378</v>
      </c>
      <c r="J70" s="42">
        <f t="shared" ca="1" si="8"/>
        <v>72.288911036797089</v>
      </c>
      <c r="K70" s="42">
        <f t="shared" ca="1" si="8"/>
        <v>80.209303537937657</v>
      </c>
      <c r="L70" s="42">
        <f t="shared" ca="1" si="8"/>
        <v>75.157970604986559</v>
      </c>
      <c r="M70" s="42">
        <f t="shared" ca="1" si="8"/>
        <v>149.471230164042</v>
      </c>
      <c r="N70" s="42">
        <f t="shared" ca="1" si="8"/>
        <v>97.987652754125108</v>
      </c>
      <c r="O70" s="42">
        <f t="shared" ca="1" si="8"/>
        <v>83.170847004125122</v>
      </c>
      <c r="P70" s="42">
        <f t="shared" ca="1" si="8"/>
        <v>100.91554853412514</v>
      </c>
      <c r="Q70" s="63">
        <f t="shared" ca="1" si="8"/>
        <v>84.891420004125123</v>
      </c>
      <c r="S70" s="151"/>
      <c r="T70" s="151"/>
      <c r="U70" s="150"/>
      <c r="V70" s="83" t="s">
        <v>282</v>
      </c>
      <c r="W70" s="143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90"/>
      <c r="AL70" s="90"/>
      <c r="AM70" s="90"/>
      <c r="AN70" s="90"/>
      <c r="AO70" s="90"/>
      <c r="AP70" s="90"/>
      <c r="AQ70" s="90"/>
      <c r="AR70" s="90"/>
      <c r="AS70" s="90"/>
      <c r="AT70" s="90"/>
      <c r="AU70" s="90"/>
      <c r="AV70" s="90"/>
      <c r="AW70" s="90"/>
      <c r="AX70" s="90"/>
      <c r="AY70" s="90"/>
      <c r="AZ70" s="90"/>
      <c r="BA70" s="90"/>
      <c r="BB70" s="90"/>
      <c r="BC70" s="90"/>
      <c r="BD70" s="90"/>
      <c r="BE70" s="90"/>
      <c r="BF70" s="90"/>
      <c r="BG70" s="90"/>
      <c r="BH70" s="90"/>
      <c r="BI70" s="90"/>
      <c r="BJ70" s="90"/>
      <c r="BK70" s="90"/>
      <c r="BL70" s="90"/>
      <c r="BM70" s="90"/>
      <c r="BN70" s="90"/>
      <c r="BO70" s="90"/>
      <c r="BP70" s="90"/>
      <c r="BQ70" s="90"/>
      <c r="BR70" s="90"/>
      <c r="BS70" s="90"/>
      <c r="BT70" s="90"/>
      <c r="BU70" s="90"/>
      <c r="BV70" s="90"/>
      <c r="BW70" s="90"/>
      <c r="BX70" s="90"/>
      <c r="BY70" s="90"/>
      <c r="BZ70" s="90"/>
      <c r="CA70" s="90"/>
      <c r="CB70" s="90"/>
      <c r="CC70" s="90"/>
      <c r="CD70" s="90"/>
      <c r="CE70" s="90"/>
      <c r="CF70" s="90"/>
      <c r="CG70" s="90"/>
      <c r="CH70" s="90"/>
      <c r="CI70" s="90"/>
      <c r="CJ70" s="90"/>
      <c r="CK70" s="90"/>
      <c r="CL70" s="90"/>
      <c r="CM70" s="90"/>
      <c r="CN70" s="90"/>
      <c r="CO70" s="90"/>
      <c r="CP70" s="90"/>
      <c r="CQ70" s="90"/>
      <c r="CR70" s="90"/>
      <c r="CS70" s="90"/>
      <c r="CT70" s="90"/>
      <c r="CU70" s="90"/>
      <c r="CV70" s="90"/>
      <c r="CW70" s="90"/>
      <c r="CX70" s="90"/>
      <c r="CY70" s="90"/>
      <c r="CZ70" s="90"/>
      <c r="DA70" s="90"/>
      <c r="DB70" s="90"/>
      <c r="DC70" s="90"/>
      <c r="DD70" s="90"/>
      <c r="DE70" s="90"/>
      <c r="DF70" s="90"/>
      <c r="DG70" s="90"/>
      <c r="DH70" s="90"/>
      <c r="DI70" s="90"/>
      <c r="DJ70" s="90"/>
      <c r="DK70" s="90"/>
      <c r="DL70" s="90"/>
      <c r="DM70" s="90"/>
      <c r="DN70" s="90"/>
      <c r="DO70" s="90"/>
      <c r="DP70" s="90"/>
      <c r="DQ70" s="90"/>
      <c r="DR70" s="90"/>
      <c r="DS70" s="90"/>
      <c r="DT70" s="90"/>
      <c r="DU70" s="90"/>
      <c r="DV70" s="90"/>
      <c r="DW70" s="90"/>
      <c r="DX70" s="90"/>
      <c r="DY70" s="90"/>
      <c r="DZ70" s="90"/>
      <c r="EA70" s="90"/>
      <c r="EB70" s="90"/>
      <c r="EC70" s="90"/>
      <c r="ED70" s="90"/>
      <c r="EE70" s="90"/>
      <c r="EF70" s="90"/>
      <c r="EG70" s="90">
        <v>0</v>
      </c>
      <c r="EH70" s="90"/>
      <c r="EI70" s="90"/>
      <c r="EJ70" s="90"/>
      <c r="EK70" s="90"/>
      <c r="EL70" s="90"/>
      <c r="EM70" s="90"/>
      <c r="EN70" s="90"/>
      <c r="EO70" s="90"/>
      <c r="EP70" s="90"/>
      <c r="EQ70" s="90"/>
      <c r="ER70" s="90"/>
      <c r="ES70" s="90"/>
      <c r="ET70" s="90"/>
      <c r="EU70" s="90"/>
      <c r="EV70" s="90"/>
      <c r="EW70" s="90"/>
      <c r="EX70" s="90"/>
      <c r="EY70" s="90"/>
      <c r="EZ70" s="90"/>
      <c r="FA70" s="90">
        <v>0</v>
      </c>
      <c r="FB70" s="88">
        <v>0</v>
      </c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</row>
    <row r="71" spans="1:364" s="2" customFormat="1" ht="14.25">
      <c r="A71" s="9"/>
      <c r="B71" s="9"/>
      <c r="C71" s="257"/>
      <c r="D71" s="160" t="s">
        <v>143</v>
      </c>
      <c r="E71" s="45"/>
      <c r="F71" s="6"/>
      <c r="G71" s="6"/>
      <c r="H71" s="6"/>
      <c r="I71" s="6"/>
      <c r="J71" s="6"/>
      <c r="K71" s="6"/>
      <c r="L71" s="6"/>
      <c r="M71" s="6"/>
      <c r="N71" s="6"/>
      <c r="O71" s="6"/>
      <c r="P71" s="13"/>
      <c r="Q71" s="53"/>
      <c r="S71" s="151"/>
      <c r="T71" s="151"/>
      <c r="U71" s="150"/>
      <c r="V71" s="83" t="s">
        <v>280</v>
      </c>
      <c r="W71" s="143"/>
      <c r="X71" s="90"/>
      <c r="Y71" s="90"/>
      <c r="Z71" s="90"/>
      <c r="AA71" s="90"/>
      <c r="AB71" s="90">
        <v>708750</v>
      </c>
      <c r="AC71" s="90"/>
      <c r="AD71" s="90"/>
      <c r="AE71" s="90"/>
      <c r="AF71" s="90"/>
      <c r="AG71" s="90"/>
      <c r="AH71" s="90"/>
      <c r="AI71" s="90"/>
      <c r="AJ71" s="90"/>
      <c r="AK71" s="90"/>
      <c r="AL71" s="90"/>
      <c r="AM71" s="90"/>
      <c r="AN71" s="90"/>
      <c r="AO71" s="90"/>
      <c r="AP71" s="90"/>
      <c r="AQ71" s="90">
        <v>43125</v>
      </c>
      <c r="AR71" s="90"/>
      <c r="AS71" s="90"/>
      <c r="AT71" s="90"/>
      <c r="AU71" s="90"/>
      <c r="AV71" s="90"/>
      <c r="AW71" s="90"/>
      <c r="AX71" s="90"/>
      <c r="AY71" s="90"/>
      <c r="AZ71" s="90"/>
      <c r="BA71" s="90"/>
      <c r="BB71" s="90"/>
      <c r="BC71" s="90"/>
      <c r="BD71" s="90"/>
      <c r="BE71" s="90"/>
      <c r="BF71" s="90"/>
      <c r="BG71" s="90"/>
      <c r="BH71" s="90"/>
      <c r="BI71" s="90"/>
      <c r="BJ71" s="90"/>
      <c r="BK71" s="90"/>
      <c r="BL71" s="90"/>
      <c r="BM71" s="90"/>
      <c r="BN71" s="90"/>
      <c r="BO71" s="90"/>
      <c r="BP71" s="90"/>
      <c r="BQ71" s="90"/>
      <c r="BR71" s="90"/>
      <c r="BS71" s="90"/>
      <c r="BT71" s="90"/>
      <c r="BU71" s="90"/>
      <c r="BV71" s="90"/>
      <c r="BW71" s="90"/>
      <c r="BX71" s="90"/>
      <c r="BY71" s="90"/>
      <c r="BZ71" s="90"/>
      <c r="CA71" s="90"/>
      <c r="CB71" s="90"/>
      <c r="CC71" s="90"/>
      <c r="CD71" s="90"/>
      <c r="CE71" s="90"/>
      <c r="CF71" s="90"/>
      <c r="CG71" s="90"/>
      <c r="CH71" s="90"/>
      <c r="CI71" s="90"/>
      <c r="CJ71" s="90"/>
      <c r="CK71" s="90"/>
      <c r="CL71" s="90"/>
      <c r="CM71" s="90"/>
      <c r="CN71" s="90"/>
      <c r="CO71" s="90"/>
      <c r="CP71" s="90"/>
      <c r="CQ71" s="90"/>
      <c r="CR71" s="90"/>
      <c r="CS71" s="90"/>
      <c r="CT71" s="90"/>
      <c r="CU71" s="90"/>
      <c r="CV71" s="90"/>
      <c r="CW71" s="90"/>
      <c r="CX71" s="90"/>
      <c r="CY71" s="90"/>
      <c r="CZ71" s="90"/>
      <c r="DA71" s="90"/>
      <c r="DB71" s="90"/>
      <c r="DC71" s="90"/>
      <c r="DD71" s="90"/>
      <c r="DE71" s="90"/>
      <c r="DF71" s="90"/>
      <c r="DG71" s="90"/>
      <c r="DH71" s="90"/>
      <c r="DI71" s="90"/>
      <c r="DJ71" s="90"/>
      <c r="DK71" s="90"/>
      <c r="DL71" s="90"/>
      <c r="DM71" s="90"/>
      <c r="DN71" s="90"/>
      <c r="DO71" s="90"/>
      <c r="DP71" s="90"/>
      <c r="DQ71" s="90"/>
      <c r="DR71" s="90"/>
      <c r="DS71" s="90"/>
      <c r="DT71" s="90"/>
      <c r="DU71" s="90"/>
      <c r="DV71" s="90"/>
      <c r="DW71" s="90"/>
      <c r="DX71" s="90"/>
      <c r="DY71" s="90"/>
      <c r="DZ71" s="90"/>
      <c r="EA71" s="90"/>
      <c r="EB71" s="90"/>
      <c r="EC71" s="90"/>
      <c r="ED71" s="90"/>
      <c r="EE71" s="90"/>
      <c r="EF71" s="90"/>
      <c r="EG71" s="90"/>
      <c r="EH71" s="90"/>
      <c r="EI71" s="90"/>
      <c r="EJ71" s="90"/>
      <c r="EK71" s="90"/>
      <c r="EL71" s="90"/>
      <c r="EM71" s="90"/>
      <c r="EN71" s="90"/>
      <c r="EO71" s="90"/>
      <c r="EP71" s="90"/>
      <c r="EQ71" s="90"/>
      <c r="ER71" s="90"/>
      <c r="ES71" s="90"/>
      <c r="ET71" s="90"/>
      <c r="EU71" s="90"/>
      <c r="EV71" s="90"/>
      <c r="EW71" s="90"/>
      <c r="EX71" s="90"/>
      <c r="EY71" s="90"/>
      <c r="EZ71" s="90"/>
      <c r="FA71" s="90"/>
      <c r="FB71" s="88">
        <v>751875</v>
      </c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</row>
    <row r="72" spans="1:364" s="2" customFormat="1" ht="12.75">
      <c r="A72" s="9"/>
      <c r="B72" s="9"/>
      <c r="C72" s="258"/>
      <c r="D72" s="162" t="s">
        <v>144</v>
      </c>
      <c r="E72" s="60">
        <f t="shared" ref="E72:Q72" ca="1" si="9">E70-E71</f>
        <v>83.685681864844014</v>
      </c>
      <c r="F72" s="41">
        <f t="shared" ca="1" si="9"/>
        <v>82.033305931387829</v>
      </c>
      <c r="G72" s="41">
        <f t="shared" ca="1" si="9"/>
        <v>77.326466792931626</v>
      </c>
      <c r="H72" s="41">
        <f t="shared" ca="1" si="9"/>
        <v>79.975152520102213</v>
      </c>
      <c r="I72" s="41">
        <f t="shared" ca="1" si="9"/>
        <v>76.256578354771378</v>
      </c>
      <c r="J72" s="41">
        <f t="shared" ca="1" si="9"/>
        <v>72.288911036797089</v>
      </c>
      <c r="K72" s="41">
        <f t="shared" ca="1" si="9"/>
        <v>80.209303537937657</v>
      </c>
      <c r="L72" s="41">
        <f t="shared" ca="1" si="9"/>
        <v>75.157970604986559</v>
      </c>
      <c r="M72" s="41">
        <f t="shared" ca="1" si="9"/>
        <v>149.471230164042</v>
      </c>
      <c r="N72" s="41">
        <f t="shared" ca="1" si="9"/>
        <v>97.987652754125108</v>
      </c>
      <c r="O72" s="41">
        <f t="shared" ca="1" si="9"/>
        <v>83.170847004125122</v>
      </c>
      <c r="P72" s="41">
        <f t="shared" ca="1" si="9"/>
        <v>100.91554853412514</v>
      </c>
      <c r="Q72" s="61">
        <f t="shared" ca="1" si="9"/>
        <v>84.891420004125123</v>
      </c>
      <c r="S72" s="151"/>
      <c r="T72" s="151"/>
      <c r="U72" s="150"/>
      <c r="V72" s="83" t="s">
        <v>1776</v>
      </c>
      <c r="W72" s="143"/>
      <c r="X72" s="90"/>
      <c r="Y72" s="90"/>
      <c r="Z72" s="90"/>
      <c r="AA72" s="90"/>
      <c r="AB72" s="90"/>
      <c r="AC72" s="90"/>
      <c r="AD72" s="90"/>
      <c r="AE72" s="90"/>
      <c r="AF72" s="90"/>
      <c r="AG72" s="90"/>
      <c r="AH72" s="90"/>
      <c r="AI72" s="90"/>
      <c r="AJ72" s="90"/>
      <c r="AK72" s="90"/>
      <c r="AL72" s="90"/>
      <c r="AM72" s="90"/>
      <c r="AN72" s="90"/>
      <c r="AO72" s="90"/>
      <c r="AP72" s="90"/>
      <c r="AQ72" s="90"/>
      <c r="AR72" s="90"/>
      <c r="AS72" s="90"/>
      <c r="AT72" s="90"/>
      <c r="AU72" s="90"/>
      <c r="AV72" s="90"/>
      <c r="AW72" s="90"/>
      <c r="AX72" s="90"/>
      <c r="AY72" s="90"/>
      <c r="AZ72" s="90"/>
      <c r="BA72" s="90"/>
      <c r="BB72" s="90"/>
      <c r="BC72" s="90"/>
      <c r="BD72" s="90"/>
      <c r="BE72" s="90"/>
      <c r="BF72" s="90"/>
      <c r="BG72" s="90"/>
      <c r="BH72" s="90"/>
      <c r="BI72" s="90"/>
      <c r="BJ72" s="90"/>
      <c r="BK72" s="90"/>
      <c r="BL72" s="90"/>
      <c r="BM72" s="90"/>
      <c r="BN72" s="90"/>
      <c r="BO72" s="90"/>
      <c r="BP72" s="90"/>
      <c r="BQ72" s="90"/>
      <c r="BR72" s="90"/>
      <c r="BS72" s="90"/>
      <c r="BT72" s="90"/>
      <c r="BU72" s="90"/>
      <c r="BV72" s="90"/>
      <c r="BW72" s="90"/>
      <c r="BX72" s="90"/>
      <c r="BY72" s="90"/>
      <c r="BZ72" s="90"/>
      <c r="CA72" s="90"/>
      <c r="CB72" s="90"/>
      <c r="CC72" s="90"/>
      <c r="CD72" s="90"/>
      <c r="CE72" s="90"/>
      <c r="CF72" s="90"/>
      <c r="CG72" s="90"/>
      <c r="CH72" s="90"/>
      <c r="CI72" s="90"/>
      <c r="CJ72" s="90"/>
      <c r="CK72" s="90"/>
      <c r="CL72" s="90"/>
      <c r="CM72" s="90"/>
      <c r="CN72" s="90"/>
      <c r="CO72" s="90"/>
      <c r="CP72" s="90"/>
      <c r="CQ72" s="90"/>
      <c r="CR72" s="90"/>
      <c r="CS72" s="90"/>
      <c r="CT72" s="90"/>
      <c r="CU72" s="90"/>
      <c r="CV72" s="90"/>
      <c r="CW72" s="90"/>
      <c r="CX72" s="90"/>
      <c r="CY72" s="90"/>
      <c r="CZ72" s="90"/>
      <c r="DA72" s="90"/>
      <c r="DB72" s="90"/>
      <c r="DC72" s="90"/>
      <c r="DD72" s="90"/>
      <c r="DE72" s="90"/>
      <c r="DF72" s="90"/>
      <c r="DG72" s="90"/>
      <c r="DH72" s="90"/>
      <c r="DI72" s="90"/>
      <c r="DJ72" s="90"/>
      <c r="DK72" s="90"/>
      <c r="DL72" s="90"/>
      <c r="DM72" s="90"/>
      <c r="DN72" s="90"/>
      <c r="DO72" s="90"/>
      <c r="DP72" s="90">
        <v>21000</v>
      </c>
      <c r="DQ72" s="90"/>
      <c r="DR72" s="90"/>
      <c r="DS72" s="90"/>
      <c r="DT72" s="90"/>
      <c r="DU72" s="90"/>
      <c r="DV72" s="90"/>
      <c r="DW72" s="90"/>
      <c r="DX72" s="90"/>
      <c r="DY72" s="90"/>
      <c r="DZ72" s="90"/>
      <c r="EA72" s="90"/>
      <c r="EB72" s="90"/>
      <c r="EC72" s="90"/>
      <c r="ED72" s="90"/>
      <c r="EE72" s="90"/>
      <c r="EF72" s="90"/>
      <c r="EG72" s="90"/>
      <c r="EH72" s="90"/>
      <c r="EI72" s="90"/>
      <c r="EJ72" s="90"/>
      <c r="EK72" s="90"/>
      <c r="EL72" s="90"/>
      <c r="EM72" s="90"/>
      <c r="EN72" s="90"/>
      <c r="EO72" s="90"/>
      <c r="EP72" s="90"/>
      <c r="EQ72" s="90"/>
      <c r="ER72" s="90"/>
      <c r="ES72" s="90"/>
      <c r="ET72" s="90"/>
      <c r="EU72" s="90"/>
      <c r="EV72" s="90"/>
      <c r="EW72" s="90"/>
      <c r="EX72" s="90"/>
      <c r="EY72" s="90"/>
      <c r="EZ72" s="90"/>
      <c r="FA72" s="90"/>
      <c r="FB72" s="88">
        <v>21000</v>
      </c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</row>
    <row r="73" spans="1:364" s="2" customFormat="1" ht="12.75">
      <c r="A73" s="9"/>
      <c r="B73" s="9"/>
      <c r="S73" s="151"/>
      <c r="T73" s="151"/>
      <c r="U73" s="150"/>
      <c r="V73" s="83" t="s">
        <v>1777</v>
      </c>
      <c r="W73" s="143"/>
      <c r="X73" s="90"/>
      <c r="Y73" s="90"/>
      <c r="Z73" s="90"/>
      <c r="AA73" s="90"/>
      <c r="AB73" s="90"/>
      <c r="AC73" s="90"/>
      <c r="AD73" s="90"/>
      <c r="AE73" s="90"/>
      <c r="AF73" s="90"/>
      <c r="AG73" s="90"/>
      <c r="AH73" s="90"/>
      <c r="AI73" s="90"/>
      <c r="AJ73" s="90"/>
      <c r="AK73" s="90"/>
      <c r="AL73" s="90"/>
      <c r="AM73" s="90"/>
      <c r="AN73" s="90"/>
      <c r="AO73" s="90"/>
      <c r="AP73" s="90"/>
      <c r="AQ73" s="90"/>
      <c r="AR73" s="90"/>
      <c r="AS73" s="90"/>
      <c r="AT73" s="90"/>
      <c r="AU73" s="90"/>
      <c r="AV73" s="90"/>
      <c r="AW73" s="90"/>
      <c r="AX73" s="90"/>
      <c r="AY73" s="90"/>
      <c r="AZ73" s="90"/>
      <c r="BA73" s="90"/>
      <c r="BB73" s="90"/>
      <c r="BC73" s="90"/>
      <c r="BD73" s="90"/>
      <c r="BE73" s="90"/>
      <c r="BF73" s="90"/>
      <c r="BG73" s="90"/>
      <c r="BH73" s="90"/>
      <c r="BI73" s="90"/>
      <c r="BJ73" s="90"/>
      <c r="BK73" s="90"/>
      <c r="BL73" s="90"/>
      <c r="BM73" s="90"/>
      <c r="BN73" s="90"/>
      <c r="BO73" s="90"/>
      <c r="BP73" s="90"/>
      <c r="BQ73" s="90"/>
      <c r="BR73" s="90"/>
      <c r="BS73" s="90"/>
      <c r="BT73" s="90"/>
      <c r="BU73" s="90"/>
      <c r="BV73" s="90"/>
      <c r="BW73" s="90"/>
      <c r="BX73" s="90"/>
      <c r="BY73" s="90"/>
      <c r="BZ73" s="90"/>
      <c r="CA73" s="90"/>
      <c r="CB73" s="90"/>
      <c r="CC73" s="90"/>
      <c r="CD73" s="90"/>
      <c r="CE73" s="90"/>
      <c r="CF73" s="90"/>
      <c r="CG73" s="90"/>
      <c r="CH73" s="90"/>
      <c r="CI73" s="90"/>
      <c r="CJ73" s="90"/>
      <c r="CK73" s="90"/>
      <c r="CL73" s="90"/>
      <c r="CM73" s="90"/>
      <c r="CN73" s="90"/>
      <c r="CO73" s="90"/>
      <c r="CP73" s="90"/>
      <c r="CQ73" s="90"/>
      <c r="CR73" s="90"/>
      <c r="CS73" s="90"/>
      <c r="CT73" s="90"/>
      <c r="CU73" s="90"/>
      <c r="CV73" s="90"/>
      <c r="CW73" s="90"/>
      <c r="CX73" s="90"/>
      <c r="CY73" s="90"/>
      <c r="CZ73" s="90"/>
      <c r="DA73" s="90"/>
      <c r="DB73" s="90"/>
      <c r="DC73" s="90"/>
      <c r="DD73" s="90"/>
      <c r="DE73" s="90"/>
      <c r="DF73" s="90"/>
      <c r="DG73" s="90"/>
      <c r="DH73" s="90"/>
      <c r="DI73" s="90"/>
      <c r="DJ73" s="90"/>
      <c r="DK73" s="90"/>
      <c r="DL73" s="90"/>
      <c r="DM73" s="90"/>
      <c r="DN73" s="90"/>
      <c r="DO73" s="90"/>
      <c r="DP73" s="90">
        <v>9000000</v>
      </c>
      <c r="DQ73" s="90"/>
      <c r="DR73" s="90"/>
      <c r="DS73" s="90"/>
      <c r="DT73" s="90"/>
      <c r="DU73" s="90"/>
      <c r="DV73" s="90"/>
      <c r="DW73" s="90"/>
      <c r="DX73" s="90"/>
      <c r="DY73" s="90"/>
      <c r="DZ73" s="90"/>
      <c r="EA73" s="90"/>
      <c r="EB73" s="90"/>
      <c r="EC73" s="90"/>
      <c r="ED73" s="90"/>
      <c r="EE73" s="90"/>
      <c r="EF73" s="90"/>
      <c r="EG73" s="90"/>
      <c r="EH73" s="90"/>
      <c r="EI73" s="90"/>
      <c r="EJ73" s="90"/>
      <c r="EK73" s="90"/>
      <c r="EL73" s="90"/>
      <c r="EM73" s="90"/>
      <c r="EN73" s="90"/>
      <c r="EO73" s="90"/>
      <c r="EP73" s="90"/>
      <c r="EQ73" s="90"/>
      <c r="ER73" s="90"/>
      <c r="ES73" s="90"/>
      <c r="ET73" s="90"/>
      <c r="EU73" s="90"/>
      <c r="EV73" s="90"/>
      <c r="EW73" s="90"/>
      <c r="EX73" s="90"/>
      <c r="EY73" s="90"/>
      <c r="EZ73" s="90"/>
      <c r="FA73" s="90"/>
      <c r="FB73" s="88">
        <v>9000000</v>
      </c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</row>
    <row r="74" spans="1:364" s="2" customFormat="1" ht="9" customHeight="1">
      <c r="A74" s="9"/>
      <c r="B74" s="9"/>
      <c r="S74" s="151"/>
      <c r="T74" s="151"/>
      <c r="U74" s="150"/>
      <c r="V74" s="83" t="s">
        <v>287</v>
      </c>
      <c r="W74" s="143"/>
      <c r="X74" s="90"/>
      <c r="Y74" s="90"/>
      <c r="Z74" s="90"/>
      <c r="AA74" s="90"/>
      <c r="AB74" s="90"/>
      <c r="AC74" s="90"/>
      <c r="AD74" s="90"/>
      <c r="AE74" s="90"/>
      <c r="AF74" s="90"/>
      <c r="AG74" s="90"/>
      <c r="AH74" s="90"/>
      <c r="AI74" s="90"/>
      <c r="AJ74" s="90"/>
      <c r="AK74" s="90"/>
      <c r="AL74" s="90"/>
      <c r="AM74" s="90"/>
      <c r="AN74" s="90"/>
      <c r="AO74" s="90"/>
      <c r="AP74" s="90"/>
      <c r="AQ74" s="90"/>
      <c r="AR74" s="90"/>
      <c r="AS74" s="90"/>
      <c r="AT74" s="90"/>
      <c r="AU74" s="90"/>
      <c r="AV74" s="90"/>
      <c r="AW74" s="90"/>
      <c r="AX74" s="90"/>
      <c r="AY74" s="90"/>
      <c r="AZ74" s="90"/>
      <c r="BA74" s="90"/>
      <c r="BB74" s="90"/>
      <c r="BC74" s="90"/>
      <c r="BD74" s="90"/>
      <c r="BE74" s="90"/>
      <c r="BF74" s="90"/>
      <c r="BG74" s="90"/>
      <c r="BH74" s="90"/>
      <c r="BI74" s="90"/>
      <c r="BJ74" s="90"/>
      <c r="BK74" s="90"/>
      <c r="BL74" s="90"/>
      <c r="BM74" s="90"/>
      <c r="BN74" s="90"/>
      <c r="BO74" s="90"/>
      <c r="BP74" s="90"/>
      <c r="BQ74" s="90"/>
      <c r="BR74" s="90"/>
      <c r="BS74" s="90"/>
      <c r="BT74" s="90"/>
      <c r="BU74" s="90"/>
      <c r="BV74" s="90"/>
      <c r="BW74" s="90"/>
      <c r="BX74" s="90"/>
      <c r="BY74" s="90"/>
      <c r="BZ74" s="90"/>
      <c r="CA74" s="90"/>
      <c r="CB74" s="90"/>
      <c r="CC74" s="90"/>
      <c r="CD74" s="90"/>
      <c r="CE74" s="90"/>
      <c r="CF74" s="90"/>
      <c r="CG74" s="90"/>
      <c r="CH74" s="90"/>
      <c r="CI74" s="90"/>
      <c r="CJ74" s="90"/>
      <c r="CK74" s="90"/>
      <c r="CL74" s="90"/>
      <c r="CM74" s="90"/>
      <c r="CN74" s="90"/>
      <c r="CO74" s="90"/>
      <c r="CP74" s="90"/>
      <c r="CQ74" s="90"/>
      <c r="CR74" s="90"/>
      <c r="CS74" s="90"/>
      <c r="CT74" s="90"/>
      <c r="CU74" s="90"/>
      <c r="CV74" s="90"/>
      <c r="CW74" s="90"/>
      <c r="CX74" s="90"/>
      <c r="CY74" s="90"/>
      <c r="CZ74" s="90"/>
      <c r="DA74" s="90"/>
      <c r="DB74" s="90"/>
      <c r="DC74" s="90"/>
      <c r="DD74" s="90"/>
      <c r="DE74" s="90"/>
      <c r="DF74" s="90"/>
      <c r="DG74" s="90"/>
      <c r="DH74" s="90"/>
      <c r="DI74" s="90"/>
      <c r="DJ74" s="90"/>
      <c r="DK74" s="90"/>
      <c r="DL74" s="90"/>
      <c r="DM74" s="90"/>
      <c r="DN74" s="90"/>
      <c r="DO74" s="90"/>
      <c r="DP74" s="90"/>
      <c r="DQ74" s="90"/>
      <c r="DR74" s="90"/>
      <c r="DS74" s="90"/>
      <c r="DT74" s="90">
        <v>-500000</v>
      </c>
      <c r="DU74" s="90"/>
      <c r="DV74" s="90"/>
      <c r="DW74" s="90"/>
      <c r="DX74" s="90"/>
      <c r="DY74" s="90"/>
      <c r="DZ74" s="90"/>
      <c r="EA74" s="90"/>
      <c r="EB74" s="90"/>
      <c r="EC74" s="90"/>
      <c r="ED74" s="90"/>
      <c r="EE74" s="90"/>
      <c r="EF74" s="90"/>
      <c r="EG74" s="90"/>
      <c r="EH74" s="90"/>
      <c r="EI74" s="90"/>
      <c r="EJ74" s="90"/>
      <c r="EK74" s="90"/>
      <c r="EL74" s="90"/>
      <c r="EM74" s="90"/>
      <c r="EN74" s="90"/>
      <c r="EO74" s="90"/>
      <c r="EP74" s="90"/>
      <c r="EQ74" s="90"/>
      <c r="ER74" s="90"/>
      <c r="ES74" s="90"/>
      <c r="ET74" s="90"/>
      <c r="EU74" s="90"/>
      <c r="EV74" s="90"/>
      <c r="EW74" s="90"/>
      <c r="EX74" s="90"/>
      <c r="EY74" s="90"/>
      <c r="EZ74" s="90"/>
      <c r="FA74" s="90"/>
      <c r="FB74" s="88">
        <v>-500000</v>
      </c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/>
      <c r="MZ74"/>
    </row>
    <row r="75" spans="1:364" s="2" customFormat="1" ht="12.75">
      <c r="A75" s="9"/>
      <c r="B75" s="9"/>
      <c r="C75" s="233" t="s">
        <v>328</v>
      </c>
      <c r="S75" s="151"/>
      <c r="T75" s="151"/>
      <c r="U75" s="150"/>
      <c r="V75" s="83" t="s">
        <v>285</v>
      </c>
      <c r="W75" s="143"/>
      <c r="X75" s="90"/>
      <c r="Y75" s="90"/>
      <c r="Z75" s="90"/>
      <c r="AA75" s="90"/>
      <c r="AB75" s="90"/>
      <c r="AC75" s="90"/>
      <c r="AD75" s="90"/>
      <c r="AE75" s="90"/>
      <c r="AF75" s="90"/>
      <c r="AG75" s="90"/>
      <c r="AH75" s="90"/>
      <c r="AI75" s="90"/>
      <c r="AJ75" s="90"/>
      <c r="AK75" s="90"/>
      <c r="AL75" s="90"/>
      <c r="AM75" s="90"/>
      <c r="AN75" s="90"/>
      <c r="AO75" s="90"/>
      <c r="AP75" s="90"/>
      <c r="AQ75" s="90"/>
      <c r="AR75" s="90"/>
      <c r="AS75" s="90"/>
      <c r="AT75" s="90"/>
      <c r="AU75" s="90"/>
      <c r="AV75" s="90"/>
      <c r="AW75" s="90"/>
      <c r="AX75" s="90"/>
      <c r="AY75" s="90"/>
      <c r="AZ75" s="90"/>
      <c r="BA75" s="90"/>
      <c r="BB75" s="90"/>
      <c r="BC75" s="90"/>
      <c r="BD75" s="90"/>
      <c r="BE75" s="90"/>
      <c r="BF75" s="90"/>
      <c r="BG75" s="90"/>
      <c r="BH75" s="90"/>
      <c r="BI75" s="90"/>
      <c r="BJ75" s="90"/>
      <c r="BK75" s="90"/>
      <c r="BL75" s="90"/>
      <c r="BM75" s="90"/>
      <c r="BN75" s="90"/>
      <c r="BO75" s="90"/>
      <c r="BP75" s="90"/>
      <c r="BQ75" s="90"/>
      <c r="BR75" s="90"/>
      <c r="BS75" s="90"/>
      <c r="BT75" s="90"/>
      <c r="BU75" s="90"/>
      <c r="BV75" s="90"/>
      <c r="BW75" s="90"/>
      <c r="BX75" s="90"/>
      <c r="BY75" s="90"/>
      <c r="BZ75" s="90"/>
      <c r="CA75" s="90"/>
      <c r="CB75" s="90"/>
      <c r="CC75" s="90"/>
      <c r="CD75" s="90"/>
      <c r="CE75" s="90"/>
      <c r="CF75" s="90"/>
      <c r="CG75" s="90"/>
      <c r="CH75" s="90"/>
      <c r="CI75" s="90"/>
      <c r="CJ75" s="90"/>
      <c r="CK75" s="90"/>
      <c r="CL75" s="90"/>
      <c r="CM75" s="90"/>
      <c r="CN75" s="90"/>
      <c r="CO75" s="90"/>
      <c r="CP75" s="90"/>
      <c r="CQ75" s="90"/>
      <c r="CR75" s="90">
        <v>15656748.649999999</v>
      </c>
      <c r="CS75" s="90"/>
      <c r="CT75" s="90"/>
      <c r="CU75" s="90">
        <v>20261291.280000001</v>
      </c>
      <c r="CV75" s="90"/>
      <c r="CW75" s="90"/>
      <c r="CX75" s="90"/>
      <c r="CY75" s="90"/>
      <c r="CZ75" s="90"/>
      <c r="DA75" s="90"/>
      <c r="DB75" s="90">
        <v>3375900</v>
      </c>
      <c r="DC75" s="90"/>
      <c r="DD75" s="90">
        <v>4951320</v>
      </c>
      <c r="DE75" s="90">
        <v>4951320</v>
      </c>
      <c r="DF75" s="90"/>
      <c r="DG75" s="90"/>
      <c r="DH75" s="90"/>
      <c r="DI75" s="90"/>
      <c r="DJ75" s="90"/>
      <c r="DK75" s="90"/>
      <c r="DL75" s="90"/>
      <c r="DM75" s="90"/>
      <c r="DN75" s="90">
        <v>14260348.359999999</v>
      </c>
      <c r="DO75" s="90">
        <v>19046765.399999999</v>
      </c>
      <c r="DP75" s="90"/>
      <c r="DQ75" s="90"/>
      <c r="DR75" s="90"/>
      <c r="DS75" s="90"/>
      <c r="DT75" s="90"/>
      <c r="DU75" s="90">
        <v>18089953.890000001</v>
      </c>
      <c r="DV75" s="90"/>
      <c r="DW75" s="90"/>
      <c r="DX75" s="90"/>
      <c r="DY75" s="90"/>
      <c r="DZ75" s="90">
        <v>-69997961.920000002</v>
      </c>
      <c r="EA75" s="90">
        <v>-1654050.08</v>
      </c>
      <c r="EB75" s="90"/>
      <c r="EC75" s="90"/>
      <c r="ED75" s="90"/>
      <c r="EE75" s="90"/>
      <c r="EF75" s="90"/>
      <c r="EG75" s="90"/>
      <c r="EH75" s="90"/>
      <c r="EI75" s="90"/>
      <c r="EJ75" s="90"/>
      <c r="EK75" s="90"/>
      <c r="EL75" s="90"/>
      <c r="EM75" s="90"/>
      <c r="EN75" s="90"/>
      <c r="EO75" s="90"/>
      <c r="EP75" s="90"/>
      <c r="EQ75" s="90"/>
      <c r="ER75" s="90"/>
      <c r="ES75" s="90">
        <v>4573800</v>
      </c>
      <c r="ET75" s="90">
        <v>-8102231.2499999991</v>
      </c>
      <c r="EU75" s="90">
        <v>4472160</v>
      </c>
      <c r="EV75" s="90">
        <v>-68900000</v>
      </c>
      <c r="EW75" s="90"/>
      <c r="EX75" s="90"/>
      <c r="EY75" s="90">
        <v>4726260</v>
      </c>
      <c r="EZ75" s="90">
        <v>18848319.229999997</v>
      </c>
      <c r="FA75" s="90"/>
      <c r="FB75" s="88">
        <v>-15440056.440000005</v>
      </c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</row>
    <row r="76" spans="1:364" s="2" customFormat="1" ht="17.25" customHeight="1">
      <c r="A76" s="9"/>
      <c r="B76" s="9"/>
      <c r="C76" s="233" t="s">
        <v>329</v>
      </c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S76" s="151"/>
      <c r="T76" s="151"/>
      <c r="U76" s="150"/>
      <c r="V76" s="83" t="s">
        <v>271</v>
      </c>
      <c r="W76" s="143"/>
      <c r="X76" s="90"/>
      <c r="Y76" s="90"/>
      <c r="Z76" s="90"/>
      <c r="AA76" s="90"/>
      <c r="AB76" s="90"/>
      <c r="AC76" s="90"/>
      <c r="AD76" s="90"/>
      <c r="AE76" s="90"/>
      <c r="AF76" s="90"/>
      <c r="AG76" s="90"/>
      <c r="AH76" s="90"/>
      <c r="AI76" s="90"/>
      <c r="AJ76" s="90"/>
      <c r="AK76" s="90"/>
      <c r="AL76" s="90"/>
      <c r="AM76" s="90"/>
      <c r="AN76" s="90"/>
      <c r="AO76" s="90"/>
      <c r="AP76" s="90"/>
      <c r="AQ76" s="90"/>
      <c r="AR76" s="90"/>
      <c r="AS76" s="90"/>
      <c r="AT76" s="90"/>
      <c r="AU76" s="90"/>
      <c r="AV76" s="90"/>
      <c r="AW76" s="90"/>
      <c r="AX76" s="90"/>
      <c r="AY76" s="90"/>
      <c r="AZ76" s="90"/>
      <c r="BA76" s="90"/>
      <c r="BB76" s="90"/>
      <c r="BC76" s="90"/>
      <c r="BD76" s="90"/>
      <c r="BE76" s="90"/>
      <c r="BF76" s="90"/>
      <c r="BG76" s="90"/>
      <c r="BH76" s="90"/>
      <c r="BI76" s="90"/>
      <c r="BJ76" s="90"/>
      <c r="BK76" s="90"/>
      <c r="BL76" s="90"/>
      <c r="BM76" s="90"/>
      <c r="BN76" s="90"/>
      <c r="BO76" s="90"/>
      <c r="BP76" s="90"/>
      <c r="BQ76" s="90"/>
      <c r="BR76" s="90"/>
      <c r="BS76" s="90"/>
      <c r="BT76" s="90"/>
      <c r="BU76" s="90"/>
      <c r="BV76" s="90"/>
      <c r="BW76" s="90"/>
      <c r="BX76" s="90"/>
      <c r="BY76" s="90"/>
      <c r="BZ76" s="90"/>
      <c r="CA76" s="90"/>
      <c r="CB76" s="90"/>
      <c r="CC76" s="90"/>
      <c r="CD76" s="90"/>
      <c r="CE76" s="90"/>
      <c r="CF76" s="90"/>
      <c r="CG76" s="90"/>
      <c r="CH76" s="90"/>
      <c r="CI76" s="90"/>
      <c r="CJ76" s="90"/>
      <c r="CK76" s="90"/>
      <c r="CL76" s="90"/>
      <c r="CM76" s="90"/>
      <c r="CN76" s="90"/>
      <c r="CO76" s="90"/>
      <c r="CP76" s="90"/>
      <c r="CQ76" s="90"/>
      <c r="CR76" s="90">
        <v>-358612</v>
      </c>
      <c r="CS76" s="90">
        <v>-2317.27</v>
      </c>
      <c r="CT76" s="90"/>
      <c r="CU76" s="90">
        <v>-146573.18</v>
      </c>
      <c r="CV76" s="90"/>
      <c r="CW76" s="90"/>
      <c r="CX76" s="90"/>
      <c r="CY76" s="90"/>
      <c r="CZ76" s="90"/>
      <c r="DA76" s="90"/>
      <c r="DB76" s="90">
        <v>-111671.37</v>
      </c>
      <c r="DC76" s="90">
        <v>-151123.66</v>
      </c>
      <c r="DD76" s="90">
        <v>-85603.76</v>
      </c>
      <c r="DE76" s="90">
        <v>-76388.08</v>
      </c>
      <c r="DF76" s="90">
        <v>0</v>
      </c>
      <c r="DG76" s="90"/>
      <c r="DH76" s="90"/>
      <c r="DI76" s="90">
        <v>32562.499999999996</v>
      </c>
      <c r="DJ76" s="90">
        <v>2187500</v>
      </c>
      <c r="DK76" s="90"/>
      <c r="DL76" s="90"/>
      <c r="DM76" s="90"/>
      <c r="DN76" s="90">
        <v>-485682.39999999997</v>
      </c>
      <c r="DO76" s="90">
        <v>-62876.859999999993</v>
      </c>
      <c r="DP76" s="90"/>
      <c r="DQ76" s="90"/>
      <c r="DR76" s="90">
        <v>1100000</v>
      </c>
      <c r="DS76" s="90">
        <v>-244.02</v>
      </c>
      <c r="DT76" s="90"/>
      <c r="DU76" s="90">
        <v>-226615.51</v>
      </c>
      <c r="DV76" s="90"/>
      <c r="DW76" s="90">
        <v>-367596.16</v>
      </c>
      <c r="DX76" s="90"/>
      <c r="DY76" s="90"/>
      <c r="DZ76" s="90"/>
      <c r="EA76" s="90"/>
      <c r="EB76" s="90"/>
      <c r="EC76" s="90"/>
      <c r="ED76" s="90">
        <v>-13975</v>
      </c>
      <c r="EE76" s="90"/>
      <c r="EF76" s="90">
        <v>751875</v>
      </c>
      <c r="EG76" s="90"/>
      <c r="EH76" s="90"/>
      <c r="EI76" s="90"/>
      <c r="EJ76" s="90"/>
      <c r="EK76" s="90"/>
      <c r="EL76" s="90"/>
      <c r="EM76" s="90"/>
      <c r="EN76" s="90"/>
      <c r="EO76" s="90"/>
      <c r="EP76" s="90"/>
      <c r="EQ76" s="90"/>
      <c r="ER76" s="90"/>
      <c r="ES76" s="90">
        <v>-63775.219999999994</v>
      </c>
      <c r="ET76" s="90"/>
      <c r="EU76" s="90">
        <v>-93877.42</v>
      </c>
      <c r="EV76" s="90"/>
      <c r="EW76" s="90"/>
      <c r="EX76" s="90"/>
      <c r="EY76" s="90">
        <v>-115226.77999999998</v>
      </c>
      <c r="EZ76" s="90">
        <v>-277595.21999999997</v>
      </c>
      <c r="FA76" s="90"/>
      <c r="FB76" s="88">
        <v>1432183.59</v>
      </c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  <c r="KO76"/>
      <c r="KP76"/>
      <c r="KQ76"/>
      <c r="KR76"/>
      <c r="KS76"/>
      <c r="KT76"/>
      <c r="KU76"/>
      <c r="KV76"/>
      <c r="KW76"/>
      <c r="KX76"/>
      <c r="KY76"/>
      <c r="KZ76"/>
      <c r="LA76"/>
      <c r="LB76"/>
      <c r="LC76"/>
      <c r="LD76"/>
      <c r="LE76"/>
      <c r="LF76"/>
      <c r="LG76"/>
      <c r="LH76"/>
      <c r="LI76"/>
      <c r="LJ76"/>
      <c r="LK76"/>
      <c r="LL76"/>
      <c r="LM76"/>
      <c r="LN76"/>
      <c r="LO76"/>
      <c r="LP76"/>
      <c r="LQ76"/>
      <c r="LR76"/>
      <c r="LS76"/>
      <c r="LT76"/>
      <c r="LU76"/>
      <c r="LV76"/>
      <c r="LW76"/>
      <c r="LX76"/>
      <c r="LY76"/>
      <c r="LZ76"/>
      <c r="MA76"/>
      <c r="MB76"/>
      <c r="MC76"/>
      <c r="MD76"/>
      <c r="ME76"/>
      <c r="MF76"/>
      <c r="MG76"/>
      <c r="MH76"/>
      <c r="MI76"/>
      <c r="MJ76"/>
      <c r="MK76"/>
      <c r="ML76"/>
      <c r="MM76"/>
      <c r="MN76"/>
      <c r="MO76"/>
      <c r="MP76"/>
      <c r="MQ76"/>
      <c r="MR76"/>
      <c r="MS76"/>
      <c r="MT76"/>
      <c r="MU76"/>
      <c r="MV76"/>
      <c r="MW76"/>
      <c r="MX76"/>
      <c r="MY76"/>
      <c r="MZ76"/>
    </row>
    <row r="77" spans="1:364" s="2" customFormat="1" ht="17.25" customHeight="1">
      <c r="A77" s="9"/>
      <c r="B77" s="9"/>
      <c r="C77" s="9"/>
      <c r="D77" s="9"/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S77" s="151"/>
      <c r="T77" s="151"/>
      <c r="U77" s="150"/>
      <c r="V77" s="83" t="s">
        <v>1774</v>
      </c>
      <c r="W77" s="143"/>
      <c r="X77" s="90"/>
      <c r="Y77" s="90"/>
      <c r="Z77" s="90"/>
      <c r="AA77" s="90"/>
      <c r="AB77" s="90"/>
      <c r="AC77" s="90"/>
      <c r="AD77" s="90"/>
      <c r="AE77" s="90"/>
      <c r="AF77" s="90"/>
      <c r="AG77" s="90"/>
      <c r="AH77" s="90"/>
      <c r="AI77" s="90"/>
      <c r="AJ77" s="90"/>
      <c r="AK77" s="90">
        <v>2430112.5</v>
      </c>
      <c r="AL77" s="90"/>
      <c r="AM77" s="90"/>
      <c r="AN77" s="90"/>
      <c r="AO77" s="90"/>
      <c r="AP77" s="90"/>
      <c r="AQ77" s="90"/>
      <c r="AR77" s="90"/>
      <c r="AS77" s="90"/>
      <c r="AT77" s="90"/>
      <c r="AU77" s="90"/>
      <c r="AV77" s="90"/>
      <c r="AW77" s="90"/>
      <c r="AX77" s="90"/>
      <c r="AY77" s="90"/>
      <c r="AZ77" s="90"/>
      <c r="BA77" s="90"/>
      <c r="BB77" s="90"/>
      <c r="BC77" s="90"/>
      <c r="BD77" s="90"/>
      <c r="BE77" s="90"/>
      <c r="BF77" s="90"/>
      <c r="BG77" s="90"/>
      <c r="BH77" s="90"/>
      <c r="BI77" s="90"/>
      <c r="BJ77" s="90"/>
      <c r="BK77" s="90"/>
      <c r="BL77" s="90"/>
      <c r="BM77" s="90"/>
      <c r="BN77" s="90"/>
      <c r="BO77" s="90"/>
      <c r="BP77" s="90"/>
      <c r="BQ77" s="90"/>
      <c r="BR77" s="90"/>
      <c r="BS77" s="90"/>
      <c r="BT77" s="90"/>
      <c r="BU77" s="90"/>
      <c r="BV77" s="90"/>
      <c r="BW77" s="90"/>
      <c r="BX77" s="90"/>
      <c r="BY77" s="90"/>
      <c r="BZ77" s="90"/>
      <c r="CA77" s="90"/>
      <c r="CB77" s="90"/>
      <c r="CC77" s="90"/>
      <c r="CD77" s="90"/>
      <c r="CE77" s="90"/>
      <c r="CF77" s="90"/>
      <c r="CG77" s="90"/>
      <c r="CH77" s="90"/>
      <c r="CI77" s="90"/>
      <c r="CJ77" s="90"/>
      <c r="CK77" s="90"/>
      <c r="CL77" s="90"/>
      <c r="CM77" s="90"/>
      <c r="CN77" s="90"/>
      <c r="CO77" s="90"/>
      <c r="CP77" s="90"/>
      <c r="CQ77" s="90"/>
      <c r="CR77" s="90"/>
      <c r="CS77" s="90"/>
      <c r="CT77" s="90"/>
      <c r="CU77" s="90"/>
      <c r="CV77" s="90"/>
      <c r="CW77" s="90"/>
      <c r="CX77" s="90"/>
      <c r="CY77" s="90"/>
      <c r="CZ77" s="90"/>
      <c r="DA77" s="90"/>
      <c r="DB77" s="90"/>
      <c r="DC77" s="90"/>
      <c r="DD77" s="90"/>
      <c r="DE77" s="90"/>
      <c r="DF77" s="90"/>
      <c r="DG77" s="90"/>
      <c r="DH77" s="90"/>
      <c r="DI77" s="90"/>
      <c r="DJ77" s="90"/>
      <c r="DK77" s="90"/>
      <c r="DL77" s="90"/>
      <c r="DM77" s="90"/>
      <c r="DN77" s="90"/>
      <c r="DO77" s="90"/>
      <c r="DP77" s="90"/>
      <c r="DQ77" s="90"/>
      <c r="DR77" s="90"/>
      <c r="DS77" s="90"/>
      <c r="DT77" s="90"/>
      <c r="DU77" s="90"/>
      <c r="DV77" s="90"/>
      <c r="DW77" s="90"/>
      <c r="DX77" s="90"/>
      <c r="DY77" s="90"/>
      <c r="DZ77" s="90"/>
      <c r="EA77" s="90"/>
      <c r="EB77" s="90"/>
      <c r="EC77" s="90"/>
      <c r="ED77" s="90"/>
      <c r="EE77" s="90"/>
      <c r="EF77" s="90"/>
      <c r="EG77" s="90"/>
      <c r="EH77" s="90"/>
      <c r="EI77" s="90"/>
      <c r="EJ77" s="90"/>
      <c r="EK77" s="90"/>
      <c r="EL77" s="90"/>
      <c r="EM77" s="90"/>
      <c r="EN77" s="90"/>
      <c r="EO77" s="90"/>
      <c r="EP77" s="90"/>
      <c r="EQ77" s="90"/>
      <c r="ER77" s="90"/>
      <c r="ES77" s="90"/>
      <c r="ET77" s="90"/>
      <c r="EU77" s="90"/>
      <c r="EV77" s="90"/>
      <c r="EW77" s="90"/>
      <c r="EX77" s="90"/>
      <c r="EY77" s="90"/>
      <c r="EZ77" s="90"/>
      <c r="FA77" s="90"/>
      <c r="FB77" s="88">
        <v>2430112.5</v>
      </c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/>
      <c r="MZ77"/>
    </row>
    <row r="78" spans="1:364" s="2" customFormat="1" ht="17.25" customHeight="1">
      <c r="A78" s="9"/>
      <c r="B78" s="9"/>
      <c r="C78" s="9"/>
      <c r="D78" s="9"/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S78" s="151"/>
      <c r="T78" s="151"/>
      <c r="U78" s="150"/>
      <c r="V78" s="83" t="s">
        <v>338</v>
      </c>
      <c r="W78" s="143"/>
      <c r="X78" s="90">
        <v>22500000</v>
      </c>
      <c r="Y78" s="90"/>
      <c r="Z78" s="90"/>
      <c r="AA78" s="90"/>
      <c r="AB78" s="90"/>
      <c r="AC78" s="90"/>
      <c r="AD78" s="90"/>
      <c r="AE78" s="90"/>
      <c r="AF78" s="90"/>
      <c r="AG78" s="90"/>
      <c r="AH78" s="90"/>
      <c r="AI78" s="90"/>
      <c r="AJ78" s="90"/>
      <c r="AK78" s="90"/>
      <c r="AL78" s="90"/>
      <c r="AM78" s="90"/>
      <c r="AN78" s="90"/>
      <c r="AO78" s="90"/>
      <c r="AP78" s="90">
        <v>194000000</v>
      </c>
      <c r="AQ78" s="90"/>
      <c r="AR78" s="90"/>
      <c r="AS78" s="90"/>
      <c r="AT78" s="90"/>
      <c r="AU78" s="90"/>
      <c r="AV78" s="90"/>
      <c r="AW78" s="90"/>
      <c r="AX78" s="90"/>
      <c r="AY78" s="90"/>
      <c r="AZ78" s="90"/>
      <c r="BA78" s="90"/>
      <c r="BB78" s="90"/>
      <c r="BC78" s="90"/>
      <c r="BD78" s="90"/>
      <c r="BE78" s="90"/>
      <c r="BF78" s="90"/>
      <c r="BG78" s="90"/>
      <c r="BH78" s="90"/>
      <c r="BI78" s="90"/>
      <c r="BJ78" s="90"/>
      <c r="BK78" s="90"/>
      <c r="BL78" s="90"/>
      <c r="BM78" s="90"/>
      <c r="BN78" s="90"/>
      <c r="BO78" s="90"/>
      <c r="BP78" s="90"/>
      <c r="BQ78" s="90"/>
      <c r="BR78" s="90"/>
      <c r="BS78" s="90"/>
      <c r="BT78" s="90"/>
      <c r="BU78" s="90"/>
      <c r="BV78" s="90"/>
      <c r="BW78" s="90"/>
      <c r="BX78" s="90"/>
      <c r="BY78" s="90"/>
      <c r="BZ78" s="90"/>
      <c r="CA78" s="90"/>
      <c r="CB78" s="90"/>
      <c r="CC78" s="90"/>
      <c r="CD78" s="90"/>
      <c r="CE78" s="90"/>
      <c r="CF78" s="90"/>
      <c r="CG78" s="90"/>
      <c r="CH78" s="90"/>
      <c r="CI78" s="90"/>
      <c r="CJ78" s="90"/>
      <c r="CK78" s="90"/>
      <c r="CL78" s="90"/>
      <c r="CM78" s="90"/>
      <c r="CN78" s="90"/>
      <c r="CO78" s="90"/>
      <c r="CP78" s="90"/>
      <c r="CQ78" s="90"/>
      <c r="CR78" s="90"/>
      <c r="CS78" s="90"/>
      <c r="CT78" s="90"/>
      <c r="CU78" s="90"/>
      <c r="CV78" s="90"/>
      <c r="CW78" s="90"/>
      <c r="CX78" s="90"/>
      <c r="CY78" s="90"/>
      <c r="CZ78" s="90"/>
      <c r="DA78" s="90"/>
      <c r="DB78" s="90"/>
      <c r="DC78" s="90"/>
      <c r="DD78" s="90"/>
      <c r="DE78" s="90"/>
      <c r="DF78" s="90"/>
      <c r="DG78" s="90"/>
      <c r="DH78" s="90"/>
      <c r="DI78" s="90"/>
      <c r="DJ78" s="90"/>
      <c r="DK78" s="90"/>
      <c r="DL78" s="90"/>
      <c r="DM78" s="90"/>
      <c r="DN78" s="90"/>
      <c r="DO78" s="90"/>
      <c r="DP78" s="90"/>
      <c r="DQ78" s="90"/>
      <c r="DR78" s="90"/>
      <c r="DS78" s="90"/>
      <c r="DT78" s="90"/>
      <c r="DU78" s="90"/>
      <c r="DV78" s="90"/>
      <c r="DW78" s="90"/>
      <c r="DX78" s="90"/>
      <c r="DY78" s="90"/>
      <c r="DZ78" s="90"/>
      <c r="EA78" s="90"/>
      <c r="EB78" s="90"/>
      <c r="EC78" s="90"/>
      <c r="ED78" s="90"/>
      <c r="EE78" s="90"/>
      <c r="EF78" s="90"/>
      <c r="EG78" s="90"/>
      <c r="EH78" s="90"/>
      <c r="EI78" s="90"/>
      <c r="EJ78" s="90"/>
      <c r="EK78" s="90"/>
      <c r="EL78" s="90"/>
      <c r="EM78" s="90"/>
      <c r="EN78" s="90"/>
      <c r="EO78" s="90"/>
      <c r="EP78" s="90"/>
      <c r="EQ78" s="90"/>
      <c r="ER78" s="90"/>
      <c r="ES78" s="90"/>
      <c r="ET78" s="90"/>
      <c r="EU78" s="90"/>
      <c r="EV78" s="90"/>
      <c r="EW78" s="90"/>
      <c r="EX78" s="90"/>
      <c r="EY78" s="90"/>
      <c r="EZ78" s="90"/>
      <c r="FA78" s="90"/>
      <c r="FB78" s="88">
        <v>216500000</v>
      </c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/>
      <c r="MZ78"/>
    </row>
    <row r="79" spans="1:364" s="2" customFormat="1" ht="17.25" customHeight="1">
      <c r="A79" s="9"/>
      <c r="B79" s="9"/>
      <c r="C79" s="9"/>
      <c r="D79" s="9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S79" s="151"/>
      <c r="T79" s="151"/>
      <c r="U79" s="150"/>
      <c r="V79" s="83" t="s">
        <v>291</v>
      </c>
      <c r="W79" s="143"/>
      <c r="X79" s="90"/>
      <c r="Y79" s="90"/>
      <c r="Z79" s="90">
        <v>114200.15000000002</v>
      </c>
      <c r="AA79" s="90"/>
      <c r="AB79" s="90"/>
      <c r="AC79" s="90"/>
      <c r="AD79" s="90"/>
      <c r="AE79" s="90"/>
      <c r="AF79" s="90"/>
      <c r="AG79" s="90"/>
      <c r="AH79" s="90"/>
      <c r="AI79" s="90"/>
      <c r="AJ79" s="90">
        <v>-1210940.17</v>
      </c>
      <c r="AK79" s="90"/>
      <c r="AL79" s="90"/>
      <c r="AM79" s="90"/>
      <c r="AN79" s="90"/>
      <c r="AO79" s="90"/>
      <c r="AP79" s="90"/>
      <c r="AQ79" s="90"/>
      <c r="AR79" s="90"/>
      <c r="AS79" s="90"/>
      <c r="AT79" s="90"/>
      <c r="AU79" s="90"/>
      <c r="AV79" s="90"/>
      <c r="AW79" s="90"/>
      <c r="AX79" s="90"/>
      <c r="AY79" s="90"/>
      <c r="AZ79" s="90"/>
      <c r="BA79" s="90"/>
      <c r="BB79" s="90"/>
      <c r="BC79" s="90"/>
      <c r="BD79" s="90"/>
      <c r="BE79" s="90"/>
      <c r="BF79" s="90"/>
      <c r="BG79" s="90"/>
      <c r="BH79" s="90"/>
      <c r="BI79" s="90"/>
      <c r="BJ79" s="90"/>
      <c r="BK79" s="90"/>
      <c r="BL79" s="90"/>
      <c r="BM79" s="90"/>
      <c r="BN79" s="90"/>
      <c r="BO79" s="90"/>
      <c r="BP79" s="90"/>
      <c r="BQ79" s="90"/>
      <c r="BR79" s="90"/>
      <c r="BS79" s="90"/>
      <c r="BT79" s="90"/>
      <c r="BU79" s="90"/>
      <c r="BV79" s="90"/>
      <c r="BW79" s="90"/>
      <c r="BX79" s="90"/>
      <c r="BY79" s="90"/>
      <c r="BZ79" s="90"/>
      <c r="CA79" s="90"/>
      <c r="CB79" s="90"/>
      <c r="CC79" s="90"/>
      <c r="CD79" s="90"/>
      <c r="CE79" s="90"/>
      <c r="CF79" s="90"/>
      <c r="CG79" s="90"/>
      <c r="CH79" s="90"/>
      <c r="CI79" s="90"/>
      <c r="CJ79" s="90"/>
      <c r="CK79" s="90"/>
      <c r="CL79" s="90"/>
      <c r="CM79" s="90"/>
      <c r="CN79" s="90"/>
      <c r="CO79" s="90"/>
      <c r="CP79" s="90"/>
      <c r="CQ79" s="90"/>
      <c r="CR79" s="90"/>
      <c r="CS79" s="90"/>
      <c r="CT79" s="90"/>
      <c r="CU79" s="90"/>
      <c r="CV79" s="90"/>
      <c r="CW79" s="90"/>
      <c r="CX79" s="90"/>
      <c r="CY79" s="90"/>
      <c r="CZ79" s="90"/>
      <c r="DA79" s="90"/>
      <c r="DB79" s="90"/>
      <c r="DC79" s="90"/>
      <c r="DD79" s="90"/>
      <c r="DE79" s="90"/>
      <c r="DF79" s="90"/>
      <c r="DG79" s="90"/>
      <c r="DH79" s="90"/>
      <c r="DI79" s="90"/>
      <c r="DJ79" s="90"/>
      <c r="DK79" s="90"/>
      <c r="DL79" s="90"/>
      <c r="DM79" s="90"/>
      <c r="DN79" s="90"/>
      <c r="DO79" s="90"/>
      <c r="DP79" s="90"/>
      <c r="DQ79" s="90"/>
      <c r="DR79" s="90"/>
      <c r="DS79" s="90"/>
      <c r="DT79" s="90"/>
      <c r="DU79" s="90"/>
      <c r="DV79" s="90"/>
      <c r="DW79" s="90"/>
      <c r="DX79" s="90"/>
      <c r="DY79" s="90"/>
      <c r="DZ79" s="90"/>
      <c r="EA79" s="90"/>
      <c r="EB79" s="90"/>
      <c r="EC79" s="90"/>
      <c r="ED79" s="90"/>
      <c r="EE79" s="90"/>
      <c r="EF79" s="90"/>
      <c r="EG79" s="90"/>
      <c r="EH79" s="90"/>
      <c r="EI79" s="90"/>
      <c r="EJ79" s="90"/>
      <c r="EK79" s="90"/>
      <c r="EL79" s="90"/>
      <c r="EM79" s="90"/>
      <c r="EN79" s="90"/>
      <c r="EO79" s="90"/>
      <c r="EP79" s="90"/>
      <c r="EQ79" s="90"/>
      <c r="ER79" s="90"/>
      <c r="ES79" s="90"/>
      <c r="ET79" s="90"/>
      <c r="EU79" s="90"/>
      <c r="EV79" s="90"/>
      <c r="EW79" s="90"/>
      <c r="EX79" s="90"/>
      <c r="EY79" s="90"/>
      <c r="EZ79" s="90"/>
      <c r="FA79" s="90"/>
      <c r="FB79" s="88">
        <v>-1096740.02</v>
      </c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/>
      <c r="MZ79"/>
    </row>
    <row r="80" spans="1:364" s="2" customFormat="1" ht="17.25" customHeight="1">
      <c r="A80" s="9"/>
      <c r="B80" s="9"/>
      <c r="C80" s="9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S80" s="151"/>
      <c r="T80" s="151"/>
      <c r="U80" s="150"/>
      <c r="V80" s="83" t="s">
        <v>288</v>
      </c>
      <c r="W80" s="143"/>
      <c r="X80" s="90"/>
      <c r="Y80" s="90">
        <v>12153938.33</v>
      </c>
      <c r="Z80" s="90">
        <v>12238154.709999999</v>
      </c>
      <c r="AA80" s="90"/>
      <c r="AB80" s="90"/>
      <c r="AC80" s="90">
        <v>-37896333.899999999</v>
      </c>
      <c r="AD80" s="90">
        <v>3267000</v>
      </c>
      <c r="AE80" s="90"/>
      <c r="AF80" s="90"/>
      <c r="AG80" s="90"/>
      <c r="AH80" s="90"/>
      <c r="AI80" s="90"/>
      <c r="AJ80" s="90">
        <v>3375900</v>
      </c>
      <c r="AK80" s="90"/>
      <c r="AL80" s="90"/>
      <c r="AM80" s="90"/>
      <c r="AN80" s="90">
        <v>-42451380.759999998</v>
      </c>
      <c r="AO80" s="90"/>
      <c r="AP80" s="90"/>
      <c r="AQ80" s="90"/>
      <c r="AR80" s="90"/>
      <c r="AS80" s="90"/>
      <c r="AT80" s="90"/>
      <c r="AU80" s="90"/>
      <c r="AV80" s="90"/>
      <c r="AW80" s="90"/>
      <c r="AX80" s="90"/>
      <c r="AY80" s="90"/>
      <c r="AZ80" s="90"/>
      <c r="BA80" s="90"/>
      <c r="BB80" s="90"/>
      <c r="BC80" s="90"/>
      <c r="BD80" s="90"/>
      <c r="BE80" s="90"/>
      <c r="BF80" s="90"/>
      <c r="BG80" s="90"/>
      <c r="BH80" s="90"/>
      <c r="BI80" s="90"/>
      <c r="BJ80" s="90"/>
      <c r="BK80" s="90"/>
      <c r="BL80" s="90"/>
      <c r="BM80" s="90"/>
      <c r="BN80" s="90"/>
      <c r="BO80" s="90"/>
      <c r="BP80" s="90"/>
      <c r="BQ80" s="90"/>
      <c r="BR80" s="90"/>
      <c r="BS80" s="90"/>
      <c r="BT80" s="90"/>
      <c r="BU80" s="90"/>
      <c r="BV80" s="90"/>
      <c r="BW80" s="90"/>
      <c r="BX80" s="90"/>
      <c r="BY80" s="90"/>
      <c r="BZ80" s="90"/>
      <c r="CA80" s="90"/>
      <c r="CB80" s="90"/>
      <c r="CC80" s="90"/>
      <c r="CD80" s="90"/>
      <c r="CE80" s="90"/>
      <c r="CF80" s="90"/>
      <c r="CG80" s="90"/>
      <c r="CH80" s="90"/>
      <c r="CI80" s="90"/>
      <c r="CJ80" s="90"/>
      <c r="CK80" s="90"/>
      <c r="CL80" s="90"/>
      <c r="CM80" s="90"/>
      <c r="CN80" s="90"/>
      <c r="CO80" s="90"/>
      <c r="CP80" s="90"/>
      <c r="CQ80" s="90"/>
      <c r="CR80" s="90"/>
      <c r="CS80" s="90"/>
      <c r="CT80" s="90"/>
      <c r="CU80" s="90"/>
      <c r="CV80" s="90"/>
      <c r="CW80" s="90"/>
      <c r="CX80" s="90"/>
      <c r="CY80" s="90"/>
      <c r="CZ80" s="90"/>
      <c r="DA80" s="90"/>
      <c r="DB80" s="90"/>
      <c r="DC80" s="90"/>
      <c r="DD80" s="90"/>
      <c r="DE80" s="90"/>
      <c r="DF80" s="90"/>
      <c r="DG80" s="90"/>
      <c r="DH80" s="90"/>
      <c r="DI80" s="90"/>
      <c r="DJ80" s="90"/>
      <c r="DK80" s="90"/>
      <c r="DL80" s="90"/>
      <c r="DM80" s="90"/>
      <c r="DN80" s="90"/>
      <c r="DO80" s="90"/>
      <c r="DP80" s="90"/>
      <c r="DQ80" s="90"/>
      <c r="DR80" s="90"/>
      <c r="DS80" s="90"/>
      <c r="DT80" s="90"/>
      <c r="DU80" s="90"/>
      <c r="DV80" s="90"/>
      <c r="DW80" s="90"/>
      <c r="DX80" s="90"/>
      <c r="DY80" s="90"/>
      <c r="DZ80" s="90"/>
      <c r="EA80" s="90"/>
      <c r="EB80" s="90"/>
      <c r="EC80" s="90"/>
      <c r="ED80" s="90"/>
      <c r="EE80" s="90"/>
      <c r="EF80" s="90"/>
      <c r="EG80" s="90"/>
      <c r="EH80" s="90"/>
      <c r="EI80" s="90"/>
      <c r="EJ80" s="90"/>
      <c r="EK80" s="90"/>
      <c r="EL80" s="90"/>
      <c r="EM80" s="90"/>
      <c r="EN80" s="90"/>
      <c r="EO80" s="90"/>
      <c r="EP80" s="90"/>
      <c r="EQ80" s="90"/>
      <c r="ER80" s="90"/>
      <c r="ES80" s="90"/>
      <c r="ET80" s="90"/>
      <c r="EU80" s="90"/>
      <c r="EV80" s="90"/>
      <c r="EW80" s="90"/>
      <c r="EX80" s="90"/>
      <c r="EY80" s="90"/>
      <c r="EZ80" s="90"/>
      <c r="FA80" s="90"/>
      <c r="FB80" s="88">
        <v>-49312721.619999997</v>
      </c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  <c r="LM80"/>
      <c r="LN80"/>
      <c r="LO80"/>
      <c r="LP80"/>
      <c r="LQ80"/>
      <c r="LR80"/>
      <c r="LS80"/>
      <c r="LT80"/>
      <c r="LU80"/>
      <c r="LV80"/>
      <c r="LW80"/>
      <c r="LX80"/>
      <c r="LY80"/>
      <c r="LZ80"/>
      <c r="MA80"/>
      <c r="MB80"/>
      <c r="MC80"/>
      <c r="MD80"/>
      <c r="ME80"/>
      <c r="MF80"/>
      <c r="MG80"/>
      <c r="MH80"/>
      <c r="MI80"/>
      <c r="MJ80"/>
      <c r="MK80"/>
      <c r="ML80"/>
      <c r="MM80"/>
      <c r="MN80"/>
      <c r="MO80"/>
      <c r="MP80"/>
      <c r="MQ80"/>
      <c r="MR80"/>
      <c r="MS80"/>
      <c r="MT80"/>
      <c r="MU80"/>
      <c r="MV80"/>
      <c r="MW80"/>
      <c r="MX80"/>
      <c r="MY80"/>
      <c r="MZ80"/>
    </row>
    <row r="81" spans="1:366" s="2" customFormat="1" ht="17.25" customHeight="1">
      <c r="A81" s="9"/>
      <c r="B81" s="9"/>
      <c r="S81" s="151"/>
      <c r="T81" s="151"/>
      <c r="U81" s="150"/>
      <c r="V81" s="83" t="s">
        <v>272</v>
      </c>
      <c r="W81" s="143">
        <v>32562.499999999996</v>
      </c>
      <c r="X81" s="90">
        <v>618749.99999999988</v>
      </c>
      <c r="Y81" s="90">
        <v>-286543.90000000002</v>
      </c>
      <c r="Z81" s="90">
        <v>-395572.86</v>
      </c>
      <c r="AA81" s="90"/>
      <c r="AB81" s="90"/>
      <c r="AC81" s="90"/>
      <c r="AD81" s="90">
        <v>-164209.29999999996</v>
      </c>
      <c r="AE81" s="90"/>
      <c r="AF81" s="90"/>
      <c r="AG81" s="90"/>
      <c r="AH81" s="90">
        <v>-367596.16</v>
      </c>
      <c r="AI81" s="90">
        <v>0</v>
      </c>
      <c r="AJ81" s="90">
        <v>-319554.37</v>
      </c>
      <c r="AK81" s="90"/>
      <c r="AL81" s="90"/>
      <c r="AM81" s="90"/>
      <c r="AN81" s="90"/>
      <c r="AO81" s="90"/>
      <c r="AP81" s="90">
        <v>485000</v>
      </c>
      <c r="AQ81" s="90"/>
      <c r="AR81" s="90"/>
      <c r="AS81" s="90"/>
      <c r="AT81" s="90"/>
      <c r="AU81" s="90"/>
      <c r="AV81" s="90"/>
      <c r="AW81" s="90"/>
      <c r="AX81" s="90"/>
      <c r="AY81" s="90"/>
      <c r="AZ81" s="90"/>
      <c r="BA81" s="90"/>
      <c r="BB81" s="90"/>
      <c r="BC81" s="90"/>
      <c r="BD81" s="90"/>
      <c r="BE81" s="90"/>
      <c r="BF81" s="90"/>
      <c r="BG81" s="90"/>
      <c r="BH81" s="90"/>
      <c r="BI81" s="90"/>
      <c r="BJ81" s="90"/>
      <c r="BK81" s="90"/>
      <c r="BL81" s="90"/>
      <c r="BM81" s="90"/>
      <c r="BN81" s="90"/>
      <c r="BO81" s="90"/>
      <c r="BP81" s="90"/>
      <c r="BQ81" s="90"/>
      <c r="BR81" s="90"/>
      <c r="BS81" s="90"/>
      <c r="BT81" s="90"/>
      <c r="BU81" s="90"/>
      <c r="BV81" s="90"/>
      <c r="BW81" s="90"/>
      <c r="BX81" s="90"/>
      <c r="BY81" s="90"/>
      <c r="BZ81" s="90"/>
      <c r="CA81" s="90"/>
      <c r="CB81" s="90"/>
      <c r="CC81" s="90"/>
      <c r="CD81" s="90"/>
      <c r="CE81" s="90"/>
      <c r="CF81" s="90"/>
      <c r="CG81" s="90"/>
      <c r="CH81" s="90"/>
      <c r="CI81" s="90"/>
      <c r="CJ81" s="90"/>
      <c r="CK81" s="90"/>
      <c r="CL81" s="90"/>
      <c r="CM81" s="90"/>
      <c r="CN81" s="90"/>
      <c r="CO81" s="90"/>
      <c r="CP81" s="90"/>
      <c r="CQ81" s="90"/>
      <c r="CR81" s="90"/>
      <c r="CS81" s="90"/>
      <c r="CT81" s="90"/>
      <c r="CU81" s="90"/>
      <c r="CV81" s="90"/>
      <c r="CW81" s="90"/>
      <c r="CX81" s="90"/>
      <c r="CY81" s="90"/>
      <c r="CZ81" s="90"/>
      <c r="DA81" s="90"/>
      <c r="DB81" s="90"/>
      <c r="DC81" s="90"/>
      <c r="DD81" s="90"/>
      <c r="DE81" s="90"/>
      <c r="DF81" s="90"/>
      <c r="DG81" s="90">
        <v>-9375</v>
      </c>
      <c r="DH81" s="90"/>
      <c r="DI81" s="90"/>
      <c r="DJ81" s="90"/>
      <c r="DK81" s="90"/>
      <c r="DL81" s="90"/>
      <c r="DM81" s="90"/>
      <c r="DN81" s="90"/>
      <c r="DO81" s="90"/>
      <c r="DP81" s="90"/>
      <c r="DQ81" s="90"/>
      <c r="DR81" s="90"/>
      <c r="DS81" s="90"/>
      <c r="DT81" s="90"/>
      <c r="DU81" s="90"/>
      <c r="DV81" s="90"/>
      <c r="DW81" s="90"/>
      <c r="DX81" s="90"/>
      <c r="DY81" s="90"/>
      <c r="DZ81" s="90"/>
      <c r="EA81" s="90"/>
      <c r="EB81" s="90"/>
      <c r="EC81" s="90"/>
      <c r="ED81" s="90"/>
      <c r="EE81" s="90"/>
      <c r="EF81" s="90"/>
      <c r="EG81" s="90"/>
      <c r="EH81" s="90"/>
      <c r="EI81" s="90"/>
      <c r="EJ81" s="90"/>
      <c r="EK81" s="90"/>
      <c r="EL81" s="90"/>
      <c r="EM81" s="90"/>
      <c r="EN81" s="90"/>
      <c r="EO81" s="90"/>
      <c r="EP81" s="90"/>
      <c r="EQ81" s="90"/>
      <c r="ER81" s="90"/>
      <c r="ES81" s="90"/>
      <c r="ET81" s="90"/>
      <c r="EU81" s="90"/>
      <c r="EV81" s="90"/>
      <c r="EW81" s="90"/>
      <c r="EX81" s="90"/>
      <c r="EY81" s="90"/>
      <c r="EZ81" s="90"/>
      <c r="FA81" s="90"/>
      <c r="FB81" s="88">
        <v>-406539.09000000008</v>
      </c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  <c r="LM81"/>
      <c r="LN81"/>
      <c r="LO81"/>
      <c r="LP81"/>
      <c r="LQ81"/>
      <c r="LR81"/>
      <c r="LS81"/>
      <c r="LT81"/>
      <c r="LU81"/>
      <c r="LV81"/>
      <c r="LW81"/>
      <c r="LX81"/>
      <c r="LY81"/>
      <c r="LZ81"/>
      <c r="MA81"/>
      <c r="MB81"/>
      <c r="MC81"/>
      <c r="MD81"/>
      <c r="ME81"/>
      <c r="MF81"/>
      <c r="MG81"/>
      <c r="MH81"/>
      <c r="MI81"/>
      <c r="MJ81"/>
      <c r="MK81"/>
      <c r="ML81"/>
      <c r="MM81"/>
      <c r="MN81"/>
      <c r="MO81"/>
      <c r="MP81"/>
      <c r="MQ81"/>
      <c r="MR81"/>
      <c r="MS81"/>
      <c r="MT81"/>
      <c r="MU81"/>
      <c r="MV81"/>
      <c r="MW81"/>
      <c r="MX81"/>
      <c r="MY81"/>
      <c r="MZ81"/>
    </row>
    <row r="82" spans="1:366" s="2" customFormat="1" ht="17.25" customHeight="1">
      <c r="A82" s="9"/>
      <c r="B82" s="9"/>
      <c r="S82" s="151"/>
      <c r="T82" s="151"/>
      <c r="U82" s="150"/>
      <c r="V82" s="83" t="s">
        <v>1775</v>
      </c>
      <c r="W82" s="143"/>
      <c r="X82" s="90"/>
      <c r="Y82" s="90"/>
      <c r="Z82" s="90"/>
      <c r="AA82" s="90">
        <v>11924821.609999999</v>
      </c>
      <c r="AB82" s="90"/>
      <c r="AC82" s="90"/>
      <c r="AD82" s="90"/>
      <c r="AE82" s="90"/>
      <c r="AF82" s="90"/>
      <c r="AG82" s="90"/>
      <c r="AH82" s="90"/>
      <c r="AI82" s="90"/>
      <c r="AJ82" s="90"/>
      <c r="AK82" s="90"/>
      <c r="AL82" s="90">
        <v>3267000</v>
      </c>
      <c r="AM82" s="90"/>
      <c r="AN82" s="90"/>
      <c r="AO82" s="90"/>
      <c r="AP82" s="90"/>
      <c r="AQ82" s="90"/>
      <c r="AR82" s="90"/>
      <c r="AS82" s="90"/>
      <c r="AT82" s="90"/>
      <c r="AU82" s="90"/>
      <c r="AV82" s="90"/>
      <c r="AW82" s="90"/>
      <c r="AX82" s="90"/>
      <c r="AY82" s="90"/>
      <c r="AZ82" s="90"/>
      <c r="BA82" s="90"/>
      <c r="BB82" s="90"/>
      <c r="BC82" s="90"/>
      <c r="BD82" s="90"/>
      <c r="BE82" s="90"/>
      <c r="BF82" s="90"/>
      <c r="BG82" s="90"/>
      <c r="BH82" s="90"/>
      <c r="BI82" s="90"/>
      <c r="BJ82" s="90"/>
      <c r="BK82" s="90"/>
      <c r="BL82" s="90"/>
      <c r="BM82" s="90"/>
      <c r="BN82" s="90"/>
      <c r="BO82" s="90"/>
      <c r="BP82" s="90"/>
      <c r="BQ82" s="90"/>
      <c r="BR82" s="90"/>
      <c r="BS82" s="90"/>
      <c r="BT82" s="90"/>
      <c r="BU82" s="90"/>
      <c r="BV82" s="90"/>
      <c r="BW82" s="90"/>
      <c r="BX82" s="90"/>
      <c r="BY82" s="90"/>
      <c r="BZ82" s="90"/>
      <c r="CA82" s="90"/>
      <c r="CB82" s="90"/>
      <c r="CC82" s="90"/>
      <c r="CD82" s="90"/>
      <c r="CE82" s="90"/>
      <c r="CF82" s="90"/>
      <c r="CG82" s="90"/>
      <c r="CH82" s="90"/>
      <c r="CI82" s="90"/>
      <c r="CJ82" s="90"/>
      <c r="CK82" s="90"/>
      <c r="CL82" s="90"/>
      <c r="CM82" s="90"/>
      <c r="CN82" s="90"/>
      <c r="CO82" s="90"/>
      <c r="CP82" s="90"/>
      <c r="CQ82" s="90"/>
      <c r="CR82" s="90"/>
      <c r="CS82" s="90"/>
      <c r="CT82" s="90"/>
      <c r="CU82" s="90"/>
      <c r="CV82" s="90"/>
      <c r="CW82" s="90"/>
      <c r="CX82" s="90"/>
      <c r="CY82" s="90"/>
      <c r="CZ82" s="90"/>
      <c r="DA82" s="90"/>
      <c r="DB82" s="90"/>
      <c r="DC82" s="90"/>
      <c r="DD82" s="90"/>
      <c r="DE82" s="90"/>
      <c r="DF82" s="90"/>
      <c r="DG82" s="90"/>
      <c r="DH82" s="90"/>
      <c r="DI82" s="90"/>
      <c r="DJ82" s="90"/>
      <c r="DK82" s="90"/>
      <c r="DL82" s="90"/>
      <c r="DM82" s="90"/>
      <c r="DN82" s="90"/>
      <c r="DO82" s="90"/>
      <c r="DP82" s="90"/>
      <c r="DQ82" s="90"/>
      <c r="DR82" s="90"/>
      <c r="DS82" s="90"/>
      <c r="DT82" s="90"/>
      <c r="DU82" s="90"/>
      <c r="DV82" s="90"/>
      <c r="DW82" s="90"/>
      <c r="DX82" s="90"/>
      <c r="DY82" s="90"/>
      <c r="DZ82" s="90"/>
      <c r="EA82" s="90"/>
      <c r="EB82" s="90"/>
      <c r="EC82" s="90"/>
      <c r="ED82" s="90"/>
      <c r="EE82" s="90"/>
      <c r="EF82" s="90"/>
      <c r="EG82" s="90"/>
      <c r="EH82" s="90"/>
      <c r="EI82" s="90"/>
      <c r="EJ82" s="90"/>
      <c r="EK82" s="90"/>
      <c r="EL82" s="90"/>
      <c r="EM82" s="90"/>
      <c r="EN82" s="90"/>
      <c r="EO82" s="90"/>
      <c r="EP82" s="90"/>
      <c r="EQ82" s="90"/>
      <c r="ER82" s="90"/>
      <c r="ES82" s="90"/>
      <c r="ET82" s="90"/>
      <c r="EU82" s="90"/>
      <c r="EV82" s="90"/>
      <c r="EW82" s="90"/>
      <c r="EX82" s="90"/>
      <c r="EY82" s="90"/>
      <c r="EZ82" s="90"/>
      <c r="FA82" s="90"/>
      <c r="FB82" s="88">
        <v>15191821.609999999</v>
      </c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  <c r="KO82"/>
      <c r="KP82"/>
      <c r="KQ82"/>
      <c r="KR82"/>
      <c r="KS82"/>
      <c r="KT82"/>
      <c r="KU82"/>
      <c r="KV82"/>
      <c r="KW82"/>
      <c r="KX82"/>
      <c r="KY82"/>
      <c r="KZ82"/>
      <c r="LA82"/>
      <c r="LB82"/>
      <c r="LC82"/>
      <c r="LD82"/>
      <c r="LE82"/>
      <c r="LF82"/>
      <c r="LG82"/>
      <c r="LH82"/>
      <c r="LI82"/>
      <c r="LJ82"/>
      <c r="LK82"/>
      <c r="LL82"/>
      <c r="LM82"/>
      <c r="LN82"/>
      <c r="LO82"/>
      <c r="LP82"/>
      <c r="LQ82"/>
      <c r="LR82"/>
      <c r="LS82"/>
      <c r="LT82"/>
      <c r="LU82"/>
      <c r="LV82"/>
      <c r="LW82"/>
      <c r="LX82"/>
      <c r="LY82"/>
      <c r="LZ82"/>
      <c r="MA82"/>
      <c r="MB82"/>
      <c r="MC82"/>
      <c r="MD82"/>
      <c r="ME82"/>
      <c r="MF82"/>
      <c r="MG82"/>
      <c r="MH82"/>
      <c r="MI82"/>
      <c r="MJ82"/>
      <c r="MK82"/>
      <c r="ML82"/>
      <c r="MM82"/>
      <c r="MN82"/>
      <c r="MO82"/>
      <c r="MP82"/>
      <c r="MQ82"/>
      <c r="MR82"/>
      <c r="MS82"/>
      <c r="MT82"/>
      <c r="MU82"/>
      <c r="MV82"/>
      <c r="MW82"/>
      <c r="MX82"/>
      <c r="MY82"/>
      <c r="MZ82"/>
    </row>
    <row r="83" spans="1:366" ht="17.25" customHeight="1"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U83" s="150"/>
      <c r="V83" s="83" t="s">
        <v>1769</v>
      </c>
      <c r="W83" s="143"/>
      <c r="X83" s="90"/>
      <c r="Y83" s="90"/>
      <c r="Z83" s="90"/>
      <c r="AA83" s="90">
        <v>-354201.87</v>
      </c>
      <c r="AB83" s="90"/>
      <c r="AC83" s="90"/>
      <c r="AD83" s="90"/>
      <c r="AE83" s="90"/>
      <c r="AF83" s="90"/>
      <c r="AG83" s="90"/>
      <c r="AH83" s="90"/>
      <c r="AI83" s="90"/>
      <c r="AJ83" s="90"/>
      <c r="AK83" s="90"/>
      <c r="AL83" s="90">
        <v>-196474.88999999998</v>
      </c>
      <c r="AM83" s="90"/>
      <c r="AN83" s="90"/>
      <c r="AO83" s="90"/>
      <c r="AP83" s="90"/>
      <c r="AQ83" s="90"/>
      <c r="AR83" s="90"/>
      <c r="AS83" s="90"/>
      <c r="AT83" s="90"/>
      <c r="AU83" s="90"/>
      <c r="AV83" s="90"/>
      <c r="AW83" s="90"/>
      <c r="AX83" s="90"/>
      <c r="AY83" s="90"/>
      <c r="AZ83" s="90"/>
      <c r="BA83" s="90"/>
      <c r="BB83" s="90"/>
      <c r="BC83" s="90"/>
      <c r="BD83" s="90"/>
      <c r="BE83" s="90"/>
      <c r="BF83" s="90"/>
      <c r="BG83" s="90"/>
      <c r="BH83" s="90"/>
      <c r="BI83" s="90"/>
      <c r="BJ83" s="90"/>
      <c r="BK83" s="90"/>
      <c r="BL83" s="90"/>
      <c r="BM83" s="90"/>
      <c r="BN83" s="90"/>
      <c r="BO83" s="90"/>
      <c r="BP83" s="90"/>
      <c r="BQ83" s="90"/>
      <c r="BR83" s="90"/>
      <c r="BS83" s="90"/>
      <c r="BT83" s="90"/>
      <c r="BU83" s="90"/>
      <c r="BV83" s="90"/>
      <c r="BW83" s="90"/>
      <c r="BX83" s="90"/>
      <c r="BY83" s="90"/>
      <c r="BZ83" s="90"/>
      <c r="CA83" s="90"/>
      <c r="CB83" s="90"/>
      <c r="CC83" s="90"/>
      <c r="CD83" s="90"/>
      <c r="CE83" s="90"/>
      <c r="CF83" s="90"/>
      <c r="CG83" s="90"/>
      <c r="CH83" s="90"/>
      <c r="CI83" s="90"/>
      <c r="CJ83" s="90"/>
      <c r="CK83" s="90"/>
      <c r="CL83" s="90"/>
      <c r="CM83" s="90"/>
      <c r="CN83" s="90"/>
      <c r="CO83" s="90"/>
      <c r="CP83" s="90"/>
      <c r="CQ83" s="90"/>
      <c r="CR83" s="90"/>
      <c r="CS83" s="90"/>
      <c r="CT83" s="90"/>
      <c r="CU83" s="90"/>
      <c r="CV83" s="90"/>
      <c r="CW83" s="90"/>
      <c r="CX83" s="90"/>
      <c r="CY83" s="90"/>
      <c r="CZ83" s="90"/>
      <c r="DA83" s="90"/>
      <c r="DB83" s="90"/>
      <c r="DC83" s="90"/>
      <c r="DD83" s="90"/>
      <c r="DE83" s="90"/>
      <c r="DF83" s="90"/>
      <c r="DG83" s="90"/>
      <c r="DH83" s="90"/>
      <c r="DI83" s="90"/>
      <c r="DJ83" s="90"/>
      <c r="DK83" s="90"/>
      <c r="DL83" s="90"/>
      <c r="DM83" s="90"/>
      <c r="DN83" s="90"/>
      <c r="DO83" s="90"/>
      <c r="DP83" s="90"/>
      <c r="DQ83" s="90"/>
      <c r="DR83" s="90"/>
      <c r="DS83" s="90"/>
      <c r="DT83" s="90"/>
      <c r="DU83" s="90"/>
      <c r="DV83" s="90"/>
      <c r="DW83" s="90"/>
      <c r="DX83" s="90"/>
      <c r="DY83" s="90"/>
      <c r="DZ83" s="90"/>
      <c r="EA83" s="90"/>
      <c r="EB83" s="90"/>
      <c r="EC83" s="90"/>
      <c r="ED83" s="90"/>
      <c r="EE83" s="90"/>
      <c r="EF83" s="90"/>
      <c r="EG83" s="90"/>
      <c r="EH83" s="90"/>
      <c r="EI83" s="90"/>
      <c r="EJ83" s="90"/>
      <c r="EK83" s="90"/>
      <c r="EL83" s="90"/>
      <c r="EM83" s="90"/>
      <c r="EN83" s="90"/>
      <c r="EO83" s="90"/>
      <c r="EP83" s="90"/>
      <c r="EQ83" s="90"/>
      <c r="ER83" s="90"/>
      <c r="ES83" s="90"/>
      <c r="ET83" s="90"/>
      <c r="EU83" s="90"/>
      <c r="EV83" s="90"/>
      <c r="EW83" s="90"/>
      <c r="EX83" s="90"/>
      <c r="EY83" s="90"/>
      <c r="EZ83" s="90"/>
      <c r="FA83" s="90"/>
      <c r="FB83" s="88">
        <v>-550676.76</v>
      </c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LF83"/>
      <c r="LG83"/>
      <c r="LH83"/>
      <c r="LI83"/>
      <c r="LJ83"/>
      <c r="LK83"/>
      <c r="LL83"/>
      <c r="LM83"/>
      <c r="LN83"/>
      <c r="LO83"/>
      <c r="LP83"/>
      <c r="LQ83"/>
      <c r="LR83"/>
      <c r="LS83"/>
      <c r="LT83"/>
      <c r="LU83"/>
      <c r="LV83"/>
      <c r="LW83"/>
      <c r="LX83"/>
      <c r="LY83"/>
      <c r="LZ83"/>
      <c r="MA83"/>
      <c r="MB83"/>
      <c r="MC83"/>
      <c r="MD83"/>
      <c r="ME83"/>
      <c r="MF83"/>
      <c r="MG83"/>
      <c r="MH83"/>
      <c r="MI83"/>
      <c r="MJ83"/>
      <c r="MK83"/>
      <c r="ML83"/>
      <c r="MM83"/>
      <c r="MN83"/>
      <c r="MO83"/>
      <c r="MP83"/>
      <c r="MQ83"/>
      <c r="MR83"/>
      <c r="MS83"/>
      <c r="MT83"/>
      <c r="MU83"/>
      <c r="MV83"/>
      <c r="MW83"/>
      <c r="MX83"/>
      <c r="MY83"/>
      <c r="MZ83"/>
      <c r="NA83" s="2"/>
      <c r="NB83" s="2"/>
    </row>
    <row r="84" spans="1:366" ht="17.25" customHeight="1"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U84" s="150"/>
      <c r="V84" s="83" t="s">
        <v>885</v>
      </c>
      <c r="W84" s="143"/>
      <c r="X84" s="90"/>
      <c r="Y84" s="90"/>
      <c r="Z84" s="90"/>
      <c r="AA84" s="90"/>
      <c r="AB84" s="90"/>
      <c r="AC84" s="90"/>
      <c r="AD84" s="90"/>
      <c r="AE84" s="90"/>
      <c r="AF84" s="90"/>
      <c r="AG84" s="90"/>
      <c r="AH84" s="90"/>
      <c r="AI84" s="90"/>
      <c r="AJ84" s="90"/>
      <c r="AK84" s="90"/>
      <c r="AL84" s="90"/>
      <c r="AM84" s="90"/>
      <c r="AN84" s="90"/>
      <c r="AO84" s="90"/>
      <c r="AP84" s="90"/>
      <c r="AQ84" s="90"/>
      <c r="AR84" s="90"/>
      <c r="AS84" s="90"/>
      <c r="AT84" s="90"/>
      <c r="AU84" s="90"/>
      <c r="AV84" s="90"/>
      <c r="AW84" s="90"/>
      <c r="AX84" s="90"/>
      <c r="AY84" s="90"/>
      <c r="AZ84" s="90"/>
      <c r="BA84" s="90"/>
      <c r="BB84" s="90"/>
      <c r="BC84" s="90"/>
      <c r="BD84" s="90"/>
      <c r="BE84" s="90"/>
      <c r="BF84" s="90"/>
      <c r="BG84" s="90">
        <v>0</v>
      </c>
      <c r="BH84" s="90"/>
      <c r="BI84" s="90"/>
      <c r="BJ84" s="90"/>
      <c r="BK84" s="90"/>
      <c r="BL84" s="90"/>
      <c r="BM84" s="90"/>
      <c r="BN84" s="90"/>
      <c r="BO84" s="90"/>
      <c r="BP84" s="90"/>
      <c r="BQ84" s="90"/>
      <c r="BR84" s="90"/>
      <c r="BS84" s="90"/>
      <c r="BT84" s="90"/>
      <c r="BU84" s="90"/>
      <c r="BV84" s="90"/>
      <c r="BW84" s="90"/>
      <c r="BX84" s="90"/>
      <c r="BY84" s="90"/>
      <c r="BZ84" s="90"/>
      <c r="CA84" s="90"/>
      <c r="CB84" s="90"/>
      <c r="CC84" s="90"/>
      <c r="CD84" s="90"/>
      <c r="CE84" s="90"/>
      <c r="CF84" s="90"/>
      <c r="CG84" s="90"/>
      <c r="CH84" s="90"/>
      <c r="CI84" s="90"/>
      <c r="CJ84" s="90"/>
      <c r="CK84" s="90"/>
      <c r="CL84" s="90"/>
      <c r="CM84" s="90"/>
      <c r="CN84" s="90"/>
      <c r="CO84" s="90"/>
      <c r="CP84" s="90"/>
      <c r="CQ84" s="90"/>
      <c r="CR84" s="90"/>
      <c r="CS84" s="90"/>
      <c r="CT84" s="90"/>
      <c r="CU84" s="90"/>
      <c r="CV84" s="90"/>
      <c r="CW84" s="90"/>
      <c r="CX84" s="90"/>
      <c r="CY84" s="90"/>
      <c r="CZ84" s="90"/>
      <c r="DA84" s="90"/>
      <c r="DB84" s="90"/>
      <c r="DC84" s="90"/>
      <c r="DD84" s="90"/>
      <c r="DE84" s="90"/>
      <c r="DF84" s="90"/>
      <c r="DG84" s="90"/>
      <c r="DH84" s="90"/>
      <c r="DI84" s="90"/>
      <c r="DJ84" s="90"/>
      <c r="DK84" s="90"/>
      <c r="DL84" s="90"/>
      <c r="DM84" s="90"/>
      <c r="DN84" s="90"/>
      <c r="DO84" s="90"/>
      <c r="DP84" s="90"/>
      <c r="DQ84" s="90"/>
      <c r="DR84" s="90"/>
      <c r="DS84" s="90"/>
      <c r="DT84" s="90"/>
      <c r="DU84" s="90"/>
      <c r="DV84" s="90"/>
      <c r="DW84" s="90"/>
      <c r="DX84" s="90"/>
      <c r="DY84" s="90"/>
      <c r="DZ84" s="90"/>
      <c r="EA84" s="90"/>
      <c r="EB84" s="90"/>
      <c r="EC84" s="90"/>
      <c r="ED84" s="90"/>
      <c r="EE84" s="90"/>
      <c r="EF84" s="90"/>
      <c r="EG84" s="90"/>
      <c r="EH84" s="90"/>
      <c r="EI84" s="90"/>
      <c r="EJ84" s="90"/>
      <c r="EK84" s="90"/>
      <c r="EL84" s="90"/>
      <c r="EM84" s="90"/>
      <c r="EN84" s="90"/>
      <c r="EO84" s="90"/>
      <c r="EP84" s="90"/>
      <c r="EQ84" s="90"/>
      <c r="ER84" s="90"/>
      <c r="ES84" s="90"/>
      <c r="ET84" s="90"/>
      <c r="EU84" s="90"/>
      <c r="EV84" s="90"/>
      <c r="EW84" s="90"/>
      <c r="EX84" s="90"/>
      <c r="EY84" s="90"/>
      <c r="EZ84" s="90"/>
      <c r="FA84" s="90"/>
      <c r="FB84" s="88">
        <v>0</v>
      </c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  <c r="LM84"/>
      <c r="LN84"/>
      <c r="LO84"/>
      <c r="LP84"/>
      <c r="LQ84"/>
      <c r="LR84"/>
      <c r="LS84"/>
      <c r="LT84"/>
      <c r="LU84"/>
      <c r="LV84"/>
      <c r="LW84"/>
      <c r="LX84"/>
      <c r="LY84"/>
      <c r="LZ84"/>
      <c r="MA84"/>
      <c r="MB84"/>
      <c r="MC84"/>
      <c r="MD84"/>
      <c r="ME84"/>
      <c r="MF84"/>
      <c r="MG84"/>
      <c r="MH84"/>
      <c r="MI84"/>
      <c r="MJ84"/>
      <c r="MK84"/>
      <c r="ML84"/>
      <c r="MM84"/>
      <c r="MN84"/>
      <c r="MO84"/>
      <c r="MP84"/>
      <c r="MQ84"/>
      <c r="MR84"/>
      <c r="MS84"/>
      <c r="MT84"/>
      <c r="MU84"/>
      <c r="MV84"/>
      <c r="MW84"/>
      <c r="MX84"/>
      <c r="MY84"/>
      <c r="MZ84"/>
    </row>
    <row r="85" spans="1:366" ht="12.75"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U85" s="150"/>
      <c r="V85" s="83" t="s">
        <v>283</v>
      </c>
      <c r="W85" s="143"/>
      <c r="X85" s="90"/>
      <c r="Y85" s="90"/>
      <c r="Z85" s="90"/>
      <c r="AA85" s="90"/>
      <c r="AB85" s="90"/>
      <c r="AC85" s="90"/>
      <c r="AD85" s="90"/>
      <c r="AE85" s="90"/>
      <c r="AF85" s="90"/>
      <c r="AG85" s="90"/>
      <c r="AH85" s="90"/>
      <c r="AI85" s="90"/>
      <c r="AJ85" s="90"/>
      <c r="AK85" s="90"/>
      <c r="AL85" s="90"/>
      <c r="AM85" s="90"/>
      <c r="AN85" s="90"/>
      <c r="AO85" s="90"/>
      <c r="AP85" s="90"/>
      <c r="AQ85" s="90"/>
      <c r="AR85" s="90"/>
      <c r="AS85" s="90"/>
      <c r="AT85" s="90">
        <v>276838.37</v>
      </c>
      <c r="AU85" s="90"/>
      <c r="AV85" s="90"/>
      <c r="AW85" s="90"/>
      <c r="AX85" s="90">
        <v>494940.13999999996</v>
      </c>
      <c r="AY85" s="90"/>
      <c r="AZ85" s="90"/>
      <c r="BA85" s="90"/>
      <c r="BB85" s="90"/>
      <c r="BC85" s="90"/>
      <c r="BD85" s="90"/>
      <c r="BE85" s="90"/>
      <c r="BF85" s="90"/>
      <c r="BG85" s="90"/>
      <c r="BH85" s="90"/>
      <c r="BI85" s="90"/>
      <c r="BJ85" s="90"/>
      <c r="BK85" s="90"/>
      <c r="BL85" s="90"/>
      <c r="BM85" s="90"/>
      <c r="BN85" s="90"/>
      <c r="BO85" s="90"/>
      <c r="BP85" s="90"/>
      <c r="BQ85" s="90"/>
      <c r="BR85" s="90"/>
      <c r="BS85" s="90"/>
      <c r="BT85" s="90"/>
      <c r="BU85" s="90"/>
      <c r="BV85" s="90"/>
      <c r="BW85" s="90"/>
      <c r="BX85" s="90"/>
      <c r="BY85" s="90"/>
      <c r="BZ85" s="90"/>
      <c r="CA85" s="90"/>
      <c r="CB85" s="90"/>
      <c r="CC85" s="90"/>
      <c r="CD85" s="90"/>
      <c r="CE85" s="90"/>
      <c r="CF85" s="90"/>
      <c r="CG85" s="90"/>
      <c r="CH85" s="90"/>
      <c r="CI85" s="90"/>
      <c r="CJ85" s="90"/>
      <c r="CK85" s="90"/>
      <c r="CL85" s="90"/>
      <c r="CM85" s="90"/>
      <c r="CN85" s="90"/>
      <c r="CO85" s="90"/>
      <c r="CP85" s="90"/>
      <c r="CQ85" s="90"/>
      <c r="CR85" s="90"/>
      <c r="CS85" s="90"/>
      <c r="CT85" s="90"/>
      <c r="CU85" s="90"/>
      <c r="CV85" s="90"/>
      <c r="CW85" s="90"/>
      <c r="CX85" s="90"/>
      <c r="CY85" s="90"/>
      <c r="CZ85" s="90"/>
      <c r="DA85" s="90"/>
      <c r="DB85" s="90"/>
      <c r="DC85" s="90"/>
      <c r="DD85" s="90"/>
      <c r="DE85" s="90"/>
      <c r="DF85" s="90"/>
      <c r="DG85" s="90"/>
      <c r="DH85" s="90"/>
      <c r="DI85" s="90"/>
      <c r="DJ85" s="90"/>
      <c r="DK85" s="90"/>
      <c r="DL85" s="90"/>
      <c r="DM85" s="90"/>
      <c r="DN85" s="90"/>
      <c r="DO85" s="90"/>
      <c r="DP85" s="90"/>
      <c r="DQ85" s="90"/>
      <c r="DR85" s="90"/>
      <c r="DS85" s="90"/>
      <c r="DT85" s="90"/>
      <c r="DU85" s="90"/>
      <c r="DV85" s="90"/>
      <c r="DW85" s="90"/>
      <c r="DX85" s="90">
        <v>35948.199999999997</v>
      </c>
      <c r="DY85" s="90"/>
      <c r="DZ85" s="90"/>
      <c r="EA85" s="90"/>
      <c r="EB85" s="90">
        <v>320445.18</v>
      </c>
      <c r="EC85" s="90"/>
      <c r="ED85" s="90"/>
      <c r="EE85" s="90"/>
      <c r="EF85" s="90"/>
      <c r="EG85" s="90"/>
      <c r="EH85" s="90"/>
      <c r="EI85" s="90"/>
      <c r="EJ85" s="90"/>
      <c r="EK85" s="90"/>
      <c r="EL85" s="90"/>
      <c r="EM85" s="90"/>
      <c r="EN85" s="90"/>
      <c r="EO85" s="90"/>
      <c r="EP85" s="90"/>
      <c r="EQ85" s="90"/>
      <c r="ER85" s="90"/>
      <c r="ES85" s="90"/>
      <c r="ET85" s="90"/>
      <c r="EU85" s="90"/>
      <c r="EV85" s="90"/>
      <c r="EW85" s="90">
        <v>193582.06</v>
      </c>
      <c r="EX85" s="90"/>
      <c r="EY85" s="90"/>
      <c r="EZ85" s="90"/>
      <c r="FA85" s="90"/>
      <c r="FB85" s="88">
        <v>1321753.95</v>
      </c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LF85"/>
      <c r="LG85"/>
      <c r="LH85"/>
      <c r="LI85"/>
      <c r="LJ85"/>
      <c r="LK85"/>
      <c r="LL85"/>
      <c r="LM85"/>
      <c r="LN85"/>
      <c r="LO85"/>
      <c r="LP85"/>
      <c r="LQ85"/>
      <c r="LR85"/>
      <c r="LS85"/>
      <c r="LT85"/>
      <c r="LU85"/>
      <c r="LV85"/>
      <c r="LW85"/>
      <c r="LX85"/>
      <c r="LY85"/>
      <c r="LZ85"/>
      <c r="MA85"/>
      <c r="MB85"/>
      <c r="MC85"/>
      <c r="MD85"/>
      <c r="ME85"/>
      <c r="MF85"/>
      <c r="MG85"/>
      <c r="MH85"/>
      <c r="MI85"/>
      <c r="MJ85"/>
      <c r="MK85"/>
      <c r="ML85"/>
      <c r="MM85"/>
      <c r="MN85"/>
      <c r="MO85"/>
      <c r="MP85"/>
      <c r="MQ85"/>
      <c r="MR85"/>
      <c r="MS85"/>
      <c r="MT85"/>
      <c r="MU85"/>
      <c r="MV85"/>
      <c r="MW85"/>
      <c r="MX85"/>
      <c r="MY85"/>
      <c r="MZ85"/>
    </row>
    <row r="86" spans="1:366" ht="12" customHeight="1"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6"/>
      <c r="U86" s="150"/>
      <c r="V86" s="83" t="s">
        <v>289</v>
      </c>
      <c r="W86" s="143"/>
      <c r="X86" s="90"/>
      <c r="Y86" s="90"/>
      <c r="Z86" s="90"/>
      <c r="AA86" s="90"/>
      <c r="AB86" s="90"/>
      <c r="AC86" s="90"/>
      <c r="AD86" s="90"/>
      <c r="AE86" s="90"/>
      <c r="AF86" s="90"/>
      <c r="AG86" s="90"/>
      <c r="AH86" s="90"/>
      <c r="AI86" s="90"/>
      <c r="AJ86" s="90"/>
      <c r="AK86" s="90"/>
      <c r="AL86" s="90"/>
      <c r="AM86" s="90"/>
      <c r="AN86" s="90"/>
      <c r="AO86" s="90"/>
      <c r="AP86" s="90"/>
      <c r="AQ86" s="90"/>
      <c r="AR86" s="90">
        <v>13067546.48</v>
      </c>
      <c r="AS86" s="90">
        <v>3375900</v>
      </c>
      <c r="AT86" s="90"/>
      <c r="AU86" s="90"/>
      <c r="AV86" s="90"/>
      <c r="AW86" s="90">
        <v>-1756615.1300000001</v>
      </c>
      <c r="AX86" s="90">
        <v>13371285.51</v>
      </c>
      <c r="AY86" s="90"/>
      <c r="AZ86" s="90">
        <v>3375900</v>
      </c>
      <c r="BA86" s="90">
        <v>3267000</v>
      </c>
      <c r="BB86" s="90"/>
      <c r="BC86" s="90"/>
      <c r="BD86" s="90">
        <v>13224798.159999998</v>
      </c>
      <c r="BE86" s="90"/>
      <c r="BF86" s="90"/>
      <c r="BG86" s="90"/>
      <c r="BH86" s="90"/>
      <c r="BI86" s="90"/>
      <c r="BJ86" s="90"/>
      <c r="BK86" s="90"/>
      <c r="BL86" s="90"/>
      <c r="BM86" s="90"/>
      <c r="BN86" s="90"/>
      <c r="BO86" s="90"/>
      <c r="BP86" s="90"/>
      <c r="BQ86" s="90"/>
      <c r="BR86" s="90"/>
      <c r="BS86" s="90"/>
      <c r="BT86" s="90"/>
      <c r="BU86" s="90"/>
      <c r="BV86" s="90"/>
      <c r="BW86" s="90"/>
      <c r="BX86" s="90"/>
      <c r="BY86" s="90"/>
      <c r="BZ86" s="90"/>
      <c r="CA86" s="90"/>
      <c r="CB86" s="90"/>
      <c r="CC86" s="90"/>
      <c r="CD86" s="90"/>
      <c r="CE86" s="90"/>
      <c r="CF86" s="90"/>
      <c r="CG86" s="90"/>
      <c r="CH86" s="90"/>
      <c r="CI86" s="90"/>
      <c r="CJ86" s="90"/>
      <c r="CK86" s="90"/>
      <c r="CL86" s="90"/>
      <c r="CM86" s="90"/>
      <c r="CN86" s="90"/>
      <c r="CO86" s="90"/>
      <c r="CP86" s="90"/>
      <c r="CQ86" s="90"/>
      <c r="CR86" s="90"/>
      <c r="CS86" s="90"/>
      <c r="CT86" s="90"/>
      <c r="CU86" s="90"/>
      <c r="CV86" s="90"/>
      <c r="CW86" s="90"/>
      <c r="CX86" s="90"/>
      <c r="CY86" s="90"/>
      <c r="CZ86" s="90"/>
      <c r="DA86" s="90"/>
      <c r="DB86" s="90"/>
      <c r="DC86" s="90"/>
      <c r="DD86" s="90"/>
      <c r="DE86" s="90"/>
      <c r="DF86" s="90"/>
      <c r="DG86" s="90"/>
      <c r="DH86" s="90"/>
      <c r="DI86" s="90"/>
      <c r="DJ86" s="90"/>
      <c r="DK86" s="90"/>
      <c r="DL86" s="90"/>
      <c r="DM86" s="90"/>
      <c r="DN86" s="90"/>
      <c r="DO86" s="90"/>
      <c r="DP86" s="90"/>
      <c r="DQ86" s="90"/>
      <c r="DR86" s="90"/>
      <c r="DS86" s="90"/>
      <c r="DT86" s="90"/>
      <c r="DU86" s="90"/>
      <c r="DV86" s="90"/>
      <c r="DW86" s="90"/>
      <c r="DX86" s="90"/>
      <c r="DY86" s="90"/>
      <c r="DZ86" s="90"/>
      <c r="EA86" s="90"/>
      <c r="EB86" s="90"/>
      <c r="EC86" s="90"/>
      <c r="ED86" s="90"/>
      <c r="EE86" s="90"/>
      <c r="EF86" s="90"/>
      <c r="EG86" s="90"/>
      <c r="EH86" s="90"/>
      <c r="EI86" s="90"/>
      <c r="EJ86" s="90"/>
      <c r="EK86" s="90"/>
      <c r="EL86" s="90"/>
      <c r="EM86" s="90"/>
      <c r="EN86" s="90"/>
      <c r="EO86" s="90"/>
      <c r="EP86" s="90"/>
      <c r="EQ86" s="90"/>
      <c r="ER86" s="90"/>
      <c r="ES86" s="90"/>
      <c r="ET86" s="90"/>
      <c r="EU86" s="90"/>
      <c r="EV86" s="90"/>
      <c r="EW86" s="90"/>
      <c r="EX86" s="90"/>
      <c r="EY86" s="90"/>
      <c r="EZ86" s="90"/>
      <c r="FA86" s="90"/>
      <c r="FB86" s="88">
        <v>47925815.019999996</v>
      </c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  <c r="LM86"/>
      <c r="LN86"/>
      <c r="LO86"/>
      <c r="LP86"/>
      <c r="LQ86"/>
      <c r="LR86"/>
      <c r="LS86"/>
      <c r="LT86"/>
      <c r="LU86"/>
      <c r="LV86"/>
      <c r="LW86"/>
      <c r="LX86"/>
      <c r="LY86"/>
      <c r="LZ86"/>
      <c r="MA86"/>
      <c r="MB86"/>
      <c r="MC86"/>
      <c r="MD86"/>
      <c r="ME86"/>
      <c r="MF86"/>
      <c r="MG86"/>
      <c r="MH86"/>
      <c r="MI86"/>
      <c r="MJ86"/>
      <c r="MK86"/>
      <c r="ML86"/>
      <c r="MM86"/>
      <c r="MN86"/>
      <c r="MO86"/>
      <c r="MP86"/>
      <c r="MQ86"/>
      <c r="MR86"/>
      <c r="MS86"/>
      <c r="MT86"/>
      <c r="MU86"/>
      <c r="MV86"/>
      <c r="MW86"/>
      <c r="MX86"/>
      <c r="MY86"/>
      <c r="MZ86"/>
    </row>
    <row r="87" spans="1:366" ht="12.75">
      <c r="C87" s="2"/>
      <c r="D87" s="1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U87" s="150"/>
      <c r="V87" s="83" t="s">
        <v>281</v>
      </c>
      <c r="W87" s="143"/>
      <c r="X87" s="90"/>
      <c r="Y87" s="90"/>
      <c r="Z87" s="90"/>
      <c r="AA87" s="90"/>
      <c r="AB87" s="90"/>
      <c r="AC87" s="90"/>
      <c r="AD87" s="90"/>
      <c r="AE87" s="90">
        <v>1343288.03</v>
      </c>
      <c r="AF87" s="90"/>
      <c r="AG87" s="90"/>
      <c r="AH87" s="90"/>
      <c r="AI87" s="90"/>
      <c r="AJ87" s="90"/>
      <c r="AK87" s="90"/>
      <c r="AL87" s="90"/>
      <c r="AM87" s="90"/>
      <c r="AN87" s="90"/>
      <c r="AO87" s="90"/>
      <c r="AP87" s="90"/>
      <c r="AQ87" s="90"/>
      <c r="AR87" s="90">
        <v>-344304.08</v>
      </c>
      <c r="AS87" s="90">
        <v>-10972.009999999998</v>
      </c>
      <c r="AT87" s="90"/>
      <c r="AU87" s="90"/>
      <c r="AV87" s="90">
        <v>-6816.6399999999994</v>
      </c>
      <c r="AW87" s="90"/>
      <c r="AX87" s="90">
        <v>-368082.20999999996</v>
      </c>
      <c r="AY87" s="90">
        <v>-170.1</v>
      </c>
      <c r="AZ87" s="90">
        <v>-16461.439999999999</v>
      </c>
      <c r="BA87" s="90">
        <v>-35241.279999999999</v>
      </c>
      <c r="BB87" s="90"/>
      <c r="BC87" s="90"/>
      <c r="BD87" s="90">
        <v>-430271.58999999997</v>
      </c>
      <c r="BE87" s="90"/>
      <c r="BF87" s="90"/>
      <c r="BG87" s="90">
        <v>0</v>
      </c>
      <c r="BH87" s="90"/>
      <c r="BI87" s="90"/>
      <c r="BJ87" s="90"/>
      <c r="BK87" s="90"/>
      <c r="BL87" s="90"/>
      <c r="BM87" s="90"/>
      <c r="BN87" s="90"/>
      <c r="BO87" s="90"/>
      <c r="BP87" s="90"/>
      <c r="BQ87" s="90"/>
      <c r="BR87" s="90"/>
      <c r="BS87" s="90"/>
      <c r="BT87" s="90"/>
      <c r="BU87" s="90"/>
      <c r="BV87" s="90"/>
      <c r="BW87" s="90"/>
      <c r="BX87" s="90"/>
      <c r="BY87" s="90"/>
      <c r="BZ87" s="90"/>
      <c r="CA87" s="90"/>
      <c r="CB87" s="90"/>
      <c r="CC87" s="90"/>
      <c r="CD87" s="90"/>
      <c r="CE87" s="90"/>
      <c r="CF87" s="90"/>
      <c r="CG87" s="90"/>
      <c r="CH87" s="90"/>
      <c r="CI87" s="90"/>
      <c r="CJ87" s="90"/>
      <c r="CK87" s="90"/>
      <c r="CL87" s="90"/>
      <c r="CM87" s="90"/>
      <c r="CN87" s="90"/>
      <c r="CO87" s="90"/>
      <c r="CP87" s="90"/>
      <c r="CQ87" s="90"/>
      <c r="CR87" s="90"/>
      <c r="CS87" s="90"/>
      <c r="CT87" s="90"/>
      <c r="CU87" s="90"/>
      <c r="CV87" s="90"/>
      <c r="CW87" s="90"/>
      <c r="CX87" s="90"/>
      <c r="CY87" s="90"/>
      <c r="CZ87" s="90"/>
      <c r="DA87" s="90"/>
      <c r="DB87" s="90"/>
      <c r="DC87" s="90"/>
      <c r="DD87" s="90"/>
      <c r="DE87" s="90"/>
      <c r="DF87" s="90"/>
      <c r="DG87" s="90"/>
      <c r="DH87" s="90"/>
      <c r="DI87" s="90"/>
      <c r="DJ87" s="90"/>
      <c r="DK87" s="90"/>
      <c r="DL87" s="90"/>
      <c r="DM87" s="90"/>
      <c r="DN87" s="90"/>
      <c r="DO87" s="90"/>
      <c r="DP87" s="90"/>
      <c r="DQ87" s="90"/>
      <c r="DR87" s="90"/>
      <c r="DS87" s="90"/>
      <c r="DT87" s="90"/>
      <c r="DU87" s="90"/>
      <c r="DV87" s="90"/>
      <c r="DW87" s="90"/>
      <c r="DX87" s="90"/>
      <c r="DY87" s="90"/>
      <c r="DZ87" s="90"/>
      <c r="EA87" s="90"/>
      <c r="EB87" s="90"/>
      <c r="EC87" s="90"/>
      <c r="ED87" s="90"/>
      <c r="EE87" s="90"/>
      <c r="EF87" s="90"/>
      <c r="EG87" s="90"/>
      <c r="EH87" s="90"/>
      <c r="EI87" s="90"/>
      <c r="EJ87" s="90"/>
      <c r="EK87" s="90"/>
      <c r="EL87" s="90"/>
      <c r="EM87" s="90"/>
      <c r="EN87" s="90"/>
      <c r="EO87" s="90"/>
      <c r="EP87" s="90"/>
      <c r="EQ87" s="90"/>
      <c r="ER87" s="90"/>
      <c r="ES87" s="90"/>
      <c r="ET87" s="90"/>
      <c r="EU87" s="90"/>
      <c r="EV87" s="90"/>
      <c r="EW87" s="90"/>
      <c r="EX87" s="90"/>
      <c r="EY87" s="90"/>
      <c r="EZ87" s="90"/>
      <c r="FA87" s="90"/>
      <c r="FB87" s="88">
        <v>130968.68000000005</v>
      </c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LF87"/>
      <c r="LG87"/>
      <c r="LH87"/>
      <c r="LI87"/>
      <c r="LJ87"/>
      <c r="LK87"/>
      <c r="LL87"/>
      <c r="LM87"/>
      <c r="LN87"/>
      <c r="LO87"/>
      <c r="LP87"/>
      <c r="LQ87"/>
      <c r="LR87"/>
      <c r="LS87"/>
      <c r="LT87"/>
      <c r="LU87"/>
      <c r="LV87"/>
      <c r="LW87"/>
      <c r="LX87"/>
      <c r="LY87"/>
      <c r="LZ87"/>
      <c r="MA87"/>
      <c r="MB87"/>
      <c r="MC87"/>
      <c r="MD87"/>
      <c r="ME87"/>
      <c r="MF87"/>
      <c r="MG87"/>
      <c r="MH87"/>
      <c r="MI87"/>
      <c r="MJ87"/>
      <c r="MK87"/>
      <c r="ML87"/>
      <c r="MM87"/>
      <c r="MN87"/>
      <c r="MO87"/>
      <c r="MP87"/>
      <c r="MQ87"/>
      <c r="MR87"/>
      <c r="MS87"/>
      <c r="MT87"/>
      <c r="MU87"/>
      <c r="MV87"/>
      <c r="MW87"/>
      <c r="MX87"/>
      <c r="MY87"/>
      <c r="MZ87"/>
    </row>
    <row r="88" spans="1:366" ht="12.75"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U88" s="150"/>
      <c r="V88" s="83" t="s">
        <v>1779</v>
      </c>
      <c r="W88" s="143"/>
      <c r="X88" s="90"/>
      <c r="Y88" s="90"/>
      <c r="Z88" s="90"/>
      <c r="AA88" s="90"/>
      <c r="AB88" s="90"/>
      <c r="AC88" s="90"/>
      <c r="AD88" s="90"/>
      <c r="AE88" s="90"/>
      <c r="AF88" s="90"/>
      <c r="AG88" s="90"/>
      <c r="AH88" s="90"/>
      <c r="AI88" s="90"/>
      <c r="AJ88" s="90"/>
      <c r="AK88" s="90"/>
      <c r="AL88" s="90"/>
      <c r="AM88" s="90"/>
      <c r="AN88" s="90"/>
      <c r="AO88" s="90"/>
      <c r="AP88" s="90"/>
      <c r="AQ88" s="90"/>
      <c r="AR88" s="90"/>
      <c r="AS88" s="90"/>
      <c r="AT88" s="90"/>
      <c r="AU88" s="90"/>
      <c r="AV88" s="90"/>
      <c r="AW88" s="90"/>
      <c r="AX88" s="90"/>
      <c r="AY88" s="90"/>
      <c r="AZ88" s="90"/>
      <c r="BA88" s="90"/>
      <c r="BB88" s="90"/>
      <c r="BC88" s="90"/>
      <c r="BD88" s="90"/>
      <c r="BE88" s="90"/>
      <c r="BF88" s="90"/>
      <c r="BG88" s="90"/>
      <c r="BH88" s="90"/>
      <c r="BI88" s="90"/>
      <c r="BJ88" s="90"/>
      <c r="BK88" s="90"/>
      <c r="BL88" s="90"/>
      <c r="BM88" s="90"/>
      <c r="BN88" s="90"/>
      <c r="BO88" s="90"/>
      <c r="BP88" s="90"/>
      <c r="BQ88" s="90"/>
      <c r="BR88" s="90"/>
      <c r="BS88" s="90"/>
      <c r="BT88" s="90"/>
      <c r="BU88" s="90"/>
      <c r="BV88" s="90"/>
      <c r="BW88" s="90"/>
      <c r="BX88" s="90"/>
      <c r="BY88" s="90"/>
      <c r="BZ88" s="90"/>
      <c r="CA88" s="90"/>
      <c r="CB88" s="90"/>
      <c r="CC88" s="90"/>
      <c r="CD88" s="90"/>
      <c r="CE88" s="90"/>
      <c r="CF88" s="90"/>
      <c r="CG88" s="90"/>
      <c r="CH88" s="90"/>
      <c r="CI88" s="90"/>
      <c r="CJ88" s="90"/>
      <c r="CK88" s="90"/>
      <c r="CL88" s="90"/>
      <c r="CM88" s="90"/>
      <c r="CN88" s="90"/>
      <c r="CO88" s="90"/>
      <c r="CP88" s="90"/>
      <c r="CQ88" s="90"/>
      <c r="CR88" s="90"/>
      <c r="CS88" s="90"/>
      <c r="CT88" s="90"/>
      <c r="CU88" s="90"/>
      <c r="CV88" s="90"/>
      <c r="CW88" s="90"/>
      <c r="CX88" s="90"/>
      <c r="CY88" s="90"/>
      <c r="CZ88" s="90"/>
      <c r="DA88" s="90"/>
      <c r="DB88" s="90"/>
      <c r="DC88" s="90"/>
      <c r="DD88" s="90"/>
      <c r="DE88" s="90"/>
      <c r="DF88" s="90"/>
      <c r="DG88" s="90"/>
      <c r="DH88" s="90"/>
      <c r="DI88" s="90"/>
      <c r="DJ88" s="90"/>
      <c r="DK88" s="90"/>
      <c r="DL88" s="90"/>
      <c r="DM88" s="90"/>
      <c r="DN88" s="90"/>
      <c r="DO88" s="90"/>
      <c r="DP88" s="90"/>
      <c r="DQ88" s="90"/>
      <c r="DR88" s="90"/>
      <c r="DS88" s="90"/>
      <c r="DT88" s="90"/>
      <c r="DU88" s="90"/>
      <c r="DV88" s="90"/>
      <c r="DW88" s="90"/>
      <c r="DX88" s="90"/>
      <c r="DY88" s="90"/>
      <c r="DZ88" s="90"/>
      <c r="EA88" s="90"/>
      <c r="EB88" s="90"/>
      <c r="EC88" s="90"/>
      <c r="ED88" s="90"/>
      <c r="EE88" s="90"/>
      <c r="EF88" s="90"/>
      <c r="EG88" s="90">
        <v>30000000</v>
      </c>
      <c r="EH88" s="90"/>
      <c r="EI88" s="90"/>
      <c r="EJ88" s="90"/>
      <c r="EK88" s="90"/>
      <c r="EL88" s="90"/>
      <c r="EM88" s="90"/>
      <c r="EN88" s="90"/>
      <c r="EO88" s="90"/>
      <c r="EP88" s="90"/>
      <c r="EQ88" s="90"/>
      <c r="ER88" s="90"/>
      <c r="ES88" s="90"/>
      <c r="ET88" s="90"/>
      <c r="EU88" s="90"/>
      <c r="EV88" s="90"/>
      <c r="EW88" s="90"/>
      <c r="EX88" s="90"/>
      <c r="EY88" s="90"/>
      <c r="EZ88" s="90"/>
      <c r="FA88" s="90"/>
      <c r="FB88" s="88">
        <v>30000000</v>
      </c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LF88"/>
      <c r="LG88"/>
      <c r="LH88"/>
      <c r="LI88"/>
      <c r="LJ88"/>
      <c r="LK88"/>
      <c r="LL88"/>
      <c r="LM88"/>
      <c r="LN88"/>
      <c r="LO88"/>
      <c r="LP88"/>
      <c r="LQ88"/>
      <c r="LR88"/>
      <c r="LS88"/>
      <c r="LT88"/>
      <c r="LU88"/>
      <c r="LV88"/>
      <c r="LW88"/>
      <c r="LX88"/>
      <c r="LY88"/>
      <c r="LZ88"/>
      <c r="MA88"/>
      <c r="MB88"/>
      <c r="MC88"/>
      <c r="MD88"/>
      <c r="ME88"/>
      <c r="MF88"/>
      <c r="MG88"/>
      <c r="MH88"/>
      <c r="MI88"/>
      <c r="MJ88"/>
      <c r="MK88"/>
      <c r="ML88"/>
      <c r="MM88"/>
      <c r="MN88"/>
      <c r="MO88"/>
      <c r="MP88"/>
      <c r="MQ88"/>
      <c r="MR88"/>
      <c r="MS88"/>
      <c r="MT88"/>
      <c r="MU88"/>
      <c r="MV88"/>
      <c r="MW88"/>
      <c r="MX88"/>
      <c r="MY88"/>
      <c r="MZ88"/>
    </row>
    <row r="89" spans="1:366" ht="12.75">
      <c r="U89" s="82" t="s">
        <v>767</v>
      </c>
      <c r="V89" s="82" t="s">
        <v>766</v>
      </c>
      <c r="W89" s="140"/>
      <c r="X89" s="142"/>
      <c r="Y89" s="142"/>
      <c r="Z89" s="142"/>
      <c r="AA89" s="142"/>
      <c r="AB89" s="142">
        <v>-88837.02</v>
      </c>
      <c r="AC89" s="142"/>
      <c r="AD89" s="142"/>
      <c r="AE89" s="142"/>
      <c r="AF89" s="142"/>
      <c r="AG89" s="142"/>
      <c r="AH89" s="142"/>
      <c r="AI89" s="142"/>
      <c r="AJ89" s="142"/>
      <c r="AK89" s="142"/>
      <c r="AL89" s="142"/>
      <c r="AM89" s="142"/>
      <c r="AN89" s="142"/>
      <c r="AO89" s="142"/>
      <c r="AP89" s="142"/>
      <c r="AQ89" s="142"/>
      <c r="AR89" s="142"/>
      <c r="AS89" s="142"/>
      <c r="AT89" s="142"/>
      <c r="AU89" s="142"/>
      <c r="AV89" s="142"/>
      <c r="AW89" s="142"/>
      <c r="AX89" s="142"/>
      <c r="AY89" s="142"/>
      <c r="AZ89" s="142"/>
      <c r="BA89" s="142"/>
      <c r="BB89" s="142"/>
      <c r="BC89" s="142"/>
      <c r="BD89" s="142"/>
      <c r="BE89" s="142"/>
      <c r="BF89" s="142"/>
      <c r="BG89" s="142"/>
      <c r="BH89" s="142"/>
      <c r="BI89" s="142"/>
      <c r="BJ89" s="142"/>
      <c r="BK89" s="142"/>
      <c r="BL89" s="142"/>
      <c r="BM89" s="142"/>
      <c r="BN89" s="142"/>
      <c r="BO89" s="142"/>
      <c r="BP89" s="142"/>
      <c r="BQ89" s="142"/>
      <c r="BR89" s="142"/>
      <c r="BS89" s="142"/>
      <c r="BT89" s="142"/>
      <c r="BU89" s="142"/>
      <c r="BV89" s="142"/>
      <c r="BW89" s="142"/>
      <c r="BX89" s="142"/>
      <c r="BY89" s="142"/>
      <c r="BZ89" s="142"/>
      <c r="CA89" s="142"/>
      <c r="CB89" s="142"/>
      <c r="CC89" s="142"/>
      <c r="CD89" s="142"/>
      <c r="CE89" s="142"/>
      <c r="CF89" s="142"/>
      <c r="CG89" s="142"/>
      <c r="CH89" s="142"/>
      <c r="CI89" s="142"/>
      <c r="CJ89" s="142"/>
      <c r="CK89" s="142"/>
      <c r="CL89" s="142"/>
      <c r="CM89" s="142"/>
      <c r="CN89" s="142"/>
      <c r="CO89" s="142"/>
      <c r="CP89" s="142"/>
      <c r="CQ89" s="142"/>
      <c r="CR89" s="142"/>
      <c r="CS89" s="142"/>
      <c r="CT89" s="142"/>
      <c r="CU89" s="142"/>
      <c r="CV89" s="142"/>
      <c r="CW89" s="142"/>
      <c r="CX89" s="142"/>
      <c r="CY89" s="142"/>
      <c r="CZ89" s="142"/>
      <c r="DA89" s="142"/>
      <c r="DB89" s="142"/>
      <c r="DC89" s="142"/>
      <c r="DD89" s="142"/>
      <c r="DE89" s="142"/>
      <c r="DF89" s="142"/>
      <c r="DG89" s="142"/>
      <c r="DH89" s="142"/>
      <c r="DI89" s="142"/>
      <c r="DJ89" s="142"/>
      <c r="DK89" s="142"/>
      <c r="DL89" s="142"/>
      <c r="DM89" s="142"/>
      <c r="DN89" s="142"/>
      <c r="DO89" s="142"/>
      <c r="DP89" s="142"/>
      <c r="DQ89" s="142"/>
      <c r="DR89" s="142"/>
      <c r="DS89" s="142"/>
      <c r="DT89" s="142"/>
      <c r="DU89" s="142"/>
      <c r="DV89" s="142"/>
      <c r="DW89" s="142"/>
      <c r="DX89" s="142"/>
      <c r="DY89" s="142"/>
      <c r="DZ89" s="142"/>
      <c r="EA89" s="142"/>
      <c r="EB89" s="142"/>
      <c r="EC89" s="142"/>
      <c r="ED89" s="142"/>
      <c r="EE89" s="142"/>
      <c r="EF89" s="142"/>
      <c r="EG89" s="142"/>
      <c r="EH89" s="142"/>
      <c r="EI89" s="142"/>
      <c r="EJ89" s="142"/>
      <c r="EK89" s="142"/>
      <c r="EL89" s="142"/>
      <c r="EM89" s="142"/>
      <c r="EN89" s="142"/>
      <c r="EO89" s="142"/>
      <c r="EP89" s="142"/>
      <c r="EQ89" s="142"/>
      <c r="ER89" s="142"/>
      <c r="ES89" s="142"/>
      <c r="ET89" s="142"/>
      <c r="EU89" s="142"/>
      <c r="EV89" s="142"/>
      <c r="EW89" s="142"/>
      <c r="EX89" s="142"/>
      <c r="EY89" s="142"/>
      <c r="EZ89" s="142"/>
      <c r="FA89" s="142"/>
      <c r="FB89" s="87">
        <v>-88837.02</v>
      </c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  <c r="LM89"/>
      <c r="LN89"/>
      <c r="LO89"/>
      <c r="LP89"/>
      <c r="LQ89"/>
      <c r="LR89"/>
      <c r="LS89"/>
      <c r="LT89"/>
      <c r="LU89"/>
      <c r="LV89"/>
      <c r="LW89"/>
      <c r="LX89"/>
      <c r="LY89"/>
      <c r="LZ89"/>
      <c r="MA89"/>
      <c r="MB89"/>
      <c r="MC89"/>
      <c r="MD89"/>
      <c r="ME89"/>
      <c r="MF89"/>
      <c r="MG89"/>
      <c r="MH89"/>
      <c r="MI89"/>
      <c r="MJ89"/>
      <c r="MK89"/>
      <c r="ML89"/>
      <c r="MM89"/>
      <c r="MN89"/>
      <c r="MO89"/>
      <c r="MP89"/>
      <c r="MQ89"/>
      <c r="MR89"/>
      <c r="MS89"/>
      <c r="MT89"/>
      <c r="MU89"/>
      <c r="MV89"/>
      <c r="MW89"/>
      <c r="MX89"/>
      <c r="MY89"/>
      <c r="MZ89"/>
    </row>
    <row r="90" spans="1:366" ht="12.75">
      <c r="U90" s="82" t="s">
        <v>773</v>
      </c>
      <c r="V90" s="82" t="s">
        <v>772</v>
      </c>
      <c r="W90" s="140"/>
      <c r="X90" s="142"/>
      <c r="Y90" s="142"/>
      <c r="Z90" s="142"/>
      <c r="AA90" s="142">
        <v>312195.19000000006</v>
      </c>
      <c r="AB90" s="142"/>
      <c r="AC90" s="142"/>
      <c r="AD90" s="142"/>
      <c r="AE90" s="142"/>
      <c r="AF90" s="142"/>
      <c r="AG90" s="142"/>
      <c r="AH90" s="142"/>
      <c r="AI90" s="142"/>
      <c r="AJ90" s="142"/>
      <c r="AK90" s="142"/>
      <c r="AL90" s="142">
        <v>67893.81</v>
      </c>
      <c r="AM90" s="142"/>
      <c r="AN90" s="142"/>
      <c r="AO90" s="142"/>
      <c r="AP90" s="142"/>
      <c r="AQ90" s="142"/>
      <c r="AR90" s="142"/>
      <c r="AS90" s="142"/>
      <c r="AT90" s="142"/>
      <c r="AU90" s="142"/>
      <c r="AV90" s="142"/>
      <c r="AW90" s="142"/>
      <c r="AX90" s="142"/>
      <c r="AY90" s="142"/>
      <c r="AZ90" s="142"/>
      <c r="BA90" s="142"/>
      <c r="BB90" s="142"/>
      <c r="BC90" s="142"/>
      <c r="BD90" s="142"/>
      <c r="BE90" s="142"/>
      <c r="BF90" s="142"/>
      <c r="BG90" s="142"/>
      <c r="BH90" s="142"/>
      <c r="BI90" s="142"/>
      <c r="BJ90" s="142"/>
      <c r="BK90" s="142"/>
      <c r="BL90" s="142"/>
      <c r="BM90" s="142"/>
      <c r="BN90" s="142"/>
      <c r="BO90" s="142"/>
      <c r="BP90" s="142"/>
      <c r="BQ90" s="142"/>
      <c r="BR90" s="142"/>
      <c r="BS90" s="142"/>
      <c r="BT90" s="142"/>
      <c r="BU90" s="142"/>
      <c r="BV90" s="142"/>
      <c r="BW90" s="142"/>
      <c r="BX90" s="142"/>
      <c r="BY90" s="142"/>
      <c r="BZ90" s="142"/>
      <c r="CA90" s="142"/>
      <c r="CB90" s="142"/>
      <c r="CC90" s="142"/>
      <c r="CD90" s="142"/>
      <c r="CE90" s="142"/>
      <c r="CF90" s="142"/>
      <c r="CG90" s="142"/>
      <c r="CH90" s="142"/>
      <c r="CI90" s="142"/>
      <c r="CJ90" s="142"/>
      <c r="CK90" s="142"/>
      <c r="CL90" s="142"/>
      <c r="CM90" s="142"/>
      <c r="CN90" s="142"/>
      <c r="CO90" s="142"/>
      <c r="CP90" s="142"/>
      <c r="CQ90" s="142"/>
      <c r="CR90" s="142"/>
      <c r="CS90" s="142"/>
      <c r="CT90" s="142"/>
      <c r="CU90" s="142"/>
      <c r="CV90" s="142"/>
      <c r="CW90" s="142"/>
      <c r="CX90" s="142"/>
      <c r="CY90" s="142"/>
      <c r="CZ90" s="142"/>
      <c r="DA90" s="142"/>
      <c r="DB90" s="142"/>
      <c r="DC90" s="142"/>
      <c r="DD90" s="142"/>
      <c r="DE90" s="142"/>
      <c r="DF90" s="142"/>
      <c r="DG90" s="142"/>
      <c r="DH90" s="142"/>
      <c r="DI90" s="142"/>
      <c r="DJ90" s="142"/>
      <c r="DK90" s="142"/>
      <c r="DL90" s="142"/>
      <c r="DM90" s="142"/>
      <c r="DN90" s="142"/>
      <c r="DO90" s="142"/>
      <c r="DP90" s="142"/>
      <c r="DQ90" s="142"/>
      <c r="DR90" s="142"/>
      <c r="DS90" s="142"/>
      <c r="DT90" s="142"/>
      <c r="DU90" s="142"/>
      <c r="DV90" s="142"/>
      <c r="DW90" s="142"/>
      <c r="DX90" s="142"/>
      <c r="DY90" s="142"/>
      <c r="DZ90" s="142"/>
      <c r="EA90" s="142"/>
      <c r="EB90" s="142"/>
      <c r="EC90" s="142"/>
      <c r="ED90" s="142"/>
      <c r="EE90" s="142"/>
      <c r="EF90" s="142"/>
      <c r="EG90" s="142"/>
      <c r="EH90" s="142"/>
      <c r="EI90" s="142"/>
      <c r="EJ90" s="142"/>
      <c r="EK90" s="142"/>
      <c r="EL90" s="142"/>
      <c r="EM90" s="142"/>
      <c r="EN90" s="142"/>
      <c r="EO90" s="142"/>
      <c r="EP90" s="142"/>
      <c r="EQ90" s="142"/>
      <c r="ER90" s="142"/>
      <c r="ES90" s="142"/>
      <c r="ET90" s="142"/>
      <c r="EU90" s="142"/>
      <c r="EV90" s="142"/>
      <c r="EW90" s="142"/>
      <c r="EX90" s="142"/>
      <c r="EY90" s="142"/>
      <c r="EZ90" s="142"/>
      <c r="FA90" s="142"/>
      <c r="FB90" s="87">
        <v>380089.00000000006</v>
      </c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  <c r="LM90"/>
      <c r="LN90"/>
      <c r="LO90"/>
      <c r="LP90"/>
      <c r="LQ90"/>
      <c r="LR90"/>
      <c r="LS90"/>
      <c r="LT90"/>
      <c r="LU90"/>
      <c r="LV90"/>
      <c r="LW90"/>
      <c r="LX90"/>
      <c r="LY90"/>
      <c r="LZ90"/>
      <c r="MA90"/>
      <c r="MB90"/>
      <c r="MC90"/>
      <c r="MD90"/>
      <c r="ME90"/>
      <c r="MF90"/>
      <c r="MG90"/>
      <c r="MH90"/>
      <c r="MI90"/>
      <c r="MJ90"/>
      <c r="MK90"/>
      <c r="ML90"/>
      <c r="MM90"/>
      <c r="MN90"/>
      <c r="MO90"/>
      <c r="MP90"/>
      <c r="MQ90"/>
      <c r="MR90"/>
      <c r="MS90"/>
      <c r="MT90"/>
      <c r="MU90"/>
      <c r="MV90"/>
      <c r="MW90"/>
      <c r="MX90"/>
      <c r="MY90"/>
      <c r="MZ90"/>
    </row>
    <row r="91" spans="1:366" ht="12.75">
      <c r="U91" s="82" t="s">
        <v>1772</v>
      </c>
      <c r="V91" s="82" t="s">
        <v>1771</v>
      </c>
      <c r="W91" s="140"/>
      <c r="X91" s="142"/>
      <c r="Y91" s="142"/>
      <c r="Z91" s="142"/>
      <c r="AA91" s="142"/>
      <c r="AB91" s="142"/>
      <c r="AC91" s="142"/>
      <c r="AD91" s="142"/>
      <c r="AE91" s="142"/>
      <c r="AF91" s="142"/>
      <c r="AG91" s="142"/>
      <c r="AH91" s="142"/>
      <c r="AI91" s="142"/>
      <c r="AJ91" s="142"/>
      <c r="AK91" s="142"/>
      <c r="AL91" s="142"/>
      <c r="AM91" s="142"/>
      <c r="AN91" s="142"/>
      <c r="AO91" s="142"/>
      <c r="AP91" s="142"/>
      <c r="AQ91" s="142"/>
      <c r="AR91" s="142"/>
      <c r="AS91" s="142"/>
      <c r="AT91" s="142"/>
      <c r="AU91" s="142"/>
      <c r="AV91" s="142"/>
      <c r="AW91" s="142"/>
      <c r="AX91" s="142"/>
      <c r="AY91" s="142"/>
      <c r="AZ91" s="142"/>
      <c r="BA91" s="142"/>
      <c r="BB91" s="142"/>
      <c r="BC91" s="142"/>
      <c r="BD91" s="142"/>
      <c r="BE91" s="142"/>
      <c r="BF91" s="142"/>
      <c r="BG91" s="142"/>
      <c r="BH91" s="142"/>
      <c r="BI91" s="142"/>
      <c r="BJ91" s="142"/>
      <c r="BK91" s="142"/>
      <c r="BL91" s="142"/>
      <c r="BM91" s="142"/>
      <c r="BN91" s="142"/>
      <c r="BO91" s="142"/>
      <c r="BP91" s="142"/>
      <c r="BQ91" s="142"/>
      <c r="BR91" s="142"/>
      <c r="BS91" s="142"/>
      <c r="BT91" s="142"/>
      <c r="BU91" s="142"/>
      <c r="BV91" s="142"/>
      <c r="BW91" s="142"/>
      <c r="BX91" s="142"/>
      <c r="BY91" s="142"/>
      <c r="BZ91" s="142"/>
      <c r="CA91" s="142"/>
      <c r="CB91" s="142"/>
      <c r="CC91" s="142"/>
      <c r="CD91" s="142"/>
      <c r="CE91" s="142"/>
      <c r="CF91" s="142"/>
      <c r="CG91" s="142"/>
      <c r="CH91" s="142"/>
      <c r="CI91" s="142"/>
      <c r="CJ91" s="142"/>
      <c r="CK91" s="142"/>
      <c r="CL91" s="142"/>
      <c r="CM91" s="142"/>
      <c r="CN91" s="142"/>
      <c r="CO91" s="142"/>
      <c r="CP91" s="142"/>
      <c r="CQ91" s="142"/>
      <c r="CR91" s="142"/>
      <c r="CS91" s="142"/>
      <c r="CT91" s="142"/>
      <c r="CU91" s="142"/>
      <c r="CV91" s="142"/>
      <c r="CW91" s="142"/>
      <c r="CX91" s="142"/>
      <c r="CY91" s="142"/>
      <c r="CZ91" s="142"/>
      <c r="DA91" s="142"/>
      <c r="DB91" s="142"/>
      <c r="DC91" s="142"/>
      <c r="DD91" s="142"/>
      <c r="DE91" s="142"/>
      <c r="DF91" s="142"/>
      <c r="DG91" s="142"/>
      <c r="DH91" s="142"/>
      <c r="DI91" s="142"/>
      <c r="DJ91" s="142"/>
      <c r="DK91" s="142"/>
      <c r="DL91" s="142"/>
      <c r="DM91" s="142"/>
      <c r="DN91" s="142"/>
      <c r="DO91" s="142"/>
      <c r="DP91" s="142">
        <v>-21000</v>
      </c>
      <c r="DQ91" s="142"/>
      <c r="DR91" s="142"/>
      <c r="DS91" s="142"/>
      <c r="DT91" s="142"/>
      <c r="DU91" s="142"/>
      <c r="DV91" s="142"/>
      <c r="DW91" s="142"/>
      <c r="DX91" s="142"/>
      <c r="DY91" s="142"/>
      <c r="DZ91" s="142"/>
      <c r="EA91" s="142"/>
      <c r="EB91" s="142"/>
      <c r="EC91" s="142"/>
      <c r="ED91" s="142"/>
      <c r="EE91" s="142"/>
      <c r="EF91" s="142"/>
      <c r="EG91" s="142"/>
      <c r="EH91" s="142"/>
      <c r="EI91" s="142"/>
      <c r="EJ91" s="142"/>
      <c r="EK91" s="142"/>
      <c r="EL91" s="142"/>
      <c r="EM91" s="142"/>
      <c r="EN91" s="142"/>
      <c r="EO91" s="142"/>
      <c r="EP91" s="142"/>
      <c r="EQ91" s="142"/>
      <c r="ER91" s="142"/>
      <c r="ES91" s="142"/>
      <c r="ET91" s="142"/>
      <c r="EU91" s="142"/>
      <c r="EV91" s="142"/>
      <c r="EW91" s="142"/>
      <c r="EX91" s="142"/>
      <c r="EY91" s="142"/>
      <c r="EZ91" s="142"/>
      <c r="FA91" s="142"/>
      <c r="FB91" s="87">
        <v>-21000</v>
      </c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  <c r="KO91"/>
      <c r="KP91"/>
      <c r="KQ91"/>
      <c r="KR91"/>
      <c r="KS91"/>
      <c r="KT91"/>
      <c r="KU91"/>
      <c r="KV91"/>
      <c r="KW91"/>
      <c r="KX91"/>
      <c r="KY91"/>
      <c r="KZ91"/>
      <c r="LA91"/>
      <c r="LB91"/>
      <c r="LC91"/>
      <c r="LD91"/>
      <c r="LE91"/>
      <c r="LF91"/>
      <c r="LG91"/>
      <c r="LH91"/>
      <c r="LI91"/>
      <c r="LJ91"/>
      <c r="LK91"/>
      <c r="LL91"/>
      <c r="LM91"/>
      <c r="LN91"/>
      <c r="LO91"/>
      <c r="LP91"/>
      <c r="LQ91"/>
      <c r="LR91"/>
      <c r="LS91"/>
      <c r="LT91"/>
      <c r="LU91"/>
      <c r="LV91"/>
      <c r="LW91"/>
      <c r="LX91"/>
      <c r="LY91"/>
      <c r="LZ91"/>
      <c r="MA91"/>
      <c r="MB91"/>
      <c r="MC91"/>
      <c r="MD91"/>
      <c r="ME91"/>
      <c r="MF91"/>
      <c r="MG91"/>
      <c r="MH91"/>
      <c r="MI91"/>
      <c r="MJ91"/>
      <c r="MK91"/>
      <c r="ML91"/>
      <c r="MM91"/>
      <c r="MN91"/>
      <c r="MO91"/>
      <c r="MP91"/>
      <c r="MQ91"/>
      <c r="MR91"/>
      <c r="MS91"/>
      <c r="MT91"/>
      <c r="MU91"/>
      <c r="MV91"/>
      <c r="MW91"/>
      <c r="MX91"/>
      <c r="MY91"/>
      <c r="MZ91"/>
    </row>
    <row r="92" spans="1:366" s="14" customFormat="1" ht="15" customHeight="1">
      <c r="A92" s="9"/>
      <c r="B92" s="9"/>
      <c r="C92" s="151"/>
      <c r="D92" s="151"/>
      <c r="E92" s="151"/>
      <c r="F92" s="151"/>
      <c r="G92" s="151"/>
      <c r="H92" s="151"/>
      <c r="I92" s="151"/>
      <c r="J92" s="151"/>
      <c r="K92" s="151"/>
      <c r="L92" s="151"/>
      <c r="M92" s="151"/>
      <c r="N92" s="151"/>
      <c r="O92" s="151"/>
      <c r="P92" s="151"/>
      <c r="Q92" s="151"/>
      <c r="R92" s="9"/>
      <c r="U92" s="150"/>
      <c r="V92" s="83" t="s">
        <v>1773</v>
      </c>
      <c r="W92" s="143"/>
      <c r="X92" s="90"/>
      <c r="Y92" s="90"/>
      <c r="Z92" s="90"/>
      <c r="AA92" s="90"/>
      <c r="AB92" s="90"/>
      <c r="AC92" s="90"/>
      <c r="AD92" s="90"/>
      <c r="AE92" s="90"/>
      <c r="AF92" s="90"/>
      <c r="AG92" s="90"/>
      <c r="AH92" s="90"/>
      <c r="AI92" s="90"/>
      <c r="AJ92" s="90"/>
      <c r="AK92" s="90"/>
      <c r="AL92" s="90"/>
      <c r="AM92" s="90"/>
      <c r="AN92" s="90"/>
      <c r="AO92" s="90"/>
      <c r="AP92" s="90"/>
      <c r="AQ92" s="90"/>
      <c r="AR92" s="90"/>
      <c r="AS92" s="90"/>
      <c r="AT92" s="90"/>
      <c r="AU92" s="90"/>
      <c r="AV92" s="90"/>
      <c r="AW92" s="90"/>
      <c r="AX92" s="90"/>
      <c r="AY92" s="90"/>
      <c r="AZ92" s="90"/>
      <c r="BA92" s="90"/>
      <c r="BB92" s="90"/>
      <c r="BC92" s="90"/>
      <c r="BD92" s="90"/>
      <c r="BE92" s="90"/>
      <c r="BF92" s="90"/>
      <c r="BG92" s="90"/>
      <c r="BH92" s="90"/>
      <c r="BI92" s="90"/>
      <c r="BJ92" s="90"/>
      <c r="BK92" s="90"/>
      <c r="BL92" s="90"/>
      <c r="BM92" s="90"/>
      <c r="BN92" s="90"/>
      <c r="BO92" s="90"/>
      <c r="BP92" s="90"/>
      <c r="BQ92" s="90"/>
      <c r="BR92" s="90"/>
      <c r="BS92" s="90"/>
      <c r="BT92" s="90"/>
      <c r="BU92" s="90"/>
      <c r="BV92" s="90"/>
      <c r="BW92" s="90"/>
      <c r="BX92" s="90"/>
      <c r="BY92" s="90"/>
      <c r="BZ92" s="90"/>
      <c r="CA92" s="90"/>
      <c r="CB92" s="90"/>
      <c r="CC92" s="90"/>
      <c r="CD92" s="90"/>
      <c r="CE92" s="90"/>
      <c r="CF92" s="90"/>
      <c r="CG92" s="90"/>
      <c r="CH92" s="90"/>
      <c r="CI92" s="90"/>
      <c r="CJ92" s="90"/>
      <c r="CK92" s="90"/>
      <c r="CL92" s="90"/>
      <c r="CM92" s="90"/>
      <c r="CN92" s="90"/>
      <c r="CO92" s="90"/>
      <c r="CP92" s="90"/>
      <c r="CQ92" s="90"/>
      <c r="CR92" s="90"/>
      <c r="CS92" s="90"/>
      <c r="CT92" s="90"/>
      <c r="CU92" s="90"/>
      <c r="CV92" s="90"/>
      <c r="CW92" s="90"/>
      <c r="CX92" s="90"/>
      <c r="CY92" s="90"/>
      <c r="CZ92" s="90"/>
      <c r="DA92" s="90"/>
      <c r="DB92" s="90"/>
      <c r="DC92" s="90"/>
      <c r="DD92" s="90"/>
      <c r="DE92" s="90"/>
      <c r="DF92" s="90"/>
      <c r="DG92" s="90"/>
      <c r="DH92" s="90"/>
      <c r="DI92" s="90"/>
      <c r="DJ92" s="90"/>
      <c r="DK92" s="90"/>
      <c r="DL92" s="90"/>
      <c r="DM92" s="90"/>
      <c r="DN92" s="90"/>
      <c r="DO92" s="90"/>
      <c r="DP92" s="90">
        <v>-9000000</v>
      </c>
      <c r="DQ92" s="90"/>
      <c r="DR92" s="90"/>
      <c r="DS92" s="90"/>
      <c r="DT92" s="90"/>
      <c r="DU92" s="90"/>
      <c r="DV92" s="90"/>
      <c r="DW92" s="90"/>
      <c r="DX92" s="90"/>
      <c r="DY92" s="90"/>
      <c r="DZ92" s="90"/>
      <c r="EA92" s="90"/>
      <c r="EB92" s="90"/>
      <c r="EC92" s="90"/>
      <c r="ED92" s="90"/>
      <c r="EE92" s="90"/>
      <c r="EF92" s="90"/>
      <c r="EG92" s="90"/>
      <c r="EH92" s="90"/>
      <c r="EI92" s="90"/>
      <c r="EJ92" s="90"/>
      <c r="EK92" s="90"/>
      <c r="EL92" s="90"/>
      <c r="EM92" s="90"/>
      <c r="EN92" s="90"/>
      <c r="EO92" s="90"/>
      <c r="EP92" s="90"/>
      <c r="EQ92" s="90"/>
      <c r="ER92" s="90"/>
      <c r="ES92" s="90"/>
      <c r="ET92" s="90"/>
      <c r="EU92" s="90"/>
      <c r="EV92" s="90"/>
      <c r="EW92" s="90"/>
      <c r="EX92" s="90"/>
      <c r="EY92" s="90"/>
      <c r="EZ92" s="90"/>
      <c r="FA92" s="90"/>
      <c r="FB92" s="88">
        <v>-9000000</v>
      </c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/>
      <c r="MZ92"/>
      <c r="NA92" s="151"/>
      <c r="NB92" s="151"/>
    </row>
    <row r="93" spans="1:366" s="14" customFormat="1" ht="12.75">
      <c r="A93" s="9"/>
      <c r="B93" s="9"/>
      <c r="C93" s="151"/>
      <c r="D93" s="151"/>
      <c r="E93" s="151"/>
      <c r="F93" s="151"/>
      <c r="G93" s="151"/>
      <c r="H93" s="151"/>
      <c r="I93" s="151"/>
      <c r="J93" s="151"/>
      <c r="K93" s="151"/>
      <c r="L93" s="151"/>
      <c r="M93" s="151"/>
      <c r="N93" s="151"/>
      <c r="O93" s="151"/>
      <c r="P93" s="151"/>
      <c r="Q93" s="151"/>
      <c r="R93" s="9"/>
      <c r="U93" s="82" t="s">
        <v>887</v>
      </c>
      <c r="V93" s="82" t="s">
        <v>886</v>
      </c>
      <c r="W93" s="140"/>
      <c r="X93" s="142"/>
      <c r="Y93" s="142"/>
      <c r="Z93" s="142"/>
      <c r="AA93" s="142"/>
      <c r="AB93" s="142"/>
      <c r="AC93" s="142"/>
      <c r="AD93" s="142"/>
      <c r="AE93" s="142"/>
      <c r="AF93" s="142"/>
      <c r="AG93" s="142"/>
      <c r="AH93" s="142"/>
      <c r="AI93" s="142"/>
      <c r="AJ93" s="142"/>
      <c r="AK93" s="142">
        <v>-1826562.5</v>
      </c>
      <c r="AL93" s="142"/>
      <c r="AM93" s="142"/>
      <c r="AN93" s="142"/>
      <c r="AO93" s="142"/>
      <c r="AP93" s="142"/>
      <c r="AQ93" s="142"/>
      <c r="AR93" s="142"/>
      <c r="AS93" s="142"/>
      <c r="AT93" s="142"/>
      <c r="AU93" s="142"/>
      <c r="AV93" s="142"/>
      <c r="AW93" s="142"/>
      <c r="AX93" s="142"/>
      <c r="AY93" s="142"/>
      <c r="AZ93" s="142"/>
      <c r="BA93" s="142"/>
      <c r="BB93" s="142"/>
      <c r="BC93" s="142"/>
      <c r="BD93" s="142"/>
      <c r="BE93" s="142"/>
      <c r="BF93" s="142"/>
      <c r="BG93" s="142"/>
      <c r="BH93" s="142"/>
      <c r="BI93" s="142"/>
      <c r="BJ93" s="142"/>
      <c r="BK93" s="142"/>
      <c r="BL93" s="142"/>
      <c r="BM93" s="142"/>
      <c r="BN93" s="142"/>
      <c r="BO93" s="142"/>
      <c r="BP93" s="142"/>
      <c r="BQ93" s="142"/>
      <c r="BR93" s="142"/>
      <c r="BS93" s="142"/>
      <c r="BT93" s="142"/>
      <c r="BU93" s="142"/>
      <c r="BV93" s="142"/>
      <c r="BW93" s="142"/>
      <c r="BX93" s="142"/>
      <c r="BY93" s="142"/>
      <c r="BZ93" s="142"/>
      <c r="CA93" s="142"/>
      <c r="CB93" s="142"/>
      <c r="CC93" s="142"/>
      <c r="CD93" s="142"/>
      <c r="CE93" s="142"/>
      <c r="CF93" s="142"/>
      <c r="CG93" s="142"/>
      <c r="CH93" s="142"/>
      <c r="CI93" s="142"/>
      <c r="CJ93" s="142"/>
      <c r="CK93" s="142"/>
      <c r="CL93" s="142"/>
      <c r="CM93" s="142"/>
      <c r="CN93" s="142"/>
      <c r="CO93" s="142"/>
      <c r="CP93" s="142"/>
      <c r="CQ93" s="142"/>
      <c r="CR93" s="142"/>
      <c r="CS93" s="142"/>
      <c r="CT93" s="142"/>
      <c r="CU93" s="142"/>
      <c r="CV93" s="142"/>
      <c r="CW93" s="142"/>
      <c r="CX93" s="142"/>
      <c r="CY93" s="142"/>
      <c r="CZ93" s="142"/>
      <c r="DA93" s="142"/>
      <c r="DB93" s="142"/>
      <c r="DC93" s="142"/>
      <c r="DD93" s="142"/>
      <c r="DE93" s="142"/>
      <c r="DF93" s="142"/>
      <c r="DG93" s="142"/>
      <c r="DH93" s="142"/>
      <c r="DI93" s="142"/>
      <c r="DJ93" s="142"/>
      <c r="DK93" s="142"/>
      <c r="DL93" s="142"/>
      <c r="DM93" s="142"/>
      <c r="DN93" s="142"/>
      <c r="DO93" s="142"/>
      <c r="DP93" s="142"/>
      <c r="DQ93" s="142"/>
      <c r="DR93" s="142"/>
      <c r="DS93" s="142"/>
      <c r="DT93" s="142"/>
      <c r="DU93" s="142"/>
      <c r="DV93" s="142"/>
      <c r="DW93" s="142"/>
      <c r="DX93" s="142"/>
      <c r="DY93" s="142"/>
      <c r="DZ93" s="142"/>
      <c r="EA93" s="142"/>
      <c r="EB93" s="142"/>
      <c r="EC93" s="142"/>
      <c r="ED93" s="142"/>
      <c r="EE93" s="142"/>
      <c r="EF93" s="142"/>
      <c r="EG93" s="142"/>
      <c r="EH93" s="142"/>
      <c r="EI93" s="142"/>
      <c r="EJ93" s="142"/>
      <c r="EK93" s="142"/>
      <c r="EL93" s="142"/>
      <c r="EM93" s="142"/>
      <c r="EN93" s="142"/>
      <c r="EO93" s="142"/>
      <c r="EP93" s="142"/>
      <c r="EQ93" s="142"/>
      <c r="ER93" s="142"/>
      <c r="ES93" s="142"/>
      <c r="ET93" s="142"/>
      <c r="EU93" s="142"/>
      <c r="EV93" s="142"/>
      <c r="EW93" s="142"/>
      <c r="EX93" s="142"/>
      <c r="EY93" s="142"/>
      <c r="EZ93" s="142"/>
      <c r="FA93" s="142"/>
      <c r="FB93" s="87">
        <v>-1826562.5</v>
      </c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/>
      <c r="MZ93"/>
    </row>
    <row r="94" spans="1:366" s="14" customFormat="1" ht="12.75">
      <c r="A94" s="9"/>
      <c r="B94" s="9"/>
      <c r="C94" s="151"/>
      <c r="D94" s="151"/>
      <c r="E94" s="151"/>
      <c r="F94" s="151"/>
      <c r="G94" s="151"/>
      <c r="H94" s="151"/>
      <c r="I94" s="151"/>
      <c r="J94" s="151"/>
      <c r="K94" s="151"/>
      <c r="L94" s="151"/>
      <c r="M94" s="151"/>
      <c r="N94" s="151"/>
      <c r="O94" s="151"/>
      <c r="P94" s="151"/>
      <c r="Q94" s="151"/>
      <c r="R94" s="9"/>
      <c r="U94" s="82" t="s">
        <v>765</v>
      </c>
      <c r="V94" s="82" t="s">
        <v>1770</v>
      </c>
      <c r="W94" s="140"/>
      <c r="X94" s="142"/>
      <c r="Y94" s="142"/>
      <c r="Z94" s="142"/>
      <c r="AA94" s="142"/>
      <c r="AB94" s="142"/>
      <c r="AC94" s="142"/>
      <c r="AD94" s="142"/>
      <c r="AE94" s="142"/>
      <c r="AF94" s="142"/>
      <c r="AG94" s="142"/>
      <c r="AH94" s="142"/>
      <c r="AI94" s="142"/>
      <c r="AJ94" s="142"/>
      <c r="AK94" s="142"/>
      <c r="AL94" s="142"/>
      <c r="AM94" s="142"/>
      <c r="AN94" s="142"/>
      <c r="AO94" s="142"/>
      <c r="AP94" s="142"/>
      <c r="AQ94" s="142"/>
      <c r="AR94" s="142"/>
      <c r="AS94" s="142"/>
      <c r="AT94" s="142"/>
      <c r="AU94" s="142"/>
      <c r="AV94" s="142"/>
      <c r="AW94" s="142"/>
      <c r="AX94" s="142"/>
      <c r="AY94" s="142"/>
      <c r="AZ94" s="142"/>
      <c r="BA94" s="142"/>
      <c r="BB94" s="142"/>
      <c r="BC94" s="142"/>
      <c r="BD94" s="142"/>
      <c r="BE94" s="142"/>
      <c r="BF94" s="142"/>
      <c r="BG94" s="142"/>
      <c r="BH94" s="142"/>
      <c r="BI94" s="142"/>
      <c r="BJ94" s="142"/>
      <c r="BK94" s="142"/>
      <c r="BL94" s="142"/>
      <c r="BM94" s="142"/>
      <c r="BN94" s="142"/>
      <c r="BO94" s="142"/>
      <c r="BP94" s="142"/>
      <c r="BQ94" s="142"/>
      <c r="BR94" s="142"/>
      <c r="BS94" s="142"/>
      <c r="BT94" s="142"/>
      <c r="BU94" s="142"/>
      <c r="BV94" s="142"/>
      <c r="BW94" s="142"/>
      <c r="BX94" s="142"/>
      <c r="BY94" s="142"/>
      <c r="BZ94" s="142"/>
      <c r="CA94" s="142"/>
      <c r="CB94" s="142"/>
      <c r="CC94" s="142"/>
      <c r="CD94" s="142"/>
      <c r="CE94" s="142"/>
      <c r="CF94" s="142"/>
      <c r="CG94" s="142"/>
      <c r="CH94" s="142"/>
      <c r="CI94" s="142"/>
      <c r="CJ94" s="142"/>
      <c r="CK94" s="142"/>
      <c r="CL94" s="142"/>
      <c r="CM94" s="142"/>
      <c r="CN94" s="142"/>
      <c r="CO94" s="142"/>
      <c r="CP94" s="142"/>
      <c r="CQ94" s="142"/>
      <c r="CR94" s="142"/>
      <c r="CS94" s="142"/>
      <c r="CT94" s="142"/>
      <c r="CU94" s="142"/>
      <c r="CV94" s="142"/>
      <c r="CW94" s="142"/>
      <c r="CX94" s="142"/>
      <c r="CY94" s="142"/>
      <c r="CZ94" s="142"/>
      <c r="DA94" s="142"/>
      <c r="DB94" s="142"/>
      <c r="DC94" s="142"/>
      <c r="DD94" s="142"/>
      <c r="DE94" s="142"/>
      <c r="DF94" s="142"/>
      <c r="DG94" s="142"/>
      <c r="DH94" s="142"/>
      <c r="DI94" s="142"/>
      <c r="DJ94" s="142"/>
      <c r="DK94" s="142"/>
      <c r="DL94" s="142"/>
      <c r="DM94" s="142"/>
      <c r="DN94" s="142"/>
      <c r="DO94" s="142"/>
      <c r="DP94" s="142"/>
      <c r="DQ94" s="142"/>
      <c r="DR94" s="142"/>
      <c r="DS94" s="142"/>
      <c r="DT94" s="142"/>
      <c r="DU94" s="142"/>
      <c r="DV94" s="142"/>
      <c r="DW94" s="142"/>
      <c r="DX94" s="142"/>
      <c r="DY94" s="142"/>
      <c r="DZ94" s="142"/>
      <c r="EA94" s="142"/>
      <c r="EB94" s="142"/>
      <c r="EC94" s="142"/>
      <c r="ED94" s="142"/>
      <c r="EE94" s="142"/>
      <c r="EF94" s="142"/>
      <c r="EG94" s="142">
        <v>0</v>
      </c>
      <c r="EH94" s="142"/>
      <c r="EI94" s="142"/>
      <c r="EJ94" s="142"/>
      <c r="EK94" s="142"/>
      <c r="EL94" s="142"/>
      <c r="EM94" s="142"/>
      <c r="EN94" s="142"/>
      <c r="EO94" s="142"/>
      <c r="EP94" s="142"/>
      <c r="EQ94" s="142"/>
      <c r="ER94" s="142"/>
      <c r="ES94" s="142"/>
      <c r="ET94" s="142"/>
      <c r="EU94" s="142"/>
      <c r="EV94" s="142"/>
      <c r="EW94" s="142"/>
      <c r="EX94" s="142"/>
      <c r="EY94" s="142"/>
      <c r="EZ94" s="142"/>
      <c r="FA94" s="142"/>
      <c r="FB94" s="87">
        <v>0</v>
      </c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/>
      <c r="MZ94"/>
    </row>
    <row r="95" spans="1:366" s="14" customFormat="1" ht="12.75">
      <c r="A95" s="9"/>
      <c r="B95" s="9"/>
      <c r="C95" s="151"/>
      <c r="D95" s="151"/>
      <c r="E95" s="151"/>
      <c r="F95" s="151"/>
      <c r="G95" s="151"/>
      <c r="H95" s="151"/>
      <c r="I95" s="151"/>
      <c r="J95" s="151"/>
      <c r="K95" s="151"/>
      <c r="L95" s="151"/>
      <c r="M95" s="151"/>
      <c r="N95" s="151"/>
      <c r="O95" s="151"/>
      <c r="P95" s="151"/>
      <c r="Q95" s="151"/>
      <c r="R95" s="9"/>
      <c r="U95" s="150"/>
      <c r="V95" s="83" t="s">
        <v>764</v>
      </c>
      <c r="W95" s="143"/>
      <c r="X95" s="90"/>
      <c r="Y95" s="90"/>
      <c r="Z95" s="90"/>
      <c r="AA95" s="90"/>
      <c r="AB95" s="90"/>
      <c r="AC95" s="90"/>
      <c r="AD95" s="90"/>
      <c r="AE95" s="90"/>
      <c r="AF95" s="90"/>
      <c r="AG95" s="90"/>
      <c r="AH95" s="90"/>
      <c r="AI95" s="90"/>
      <c r="AJ95" s="90"/>
      <c r="AK95" s="90"/>
      <c r="AL95" s="90"/>
      <c r="AM95" s="90"/>
      <c r="AN95" s="90"/>
      <c r="AO95" s="90"/>
      <c r="AP95" s="90"/>
      <c r="AQ95" s="90"/>
      <c r="AR95" s="90"/>
      <c r="AS95" s="90"/>
      <c r="AT95" s="90"/>
      <c r="AU95" s="90"/>
      <c r="AV95" s="90"/>
      <c r="AW95" s="90"/>
      <c r="AX95" s="90"/>
      <c r="AY95" s="90"/>
      <c r="AZ95" s="90"/>
      <c r="BA95" s="90"/>
      <c r="BB95" s="90"/>
      <c r="BC95" s="90"/>
      <c r="BD95" s="90"/>
      <c r="BE95" s="90"/>
      <c r="BF95" s="90"/>
      <c r="BG95" s="90"/>
      <c r="BH95" s="90"/>
      <c r="BI95" s="90"/>
      <c r="BJ95" s="90"/>
      <c r="BK95" s="90"/>
      <c r="BL95" s="90"/>
      <c r="BM95" s="90"/>
      <c r="BN95" s="90"/>
      <c r="BO95" s="90"/>
      <c r="BP95" s="90"/>
      <c r="BQ95" s="90"/>
      <c r="BR95" s="90"/>
      <c r="BS95" s="90"/>
      <c r="BT95" s="90"/>
      <c r="BU95" s="90"/>
      <c r="BV95" s="90"/>
      <c r="BW95" s="90"/>
      <c r="BX95" s="90"/>
      <c r="BY95" s="90"/>
      <c r="BZ95" s="90"/>
      <c r="CA95" s="90"/>
      <c r="CB95" s="90"/>
      <c r="CC95" s="90"/>
      <c r="CD95" s="90"/>
      <c r="CE95" s="90"/>
      <c r="CF95" s="90"/>
      <c r="CG95" s="90"/>
      <c r="CH95" s="90"/>
      <c r="CI95" s="90"/>
      <c r="CJ95" s="90"/>
      <c r="CK95" s="90"/>
      <c r="CL95" s="90"/>
      <c r="CM95" s="90"/>
      <c r="CN95" s="90"/>
      <c r="CO95" s="90"/>
      <c r="CP95" s="90"/>
      <c r="CQ95" s="90"/>
      <c r="CR95" s="90"/>
      <c r="CS95" s="90"/>
      <c r="CT95" s="90"/>
      <c r="CU95" s="90"/>
      <c r="CV95" s="90"/>
      <c r="CW95" s="90"/>
      <c r="CX95" s="90"/>
      <c r="CY95" s="90"/>
      <c r="CZ95" s="90"/>
      <c r="DA95" s="90"/>
      <c r="DB95" s="90"/>
      <c r="DC95" s="90"/>
      <c r="DD95" s="90"/>
      <c r="DE95" s="90"/>
      <c r="DF95" s="90"/>
      <c r="DG95" s="90"/>
      <c r="DH95" s="90"/>
      <c r="DI95" s="90"/>
      <c r="DJ95" s="90"/>
      <c r="DK95" s="90"/>
      <c r="DL95" s="90"/>
      <c r="DM95" s="90"/>
      <c r="DN95" s="90"/>
      <c r="DO95" s="90"/>
      <c r="DP95" s="90"/>
      <c r="DQ95" s="90"/>
      <c r="DR95" s="90"/>
      <c r="DS95" s="90"/>
      <c r="DT95" s="90"/>
      <c r="DU95" s="90"/>
      <c r="DV95" s="90"/>
      <c r="DW95" s="90"/>
      <c r="DX95" s="90"/>
      <c r="DY95" s="90"/>
      <c r="DZ95" s="90"/>
      <c r="EA95" s="90"/>
      <c r="EB95" s="90"/>
      <c r="EC95" s="90"/>
      <c r="ED95" s="90"/>
      <c r="EE95" s="90"/>
      <c r="EF95" s="90"/>
      <c r="EG95" s="90">
        <v>-221938.89</v>
      </c>
      <c r="EH95" s="90"/>
      <c r="EI95" s="90"/>
      <c r="EJ95" s="90"/>
      <c r="EK95" s="90"/>
      <c r="EL95" s="90"/>
      <c r="EM95" s="90"/>
      <c r="EN95" s="90"/>
      <c r="EO95" s="90"/>
      <c r="EP95" s="90"/>
      <c r="EQ95" s="90"/>
      <c r="ER95" s="90"/>
      <c r="ES95" s="90"/>
      <c r="ET95" s="90"/>
      <c r="EU95" s="90"/>
      <c r="EV95" s="90"/>
      <c r="EW95" s="90"/>
      <c r="EX95" s="90"/>
      <c r="EY95" s="90"/>
      <c r="EZ95" s="90"/>
      <c r="FA95" s="90">
        <v>0</v>
      </c>
      <c r="FB95" s="88">
        <v>-221938.89</v>
      </c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/>
      <c r="MZ95"/>
    </row>
    <row r="96" spans="1:366" s="14" customFormat="1" ht="12.75">
      <c r="A96" s="9"/>
      <c r="B96" s="9"/>
      <c r="C96" s="151"/>
      <c r="D96" s="151"/>
      <c r="E96" s="151"/>
      <c r="F96" s="151"/>
      <c r="G96" s="151"/>
      <c r="H96" s="151"/>
      <c r="I96" s="151"/>
      <c r="J96" s="151"/>
      <c r="K96" s="151"/>
      <c r="L96" s="151"/>
      <c r="M96" s="151"/>
      <c r="N96" s="151"/>
      <c r="O96" s="151"/>
      <c r="P96" s="151"/>
      <c r="Q96" s="151"/>
      <c r="R96" s="9"/>
      <c r="U96" s="82" t="s">
        <v>769</v>
      </c>
      <c r="V96" s="82" t="s">
        <v>768</v>
      </c>
      <c r="W96" s="140"/>
      <c r="X96" s="142"/>
      <c r="Y96" s="142"/>
      <c r="Z96" s="142"/>
      <c r="AA96" s="142"/>
      <c r="AB96" s="142"/>
      <c r="AC96" s="142"/>
      <c r="AD96" s="142"/>
      <c r="AE96" s="142"/>
      <c r="AF96" s="142"/>
      <c r="AG96" s="142"/>
      <c r="AH96" s="142"/>
      <c r="AI96" s="142"/>
      <c r="AJ96" s="142"/>
      <c r="AK96" s="142"/>
      <c r="AL96" s="142"/>
      <c r="AM96" s="142"/>
      <c r="AN96" s="142"/>
      <c r="AO96" s="142"/>
      <c r="AP96" s="142"/>
      <c r="AQ96" s="142"/>
      <c r="AR96" s="142"/>
      <c r="AS96" s="142"/>
      <c r="AT96" s="142"/>
      <c r="AU96" s="142"/>
      <c r="AV96" s="142"/>
      <c r="AW96" s="142"/>
      <c r="AX96" s="142"/>
      <c r="AY96" s="142"/>
      <c r="AZ96" s="142"/>
      <c r="BA96" s="142"/>
      <c r="BB96" s="142">
        <v>429881.51999999996</v>
      </c>
      <c r="BC96" s="142">
        <v>-1826562.5</v>
      </c>
      <c r="BD96" s="142"/>
      <c r="BE96" s="142"/>
      <c r="BF96" s="142">
        <v>118.47</v>
      </c>
      <c r="BG96" s="142"/>
      <c r="BH96" s="142">
        <v>81.349999999999994</v>
      </c>
      <c r="BI96" s="142">
        <v>-81069.64</v>
      </c>
      <c r="BJ96" s="142">
        <v>66501.279999999999</v>
      </c>
      <c r="BK96" s="142">
        <v>387994.85</v>
      </c>
      <c r="BL96" s="142"/>
      <c r="BM96" s="142"/>
      <c r="BN96" s="142"/>
      <c r="BO96" s="142"/>
      <c r="BP96" s="142">
        <v>-1481.98</v>
      </c>
      <c r="BQ96" s="142">
        <v>259660.40999999997</v>
      </c>
      <c r="BR96" s="142">
        <v>60561.839999999989</v>
      </c>
      <c r="BS96" s="142">
        <v>98448.11</v>
      </c>
      <c r="BT96" s="142"/>
      <c r="BU96" s="142"/>
      <c r="BV96" s="142">
        <v>81.349999999999994</v>
      </c>
      <c r="BW96" s="142">
        <v>-927850</v>
      </c>
      <c r="BX96" s="142">
        <v>68.97999999999999</v>
      </c>
      <c r="BY96" s="142">
        <v>-7675.7899999999991</v>
      </c>
      <c r="BZ96" s="142">
        <v>130550.96999999999</v>
      </c>
      <c r="CA96" s="142"/>
      <c r="CB96" s="142">
        <v>-9023.24</v>
      </c>
      <c r="CC96" s="142">
        <v>182616.73</v>
      </c>
      <c r="CD96" s="142">
        <v>13843.279999999999</v>
      </c>
      <c r="CE96" s="142"/>
      <c r="CF96" s="142"/>
      <c r="CG96" s="142"/>
      <c r="CH96" s="142"/>
      <c r="CI96" s="142">
        <v>-293858.55</v>
      </c>
      <c r="CJ96" s="142"/>
      <c r="CK96" s="142">
        <v>-2014.8999999999999</v>
      </c>
      <c r="CL96" s="142"/>
      <c r="CM96" s="142">
        <v>27.749999999999996</v>
      </c>
      <c r="CN96" s="142"/>
      <c r="CO96" s="142"/>
      <c r="CP96" s="142"/>
      <c r="CQ96" s="142"/>
      <c r="CR96" s="142"/>
      <c r="CS96" s="142"/>
      <c r="CT96" s="142"/>
      <c r="CU96" s="142"/>
      <c r="CV96" s="142"/>
      <c r="CW96" s="142"/>
      <c r="CX96" s="142"/>
      <c r="CY96" s="142"/>
      <c r="CZ96" s="142"/>
      <c r="DA96" s="142"/>
      <c r="DB96" s="142"/>
      <c r="DC96" s="142"/>
      <c r="DD96" s="142"/>
      <c r="DE96" s="142"/>
      <c r="DF96" s="142"/>
      <c r="DG96" s="142"/>
      <c r="DH96" s="142"/>
      <c r="DI96" s="142"/>
      <c r="DJ96" s="142"/>
      <c r="DK96" s="142"/>
      <c r="DL96" s="142"/>
      <c r="DM96" s="142"/>
      <c r="DN96" s="142"/>
      <c r="DO96" s="142"/>
      <c r="DP96" s="142"/>
      <c r="DQ96" s="142"/>
      <c r="DR96" s="142"/>
      <c r="DS96" s="142"/>
      <c r="DT96" s="142"/>
      <c r="DU96" s="142"/>
      <c r="DV96" s="142"/>
      <c r="DW96" s="142"/>
      <c r="DX96" s="142"/>
      <c r="DY96" s="142"/>
      <c r="DZ96" s="142"/>
      <c r="EA96" s="142"/>
      <c r="EB96" s="142"/>
      <c r="EC96" s="142"/>
      <c r="ED96" s="142"/>
      <c r="EE96" s="142"/>
      <c r="EF96" s="142"/>
      <c r="EG96" s="142"/>
      <c r="EH96" s="142"/>
      <c r="EI96" s="142"/>
      <c r="EJ96" s="142"/>
      <c r="EK96" s="142"/>
      <c r="EL96" s="142"/>
      <c r="EM96" s="142"/>
      <c r="EN96" s="142"/>
      <c r="EO96" s="142"/>
      <c r="EP96" s="142"/>
      <c r="EQ96" s="142"/>
      <c r="ER96" s="142"/>
      <c r="ES96" s="142"/>
      <c r="ET96" s="142"/>
      <c r="EU96" s="142"/>
      <c r="EV96" s="142"/>
      <c r="EW96" s="142"/>
      <c r="EX96" s="142"/>
      <c r="EY96" s="142"/>
      <c r="EZ96" s="142"/>
      <c r="FA96" s="142"/>
      <c r="FB96" s="87">
        <v>-1519099.71</v>
      </c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MQ96"/>
      <c r="MR96"/>
      <c r="MS96"/>
      <c r="MT96"/>
      <c r="MU96"/>
      <c r="MV96"/>
      <c r="MW96"/>
      <c r="MX96"/>
      <c r="MY96"/>
      <c r="MZ96"/>
    </row>
    <row r="97" spans="1:366" ht="12.75">
      <c r="U97" s="82" t="s">
        <v>340</v>
      </c>
      <c r="V97" s="82" t="s">
        <v>339</v>
      </c>
      <c r="W97" s="140"/>
      <c r="X97" s="142"/>
      <c r="Y97" s="142"/>
      <c r="Z97" s="142"/>
      <c r="AA97" s="142"/>
      <c r="AB97" s="142"/>
      <c r="AC97" s="142"/>
      <c r="AD97" s="142"/>
      <c r="AE97" s="142"/>
      <c r="AF97" s="142"/>
      <c r="AG97" s="142"/>
      <c r="AH97" s="142"/>
      <c r="AI97" s="142"/>
      <c r="AJ97" s="142"/>
      <c r="AK97" s="142"/>
      <c r="AL97" s="142"/>
      <c r="AM97" s="142"/>
      <c r="AN97" s="142"/>
      <c r="AO97" s="142"/>
      <c r="AP97" s="142"/>
      <c r="AQ97" s="142"/>
      <c r="AR97" s="142"/>
      <c r="AS97" s="142"/>
      <c r="AT97" s="142"/>
      <c r="AU97" s="142"/>
      <c r="AV97" s="142"/>
      <c r="AW97" s="142"/>
      <c r="AX97" s="142"/>
      <c r="AY97" s="142"/>
      <c r="AZ97" s="142"/>
      <c r="BA97" s="142"/>
      <c r="BB97" s="142"/>
      <c r="BC97" s="142"/>
      <c r="BD97" s="142"/>
      <c r="BE97" s="142"/>
      <c r="BF97" s="142"/>
      <c r="BG97" s="142"/>
      <c r="BH97" s="142"/>
      <c r="BI97" s="142"/>
      <c r="BJ97" s="142"/>
      <c r="BK97" s="142"/>
      <c r="BL97" s="142"/>
      <c r="BM97" s="142"/>
      <c r="BN97" s="142"/>
      <c r="BO97" s="142"/>
      <c r="BP97" s="142"/>
      <c r="BQ97" s="142"/>
      <c r="BR97" s="142"/>
      <c r="BS97" s="142"/>
      <c r="BT97" s="142"/>
      <c r="BU97" s="142"/>
      <c r="BV97" s="142"/>
      <c r="BW97" s="142"/>
      <c r="BX97" s="142"/>
      <c r="BY97" s="142"/>
      <c r="BZ97" s="142"/>
      <c r="CA97" s="142"/>
      <c r="CB97" s="142"/>
      <c r="CC97" s="142"/>
      <c r="CD97" s="142"/>
      <c r="CE97" s="142"/>
      <c r="CF97" s="142"/>
      <c r="CG97" s="142"/>
      <c r="CH97" s="142"/>
      <c r="CI97" s="142"/>
      <c r="CJ97" s="142"/>
      <c r="CK97" s="142"/>
      <c r="CL97" s="142"/>
      <c r="CM97" s="142"/>
      <c r="CN97" s="142"/>
      <c r="CO97" s="142"/>
      <c r="CP97" s="142"/>
      <c r="CQ97" s="142"/>
      <c r="CR97" s="142">
        <v>350170.26</v>
      </c>
      <c r="CS97" s="142">
        <v>-2687.79</v>
      </c>
      <c r="CT97" s="142"/>
      <c r="CU97" s="142">
        <v>134102.96999999997</v>
      </c>
      <c r="CV97" s="142"/>
      <c r="CW97" s="142"/>
      <c r="CX97" s="142"/>
      <c r="CY97" s="142"/>
      <c r="CZ97" s="142"/>
      <c r="DA97" s="142"/>
      <c r="DB97" s="142">
        <v>63390.74</v>
      </c>
      <c r="DC97" s="142">
        <v>253556.76</v>
      </c>
      <c r="DD97" s="142">
        <v>-2626.16</v>
      </c>
      <c r="DE97" s="142">
        <v>-9703.41</v>
      </c>
      <c r="DF97" s="142">
        <v>-2888.9399999999996</v>
      </c>
      <c r="DG97" s="142"/>
      <c r="DH97" s="142"/>
      <c r="DI97" s="142">
        <v>-29.16</v>
      </c>
      <c r="DJ97" s="142">
        <v>-1826562.5</v>
      </c>
      <c r="DK97" s="142"/>
      <c r="DL97" s="142"/>
      <c r="DM97" s="142"/>
      <c r="DN97" s="142">
        <v>423922.2</v>
      </c>
      <c r="DO97" s="142">
        <v>59631.560000000005</v>
      </c>
      <c r="DP97" s="142"/>
      <c r="DQ97" s="142"/>
      <c r="DR97" s="142">
        <v>-927850</v>
      </c>
      <c r="DS97" s="142">
        <v>-8643.1299999999992</v>
      </c>
      <c r="DT97" s="142"/>
      <c r="DU97" s="142">
        <v>178937.28</v>
      </c>
      <c r="DV97" s="142"/>
      <c r="DW97" s="142">
        <v>122218.39</v>
      </c>
      <c r="DX97" s="142"/>
      <c r="DY97" s="142"/>
      <c r="DZ97" s="142"/>
      <c r="EA97" s="142"/>
      <c r="EB97" s="142"/>
      <c r="EC97" s="142"/>
      <c r="ED97" s="142">
        <v>13946.75</v>
      </c>
      <c r="EE97" s="142"/>
      <c r="EF97" s="142">
        <v>-78573.920000000013</v>
      </c>
      <c r="EG97" s="142"/>
      <c r="EH97" s="142"/>
      <c r="EI97" s="142"/>
      <c r="EJ97" s="142"/>
      <c r="EK97" s="142">
        <v>-26.419999999999998</v>
      </c>
      <c r="EL97" s="142">
        <v>-28.25</v>
      </c>
      <c r="EM97" s="142">
        <v>-25.499999999999996</v>
      </c>
      <c r="EN97" s="142">
        <v>-28.25</v>
      </c>
      <c r="EO97" s="142"/>
      <c r="EP97" s="142"/>
      <c r="EQ97" s="142"/>
      <c r="ER97" s="142"/>
      <c r="ES97" s="142"/>
      <c r="ET97" s="142"/>
      <c r="EU97" s="142"/>
      <c r="EV97" s="142"/>
      <c r="EW97" s="142"/>
      <c r="EX97" s="142"/>
      <c r="EY97" s="142">
        <v>-2450.9899999999998</v>
      </c>
      <c r="EZ97" s="142">
        <v>-254008.17000000004</v>
      </c>
      <c r="FA97" s="142"/>
      <c r="FB97" s="87">
        <v>-1516255.6799999997</v>
      </c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  <c r="KO97"/>
      <c r="KP97"/>
      <c r="KQ97"/>
      <c r="KR97"/>
      <c r="KS97"/>
      <c r="KT97"/>
      <c r="KU97"/>
      <c r="KV97"/>
      <c r="KW97"/>
      <c r="KX97"/>
      <c r="KY97"/>
      <c r="KZ97"/>
      <c r="LA97"/>
      <c r="LB97"/>
      <c r="LC97"/>
      <c r="LD97"/>
      <c r="LE97"/>
      <c r="LF97"/>
      <c r="LG97"/>
      <c r="LH97"/>
      <c r="LI97"/>
      <c r="LJ97"/>
      <c r="LK97"/>
      <c r="LL97"/>
      <c r="LM97"/>
      <c r="LN97"/>
      <c r="LO97"/>
      <c r="LP97"/>
      <c r="LQ97"/>
      <c r="LR97"/>
      <c r="LS97"/>
      <c r="LT97"/>
      <c r="LU97"/>
      <c r="LV97"/>
      <c r="LW97"/>
      <c r="LX97"/>
      <c r="LY97"/>
      <c r="LZ97"/>
      <c r="MA97"/>
      <c r="MB97"/>
      <c r="MC97"/>
      <c r="MD97"/>
      <c r="ME97"/>
      <c r="MF97"/>
      <c r="MG97"/>
      <c r="MH97"/>
      <c r="MI97"/>
      <c r="MJ97"/>
      <c r="MK97"/>
      <c r="ML97"/>
      <c r="MM97"/>
      <c r="MN97"/>
      <c r="MO97"/>
      <c r="MP97"/>
      <c r="MQ97"/>
      <c r="MR97"/>
      <c r="MS97"/>
      <c r="MT97"/>
      <c r="MU97"/>
      <c r="MV97"/>
      <c r="MW97"/>
      <c r="MX97"/>
      <c r="MY97"/>
      <c r="MZ97"/>
      <c r="NA97" s="14"/>
      <c r="NB97" s="14"/>
    </row>
    <row r="98" spans="1:366" ht="12.75">
      <c r="U98" s="82" t="s">
        <v>342</v>
      </c>
      <c r="V98" s="82" t="s">
        <v>341</v>
      </c>
      <c r="W98" s="140"/>
      <c r="X98" s="142"/>
      <c r="Y98" s="142"/>
      <c r="Z98" s="142"/>
      <c r="AA98" s="142"/>
      <c r="AB98" s="142"/>
      <c r="AC98" s="142"/>
      <c r="AD98" s="142"/>
      <c r="AE98" s="142"/>
      <c r="AF98" s="142"/>
      <c r="AG98" s="142"/>
      <c r="AH98" s="142"/>
      <c r="AI98" s="142"/>
      <c r="AJ98" s="142"/>
      <c r="AK98" s="142"/>
      <c r="AL98" s="142"/>
      <c r="AM98" s="142"/>
      <c r="AN98" s="142"/>
      <c r="AO98" s="142"/>
      <c r="AP98" s="142"/>
      <c r="AQ98" s="142"/>
      <c r="AR98" s="142"/>
      <c r="AS98" s="142"/>
      <c r="AT98" s="142"/>
      <c r="AU98" s="142"/>
      <c r="AV98" s="142"/>
      <c r="AW98" s="142"/>
      <c r="AX98" s="142"/>
      <c r="AY98" s="142"/>
      <c r="AZ98" s="142"/>
      <c r="BA98" s="142"/>
      <c r="BB98" s="142"/>
      <c r="BC98" s="142"/>
      <c r="BD98" s="142"/>
      <c r="BE98" s="142"/>
      <c r="BF98" s="142"/>
      <c r="BG98" s="142"/>
      <c r="BH98" s="142"/>
      <c r="BI98" s="142"/>
      <c r="BJ98" s="142"/>
      <c r="BK98" s="142"/>
      <c r="BL98" s="142"/>
      <c r="BM98" s="142"/>
      <c r="BN98" s="142"/>
      <c r="BO98" s="142"/>
      <c r="BP98" s="142"/>
      <c r="BQ98" s="142"/>
      <c r="BR98" s="142"/>
      <c r="BS98" s="142"/>
      <c r="BT98" s="142"/>
      <c r="BU98" s="142"/>
      <c r="BV98" s="142"/>
      <c r="BW98" s="142"/>
      <c r="BX98" s="142"/>
      <c r="BY98" s="142"/>
      <c r="BZ98" s="142"/>
      <c r="CA98" s="142"/>
      <c r="CB98" s="142"/>
      <c r="CC98" s="142"/>
      <c r="CD98" s="142"/>
      <c r="CE98" s="142"/>
      <c r="CF98" s="142">
        <v>302328.32999999996</v>
      </c>
      <c r="CG98" s="142">
        <v>64458.659999999996</v>
      </c>
      <c r="CH98" s="142"/>
      <c r="CI98" s="142"/>
      <c r="CJ98" s="142">
        <v>-1826562.5</v>
      </c>
      <c r="CK98" s="142"/>
      <c r="CL98" s="142">
        <v>12.97</v>
      </c>
      <c r="CM98" s="142"/>
      <c r="CN98" s="142">
        <v>-28.25</v>
      </c>
      <c r="CO98" s="142"/>
      <c r="CP98" s="142"/>
      <c r="CQ98" s="142">
        <v>-81647.47</v>
      </c>
      <c r="CR98" s="142"/>
      <c r="CS98" s="142"/>
      <c r="CT98" s="142">
        <v>354006.27</v>
      </c>
      <c r="CU98" s="142"/>
      <c r="CV98" s="142">
        <v>368611.38</v>
      </c>
      <c r="CW98" s="142">
        <v>255291.51999999996</v>
      </c>
      <c r="CX98" s="142">
        <v>-2538.5700000000002</v>
      </c>
      <c r="CY98" s="142">
        <v>-10127.540000000001</v>
      </c>
      <c r="CZ98" s="142">
        <v>-11453.07</v>
      </c>
      <c r="DA98" s="142">
        <v>-2626.16</v>
      </c>
      <c r="DB98" s="142"/>
      <c r="DC98" s="142"/>
      <c r="DD98" s="142"/>
      <c r="DE98" s="142"/>
      <c r="DF98" s="142"/>
      <c r="DG98" s="142"/>
      <c r="DH98" s="142"/>
      <c r="DI98" s="142"/>
      <c r="DJ98" s="142"/>
      <c r="DK98" s="142">
        <v>416717.66000000003</v>
      </c>
      <c r="DL98" s="142">
        <v>347490</v>
      </c>
      <c r="DM98" s="142">
        <v>401070.51</v>
      </c>
      <c r="DN98" s="142"/>
      <c r="DO98" s="142"/>
      <c r="DP98" s="142"/>
      <c r="DQ98" s="142">
        <v>-927850</v>
      </c>
      <c r="DR98" s="142"/>
      <c r="DS98" s="142"/>
      <c r="DT98" s="142"/>
      <c r="DU98" s="142"/>
      <c r="DV98" s="142">
        <v>-480403.82999999996</v>
      </c>
      <c r="DW98" s="142"/>
      <c r="DX98" s="142"/>
      <c r="DY98" s="142"/>
      <c r="DZ98" s="142"/>
      <c r="EA98" s="142"/>
      <c r="EB98" s="142"/>
      <c r="EC98" s="142">
        <v>14101.12</v>
      </c>
      <c r="ED98" s="142"/>
      <c r="EE98" s="142"/>
      <c r="EF98" s="142"/>
      <c r="EG98" s="142"/>
      <c r="EH98" s="142">
        <v>-27.33</v>
      </c>
      <c r="EI98" s="142">
        <v>-27.33</v>
      </c>
      <c r="EJ98" s="142">
        <v>-27.33</v>
      </c>
      <c r="EK98" s="142"/>
      <c r="EL98" s="142"/>
      <c r="EM98" s="142"/>
      <c r="EN98" s="142"/>
      <c r="EO98" s="142"/>
      <c r="EP98" s="142"/>
      <c r="EQ98" s="142"/>
      <c r="ER98" s="142"/>
      <c r="ES98" s="142"/>
      <c r="ET98" s="142"/>
      <c r="EU98" s="142"/>
      <c r="EV98" s="142"/>
      <c r="EW98" s="142"/>
      <c r="EX98" s="142"/>
      <c r="EY98" s="142"/>
      <c r="EZ98" s="142"/>
      <c r="FA98" s="142"/>
      <c r="FB98" s="87">
        <v>-819230.95999999985</v>
      </c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  <c r="LM98"/>
      <c r="LN98"/>
      <c r="LO98"/>
      <c r="LP98"/>
      <c r="LQ98"/>
      <c r="LR98"/>
      <c r="LS98"/>
      <c r="LT98"/>
      <c r="LU98"/>
      <c r="LV98"/>
      <c r="LW98"/>
      <c r="LX98"/>
      <c r="LY98"/>
      <c r="LZ98"/>
      <c r="MA98"/>
      <c r="MB98"/>
      <c r="MC98"/>
      <c r="MD98"/>
      <c r="ME98"/>
      <c r="MF98"/>
      <c r="MG98"/>
      <c r="MH98"/>
      <c r="MI98"/>
      <c r="MJ98"/>
      <c r="MK98"/>
      <c r="ML98"/>
      <c r="MM98"/>
      <c r="MN98"/>
      <c r="MO98"/>
      <c r="MP98"/>
      <c r="MQ98"/>
      <c r="MR98"/>
      <c r="MS98"/>
      <c r="MT98"/>
      <c r="MU98"/>
      <c r="MV98"/>
      <c r="MW98"/>
      <c r="MX98"/>
      <c r="MY98"/>
      <c r="MZ98"/>
    </row>
    <row r="99" spans="1:366" s="2" customFormat="1" ht="12.75">
      <c r="A99" s="9"/>
      <c r="B99" s="9"/>
      <c r="C99" s="151"/>
      <c r="D99" s="151"/>
      <c r="E99" s="151"/>
      <c r="F99" s="151"/>
      <c r="G99" s="151"/>
      <c r="H99" s="151"/>
      <c r="I99" s="151"/>
      <c r="J99" s="151"/>
      <c r="K99" s="151"/>
      <c r="L99" s="151"/>
      <c r="M99" s="151"/>
      <c r="N99" s="151"/>
      <c r="O99" s="151"/>
      <c r="P99" s="151"/>
      <c r="Q99" s="151"/>
      <c r="S99" s="151"/>
      <c r="T99" s="151"/>
      <c r="U99" s="84" t="s">
        <v>63</v>
      </c>
      <c r="V99" s="149"/>
      <c r="W99" s="144">
        <v>32562.499999999996</v>
      </c>
      <c r="X99" s="145">
        <v>23118750</v>
      </c>
      <c r="Y99" s="145">
        <v>12235407.76</v>
      </c>
      <c r="Z99" s="145">
        <v>11734793.689999999</v>
      </c>
      <c r="AA99" s="145">
        <v>11882814.93</v>
      </c>
      <c r="AB99" s="145">
        <v>619912.98</v>
      </c>
      <c r="AC99" s="145">
        <v>-37896333.899999999</v>
      </c>
      <c r="AD99" s="145">
        <v>3102097.04</v>
      </c>
      <c r="AE99" s="145">
        <v>415438.03</v>
      </c>
      <c r="AF99" s="145">
        <v>86.16</v>
      </c>
      <c r="AG99" s="145">
        <v>88.05</v>
      </c>
      <c r="AH99" s="145">
        <v>-367596.16</v>
      </c>
      <c r="AI99" s="145">
        <v>0</v>
      </c>
      <c r="AJ99" s="145">
        <v>2103466.17</v>
      </c>
      <c r="AK99" s="145">
        <v>603550</v>
      </c>
      <c r="AL99" s="145">
        <v>3138418.92</v>
      </c>
      <c r="AM99" s="145">
        <v>-100220340</v>
      </c>
      <c r="AN99" s="145">
        <v>-42451380.759999998</v>
      </c>
      <c r="AO99" s="145">
        <v>82.19</v>
      </c>
      <c r="AP99" s="145">
        <v>111227375</v>
      </c>
      <c r="AQ99" s="145">
        <v>43125</v>
      </c>
      <c r="AR99" s="145">
        <v>13110091.720000001</v>
      </c>
      <c r="AS99" s="145">
        <v>3358616.12</v>
      </c>
      <c r="AT99" s="145">
        <v>276838.37</v>
      </c>
      <c r="AU99" s="145">
        <v>80.44</v>
      </c>
      <c r="AV99" s="145">
        <v>-281.77999999999884</v>
      </c>
      <c r="AW99" s="145">
        <v>-1756615.1300000001</v>
      </c>
      <c r="AX99" s="145">
        <v>13857253.079999998</v>
      </c>
      <c r="AY99" s="145">
        <v>-7782.9800000000005</v>
      </c>
      <c r="AZ99" s="145">
        <v>3359438.56</v>
      </c>
      <c r="BA99" s="145">
        <v>3230733.5</v>
      </c>
      <c r="BB99" s="145">
        <v>13977788.42</v>
      </c>
      <c r="BC99" s="145">
        <v>602797.2799999998</v>
      </c>
      <c r="BD99" s="145">
        <v>12685383.759999998</v>
      </c>
      <c r="BE99" s="145">
        <v>124.57999999999998</v>
      </c>
      <c r="BF99" s="145">
        <v>118.47</v>
      </c>
      <c r="BG99" s="145">
        <v>0</v>
      </c>
      <c r="BH99" s="145">
        <v>32643.849999999995</v>
      </c>
      <c r="BI99" s="145">
        <v>627680.36</v>
      </c>
      <c r="BJ99" s="145">
        <v>3330753.8899999997</v>
      </c>
      <c r="BK99" s="145">
        <v>13817625.419999998</v>
      </c>
      <c r="BL99" s="145">
        <v>-67432287.109999985</v>
      </c>
      <c r="BM99" s="145">
        <v>4510024.78</v>
      </c>
      <c r="BN99" s="145">
        <v>-66900000</v>
      </c>
      <c r="BO99" s="145">
        <v>43125</v>
      </c>
      <c r="BP99" s="145">
        <v>4864272.13</v>
      </c>
      <c r="BQ99" s="145">
        <v>106029.63999999998</v>
      </c>
      <c r="BR99" s="145">
        <v>18781353.429999996</v>
      </c>
      <c r="BS99" s="145">
        <v>98448.11</v>
      </c>
      <c r="BT99" s="145">
        <v>-8888156.25</v>
      </c>
      <c r="BU99" s="145">
        <v>-367596.16</v>
      </c>
      <c r="BV99" s="145">
        <v>81.349999999999994</v>
      </c>
      <c r="BW99" s="145">
        <v>409103.97</v>
      </c>
      <c r="BX99" s="145">
        <v>68.97999999999999</v>
      </c>
      <c r="BY99" s="145">
        <v>4870878.82</v>
      </c>
      <c r="BZ99" s="145">
        <v>19924347.52</v>
      </c>
      <c r="CA99" s="145">
        <v>-1688027.8499999999</v>
      </c>
      <c r="CB99" s="145">
        <v>-9232.6299999999992</v>
      </c>
      <c r="CC99" s="145">
        <v>17785944.330000002</v>
      </c>
      <c r="CD99" s="145">
        <v>100.11000000000058</v>
      </c>
      <c r="CE99" s="145">
        <v>4381994.1100000003</v>
      </c>
      <c r="CF99" s="145">
        <v>12136646.590000002</v>
      </c>
      <c r="CG99" s="145">
        <v>3134027.0500000003</v>
      </c>
      <c r="CH99" s="145">
        <v>4609025.7</v>
      </c>
      <c r="CI99" s="145">
        <v>17996275.73</v>
      </c>
      <c r="CJ99" s="145">
        <v>588932.35999999987</v>
      </c>
      <c r="CK99" s="145">
        <v>-2014.8999999999999</v>
      </c>
      <c r="CL99" s="145">
        <v>12.97</v>
      </c>
      <c r="CM99" s="145">
        <v>27.749999999999996</v>
      </c>
      <c r="CN99" s="145">
        <v>32534.249999999996</v>
      </c>
      <c r="CO99" s="145">
        <v>43125</v>
      </c>
      <c r="CP99" s="145">
        <v>-40016727.460000001</v>
      </c>
      <c r="CQ99" s="145">
        <v>627102.53</v>
      </c>
      <c r="CR99" s="145">
        <v>15648306.909999998</v>
      </c>
      <c r="CS99" s="145">
        <v>-5005.0599999999995</v>
      </c>
      <c r="CT99" s="145">
        <v>13315671.169999998</v>
      </c>
      <c r="CU99" s="145">
        <v>20248821.07</v>
      </c>
      <c r="CV99" s="145">
        <v>12474974.01</v>
      </c>
      <c r="CW99" s="145">
        <v>103365.45999999999</v>
      </c>
      <c r="CX99" s="145">
        <v>3099299.6</v>
      </c>
      <c r="CY99" s="145">
        <v>3354577.61</v>
      </c>
      <c r="CZ99" s="145">
        <v>-11657.02</v>
      </c>
      <c r="DA99" s="145">
        <v>3231763.32</v>
      </c>
      <c r="DB99" s="145">
        <v>3327619.37</v>
      </c>
      <c r="DC99" s="145">
        <v>102433.1</v>
      </c>
      <c r="DD99" s="145">
        <v>4863090.08</v>
      </c>
      <c r="DE99" s="145">
        <v>4865228.51</v>
      </c>
      <c r="DF99" s="145">
        <v>-2888.9399999999996</v>
      </c>
      <c r="DG99" s="145">
        <v>0</v>
      </c>
      <c r="DH99" s="145">
        <v>0</v>
      </c>
      <c r="DI99" s="145">
        <v>32533.339999999997</v>
      </c>
      <c r="DJ99" s="145">
        <v>360937.5</v>
      </c>
      <c r="DK99" s="145">
        <v>12525859.17</v>
      </c>
      <c r="DL99" s="145">
        <v>13579347.059999999</v>
      </c>
      <c r="DM99" s="145">
        <v>13433238.609999998</v>
      </c>
      <c r="DN99" s="145">
        <v>14198588.159999998</v>
      </c>
      <c r="DO99" s="145">
        <v>19043520.099999998</v>
      </c>
      <c r="DP99" s="145">
        <v>0</v>
      </c>
      <c r="DQ99" s="145">
        <v>172150</v>
      </c>
      <c r="DR99" s="145">
        <v>172150</v>
      </c>
      <c r="DS99" s="145">
        <v>-8887.15</v>
      </c>
      <c r="DT99" s="145">
        <v>-500000</v>
      </c>
      <c r="DU99" s="145">
        <v>18042275.66</v>
      </c>
      <c r="DV99" s="145">
        <v>-480403.82999999996</v>
      </c>
      <c r="DW99" s="145">
        <v>-245377.76999999996</v>
      </c>
      <c r="DX99" s="145">
        <v>35948.199999999997</v>
      </c>
      <c r="DY99" s="145">
        <v>-1726430.5799999998</v>
      </c>
      <c r="DZ99" s="145">
        <v>-69997961.920000002</v>
      </c>
      <c r="EA99" s="145">
        <v>-1654050.08</v>
      </c>
      <c r="EB99" s="145">
        <v>320445.18</v>
      </c>
      <c r="EC99" s="145">
        <v>-29.159999999999854</v>
      </c>
      <c r="ED99" s="145">
        <v>-28.25</v>
      </c>
      <c r="EE99" s="145">
        <v>-367596.16</v>
      </c>
      <c r="EF99" s="145">
        <v>673301.08</v>
      </c>
      <c r="EG99" s="145">
        <v>29778061.109999999</v>
      </c>
      <c r="EH99" s="145">
        <v>-27.33</v>
      </c>
      <c r="EI99" s="145">
        <v>-27.33</v>
      </c>
      <c r="EJ99" s="145">
        <v>-27.33</v>
      </c>
      <c r="EK99" s="145">
        <v>-26.419999999999998</v>
      </c>
      <c r="EL99" s="145">
        <v>-28.25</v>
      </c>
      <c r="EM99" s="145">
        <v>-25.499999999999996</v>
      </c>
      <c r="EN99" s="145">
        <v>-28.25</v>
      </c>
      <c r="EO99" s="145">
        <v>0</v>
      </c>
      <c r="EP99" s="145">
        <v>3226866.16</v>
      </c>
      <c r="EQ99" s="145">
        <v>-38091303.75</v>
      </c>
      <c r="ER99" s="145">
        <v>3359438.56</v>
      </c>
      <c r="ES99" s="145">
        <v>4510024.78</v>
      </c>
      <c r="ET99" s="145">
        <v>-8102231.2499999991</v>
      </c>
      <c r="EU99" s="145">
        <v>4378282.58</v>
      </c>
      <c r="EV99" s="145">
        <v>-68900000</v>
      </c>
      <c r="EW99" s="145">
        <v>193582.06</v>
      </c>
      <c r="EX99" s="145">
        <v>-300000</v>
      </c>
      <c r="EY99" s="145">
        <v>4608582.2299999995</v>
      </c>
      <c r="EZ99" s="145">
        <v>18316715.839999996</v>
      </c>
      <c r="FA99" s="145">
        <v>0</v>
      </c>
      <c r="FB99" s="89">
        <v>64668001.639999993</v>
      </c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  <c r="LM99"/>
      <c r="LN99"/>
      <c r="LO99"/>
      <c r="LP99"/>
      <c r="LQ99"/>
      <c r="LR99"/>
      <c r="LS99"/>
      <c r="LT99"/>
      <c r="LU99"/>
      <c r="LV99"/>
      <c r="LW99"/>
      <c r="LX99"/>
      <c r="LY99"/>
      <c r="LZ99"/>
      <c r="MA99"/>
      <c r="MB99"/>
      <c r="MC99"/>
      <c r="MD99"/>
      <c r="ME99"/>
      <c r="MF99"/>
      <c r="MG99"/>
      <c r="MH99"/>
      <c r="MI99"/>
      <c r="MJ99"/>
      <c r="MK99"/>
      <c r="ML99"/>
      <c r="MM99"/>
      <c r="MN99"/>
      <c r="MO99"/>
      <c r="MP99"/>
      <c r="MQ99"/>
      <c r="MR99"/>
      <c r="MS99"/>
      <c r="MT99"/>
      <c r="MU99"/>
      <c r="MV99"/>
      <c r="MW99"/>
      <c r="MX99"/>
      <c r="MY99"/>
      <c r="MZ99"/>
      <c r="NA99" s="151"/>
      <c r="NB99" s="151"/>
    </row>
    <row r="100" spans="1:366" s="2" customFormat="1" ht="12.75">
      <c r="A100" s="9"/>
      <c r="B100" s="9"/>
      <c r="C100" s="151"/>
      <c r="D100" s="151"/>
      <c r="E100" s="151"/>
      <c r="F100" s="151"/>
      <c r="G100" s="151"/>
      <c r="H100" s="151"/>
      <c r="I100" s="151"/>
      <c r="J100" s="151"/>
      <c r="K100" s="151"/>
      <c r="L100" s="151"/>
      <c r="M100" s="151"/>
      <c r="N100" s="151"/>
      <c r="O100" s="151"/>
      <c r="P100" s="151"/>
      <c r="Q100" s="151"/>
      <c r="S100" s="151"/>
      <c r="T100" s="151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  <c r="JO100"/>
      <c r="JP100"/>
      <c r="JQ100"/>
      <c r="JR100"/>
      <c r="JS100"/>
      <c r="JT10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/>
      <c r="KO100"/>
      <c r="KP100"/>
      <c r="KQ100"/>
      <c r="KR100"/>
      <c r="KS100"/>
      <c r="KT100"/>
      <c r="KU100"/>
      <c r="KV100"/>
      <c r="KW100"/>
      <c r="KX100"/>
      <c r="KY100"/>
      <c r="KZ100"/>
      <c r="LA100"/>
      <c r="LB100"/>
      <c r="LC100"/>
      <c r="LD100"/>
      <c r="LE100"/>
      <c r="LF100"/>
      <c r="LG100"/>
      <c r="LH100"/>
      <c r="LI100"/>
      <c r="LJ100"/>
      <c r="LK100"/>
      <c r="LL100"/>
      <c r="LM100"/>
      <c r="LN100"/>
      <c r="LO100"/>
      <c r="LP100"/>
      <c r="LQ100"/>
      <c r="LR100"/>
      <c r="LS100"/>
      <c r="LT100"/>
      <c r="LU100"/>
      <c r="LV100"/>
      <c r="LW100"/>
      <c r="LX100"/>
      <c r="LY100"/>
      <c r="LZ100"/>
      <c r="MA100"/>
      <c r="MB100"/>
      <c r="MC100"/>
      <c r="MD100"/>
      <c r="ME100"/>
      <c r="MF100"/>
      <c r="MG100"/>
      <c r="MH100"/>
      <c r="MI100"/>
      <c r="MJ100"/>
      <c r="MK100"/>
      <c r="ML100"/>
      <c r="MM100"/>
      <c r="MN100"/>
      <c r="MO100"/>
      <c r="MP100"/>
      <c r="MQ100"/>
      <c r="MR100"/>
      <c r="MS100"/>
      <c r="MT100"/>
      <c r="MU100"/>
      <c r="MV100"/>
      <c r="MW100"/>
      <c r="MX100"/>
      <c r="MY100"/>
      <c r="MZ100"/>
    </row>
    <row r="101" spans="1:366" s="2" customFormat="1" ht="12.75">
      <c r="A101" s="9"/>
      <c r="B101" s="9"/>
      <c r="C101" s="151"/>
      <c r="D101" s="151"/>
      <c r="E101" s="151"/>
      <c r="F101" s="151"/>
      <c r="G101" s="151"/>
      <c r="H101" s="151"/>
      <c r="I101" s="151"/>
      <c r="J101" s="151"/>
      <c r="K101" s="151"/>
      <c r="L101" s="151"/>
      <c r="M101" s="151"/>
      <c r="N101" s="151"/>
      <c r="O101" s="151"/>
      <c r="P101" s="151"/>
      <c r="Q101" s="151"/>
      <c r="S101" s="151"/>
      <c r="T101" s="15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  <c r="JO101"/>
      <c r="JP101"/>
      <c r="JQ101"/>
      <c r="JR101"/>
      <c r="JS101"/>
      <c r="JT101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  <c r="LC101"/>
      <c r="LD101"/>
      <c r="LE101"/>
      <c r="LF101"/>
      <c r="LG101"/>
      <c r="LH101"/>
      <c r="LI101"/>
      <c r="LJ101"/>
      <c r="LK101"/>
      <c r="LL101"/>
      <c r="LM101"/>
      <c r="LN101"/>
      <c r="LO101"/>
      <c r="LP101"/>
      <c r="LQ101"/>
      <c r="LR101"/>
      <c r="LS101"/>
      <c r="LT101"/>
      <c r="LU101"/>
      <c r="LV101"/>
      <c r="LW101"/>
      <c r="LX101"/>
      <c r="LY101"/>
      <c r="LZ101"/>
      <c r="MA101"/>
      <c r="MB101"/>
      <c r="MC101"/>
      <c r="MD101"/>
      <c r="ME101"/>
      <c r="MF101"/>
      <c r="MG101"/>
      <c r="MH101"/>
      <c r="MI101"/>
      <c r="MJ101"/>
      <c r="MK101"/>
      <c r="ML101"/>
      <c r="MM101"/>
      <c r="MN101"/>
      <c r="MO101"/>
      <c r="MP101"/>
      <c r="MQ101"/>
      <c r="MR101"/>
      <c r="MS101"/>
      <c r="MT101"/>
      <c r="MU101"/>
      <c r="MV101"/>
      <c r="MW101"/>
      <c r="MX101"/>
      <c r="MY101"/>
      <c r="MZ101"/>
    </row>
    <row r="102" spans="1:366" s="2" customFormat="1" ht="12.75">
      <c r="A102" s="9"/>
      <c r="B102" s="9"/>
      <c r="C102" s="151"/>
      <c r="D102" s="151"/>
      <c r="E102" s="151"/>
      <c r="F102" s="151"/>
      <c r="G102" s="151"/>
      <c r="H102" s="151"/>
      <c r="I102" s="151"/>
      <c r="J102" s="151"/>
      <c r="K102" s="151"/>
      <c r="L102" s="151"/>
      <c r="M102" s="151"/>
      <c r="N102" s="151"/>
      <c r="O102" s="151"/>
      <c r="P102" s="151"/>
      <c r="Q102" s="151"/>
      <c r="S102" s="151"/>
      <c r="T102" s="151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  <c r="MH102"/>
      <c r="MI102"/>
      <c r="MJ102"/>
      <c r="MK102"/>
      <c r="ML102"/>
      <c r="MM102"/>
      <c r="MN102"/>
      <c r="MO102"/>
      <c r="MP102"/>
      <c r="MQ102"/>
      <c r="MR102"/>
      <c r="MS102"/>
      <c r="MT102"/>
      <c r="MU102"/>
      <c r="MV102"/>
      <c r="MW102"/>
      <c r="MX102"/>
      <c r="MY102"/>
      <c r="MZ102"/>
    </row>
    <row r="103" spans="1:366" s="2" customFormat="1" ht="12.75" hidden="1">
      <c r="A103" s="9"/>
      <c r="B103" s="9"/>
      <c r="C103" s="151"/>
      <c r="D103" s="151"/>
      <c r="E103" s="151"/>
      <c r="F103" s="151"/>
      <c r="G103" s="151"/>
      <c r="H103" s="151"/>
      <c r="I103" s="151"/>
      <c r="J103" s="151"/>
      <c r="K103" s="151"/>
      <c r="L103" s="151"/>
      <c r="M103" s="151"/>
      <c r="N103" s="151"/>
      <c r="O103" s="151"/>
      <c r="P103" s="151"/>
      <c r="Q103" s="151"/>
      <c r="S103" s="151"/>
      <c r="T103" s="151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  <c r="MH103"/>
      <c r="MI103"/>
      <c r="MJ103"/>
      <c r="MK103"/>
      <c r="ML103"/>
      <c r="MM103"/>
      <c r="MN103"/>
      <c r="MO103"/>
      <c r="MP103"/>
      <c r="MQ103"/>
      <c r="MR103"/>
      <c r="MS103"/>
      <c r="MT103"/>
      <c r="MU103"/>
      <c r="MV103"/>
      <c r="MW103"/>
      <c r="MX103"/>
      <c r="MY103"/>
      <c r="MZ103"/>
    </row>
    <row r="104" spans="1:366" s="2" customFormat="1" ht="12.75">
      <c r="A104" s="9"/>
      <c r="B104" s="9"/>
      <c r="C104" s="151"/>
      <c r="D104" s="151"/>
      <c r="E104" s="151"/>
      <c r="F104" s="151"/>
      <c r="G104" s="151"/>
      <c r="H104" s="151"/>
      <c r="I104" s="151"/>
      <c r="J104" s="151"/>
      <c r="K104" s="151"/>
      <c r="L104" s="151"/>
      <c r="M104" s="151"/>
      <c r="N104" s="151"/>
      <c r="O104" s="151"/>
      <c r="P104" s="151"/>
      <c r="Q104" s="151"/>
      <c r="S104" s="151"/>
      <c r="T104" s="151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MQ104"/>
      <c r="MR104"/>
      <c r="MS104"/>
      <c r="MT104"/>
      <c r="MU104"/>
      <c r="MV104"/>
      <c r="MW104"/>
      <c r="MX104"/>
      <c r="MY104"/>
      <c r="MZ104"/>
    </row>
    <row r="105" spans="1:366" ht="12.75"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/>
      <c r="KO105"/>
      <c r="KP105"/>
      <c r="KQ105"/>
      <c r="KR105"/>
      <c r="KS105"/>
      <c r="KT105"/>
      <c r="KU105"/>
      <c r="KV105"/>
      <c r="KW105"/>
      <c r="KX105"/>
      <c r="KY105"/>
      <c r="KZ105"/>
      <c r="LA105"/>
      <c r="LB105"/>
      <c r="LC105"/>
      <c r="LD105"/>
      <c r="LE105"/>
      <c r="LF105"/>
      <c r="LG105"/>
      <c r="LH105"/>
      <c r="LI105"/>
      <c r="LJ105"/>
      <c r="LK105"/>
      <c r="LL105"/>
      <c r="LM105"/>
      <c r="LN105"/>
      <c r="LO105"/>
      <c r="LP105"/>
      <c r="LQ105"/>
      <c r="LR105"/>
      <c r="LS105"/>
      <c r="LT105"/>
      <c r="LU105"/>
      <c r="LV105"/>
      <c r="LW105"/>
      <c r="LX105"/>
      <c r="LY105"/>
      <c r="LZ105"/>
      <c r="MA105"/>
      <c r="MB105"/>
      <c r="MC105"/>
      <c r="MD105"/>
      <c r="ME105"/>
      <c r="MF105"/>
      <c r="MG105"/>
      <c r="MH105"/>
      <c r="MI105"/>
      <c r="MJ105"/>
      <c r="MK105"/>
      <c r="ML105"/>
      <c r="MM105"/>
      <c r="MN105"/>
      <c r="MO105"/>
      <c r="MP105"/>
      <c r="MQ105"/>
      <c r="MR105"/>
      <c r="MS105"/>
      <c r="MT105"/>
      <c r="MU105"/>
      <c r="MV105"/>
      <c r="MW105"/>
      <c r="MX105"/>
      <c r="MY105"/>
      <c r="MZ105"/>
      <c r="NA105" s="2"/>
      <c r="NB105" s="2"/>
    </row>
    <row r="106" spans="1:366" ht="12.75"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MQ106"/>
      <c r="MR106"/>
      <c r="MS106"/>
      <c r="MT106"/>
      <c r="MU106"/>
      <c r="MV106"/>
      <c r="MW106"/>
      <c r="MX106"/>
      <c r="MY106"/>
      <c r="MZ106"/>
    </row>
    <row r="107" spans="1:366" ht="12.75"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MQ107"/>
      <c r="MR107"/>
      <c r="MS107"/>
      <c r="MT107"/>
      <c r="MU107"/>
      <c r="MV107"/>
      <c r="MW107"/>
      <c r="MX107"/>
      <c r="MY107"/>
      <c r="MZ107"/>
    </row>
    <row r="108" spans="1:366" ht="12.75"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LQ108"/>
      <c r="LR108"/>
      <c r="LS108"/>
      <c r="LT108"/>
      <c r="LU108"/>
      <c r="LV108"/>
      <c r="LW108"/>
      <c r="LX108"/>
      <c r="LY108"/>
      <c r="LZ108"/>
      <c r="MA108"/>
      <c r="MB108"/>
      <c r="MC108"/>
      <c r="MD108"/>
      <c r="ME108"/>
      <c r="MF108"/>
      <c r="MG108"/>
      <c r="MH108"/>
      <c r="MI108"/>
      <c r="MJ108"/>
      <c r="MK108"/>
      <c r="ML108"/>
      <c r="MM108"/>
      <c r="MN108"/>
      <c r="MO108"/>
      <c r="MP108"/>
      <c r="MQ108"/>
      <c r="MR108"/>
      <c r="MS108"/>
      <c r="MT108"/>
      <c r="MU108"/>
      <c r="MV108"/>
      <c r="MW108"/>
      <c r="MX108"/>
      <c r="MY108"/>
      <c r="MZ108"/>
    </row>
    <row r="109" spans="1:366" ht="12.75"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  <c r="LM109"/>
      <c r="LN109"/>
      <c r="LO109"/>
      <c r="LP109"/>
      <c r="LQ109"/>
      <c r="LR109"/>
      <c r="LS109"/>
      <c r="LT109"/>
      <c r="LU109"/>
      <c r="LV109"/>
      <c r="LW109"/>
      <c r="LX109"/>
      <c r="LY109"/>
      <c r="LZ109"/>
      <c r="MA109"/>
      <c r="MB109"/>
      <c r="MC109"/>
      <c r="MD109"/>
      <c r="ME109"/>
      <c r="MF109"/>
      <c r="MG109"/>
      <c r="MH109"/>
      <c r="MI109"/>
      <c r="MJ109"/>
      <c r="MK109"/>
      <c r="ML109"/>
      <c r="MM109"/>
      <c r="MN109"/>
      <c r="MO109"/>
      <c r="MP109"/>
      <c r="MQ109"/>
      <c r="MR109"/>
      <c r="MS109"/>
      <c r="MT109"/>
      <c r="MU109"/>
      <c r="MV109"/>
      <c r="MW109"/>
      <c r="MX109"/>
      <c r="MY109"/>
      <c r="MZ109"/>
    </row>
    <row r="110" spans="1:366" ht="12.75"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  <c r="LM110"/>
      <c r="LN110"/>
      <c r="LO110"/>
      <c r="LP110"/>
      <c r="LQ110"/>
      <c r="LR110"/>
      <c r="LS110"/>
      <c r="LT110"/>
      <c r="LU110"/>
      <c r="LV110"/>
      <c r="LW110"/>
      <c r="LX110"/>
      <c r="LY110"/>
      <c r="LZ110"/>
      <c r="MA110"/>
      <c r="MB110"/>
      <c r="MC110"/>
      <c r="MD110"/>
      <c r="ME110"/>
      <c r="MF110"/>
      <c r="MG110"/>
      <c r="MH110"/>
      <c r="MI110"/>
      <c r="MJ110"/>
      <c r="MK110"/>
      <c r="ML110"/>
      <c r="MM110"/>
      <c r="MN110"/>
      <c r="MO110"/>
      <c r="MP110"/>
      <c r="MQ110"/>
      <c r="MR110"/>
      <c r="MS110"/>
      <c r="MT110"/>
      <c r="MU110"/>
      <c r="MV110"/>
      <c r="MW110"/>
      <c r="MX110"/>
      <c r="MY110"/>
      <c r="MZ110"/>
    </row>
    <row r="111" spans="1:366" ht="12.75"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  <c r="LM111"/>
      <c r="LN111"/>
      <c r="LO111"/>
      <c r="LP111"/>
      <c r="LQ111"/>
      <c r="LR111"/>
      <c r="LS111"/>
      <c r="LT111"/>
      <c r="LU111"/>
      <c r="LV111"/>
      <c r="LW111"/>
      <c r="LX111"/>
      <c r="LY111"/>
      <c r="LZ111"/>
      <c r="MA111"/>
      <c r="MB111"/>
      <c r="MC111"/>
      <c r="MD111"/>
      <c r="ME111"/>
      <c r="MF111"/>
      <c r="MG111"/>
      <c r="MH111"/>
      <c r="MI111"/>
      <c r="MJ111"/>
      <c r="MK111"/>
      <c r="ML111"/>
      <c r="MM111"/>
      <c r="MN111"/>
      <c r="MO111"/>
      <c r="MP111"/>
      <c r="MQ111"/>
      <c r="MR111"/>
      <c r="MS111"/>
      <c r="MT111"/>
      <c r="MU111"/>
      <c r="MV111"/>
      <c r="MW111"/>
      <c r="MX111"/>
      <c r="MY111"/>
      <c r="MZ111"/>
    </row>
    <row r="112" spans="1:366" ht="12.75"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  <c r="JW112"/>
      <c r="JX112"/>
      <c r="JY112"/>
      <c r="JZ112"/>
      <c r="KA112"/>
      <c r="KB112"/>
      <c r="KC112"/>
      <c r="KD112"/>
      <c r="KE112"/>
      <c r="KF112"/>
      <c r="KG112"/>
      <c r="KH112"/>
      <c r="KI112"/>
      <c r="KJ112"/>
      <c r="KK112"/>
      <c r="KL112"/>
      <c r="KM112"/>
      <c r="KN112"/>
      <c r="KO112"/>
      <c r="KP112"/>
      <c r="KQ112"/>
      <c r="KR112"/>
      <c r="KS112"/>
      <c r="KT112"/>
      <c r="KU112"/>
      <c r="KV112"/>
      <c r="KW112"/>
      <c r="KX112"/>
      <c r="KY112"/>
      <c r="KZ112"/>
      <c r="LA112"/>
      <c r="LB112"/>
      <c r="LC112"/>
      <c r="LD112"/>
      <c r="LE112"/>
      <c r="LF112"/>
      <c r="LG112"/>
      <c r="LH112"/>
      <c r="LI112"/>
      <c r="LJ112"/>
      <c r="LK112"/>
      <c r="LL112"/>
      <c r="LM112"/>
      <c r="LN112"/>
      <c r="LO112"/>
      <c r="LP112"/>
      <c r="LQ112"/>
      <c r="LR112"/>
      <c r="LS112"/>
      <c r="LT112"/>
      <c r="LU112"/>
      <c r="LV112"/>
      <c r="LW112"/>
      <c r="LX112"/>
      <c r="LY112"/>
      <c r="LZ112"/>
      <c r="MA112"/>
      <c r="MB112"/>
      <c r="MC112"/>
      <c r="MD112"/>
      <c r="ME112"/>
      <c r="MF112"/>
      <c r="MG112"/>
      <c r="MH112"/>
      <c r="MI112"/>
      <c r="MJ112"/>
      <c r="MK112"/>
      <c r="ML112"/>
      <c r="MM112"/>
      <c r="MN112"/>
      <c r="MO112"/>
      <c r="MP112"/>
      <c r="MQ112"/>
      <c r="MR112"/>
      <c r="MS112"/>
      <c r="MT112"/>
      <c r="MU112"/>
      <c r="MV112"/>
      <c r="MW112"/>
      <c r="MX112"/>
      <c r="MY112"/>
      <c r="MZ112"/>
    </row>
    <row r="113" spans="21:364" ht="12.75"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  <c r="LM113"/>
      <c r="LN113"/>
      <c r="LO113"/>
      <c r="LP113"/>
      <c r="LQ113"/>
      <c r="LR113"/>
      <c r="LS113"/>
      <c r="LT113"/>
      <c r="LU113"/>
      <c r="LV113"/>
      <c r="LW113"/>
      <c r="LX113"/>
      <c r="LY113"/>
      <c r="LZ113"/>
      <c r="MA113"/>
      <c r="MB113"/>
      <c r="MC113"/>
      <c r="MD113"/>
      <c r="ME113"/>
      <c r="MF113"/>
      <c r="MG113"/>
      <c r="MH113"/>
      <c r="MI113"/>
      <c r="MJ113"/>
      <c r="MK113"/>
      <c r="ML113"/>
      <c r="MM113"/>
      <c r="MN113"/>
      <c r="MO113"/>
      <c r="MP113"/>
      <c r="MQ113"/>
      <c r="MR113"/>
      <c r="MS113"/>
      <c r="MT113"/>
      <c r="MU113"/>
      <c r="MV113"/>
      <c r="MW113"/>
      <c r="MX113"/>
      <c r="MY113"/>
      <c r="MZ113"/>
    </row>
    <row r="114" spans="21:364" ht="12.75"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  <c r="JW114"/>
      <c r="JX114"/>
      <c r="JY114"/>
      <c r="JZ114"/>
      <c r="KA114"/>
      <c r="KB114"/>
      <c r="KC114"/>
      <c r="KD114"/>
      <c r="KE114"/>
      <c r="KF114"/>
      <c r="KG114"/>
      <c r="KH114"/>
      <c r="KI114"/>
      <c r="KJ114"/>
      <c r="KK114"/>
      <c r="KL114"/>
      <c r="KM114"/>
      <c r="KN114"/>
      <c r="KO114"/>
      <c r="KP114"/>
      <c r="KQ114"/>
      <c r="KR114"/>
      <c r="KS114"/>
      <c r="KT114"/>
      <c r="KU114"/>
      <c r="KV114"/>
      <c r="KW114"/>
      <c r="KX114"/>
      <c r="KY114"/>
      <c r="KZ114"/>
      <c r="LA114"/>
      <c r="LB114"/>
      <c r="LC114"/>
      <c r="LD114"/>
      <c r="LE114"/>
      <c r="LF114"/>
      <c r="LG114"/>
      <c r="LH114"/>
      <c r="LI114"/>
      <c r="LJ114"/>
      <c r="LK114"/>
      <c r="LL114"/>
      <c r="LM114"/>
      <c r="LN114"/>
      <c r="LO114"/>
      <c r="LP114"/>
      <c r="LQ114"/>
      <c r="LR114"/>
      <c r="LS114"/>
      <c r="LT114"/>
      <c r="LU114"/>
      <c r="LV114"/>
      <c r="LW114"/>
      <c r="LX114"/>
      <c r="LY114"/>
      <c r="LZ114"/>
      <c r="MA114"/>
      <c r="MB114"/>
      <c r="MC114"/>
      <c r="MD114"/>
      <c r="ME114"/>
      <c r="MF114"/>
      <c r="MG114"/>
      <c r="MH114"/>
      <c r="MI114"/>
      <c r="MJ114"/>
      <c r="MK114"/>
      <c r="ML114"/>
      <c r="MM114"/>
      <c r="MN114"/>
      <c r="MO114"/>
      <c r="MP114"/>
      <c r="MQ114"/>
      <c r="MR114"/>
      <c r="MS114"/>
      <c r="MT114"/>
      <c r="MU114"/>
      <c r="MV114"/>
      <c r="MW114"/>
      <c r="MX114"/>
      <c r="MY114"/>
      <c r="MZ114"/>
    </row>
    <row r="115" spans="21:364" ht="12.75"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LQ115"/>
      <c r="LR115"/>
      <c r="LS115"/>
      <c r="LT115"/>
      <c r="LU115"/>
      <c r="LV115"/>
      <c r="LW115"/>
      <c r="LX115"/>
      <c r="LY115"/>
      <c r="LZ115"/>
      <c r="MA115"/>
      <c r="MB115"/>
      <c r="MC115"/>
      <c r="MD115"/>
      <c r="ME115"/>
      <c r="MF115"/>
      <c r="MG115"/>
      <c r="MH115"/>
      <c r="MI115"/>
      <c r="MJ115"/>
      <c r="MK115"/>
      <c r="ML115"/>
      <c r="MM115"/>
      <c r="MN115"/>
      <c r="MO115"/>
      <c r="MP115"/>
      <c r="MQ115"/>
      <c r="MR115"/>
      <c r="MS115"/>
      <c r="MT115"/>
      <c r="MU115"/>
      <c r="MV115"/>
      <c r="MW115"/>
      <c r="MX115"/>
      <c r="MY115"/>
    </row>
    <row r="116" spans="21:364" ht="12.75"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  <c r="JW116"/>
      <c r="JX116"/>
      <c r="JY116"/>
      <c r="JZ116"/>
      <c r="KA116"/>
      <c r="KB116"/>
      <c r="KC116"/>
      <c r="KD116"/>
      <c r="KE116"/>
      <c r="KF116"/>
      <c r="KG116"/>
      <c r="KH116"/>
      <c r="KI116"/>
      <c r="KJ116"/>
      <c r="KK116"/>
      <c r="KL116"/>
      <c r="KM116"/>
      <c r="KN116"/>
      <c r="KO116"/>
      <c r="KP116"/>
      <c r="KQ116"/>
      <c r="KR116"/>
      <c r="KS116"/>
      <c r="KT116"/>
      <c r="KU116"/>
      <c r="KV116"/>
      <c r="KW116"/>
      <c r="KX116"/>
      <c r="KY116"/>
      <c r="KZ116"/>
      <c r="LA116"/>
      <c r="LB116"/>
      <c r="LC116"/>
      <c r="LD116"/>
      <c r="LE116"/>
      <c r="LF116"/>
      <c r="LG116"/>
      <c r="LH116"/>
      <c r="LI116"/>
      <c r="LJ116"/>
      <c r="LK116"/>
      <c r="LL116"/>
      <c r="LM116"/>
      <c r="LN116"/>
      <c r="LO116"/>
      <c r="LP116"/>
      <c r="LQ116"/>
      <c r="LR116"/>
      <c r="LS116"/>
      <c r="LT116"/>
      <c r="LU116"/>
      <c r="LV116"/>
      <c r="LW116"/>
      <c r="LX116"/>
      <c r="LY116"/>
      <c r="LZ116"/>
      <c r="MA116"/>
      <c r="MB116"/>
      <c r="MC116"/>
      <c r="MD116"/>
      <c r="ME116"/>
      <c r="MF116"/>
      <c r="MG116"/>
      <c r="MH116"/>
      <c r="MI116"/>
      <c r="MJ116"/>
      <c r="MK116"/>
      <c r="ML116"/>
      <c r="MM116"/>
      <c r="MN116"/>
      <c r="MO116"/>
      <c r="MP116"/>
      <c r="MQ116"/>
      <c r="MR116"/>
      <c r="MS116"/>
      <c r="MT116"/>
      <c r="MU116"/>
      <c r="MV116"/>
      <c r="MW116"/>
      <c r="MX116"/>
      <c r="MY116"/>
    </row>
    <row r="117" spans="21:364" ht="12.75"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  <c r="LM117"/>
      <c r="LN117"/>
      <c r="LO117"/>
      <c r="LP117"/>
      <c r="LQ117"/>
      <c r="LR117"/>
      <c r="LS117"/>
      <c r="LT117"/>
      <c r="LU117"/>
      <c r="LV117"/>
      <c r="LW117"/>
      <c r="LX117"/>
      <c r="LY117"/>
      <c r="LZ117"/>
      <c r="MA117"/>
      <c r="MB117"/>
      <c r="MC117"/>
      <c r="MD117"/>
      <c r="ME117"/>
      <c r="MF117"/>
      <c r="MG117"/>
      <c r="MH117"/>
      <c r="MI117"/>
      <c r="MJ117"/>
      <c r="MK117"/>
      <c r="ML117"/>
      <c r="MM117"/>
      <c r="MN117"/>
      <c r="MO117"/>
      <c r="MP117"/>
      <c r="MQ117"/>
      <c r="MR117"/>
      <c r="MS117"/>
      <c r="MT117"/>
      <c r="MU117"/>
      <c r="MV117"/>
      <c r="MW117"/>
      <c r="MX117"/>
      <c r="MY117"/>
    </row>
    <row r="118" spans="21:364" ht="12.75"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  <c r="LM118"/>
      <c r="LN118"/>
      <c r="LO118"/>
      <c r="LP118"/>
      <c r="LQ118"/>
      <c r="LR118"/>
      <c r="LS118"/>
      <c r="LT118"/>
      <c r="LU118"/>
      <c r="LV118"/>
      <c r="LW118"/>
      <c r="LX118"/>
      <c r="LY118"/>
      <c r="LZ118"/>
      <c r="MA118"/>
      <c r="MB118"/>
      <c r="MC118"/>
      <c r="MD118"/>
      <c r="ME118"/>
      <c r="MF118"/>
      <c r="MG118"/>
      <c r="MH118"/>
      <c r="MI118"/>
      <c r="MJ118"/>
      <c r="MK118"/>
      <c r="ML118"/>
      <c r="MM118"/>
      <c r="MN118"/>
      <c r="MO118"/>
      <c r="MP118"/>
      <c r="MQ118"/>
      <c r="MR118"/>
      <c r="MS118"/>
      <c r="MT118"/>
      <c r="MU118"/>
      <c r="MV118"/>
      <c r="MW118"/>
      <c r="MX118"/>
      <c r="MY118"/>
    </row>
    <row r="119" spans="21:364" ht="12.75"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MQ119"/>
      <c r="MR119"/>
      <c r="MS119"/>
      <c r="MT119"/>
      <c r="MU119"/>
      <c r="MV119"/>
      <c r="MW119"/>
      <c r="MX119"/>
      <c r="MY119"/>
    </row>
    <row r="120" spans="21:364" ht="12.75"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  <c r="LM120"/>
      <c r="LN120"/>
      <c r="LO120"/>
      <c r="LP120"/>
      <c r="LQ120"/>
      <c r="LR120"/>
      <c r="LS120"/>
      <c r="LT120"/>
      <c r="LU120"/>
      <c r="LV120"/>
      <c r="LW120"/>
      <c r="LX120"/>
      <c r="LY120"/>
      <c r="LZ120"/>
      <c r="MA120"/>
      <c r="MB120"/>
      <c r="MC120"/>
      <c r="MD120"/>
      <c r="ME120"/>
      <c r="MF120"/>
      <c r="MG120"/>
      <c r="MH120"/>
      <c r="MI120"/>
      <c r="MJ120"/>
      <c r="MK120"/>
      <c r="ML120"/>
      <c r="MM120"/>
      <c r="MN120"/>
      <c r="MO120"/>
      <c r="MP120"/>
      <c r="MQ120"/>
      <c r="MR120"/>
      <c r="MS120"/>
      <c r="MT120"/>
      <c r="MU120"/>
      <c r="MV120"/>
      <c r="MW120"/>
      <c r="MX120"/>
      <c r="MY120"/>
    </row>
    <row r="121" spans="21:364" ht="12.75"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  <c r="LC121"/>
      <c r="LD121"/>
      <c r="LE121"/>
      <c r="LF121"/>
      <c r="LG121"/>
      <c r="LH121"/>
      <c r="LI121"/>
      <c r="LJ121"/>
      <c r="LK121"/>
      <c r="LL121"/>
      <c r="LM121"/>
      <c r="LN121"/>
      <c r="LO121"/>
      <c r="LP121"/>
      <c r="LQ121"/>
      <c r="LR121"/>
      <c r="LS121"/>
      <c r="LT121"/>
      <c r="LU121"/>
      <c r="LV121"/>
      <c r="LW121"/>
      <c r="LX121"/>
      <c r="LY121"/>
      <c r="LZ121"/>
      <c r="MA121"/>
      <c r="MB121"/>
      <c r="MC121"/>
      <c r="MD121"/>
      <c r="ME121"/>
      <c r="MF121"/>
      <c r="MG121"/>
      <c r="MH121"/>
      <c r="MI121"/>
      <c r="MJ121"/>
      <c r="MK121"/>
      <c r="ML121"/>
      <c r="MM121"/>
      <c r="MN121"/>
      <c r="MO121"/>
      <c r="MP121"/>
      <c r="MQ121"/>
      <c r="MR121"/>
      <c r="MS121"/>
      <c r="MT121"/>
      <c r="MU121"/>
      <c r="MV121"/>
      <c r="MW121"/>
      <c r="MX121"/>
      <c r="MY121"/>
    </row>
    <row r="122" spans="21:364" ht="12.75"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  <c r="LM122"/>
      <c r="LN122"/>
      <c r="LO122"/>
      <c r="LP122"/>
      <c r="LQ122"/>
      <c r="LR122"/>
      <c r="LS122"/>
      <c r="LT122"/>
      <c r="LU122"/>
      <c r="LV122"/>
      <c r="LW122"/>
      <c r="LX122"/>
      <c r="LY122"/>
      <c r="LZ122"/>
      <c r="MA122"/>
      <c r="MB122"/>
      <c r="MC122"/>
      <c r="MD122"/>
      <c r="ME122"/>
      <c r="MF122"/>
      <c r="MG122"/>
      <c r="MH122"/>
      <c r="MI122"/>
      <c r="MJ122"/>
      <c r="MK122"/>
      <c r="ML122"/>
      <c r="MM122"/>
      <c r="MN122"/>
      <c r="MO122"/>
      <c r="MP122"/>
      <c r="MQ122"/>
      <c r="MR122"/>
      <c r="MS122"/>
      <c r="MT122"/>
      <c r="MU122"/>
      <c r="MV122"/>
      <c r="MW122"/>
      <c r="MX122"/>
      <c r="MY122"/>
    </row>
  </sheetData>
  <mergeCells count="7">
    <mergeCell ref="C70:C72"/>
    <mergeCell ref="C3:L3"/>
    <mergeCell ref="C4:L4"/>
    <mergeCell ref="C9:C40"/>
    <mergeCell ref="C42:C44"/>
    <mergeCell ref="C46:C57"/>
    <mergeCell ref="C61:C66"/>
  </mergeCells>
  <pageMargins left="3.937007874015748E-2" right="3.937007874015748E-2" top="0.74803149606299213" bottom="0.35433070866141736" header="0.31496062992125984" footer="0.31496062992125984"/>
  <pageSetup paperSize="9" scale="59" orientation="portrait" r:id="rId5"/>
  <headerFooter alignWithMargins="0">
    <oddHeader>&amp;LRISK Liquidity Report DEPFA - New York   As of start of day:   December  01, 2014&amp;RConfidential</oddHeader>
    <oddFooter>&amp;CRISK Liquidity Report DEPFA - New York   As of start of day:   December  01, 2014</oddFooter>
  </headerFooter>
  <colBreaks count="1" manualBreakCount="1">
    <brk id="18" max="1048575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I1053"/>
  <sheetViews>
    <sheetView workbookViewId="0">
      <pane ySplit="1" topLeftCell="A2" activePane="bottomLeft" state="frozen"/>
      <selection pane="bottomLeft" activeCell="D43" sqref="D43"/>
    </sheetView>
  </sheetViews>
  <sheetFormatPr defaultRowHeight="12.75"/>
  <cols>
    <col min="1" max="1" width="6.42578125" style="101" bestFit="1" customWidth="1"/>
    <col min="2" max="2" width="26.42578125" style="101" bestFit="1" customWidth="1"/>
    <col min="3" max="3" width="23.85546875" style="101" bestFit="1" customWidth="1"/>
    <col min="4" max="4" width="37.42578125" style="101" bestFit="1" customWidth="1"/>
    <col min="5" max="5" width="30.140625" style="101" bestFit="1" customWidth="1"/>
    <col min="6" max="6" width="31.140625" style="101" bestFit="1" customWidth="1"/>
    <col min="7" max="7" width="16" style="132" bestFit="1" customWidth="1"/>
    <col min="8" max="9" width="41.5703125" style="132" customWidth="1"/>
    <col min="10" max="10" width="7.7109375" style="101" customWidth="1"/>
    <col min="11" max="11" width="9.140625" style="101" customWidth="1"/>
    <col min="12" max="12" width="12.42578125" style="101" customWidth="1"/>
    <col min="13" max="13" width="21" style="101" customWidth="1"/>
    <col min="14" max="14" width="14.5703125" style="101" customWidth="1"/>
    <col min="15" max="15" width="10.5703125" style="101" customWidth="1"/>
    <col min="16" max="16" width="17.5703125" style="101" customWidth="1"/>
    <col min="17" max="17" width="21.42578125" style="101" customWidth="1"/>
    <col min="18" max="18" width="48.28515625" style="101" customWidth="1"/>
    <col min="19" max="19" width="13.28515625" style="101" customWidth="1"/>
    <col min="20" max="20" width="16.42578125" style="101" customWidth="1"/>
    <col min="21" max="21" width="12.5703125" style="101" customWidth="1"/>
    <col min="22" max="22" width="11.85546875" style="101" customWidth="1"/>
    <col min="23" max="23" width="15.5703125" style="101" bestFit="1" customWidth="1"/>
    <col min="24" max="24" width="16" style="101" customWidth="1"/>
    <col min="25" max="25" width="18.7109375" style="101" bestFit="1" customWidth="1"/>
    <col min="26" max="26" width="17.85546875" style="101" bestFit="1" customWidth="1"/>
    <col min="27" max="27" width="59.7109375" style="101" bestFit="1" customWidth="1"/>
    <col min="28" max="28" width="11" style="101" bestFit="1" customWidth="1"/>
    <col min="29" max="29" width="13.7109375" style="101" bestFit="1" customWidth="1"/>
    <col min="30" max="30" width="19.140625" style="101" bestFit="1" customWidth="1"/>
    <col min="31" max="31" width="14.5703125" style="101" bestFit="1" customWidth="1"/>
    <col min="32" max="32" width="15.42578125" style="101" bestFit="1" customWidth="1"/>
    <col min="33" max="33" width="19.5703125" style="101" bestFit="1" customWidth="1"/>
    <col min="34" max="34" width="12.85546875" style="101" bestFit="1" customWidth="1"/>
    <col min="35" max="35" width="24.42578125" style="101" bestFit="1" customWidth="1"/>
    <col min="36" max="16384" width="9.140625" style="101"/>
  </cols>
  <sheetData>
    <row r="1" spans="1:35" s="125" customFormat="1" ht="11.25">
      <c r="A1" s="125" t="s">
        <v>146</v>
      </c>
      <c r="B1" s="125" t="s">
        <v>152</v>
      </c>
      <c r="C1" s="125" t="s">
        <v>150</v>
      </c>
      <c r="D1" s="125" t="s">
        <v>268</v>
      </c>
      <c r="E1" s="125" t="s">
        <v>269</v>
      </c>
      <c r="F1" s="125" t="s">
        <v>762</v>
      </c>
      <c r="G1" s="125" t="s">
        <v>364</v>
      </c>
      <c r="H1" s="125" t="s">
        <v>365</v>
      </c>
      <c r="I1" s="125" t="s">
        <v>774</v>
      </c>
      <c r="J1" s="125" t="s">
        <v>366</v>
      </c>
      <c r="K1" s="125" t="s">
        <v>367</v>
      </c>
      <c r="L1" s="125" t="s">
        <v>267</v>
      </c>
      <c r="M1" s="125" t="s">
        <v>368</v>
      </c>
      <c r="N1" s="125" t="s">
        <v>369</v>
      </c>
      <c r="O1" s="125" t="s">
        <v>370</v>
      </c>
      <c r="P1" s="125" t="s">
        <v>371</v>
      </c>
      <c r="Q1" s="125" t="s">
        <v>372</v>
      </c>
      <c r="R1" s="125" t="s">
        <v>373</v>
      </c>
      <c r="S1" s="125" t="s">
        <v>374</v>
      </c>
      <c r="T1" s="125" t="s">
        <v>375</v>
      </c>
      <c r="U1" s="125" t="s">
        <v>376</v>
      </c>
      <c r="V1" s="125" t="s">
        <v>377</v>
      </c>
      <c r="W1" s="125" t="s">
        <v>378</v>
      </c>
      <c r="X1" s="125" t="s">
        <v>379</v>
      </c>
      <c r="Y1" s="125" t="s">
        <v>380</v>
      </c>
      <c r="Z1" s="125" t="s">
        <v>381</v>
      </c>
      <c r="AA1" s="125" t="s">
        <v>382</v>
      </c>
      <c r="AB1" s="125" t="s">
        <v>383</v>
      </c>
      <c r="AC1" s="125" t="s">
        <v>384</v>
      </c>
      <c r="AD1" s="125" t="s">
        <v>385</v>
      </c>
      <c r="AE1" s="125" t="s">
        <v>386</v>
      </c>
      <c r="AF1" s="125" t="s">
        <v>387</v>
      </c>
      <c r="AG1" s="125" t="s">
        <v>388</v>
      </c>
      <c r="AH1" s="125" t="s">
        <v>389</v>
      </c>
      <c r="AI1" s="125" t="s">
        <v>759</v>
      </c>
    </row>
    <row r="2" spans="1:35">
      <c r="A2" s="246" t="s">
        <v>107</v>
      </c>
      <c r="B2" s="246" t="s">
        <v>78</v>
      </c>
      <c r="C2" s="246" t="s">
        <v>126</v>
      </c>
      <c r="D2" s="246" t="s">
        <v>772</v>
      </c>
      <c r="E2" s="246" t="s">
        <v>773</v>
      </c>
      <c r="F2" s="246" t="s">
        <v>334</v>
      </c>
      <c r="G2" s="132" t="s">
        <v>828</v>
      </c>
      <c r="H2" s="132" t="s">
        <v>888</v>
      </c>
      <c r="I2" s="132">
        <v>-8.86</v>
      </c>
      <c r="J2" s="101" t="s">
        <v>889</v>
      </c>
      <c r="K2" s="245" t="s">
        <v>390</v>
      </c>
      <c r="L2" s="245">
        <v>42521</v>
      </c>
      <c r="M2" s="245" t="s">
        <v>391</v>
      </c>
      <c r="N2" s="101">
        <v>0</v>
      </c>
      <c r="O2" s="101" t="s">
        <v>392</v>
      </c>
      <c r="P2" s="101">
        <v>0</v>
      </c>
      <c r="Q2" s="101">
        <v>0</v>
      </c>
      <c r="R2" s="101" t="s">
        <v>393</v>
      </c>
      <c r="S2" s="101" t="s">
        <v>823</v>
      </c>
      <c r="T2" s="101" t="s">
        <v>394</v>
      </c>
      <c r="V2" s="245">
        <v>13884</v>
      </c>
      <c r="W2" s="101" t="s">
        <v>395</v>
      </c>
      <c r="X2" s="101" t="s">
        <v>795</v>
      </c>
      <c r="Y2" s="101" t="s">
        <v>396</v>
      </c>
      <c r="Z2" s="101" t="s">
        <v>402</v>
      </c>
      <c r="AA2" s="101" t="s">
        <v>78</v>
      </c>
      <c r="AB2" s="101">
        <v>4101000279</v>
      </c>
      <c r="AC2" s="101" t="s">
        <v>398</v>
      </c>
      <c r="AD2" s="101" t="s">
        <v>403</v>
      </c>
      <c r="AE2" s="101" t="s">
        <v>6</v>
      </c>
      <c r="AF2" s="101" t="s">
        <v>400</v>
      </c>
      <c r="AI2" s="101" t="s">
        <v>760</v>
      </c>
    </row>
    <row r="3" spans="1:35">
      <c r="A3" s="246" t="s">
        <v>109</v>
      </c>
      <c r="B3" s="246" t="s">
        <v>78</v>
      </c>
      <c r="C3" s="246" t="s">
        <v>126</v>
      </c>
      <c r="D3" s="246" t="s">
        <v>337</v>
      </c>
      <c r="E3" s="246" t="s">
        <v>336</v>
      </c>
      <c r="F3" s="246" t="s">
        <v>275</v>
      </c>
      <c r="G3" s="132" t="s">
        <v>890</v>
      </c>
      <c r="H3" s="132" t="s">
        <v>891</v>
      </c>
      <c r="I3" s="132">
        <v>-14.62</v>
      </c>
      <c r="J3" s="101" t="s">
        <v>889</v>
      </c>
      <c r="K3" s="245" t="s">
        <v>390</v>
      </c>
      <c r="L3" s="245">
        <v>42551</v>
      </c>
      <c r="M3" s="245" t="s">
        <v>391</v>
      </c>
      <c r="N3" s="101">
        <v>0</v>
      </c>
      <c r="O3" s="101" t="s">
        <v>392</v>
      </c>
      <c r="P3" s="101">
        <v>0</v>
      </c>
      <c r="Q3" s="101">
        <v>0</v>
      </c>
      <c r="R3" s="101" t="s">
        <v>393</v>
      </c>
      <c r="S3" s="101" t="s">
        <v>823</v>
      </c>
      <c r="T3" s="101" t="s">
        <v>394</v>
      </c>
      <c r="V3" s="245">
        <v>13884</v>
      </c>
      <c r="W3" s="101" t="s">
        <v>395</v>
      </c>
      <c r="X3" s="101" t="s">
        <v>795</v>
      </c>
      <c r="Y3" s="101" t="s">
        <v>396</v>
      </c>
      <c r="Z3" s="101" t="s">
        <v>402</v>
      </c>
      <c r="AA3" s="101" t="s">
        <v>78</v>
      </c>
      <c r="AB3" s="101">
        <v>4101000279</v>
      </c>
      <c r="AC3" s="101" t="s">
        <v>398</v>
      </c>
      <c r="AD3" s="101" t="s">
        <v>403</v>
      </c>
      <c r="AE3" s="101" t="s">
        <v>6</v>
      </c>
      <c r="AF3" s="101" t="s">
        <v>400</v>
      </c>
      <c r="AI3" s="101" t="s">
        <v>760</v>
      </c>
    </row>
    <row r="4" spans="1:35">
      <c r="A4" s="246" t="s">
        <v>109</v>
      </c>
      <c r="B4" s="246" t="s">
        <v>78</v>
      </c>
      <c r="C4" s="246" t="s">
        <v>126</v>
      </c>
      <c r="D4" s="246" t="s">
        <v>337</v>
      </c>
      <c r="E4" s="246" t="s">
        <v>336</v>
      </c>
      <c r="F4" s="246" t="s">
        <v>275</v>
      </c>
      <c r="G4" s="132" t="s">
        <v>892</v>
      </c>
      <c r="H4" s="132" t="s">
        <v>893</v>
      </c>
      <c r="I4" s="132">
        <v>-10.469999999999999</v>
      </c>
      <c r="J4" s="101" t="s">
        <v>889</v>
      </c>
      <c r="K4" s="245" t="s">
        <v>390</v>
      </c>
      <c r="L4" s="245">
        <v>42580</v>
      </c>
      <c r="M4" s="245" t="s">
        <v>391</v>
      </c>
      <c r="N4" s="101">
        <v>0</v>
      </c>
      <c r="O4" s="101" t="s">
        <v>392</v>
      </c>
      <c r="P4" s="101">
        <v>0</v>
      </c>
      <c r="Q4" s="101">
        <v>0</v>
      </c>
      <c r="R4" s="101" t="s">
        <v>393</v>
      </c>
      <c r="S4" s="101" t="s">
        <v>823</v>
      </c>
      <c r="T4" s="101" t="s">
        <v>394</v>
      </c>
      <c r="V4" s="245">
        <v>13884</v>
      </c>
      <c r="W4" s="101" t="s">
        <v>395</v>
      </c>
      <c r="X4" s="101" t="s">
        <v>795</v>
      </c>
      <c r="Y4" s="101" t="s">
        <v>396</v>
      </c>
      <c r="Z4" s="101" t="s">
        <v>402</v>
      </c>
      <c r="AA4" s="101" t="s">
        <v>78</v>
      </c>
      <c r="AB4" s="101">
        <v>4101000279</v>
      </c>
      <c r="AC4" s="101" t="s">
        <v>398</v>
      </c>
      <c r="AD4" s="101" t="s">
        <v>403</v>
      </c>
      <c r="AE4" s="101" t="s">
        <v>6</v>
      </c>
      <c r="AF4" s="101" t="s">
        <v>400</v>
      </c>
      <c r="AI4" s="101" t="s">
        <v>760</v>
      </c>
    </row>
    <row r="5" spans="1:35">
      <c r="A5" s="246" t="s">
        <v>110</v>
      </c>
      <c r="B5" s="246" t="s">
        <v>78</v>
      </c>
      <c r="C5" s="246" t="s">
        <v>126</v>
      </c>
      <c r="D5" s="246" t="s">
        <v>770</v>
      </c>
      <c r="E5" s="246" t="s">
        <v>771</v>
      </c>
      <c r="F5" s="246" t="s">
        <v>276</v>
      </c>
      <c r="G5" s="132" t="s">
        <v>894</v>
      </c>
      <c r="H5" s="132" t="s">
        <v>895</v>
      </c>
      <c r="I5" s="132">
        <v>-33.839999999999996</v>
      </c>
      <c r="J5" s="101" t="s">
        <v>889</v>
      </c>
      <c r="K5" s="245" t="s">
        <v>390</v>
      </c>
      <c r="L5" s="245">
        <v>42613</v>
      </c>
      <c r="M5" s="245" t="s">
        <v>391</v>
      </c>
      <c r="N5" s="101">
        <v>0</v>
      </c>
      <c r="O5" s="101" t="s">
        <v>392</v>
      </c>
      <c r="P5" s="101">
        <v>0</v>
      </c>
      <c r="Q5" s="101">
        <v>0</v>
      </c>
      <c r="R5" s="101" t="s">
        <v>393</v>
      </c>
      <c r="S5" s="101" t="s">
        <v>823</v>
      </c>
      <c r="T5" s="101" t="s">
        <v>394</v>
      </c>
      <c r="V5" s="245">
        <v>13884</v>
      </c>
      <c r="W5" s="101" t="s">
        <v>395</v>
      </c>
      <c r="X5" s="101" t="s">
        <v>795</v>
      </c>
      <c r="Y5" s="101" t="s">
        <v>396</v>
      </c>
      <c r="Z5" s="101" t="s">
        <v>402</v>
      </c>
      <c r="AA5" s="101" t="s">
        <v>78</v>
      </c>
      <c r="AB5" s="101">
        <v>4101000279</v>
      </c>
      <c r="AC5" s="101" t="s">
        <v>398</v>
      </c>
      <c r="AD5" s="101" t="s">
        <v>403</v>
      </c>
      <c r="AE5" s="101" t="s">
        <v>6</v>
      </c>
      <c r="AF5" s="101" t="s">
        <v>400</v>
      </c>
      <c r="AI5" s="101" t="s">
        <v>760</v>
      </c>
    </row>
    <row r="6" spans="1:35">
      <c r="A6" s="246" t="s">
        <v>110</v>
      </c>
      <c r="B6" s="246" t="s">
        <v>78</v>
      </c>
      <c r="C6" s="246" t="s">
        <v>126</v>
      </c>
      <c r="D6" s="246" t="s">
        <v>770</v>
      </c>
      <c r="E6" s="246" t="s">
        <v>771</v>
      </c>
      <c r="F6" s="246" t="s">
        <v>276</v>
      </c>
      <c r="G6" s="132">
        <v>-45</v>
      </c>
      <c r="H6" s="132" t="s">
        <v>896</v>
      </c>
      <c r="I6" s="132">
        <v>-45</v>
      </c>
      <c r="J6" s="101" t="s">
        <v>889</v>
      </c>
      <c r="K6" s="245" t="s">
        <v>390</v>
      </c>
      <c r="L6" s="245">
        <v>42643</v>
      </c>
      <c r="M6" s="245" t="s">
        <v>391</v>
      </c>
      <c r="N6" s="101">
        <v>0</v>
      </c>
      <c r="O6" s="101" t="s">
        <v>392</v>
      </c>
      <c r="P6" s="101">
        <v>0</v>
      </c>
      <c r="Q6" s="101">
        <v>0</v>
      </c>
      <c r="R6" s="101" t="s">
        <v>393</v>
      </c>
      <c r="S6" s="101" t="s">
        <v>823</v>
      </c>
      <c r="T6" s="101" t="s">
        <v>394</v>
      </c>
      <c r="V6" s="245">
        <v>13884</v>
      </c>
      <c r="W6" s="101" t="s">
        <v>395</v>
      </c>
      <c r="X6" s="101" t="s">
        <v>795</v>
      </c>
      <c r="Y6" s="101" t="s">
        <v>396</v>
      </c>
      <c r="Z6" s="101" t="s">
        <v>402</v>
      </c>
      <c r="AA6" s="101" t="s">
        <v>78</v>
      </c>
      <c r="AB6" s="101">
        <v>4101000279</v>
      </c>
      <c r="AC6" s="101" t="s">
        <v>398</v>
      </c>
      <c r="AD6" s="101" t="s">
        <v>403</v>
      </c>
      <c r="AE6" s="101" t="s">
        <v>6</v>
      </c>
      <c r="AF6" s="101" t="s">
        <v>400</v>
      </c>
      <c r="AI6" s="101" t="s">
        <v>760</v>
      </c>
    </row>
    <row r="7" spans="1:35">
      <c r="A7" s="246" t="s">
        <v>110</v>
      </c>
      <c r="B7" s="246" t="s">
        <v>78</v>
      </c>
      <c r="C7" s="246" t="s">
        <v>126</v>
      </c>
      <c r="D7" s="246" t="s">
        <v>770</v>
      </c>
      <c r="E7" s="246" t="s">
        <v>771</v>
      </c>
      <c r="F7" s="246" t="s">
        <v>276</v>
      </c>
      <c r="G7" s="132" t="s">
        <v>897</v>
      </c>
      <c r="H7" s="132" t="s">
        <v>898</v>
      </c>
      <c r="I7" s="132">
        <v>-46.499999999999993</v>
      </c>
      <c r="J7" s="101" t="s">
        <v>889</v>
      </c>
      <c r="K7" s="245" t="s">
        <v>390</v>
      </c>
      <c r="L7" s="245">
        <v>42674</v>
      </c>
      <c r="M7" s="245" t="s">
        <v>391</v>
      </c>
      <c r="N7" s="101">
        <v>0</v>
      </c>
      <c r="O7" s="101" t="s">
        <v>392</v>
      </c>
      <c r="P7" s="101">
        <v>0</v>
      </c>
      <c r="Q7" s="101">
        <v>0</v>
      </c>
      <c r="R7" s="101" t="s">
        <v>393</v>
      </c>
      <c r="S7" s="101" t="s">
        <v>823</v>
      </c>
      <c r="T7" s="101" t="s">
        <v>394</v>
      </c>
      <c r="V7" s="245">
        <v>13884</v>
      </c>
      <c r="W7" s="101" t="s">
        <v>395</v>
      </c>
      <c r="X7" s="101" t="s">
        <v>795</v>
      </c>
      <c r="Y7" s="101" t="s">
        <v>396</v>
      </c>
      <c r="Z7" s="101" t="s">
        <v>402</v>
      </c>
      <c r="AA7" s="101" t="s">
        <v>78</v>
      </c>
      <c r="AB7" s="101">
        <v>4101000279</v>
      </c>
      <c r="AC7" s="101" t="s">
        <v>398</v>
      </c>
      <c r="AD7" s="101" t="s">
        <v>403</v>
      </c>
      <c r="AE7" s="101" t="s">
        <v>6</v>
      </c>
      <c r="AF7" s="101" t="s">
        <v>400</v>
      </c>
      <c r="AI7" s="101" t="s">
        <v>760</v>
      </c>
    </row>
    <row r="8" spans="1:35">
      <c r="A8" s="246" t="s">
        <v>111</v>
      </c>
      <c r="B8" s="246" t="s">
        <v>78</v>
      </c>
      <c r="C8" s="246" t="s">
        <v>126</v>
      </c>
      <c r="D8" s="246" t="s">
        <v>768</v>
      </c>
      <c r="E8" s="246" t="s">
        <v>769</v>
      </c>
      <c r="F8" s="246" t="s">
        <v>277</v>
      </c>
      <c r="G8" s="132" t="s">
        <v>899</v>
      </c>
      <c r="H8" s="132" t="s">
        <v>900</v>
      </c>
      <c r="I8" s="132">
        <v>-68.97999999999999</v>
      </c>
      <c r="J8" s="101" t="s">
        <v>889</v>
      </c>
      <c r="K8" s="245" t="s">
        <v>390</v>
      </c>
      <c r="L8" s="245">
        <v>42704</v>
      </c>
      <c r="M8" s="245" t="s">
        <v>391</v>
      </c>
      <c r="N8" s="101">
        <v>0</v>
      </c>
      <c r="O8" s="101" t="s">
        <v>392</v>
      </c>
      <c r="P8" s="101">
        <v>0</v>
      </c>
      <c r="Q8" s="101">
        <v>0</v>
      </c>
      <c r="R8" s="101" t="s">
        <v>393</v>
      </c>
      <c r="S8" s="101" t="s">
        <v>823</v>
      </c>
      <c r="T8" s="101" t="s">
        <v>394</v>
      </c>
      <c r="V8" s="245">
        <v>13884</v>
      </c>
      <c r="W8" s="101" t="s">
        <v>395</v>
      </c>
      <c r="X8" s="101" t="s">
        <v>795</v>
      </c>
      <c r="Y8" s="101" t="s">
        <v>396</v>
      </c>
      <c r="Z8" s="101" t="s">
        <v>402</v>
      </c>
      <c r="AA8" s="101" t="s">
        <v>78</v>
      </c>
      <c r="AB8" s="101">
        <v>4101000279</v>
      </c>
      <c r="AC8" s="101" t="s">
        <v>398</v>
      </c>
      <c r="AD8" s="101" t="s">
        <v>403</v>
      </c>
      <c r="AE8" s="101" t="s">
        <v>6</v>
      </c>
      <c r="AF8" s="101" t="s">
        <v>400</v>
      </c>
      <c r="AI8" s="101" t="s">
        <v>760</v>
      </c>
    </row>
    <row r="9" spans="1:35">
      <c r="A9" s="246" t="s">
        <v>111</v>
      </c>
      <c r="B9" s="246" t="s">
        <v>78</v>
      </c>
      <c r="C9" s="246" t="s">
        <v>126</v>
      </c>
      <c r="D9" s="246" t="s">
        <v>768</v>
      </c>
      <c r="E9" s="246" t="s">
        <v>769</v>
      </c>
      <c r="F9" s="246" t="s">
        <v>277</v>
      </c>
      <c r="G9" s="132" t="s">
        <v>901</v>
      </c>
      <c r="H9" s="132" t="s">
        <v>902</v>
      </c>
      <c r="I9" s="132">
        <v>-90.24</v>
      </c>
      <c r="J9" s="101" t="s">
        <v>889</v>
      </c>
      <c r="K9" s="245" t="s">
        <v>390</v>
      </c>
      <c r="L9" s="245">
        <v>42734</v>
      </c>
      <c r="M9" s="245" t="s">
        <v>391</v>
      </c>
      <c r="N9" s="101">
        <v>0</v>
      </c>
      <c r="O9" s="101" t="s">
        <v>392</v>
      </c>
      <c r="P9" s="101">
        <v>0</v>
      </c>
      <c r="Q9" s="101">
        <v>0</v>
      </c>
      <c r="R9" s="101" t="s">
        <v>393</v>
      </c>
      <c r="S9" s="101" t="s">
        <v>823</v>
      </c>
      <c r="T9" s="101" t="s">
        <v>394</v>
      </c>
      <c r="V9" s="245">
        <v>13884</v>
      </c>
      <c r="W9" s="101" t="s">
        <v>395</v>
      </c>
      <c r="X9" s="101" t="s">
        <v>795</v>
      </c>
      <c r="Y9" s="101" t="s">
        <v>396</v>
      </c>
      <c r="Z9" s="101" t="s">
        <v>402</v>
      </c>
      <c r="AA9" s="101" t="s">
        <v>78</v>
      </c>
      <c r="AB9" s="101">
        <v>4101000279</v>
      </c>
      <c r="AC9" s="101" t="s">
        <v>398</v>
      </c>
      <c r="AD9" s="101" t="s">
        <v>403</v>
      </c>
      <c r="AE9" s="101" t="s">
        <v>6</v>
      </c>
      <c r="AF9" s="101" t="s">
        <v>400</v>
      </c>
      <c r="AI9" s="101" t="s">
        <v>760</v>
      </c>
    </row>
    <row r="10" spans="1:35">
      <c r="A10" s="246" t="s">
        <v>111</v>
      </c>
      <c r="B10" s="246" t="s">
        <v>78</v>
      </c>
      <c r="C10" s="246" t="s">
        <v>126</v>
      </c>
      <c r="D10" s="246" t="s">
        <v>768</v>
      </c>
      <c r="E10" s="246" t="s">
        <v>769</v>
      </c>
      <c r="F10" s="246" t="s">
        <v>277</v>
      </c>
      <c r="G10" s="132" t="s">
        <v>901</v>
      </c>
      <c r="H10" s="132" t="s">
        <v>902</v>
      </c>
      <c r="I10" s="132">
        <v>-90.24</v>
      </c>
      <c r="J10" s="101" t="s">
        <v>889</v>
      </c>
      <c r="K10" s="245" t="s">
        <v>390</v>
      </c>
      <c r="L10" s="245">
        <v>42766</v>
      </c>
      <c r="M10" s="245" t="s">
        <v>391</v>
      </c>
      <c r="N10" s="101">
        <v>0</v>
      </c>
      <c r="O10" s="101" t="s">
        <v>392</v>
      </c>
      <c r="P10" s="101">
        <v>0</v>
      </c>
      <c r="Q10" s="101">
        <v>0</v>
      </c>
      <c r="R10" s="101" t="s">
        <v>393</v>
      </c>
      <c r="S10" s="101" t="s">
        <v>823</v>
      </c>
      <c r="T10" s="101" t="s">
        <v>394</v>
      </c>
      <c r="V10" s="245">
        <v>13884</v>
      </c>
      <c r="W10" s="101" t="s">
        <v>395</v>
      </c>
      <c r="X10" s="101" t="s">
        <v>795</v>
      </c>
      <c r="Y10" s="101" t="s">
        <v>396</v>
      </c>
      <c r="Z10" s="101" t="s">
        <v>402</v>
      </c>
      <c r="AA10" s="101" t="s">
        <v>78</v>
      </c>
      <c r="AB10" s="101">
        <v>4101000279</v>
      </c>
      <c r="AC10" s="101" t="s">
        <v>398</v>
      </c>
      <c r="AD10" s="101" t="s">
        <v>403</v>
      </c>
      <c r="AE10" s="101" t="s">
        <v>6</v>
      </c>
      <c r="AF10" s="101" t="s">
        <v>400</v>
      </c>
      <c r="AI10" s="101" t="s">
        <v>760</v>
      </c>
    </row>
    <row r="11" spans="1:35">
      <c r="A11" s="246" t="s">
        <v>111</v>
      </c>
      <c r="B11" s="246" t="s">
        <v>78</v>
      </c>
      <c r="C11" s="246" t="s">
        <v>126</v>
      </c>
      <c r="D11" s="246" t="s">
        <v>768</v>
      </c>
      <c r="E11" s="246" t="s">
        <v>769</v>
      </c>
      <c r="F11" s="246" t="s">
        <v>277</v>
      </c>
      <c r="G11" s="132" t="s">
        <v>903</v>
      </c>
      <c r="H11" s="132" t="s">
        <v>904</v>
      </c>
      <c r="I11" s="132">
        <v>-107.83</v>
      </c>
      <c r="J11" s="101" t="s">
        <v>889</v>
      </c>
      <c r="K11" s="245" t="s">
        <v>390</v>
      </c>
      <c r="L11" s="245">
        <v>42794</v>
      </c>
      <c r="M11" s="245" t="s">
        <v>391</v>
      </c>
      <c r="N11" s="101">
        <v>0</v>
      </c>
      <c r="O11" s="101" t="s">
        <v>392</v>
      </c>
      <c r="P11" s="101">
        <v>0</v>
      </c>
      <c r="Q11" s="101">
        <v>0</v>
      </c>
      <c r="R11" s="101" t="s">
        <v>393</v>
      </c>
      <c r="S11" s="101" t="s">
        <v>823</v>
      </c>
      <c r="T11" s="101" t="s">
        <v>394</v>
      </c>
      <c r="V11" s="245">
        <v>13884</v>
      </c>
      <c r="W11" s="101" t="s">
        <v>395</v>
      </c>
      <c r="X11" s="101" t="s">
        <v>795</v>
      </c>
      <c r="Y11" s="101" t="s">
        <v>396</v>
      </c>
      <c r="Z11" s="101" t="s">
        <v>402</v>
      </c>
      <c r="AA11" s="101" t="s">
        <v>78</v>
      </c>
      <c r="AB11" s="101">
        <v>4101000279</v>
      </c>
      <c r="AC11" s="101" t="s">
        <v>398</v>
      </c>
      <c r="AD11" s="101" t="s">
        <v>403</v>
      </c>
      <c r="AE11" s="101" t="s">
        <v>6</v>
      </c>
      <c r="AF11" s="101" t="s">
        <v>400</v>
      </c>
      <c r="AI11" s="101" t="s">
        <v>760</v>
      </c>
    </row>
    <row r="12" spans="1:35">
      <c r="A12" s="246" t="s">
        <v>111</v>
      </c>
      <c r="B12" s="246" t="s">
        <v>78</v>
      </c>
      <c r="C12" s="246" t="s">
        <v>126</v>
      </c>
      <c r="D12" s="246" t="s">
        <v>768</v>
      </c>
      <c r="E12" s="246" t="s">
        <v>769</v>
      </c>
      <c r="F12" s="246" t="s">
        <v>277</v>
      </c>
      <c r="G12" s="132" t="s">
        <v>905</v>
      </c>
      <c r="H12" s="132" t="s">
        <v>906</v>
      </c>
      <c r="I12" s="132">
        <v>-141.26</v>
      </c>
      <c r="J12" s="101" t="s">
        <v>889</v>
      </c>
      <c r="K12" s="245" t="s">
        <v>390</v>
      </c>
      <c r="L12" s="245">
        <v>42825</v>
      </c>
      <c r="M12" s="245" t="s">
        <v>391</v>
      </c>
      <c r="N12" s="101">
        <v>0</v>
      </c>
      <c r="O12" s="101" t="s">
        <v>392</v>
      </c>
      <c r="P12" s="101">
        <v>0</v>
      </c>
      <c r="Q12" s="101">
        <v>0</v>
      </c>
      <c r="R12" s="101" t="s">
        <v>393</v>
      </c>
      <c r="S12" s="101" t="s">
        <v>823</v>
      </c>
      <c r="T12" s="101" t="s">
        <v>394</v>
      </c>
      <c r="V12" s="245">
        <v>13884</v>
      </c>
      <c r="W12" s="101" t="s">
        <v>395</v>
      </c>
      <c r="X12" s="101" t="s">
        <v>795</v>
      </c>
      <c r="Y12" s="101" t="s">
        <v>396</v>
      </c>
      <c r="Z12" s="101" t="s">
        <v>402</v>
      </c>
      <c r="AA12" s="101" t="s">
        <v>78</v>
      </c>
      <c r="AB12" s="101">
        <v>4101000279</v>
      </c>
      <c r="AC12" s="101" t="s">
        <v>398</v>
      </c>
      <c r="AD12" s="101" t="s">
        <v>403</v>
      </c>
      <c r="AE12" s="101" t="s">
        <v>6</v>
      </c>
      <c r="AF12" s="101" t="s">
        <v>400</v>
      </c>
      <c r="AI12" s="101" t="s">
        <v>760</v>
      </c>
    </row>
    <row r="13" spans="1:35">
      <c r="A13" s="246" t="s">
        <v>111</v>
      </c>
      <c r="B13" s="246" t="s">
        <v>78</v>
      </c>
      <c r="C13" s="246" t="s">
        <v>126</v>
      </c>
      <c r="D13" s="246" t="s">
        <v>768</v>
      </c>
      <c r="E13" s="246" t="s">
        <v>769</v>
      </c>
      <c r="F13" s="246" t="s">
        <v>277</v>
      </c>
      <c r="G13" s="132" t="s">
        <v>907</v>
      </c>
      <c r="H13" s="132" t="s">
        <v>908</v>
      </c>
      <c r="I13" s="132">
        <v>-136.69999999999999</v>
      </c>
      <c r="J13" s="101" t="s">
        <v>889</v>
      </c>
      <c r="K13" s="245" t="s">
        <v>390</v>
      </c>
      <c r="L13" s="245">
        <v>42853</v>
      </c>
      <c r="M13" s="245" t="s">
        <v>391</v>
      </c>
      <c r="N13" s="101">
        <v>0</v>
      </c>
      <c r="O13" s="101" t="s">
        <v>392</v>
      </c>
      <c r="P13" s="101">
        <v>0</v>
      </c>
      <c r="Q13" s="101">
        <v>0</v>
      </c>
      <c r="R13" s="101" t="s">
        <v>393</v>
      </c>
      <c r="S13" s="101" t="s">
        <v>823</v>
      </c>
      <c r="T13" s="101" t="s">
        <v>394</v>
      </c>
      <c r="V13" s="245">
        <v>13884</v>
      </c>
      <c r="W13" s="101" t="s">
        <v>395</v>
      </c>
      <c r="X13" s="101" t="s">
        <v>795</v>
      </c>
      <c r="Y13" s="101" t="s">
        <v>396</v>
      </c>
      <c r="Z13" s="101" t="s">
        <v>402</v>
      </c>
      <c r="AA13" s="101" t="s">
        <v>78</v>
      </c>
      <c r="AB13" s="101">
        <v>4101000279</v>
      </c>
      <c r="AC13" s="101" t="s">
        <v>398</v>
      </c>
      <c r="AD13" s="101" t="s">
        <v>403</v>
      </c>
      <c r="AE13" s="101" t="s">
        <v>6</v>
      </c>
      <c r="AF13" s="101" t="s">
        <v>400</v>
      </c>
      <c r="AI13" s="101" t="s">
        <v>760</v>
      </c>
    </row>
    <row r="14" spans="1:35">
      <c r="A14" s="246" t="s">
        <v>112</v>
      </c>
      <c r="B14" s="246" t="s">
        <v>78</v>
      </c>
      <c r="C14" s="246" t="s">
        <v>126</v>
      </c>
      <c r="D14" s="246" t="s">
        <v>341</v>
      </c>
      <c r="E14" s="246" t="s">
        <v>342</v>
      </c>
      <c r="F14" s="246" t="s">
        <v>278</v>
      </c>
      <c r="G14" s="132" t="s">
        <v>909</v>
      </c>
      <c r="H14" s="132" t="s">
        <v>910</v>
      </c>
      <c r="I14" s="132">
        <v>-175.23</v>
      </c>
      <c r="J14" s="101" t="s">
        <v>889</v>
      </c>
      <c r="K14" s="245" t="s">
        <v>390</v>
      </c>
      <c r="L14" s="245">
        <v>42886</v>
      </c>
      <c r="M14" s="245" t="s">
        <v>391</v>
      </c>
      <c r="N14" s="101">
        <v>0</v>
      </c>
      <c r="O14" s="101" t="s">
        <v>392</v>
      </c>
      <c r="P14" s="101">
        <v>0</v>
      </c>
      <c r="Q14" s="101">
        <v>0</v>
      </c>
      <c r="R14" s="101" t="s">
        <v>393</v>
      </c>
      <c r="S14" s="101" t="s">
        <v>823</v>
      </c>
      <c r="T14" s="101" t="s">
        <v>394</v>
      </c>
      <c r="V14" s="245">
        <v>13884</v>
      </c>
      <c r="W14" s="101" t="s">
        <v>395</v>
      </c>
      <c r="X14" s="101" t="s">
        <v>795</v>
      </c>
      <c r="Y14" s="101" t="s">
        <v>396</v>
      </c>
      <c r="Z14" s="101" t="s">
        <v>402</v>
      </c>
      <c r="AA14" s="101" t="s">
        <v>78</v>
      </c>
      <c r="AB14" s="101">
        <v>4101000279</v>
      </c>
      <c r="AC14" s="101" t="s">
        <v>398</v>
      </c>
      <c r="AD14" s="101" t="s">
        <v>403</v>
      </c>
      <c r="AE14" s="101" t="s">
        <v>6</v>
      </c>
      <c r="AF14" s="101" t="s">
        <v>400</v>
      </c>
      <c r="AI14" s="101" t="s">
        <v>760</v>
      </c>
    </row>
    <row r="15" spans="1:35">
      <c r="A15" s="246" t="s">
        <v>112</v>
      </c>
      <c r="B15" s="246" t="s">
        <v>78</v>
      </c>
      <c r="C15" s="246" t="s">
        <v>126</v>
      </c>
      <c r="D15" s="246" t="s">
        <v>341</v>
      </c>
      <c r="E15" s="246" t="s">
        <v>342</v>
      </c>
      <c r="F15" s="246" t="s">
        <v>278</v>
      </c>
      <c r="G15" s="132" t="s">
        <v>911</v>
      </c>
      <c r="H15" s="132" t="s">
        <v>912</v>
      </c>
      <c r="I15" s="132">
        <v>-185.23</v>
      </c>
      <c r="J15" s="101" t="s">
        <v>889</v>
      </c>
      <c r="K15" s="245" t="s">
        <v>390</v>
      </c>
      <c r="L15" s="245">
        <v>42916</v>
      </c>
      <c r="M15" s="245" t="s">
        <v>391</v>
      </c>
      <c r="N15" s="101">
        <v>0</v>
      </c>
      <c r="O15" s="101" t="s">
        <v>392</v>
      </c>
      <c r="P15" s="101">
        <v>0</v>
      </c>
      <c r="Q15" s="101">
        <v>0</v>
      </c>
      <c r="R15" s="101" t="s">
        <v>393</v>
      </c>
      <c r="S15" s="101" t="s">
        <v>823</v>
      </c>
      <c r="T15" s="101" t="s">
        <v>394</v>
      </c>
      <c r="V15" s="245">
        <v>13884</v>
      </c>
      <c r="W15" s="101" t="s">
        <v>395</v>
      </c>
      <c r="X15" s="101" t="s">
        <v>795</v>
      </c>
      <c r="Y15" s="101" t="s">
        <v>396</v>
      </c>
      <c r="Z15" s="101" t="s">
        <v>402</v>
      </c>
      <c r="AA15" s="101" t="s">
        <v>78</v>
      </c>
      <c r="AB15" s="101">
        <v>4101000279</v>
      </c>
      <c r="AC15" s="101" t="s">
        <v>398</v>
      </c>
      <c r="AD15" s="101" t="s">
        <v>403</v>
      </c>
      <c r="AE15" s="101" t="s">
        <v>6</v>
      </c>
      <c r="AF15" s="101" t="s">
        <v>400</v>
      </c>
      <c r="AI15" s="101" t="s">
        <v>760</v>
      </c>
    </row>
    <row r="16" spans="1:35">
      <c r="A16" s="246" t="s">
        <v>112</v>
      </c>
      <c r="B16" s="246" t="s">
        <v>78</v>
      </c>
      <c r="C16" s="246" t="s">
        <v>126</v>
      </c>
      <c r="D16" s="246" t="s">
        <v>341</v>
      </c>
      <c r="E16" s="246" t="s">
        <v>342</v>
      </c>
      <c r="F16" s="246" t="s">
        <v>278</v>
      </c>
      <c r="G16" s="132" t="s">
        <v>913</v>
      </c>
      <c r="H16" s="132" t="s">
        <v>914</v>
      </c>
      <c r="I16" s="132">
        <v>-191.41</v>
      </c>
      <c r="J16" s="101" t="s">
        <v>889</v>
      </c>
      <c r="K16" s="245" t="s">
        <v>390</v>
      </c>
      <c r="L16" s="245">
        <v>42947</v>
      </c>
      <c r="M16" s="245" t="s">
        <v>391</v>
      </c>
      <c r="N16" s="101">
        <v>0</v>
      </c>
      <c r="O16" s="101" t="s">
        <v>392</v>
      </c>
      <c r="P16" s="101">
        <v>0</v>
      </c>
      <c r="Q16" s="101">
        <v>0</v>
      </c>
      <c r="R16" s="101" t="s">
        <v>393</v>
      </c>
      <c r="S16" s="101" t="s">
        <v>823</v>
      </c>
      <c r="T16" s="101" t="s">
        <v>394</v>
      </c>
      <c r="V16" s="245">
        <v>13884</v>
      </c>
      <c r="W16" s="101" t="s">
        <v>395</v>
      </c>
      <c r="X16" s="101" t="s">
        <v>795</v>
      </c>
      <c r="Y16" s="101" t="s">
        <v>396</v>
      </c>
      <c r="Z16" s="101" t="s">
        <v>402</v>
      </c>
      <c r="AA16" s="101" t="s">
        <v>78</v>
      </c>
      <c r="AB16" s="101">
        <v>4101000279</v>
      </c>
      <c r="AC16" s="101" t="s">
        <v>398</v>
      </c>
      <c r="AD16" s="101" t="s">
        <v>403</v>
      </c>
      <c r="AE16" s="101" t="s">
        <v>6</v>
      </c>
      <c r="AF16" s="101" t="s">
        <v>400</v>
      </c>
      <c r="AI16" s="101" t="s">
        <v>760</v>
      </c>
    </row>
    <row r="17" spans="1:35">
      <c r="A17" s="246" t="s">
        <v>112</v>
      </c>
      <c r="B17" s="246" t="s">
        <v>78</v>
      </c>
      <c r="C17" s="246" t="s">
        <v>126</v>
      </c>
      <c r="D17" s="246" t="s">
        <v>341</v>
      </c>
      <c r="E17" s="246" t="s">
        <v>342</v>
      </c>
      <c r="F17" s="246" t="s">
        <v>278</v>
      </c>
      <c r="G17" s="132" t="s">
        <v>913</v>
      </c>
      <c r="H17" s="132" t="s">
        <v>914</v>
      </c>
      <c r="I17" s="132">
        <v>-191.41</v>
      </c>
      <c r="J17" s="101" t="s">
        <v>889</v>
      </c>
      <c r="K17" s="245" t="s">
        <v>390</v>
      </c>
      <c r="L17" s="245">
        <v>42978</v>
      </c>
      <c r="M17" s="245" t="s">
        <v>391</v>
      </c>
      <c r="N17" s="101">
        <v>0</v>
      </c>
      <c r="O17" s="101" t="s">
        <v>392</v>
      </c>
      <c r="P17" s="101">
        <v>0</v>
      </c>
      <c r="Q17" s="101">
        <v>0</v>
      </c>
      <c r="R17" s="101" t="s">
        <v>393</v>
      </c>
      <c r="S17" s="101" t="s">
        <v>823</v>
      </c>
      <c r="T17" s="101" t="s">
        <v>394</v>
      </c>
      <c r="V17" s="245">
        <v>13884</v>
      </c>
      <c r="W17" s="101" t="s">
        <v>395</v>
      </c>
      <c r="X17" s="101" t="s">
        <v>795</v>
      </c>
      <c r="Y17" s="101" t="s">
        <v>396</v>
      </c>
      <c r="Z17" s="101" t="s">
        <v>402</v>
      </c>
      <c r="AA17" s="101" t="s">
        <v>78</v>
      </c>
      <c r="AB17" s="101">
        <v>4101000279</v>
      </c>
      <c r="AC17" s="101" t="s">
        <v>398</v>
      </c>
      <c r="AD17" s="101" t="s">
        <v>403</v>
      </c>
      <c r="AE17" s="101" t="s">
        <v>6</v>
      </c>
      <c r="AF17" s="101" t="s">
        <v>400</v>
      </c>
      <c r="AI17" s="101" t="s">
        <v>760</v>
      </c>
    </row>
    <row r="18" spans="1:35">
      <c r="A18" s="246" t="s">
        <v>112</v>
      </c>
      <c r="B18" s="246" t="s">
        <v>78</v>
      </c>
      <c r="C18" s="246" t="s">
        <v>126</v>
      </c>
      <c r="D18" s="246" t="s">
        <v>341</v>
      </c>
      <c r="E18" s="246" t="s">
        <v>342</v>
      </c>
      <c r="F18" s="246" t="s">
        <v>278</v>
      </c>
      <c r="G18" s="132" t="s">
        <v>911</v>
      </c>
      <c r="H18" s="132" t="s">
        <v>912</v>
      </c>
      <c r="I18" s="132">
        <v>-185.23</v>
      </c>
      <c r="J18" s="101" t="s">
        <v>889</v>
      </c>
      <c r="K18" s="245" t="s">
        <v>390</v>
      </c>
      <c r="L18" s="245">
        <v>43007</v>
      </c>
      <c r="M18" s="245" t="s">
        <v>391</v>
      </c>
      <c r="N18" s="101">
        <v>0</v>
      </c>
      <c r="O18" s="101" t="s">
        <v>392</v>
      </c>
      <c r="P18" s="101">
        <v>0</v>
      </c>
      <c r="Q18" s="101">
        <v>0</v>
      </c>
      <c r="R18" s="101" t="s">
        <v>393</v>
      </c>
      <c r="S18" s="101" t="s">
        <v>823</v>
      </c>
      <c r="T18" s="101" t="s">
        <v>394</v>
      </c>
      <c r="V18" s="245">
        <v>13884</v>
      </c>
      <c r="W18" s="101" t="s">
        <v>395</v>
      </c>
      <c r="X18" s="101" t="s">
        <v>795</v>
      </c>
      <c r="Y18" s="101" t="s">
        <v>396</v>
      </c>
      <c r="Z18" s="101" t="s">
        <v>402</v>
      </c>
      <c r="AA18" s="101" t="s">
        <v>78</v>
      </c>
      <c r="AB18" s="101">
        <v>4101000279</v>
      </c>
      <c r="AC18" s="101" t="s">
        <v>398</v>
      </c>
      <c r="AD18" s="101" t="s">
        <v>403</v>
      </c>
      <c r="AE18" s="101" t="s">
        <v>6</v>
      </c>
      <c r="AF18" s="101" t="s">
        <v>400</v>
      </c>
      <c r="AI18" s="101" t="s">
        <v>760</v>
      </c>
    </row>
    <row r="19" spans="1:35">
      <c r="A19" s="246" t="s">
        <v>112</v>
      </c>
      <c r="B19" s="246" t="s">
        <v>78</v>
      </c>
      <c r="C19" s="246" t="s">
        <v>126</v>
      </c>
      <c r="D19" s="246" t="s">
        <v>341</v>
      </c>
      <c r="E19" s="246" t="s">
        <v>342</v>
      </c>
      <c r="F19" s="246" t="s">
        <v>278</v>
      </c>
      <c r="G19" s="132" t="s">
        <v>913</v>
      </c>
      <c r="H19" s="132" t="s">
        <v>914</v>
      </c>
      <c r="I19" s="132">
        <v>-191.41</v>
      </c>
      <c r="J19" s="101" t="s">
        <v>889</v>
      </c>
      <c r="K19" s="245" t="s">
        <v>390</v>
      </c>
      <c r="L19" s="245">
        <v>43039</v>
      </c>
      <c r="M19" s="245" t="s">
        <v>391</v>
      </c>
      <c r="N19" s="101">
        <v>0</v>
      </c>
      <c r="O19" s="101" t="s">
        <v>392</v>
      </c>
      <c r="P19" s="101">
        <v>0</v>
      </c>
      <c r="Q19" s="101">
        <v>0</v>
      </c>
      <c r="R19" s="101" t="s">
        <v>393</v>
      </c>
      <c r="S19" s="101" t="s">
        <v>823</v>
      </c>
      <c r="T19" s="101" t="s">
        <v>394</v>
      </c>
      <c r="V19" s="245">
        <v>13884</v>
      </c>
      <c r="W19" s="101" t="s">
        <v>395</v>
      </c>
      <c r="X19" s="101" t="s">
        <v>795</v>
      </c>
      <c r="Y19" s="101" t="s">
        <v>396</v>
      </c>
      <c r="Z19" s="101" t="s">
        <v>402</v>
      </c>
      <c r="AA19" s="101" t="s">
        <v>78</v>
      </c>
      <c r="AB19" s="101">
        <v>4101000279</v>
      </c>
      <c r="AC19" s="101" t="s">
        <v>398</v>
      </c>
      <c r="AD19" s="101" t="s">
        <v>403</v>
      </c>
      <c r="AE19" s="101" t="s">
        <v>6</v>
      </c>
      <c r="AF19" s="101" t="s">
        <v>400</v>
      </c>
      <c r="AI19" s="101" t="s">
        <v>760</v>
      </c>
    </row>
    <row r="20" spans="1:35">
      <c r="A20" s="246" t="s">
        <v>113</v>
      </c>
      <c r="B20" s="246" t="s">
        <v>78</v>
      </c>
      <c r="C20" s="246" t="s">
        <v>126</v>
      </c>
      <c r="D20" s="246" t="s">
        <v>339</v>
      </c>
      <c r="E20" s="246" t="s">
        <v>340</v>
      </c>
      <c r="F20" s="246" t="s">
        <v>279</v>
      </c>
      <c r="G20" s="132" t="s">
        <v>911</v>
      </c>
      <c r="H20" s="132" t="s">
        <v>912</v>
      </c>
      <c r="I20" s="132">
        <v>-185.23</v>
      </c>
      <c r="J20" s="101" t="s">
        <v>889</v>
      </c>
      <c r="K20" s="245" t="s">
        <v>390</v>
      </c>
      <c r="L20" s="245">
        <v>43069</v>
      </c>
      <c r="M20" s="245" t="s">
        <v>391</v>
      </c>
      <c r="N20" s="101">
        <v>0</v>
      </c>
      <c r="O20" s="101" t="s">
        <v>392</v>
      </c>
      <c r="P20" s="101">
        <v>0</v>
      </c>
      <c r="Q20" s="101">
        <v>0</v>
      </c>
      <c r="R20" s="101" t="s">
        <v>393</v>
      </c>
      <c r="S20" s="101" t="s">
        <v>823</v>
      </c>
      <c r="T20" s="101" t="s">
        <v>394</v>
      </c>
      <c r="V20" s="245">
        <v>13884</v>
      </c>
      <c r="W20" s="101" t="s">
        <v>395</v>
      </c>
      <c r="X20" s="101" t="s">
        <v>795</v>
      </c>
      <c r="Y20" s="101" t="s">
        <v>396</v>
      </c>
      <c r="Z20" s="101" t="s">
        <v>402</v>
      </c>
      <c r="AA20" s="101" t="s">
        <v>78</v>
      </c>
      <c r="AB20" s="101">
        <v>4101000279</v>
      </c>
      <c r="AC20" s="101" t="s">
        <v>398</v>
      </c>
      <c r="AD20" s="101" t="s">
        <v>403</v>
      </c>
      <c r="AE20" s="101" t="s">
        <v>6</v>
      </c>
      <c r="AF20" s="101" t="s">
        <v>400</v>
      </c>
      <c r="AI20" s="101" t="s">
        <v>760</v>
      </c>
    </row>
    <row r="21" spans="1:35">
      <c r="A21" s="246" t="s">
        <v>113</v>
      </c>
      <c r="B21" s="246" t="s">
        <v>78</v>
      </c>
      <c r="C21" s="246" t="s">
        <v>126</v>
      </c>
      <c r="D21" s="246" t="s">
        <v>339</v>
      </c>
      <c r="E21" s="246" t="s">
        <v>340</v>
      </c>
      <c r="F21" s="246" t="s">
        <v>279</v>
      </c>
      <c r="G21" s="132" t="s">
        <v>913</v>
      </c>
      <c r="H21" s="132" t="s">
        <v>914</v>
      </c>
      <c r="I21" s="132">
        <v>-191.41</v>
      </c>
      <c r="J21" s="101" t="s">
        <v>889</v>
      </c>
      <c r="K21" s="245" t="s">
        <v>390</v>
      </c>
      <c r="L21" s="245">
        <v>43098</v>
      </c>
      <c r="M21" s="245" t="s">
        <v>391</v>
      </c>
      <c r="N21" s="101">
        <v>0</v>
      </c>
      <c r="O21" s="101" t="s">
        <v>392</v>
      </c>
      <c r="P21" s="101">
        <v>0</v>
      </c>
      <c r="Q21" s="101">
        <v>0</v>
      </c>
      <c r="R21" s="101" t="s">
        <v>393</v>
      </c>
      <c r="S21" s="101" t="s">
        <v>823</v>
      </c>
      <c r="T21" s="101" t="s">
        <v>394</v>
      </c>
      <c r="V21" s="245">
        <v>13884</v>
      </c>
      <c r="W21" s="101" t="s">
        <v>395</v>
      </c>
      <c r="X21" s="101" t="s">
        <v>795</v>
      </c>
      <c r="Y21" s="101" t="s">
        <v>396</v>
      </c>
      <c r="Z21" s="101" t="s">
        <v>402</v>
      </c>
      <c r="AA21" s="101" t="s">
        <v>78</v>
      </c>
      <c r="AB21" s="101">
        <v>4101000279</v>
      </c>
      <c r="AC21" s="101" t="s">
        <v>398</v>
      </c>
      <c r="AD21" s="101" t="s">
        <v>403</v>
      </c>
      <c r="AE21" s="101" t="s">
        <v>6</v>
      </c>
      <c r="AF21" s="101" t="s">
        <v>400</v>
      </c>
      <c r="AI21" s="101" t="s">
        <v>760</v>
      </c>
    </row>
    <row r="22" spans="1:35">
      <c r="A22" s="246" t="s">
        <v>113</v>
      </c>
      <c r="B22" s="246" t="s">
        <v>78</v>
      </c>
      <c r="C22" s="246" t="s">
        <v>126</v>
      </c>
      <c r="D22" s="246" t="s">
        <v>339</v>
      </c>
      <c r="E22" s="246" t="s">
        <v>340</v>
      </c>
      <c r="F22" s="246" t="s">
        <v>279</v>
      </c>
      <c r="G22" s="132" t="s">
        <v>913</v>
      </c>
      <c r="H22" s="132" t="s">
        <v>914</v>
      </c>
      <c r="I22" s="132">
        <v>-191.41</v>
      </c>
      <c r="J22" s="101" t="s">
        <v>889</v>
      </c>
      <c r="K22" s="245" t="s">
        <v>390</v>
      </c>
      <c r="L22" s="245">
        <v>43131</v>
      </c>
      <c r="M22" s="245" t="s">
        <v>391</v>
      </c>
      <c r="N22" s="101">
        <v>0</v>
      </c>
      <c r="O22" s="101" t="s">
        <v>392</v>
      </c>
      <c r="P22" s="101">
        <v>0</v>
      </c>
      <c r="Q22" s="101">
        <v>0</v>
      </c>
      <c r="R22" s="101" t="s">
        <v>393</v>
      </c>
      <c r="S22" s="101" t="s">
        <v>823</v>
      </c>
      <c r="T22" s="101" t="s">
        <v>394</v>
      </c>
      <c r="V22" s="245">
        <v>13884</v>
      </c>
      <c r="W22" s="101" t="s">
        <v>395</v>
      </c>
      <c r="X22" s="101" t="s">
        <v>795</v>
      </c>
      <c r="Y22" s="101" t="s">
        <v>396</v>
      </c>
      <c r="Z22" s="101" t="s">
        <v>402</v>
      </c>
      <c r="AA22" s="101" t="s">
        <v>78</v>
      </c>
      <c r="AB22" s="101">
        <v>4101000279</v>
      </c>
      <c r="AC22" s="101" t="s">
        <v>398</v>
      </c>
      <c r="AD22" s="101" t="s">
        <v>403</v>
      </c>
      <c r="AE22" s="101" t="s">
        <v>6</v>
      </c>
      <c r="AF22" s="101" t="s">
        <v>400</v>
      </c>
      <c r="AI22" s="101" t="s">
        <v>760</v>
      </c>
    </row>
    <row r="23" spans="1:35">
      <c r="A23" s="246" t="s">
        <v>113</v>
      </c>
      <c r="B23" s="246" t="s">
        <v>78</v>
      </c>
      <c r="C23" s="246" t="s">
        <v>126</v>
      </c>
      <c r="D23" s="246" t="s">
        <v>339</v>
      </c>
      <c r="E23" s="246" t="s">
        <v>340</v>
      </c>
      <c r="F23" s="246" t="s">
        <v>279</v>
      </c>
      <c r="G23" s="132" t="s">
        <v>915</v>
      </c>
      <c r="H23" s="132" t="s">
        <v>916</v>
      </c>
      <c r="I23" s="132">
        <v>-172.86999999999998</v>
      </c>
      <c r="J23" s="101" t="s">
        <v>889</v>
      </c>
      <c r="K23" s="245" t="s">
        <v>390</v>
      </c>
      <c r="L23" s="245">
        <v>43159</v>
      </c>
      <c r="M23" s="245" t="s">
        <v>391</v>
      </c>
      <c r="N23" s="101">
        <v>0</v>
      </c>
      <c r="O23" s="101" t="s">
        <v>392</v>
      </c>
      <c r="P23" s="101">
        <v>0</v>
      </c>
      <c r="Q23" s="101">
        <v>0</v>
      </c>
      <c r="R23" s="101" t="s">
        <v>393</v>
      </c>
      <c r="S23" s="101" t="s">
        <v>823</v>
      </c>
      <c r="T23" s="101" t="s">
        <v>394</v>
      </c>
      <c r="V23" s="245">
        <v>13884</v>
      </c>
      <c r="W23" s="101" t="s">
        <v>395</v>
      </c>
      <c r="X23" s="101" t="s">
        <v>795</v>
      </c>
      <c r="Y23" s="101" t="s">
        <v>396</v>
      </c>
      <c r="Z23" s="101" t="s">
        <v>402</v>
      </c>
      <c r="AA23" s="101" t="s">
        <v>78</v>
      </c>
      <c r="AB23" s="101">
        <v>4101000279</v>
      </c>
      <c r="AC23" s="101" t="s">
        <v>398</v>
      </c>
      <c r="AD23" s="101" t="s">
        <v>403</v>
      </c>
      <c r="AE23" s="101" t="s">
        <v>6</v>
      </c>
      <c r="AF23" s="101" t="s">
        <v>400</v>
      </c>
      <c r="AI23" s="101" t="s">
        <v>760</v>
      </c>
    </row>
    <row r="24" spans="1:35">
      <c r="A24" s="246" t="s">
        <v>113</v>
      </c>
      <c r="B24" s="246" t="s">
        <v>78</v>
      </c>
      <c r="C24" s="246" t="s">
        <v>126</v>
      </c>
      <c r="D24" s="246" t="s">
        <v>339</v>
      </c>
      <c r="E24" s="246" t="s">
        <v>340</v>
      </c>
      <c r="F24" s="246" t="s">
        <v>279</v>
      </c>
      <c r="G24" s="132" t="s">
        <v>913</v>
      </c>
      <c r="H24" s="132" t="s">
        <v>914</v>
      </c>
      <c r="I24" s="132">
        <v>-191.41</v>
      </c>
      <c r="J24" s="101" t="s">
        <v>889</v>
      </c>
      <c r="K24" s="245" t="s">
        <v>390</v>
      </c>
      <c r="L24" s="245">
        <v>43189</v>
      </c>
      <c r="M24" s="245" t="s">
        <v>391</v>
      </c>
      <c r="N24" s="101">
        <v>0</v>
      </c>
      <c r="O24" s="101" t="s">
        <v>392</v>
      </c>
      <c r="P24" s="101">
        <v>0</v>
      </c>
      <c r="Q24" s="101">
        <v>0</v>
      </c>
      <c r="R24" s="101" t="s">
        <v>393</v>
      </c>
      <c r="S24" s="101" t="s">
        <v>823</v>
      </c>
      <c r="T24" s="101" t="s">
        <v>394</v>
      </c>
      <c r="V24" s="245">
        <v>13884</v>
      </c>
      <c r="W24" s="101" t="s">
        <v>395</v>
      </c>
      <c r="X24" s="101" t="s">
        <v>795</v>
      </c>
      <c r="Y24" s="101" t="s">
        <v>396</v>
      </c>
      <c r="Z24" s="101" t="s">
        <v>402</v>
      </c>
      <c r="AA24" s="101" t="s">
        <v>78</v>
      </c>
      <c r="AB24" s="101">
        <v>4101000279</v>
      </c>
      <c r="AC24" s="101" t="s">
        <v>398</v>
      </c>
      <c r="AD24" s="101" t="s">
        <v>403</v>
      </c>
      <c r="AE24" s="101" t="s">
        <v>6</v>
      </c>
      <c r="AF24" s="101" t="s">
        <v>400</v>
      </c>
      <c r="AI24" s="101" t="s">
        <v>760</v>
      </c>
    </row>
    <row r="25" spans="1:35">
      <c r="A25" s="246" t="s">
        <v>113</v>
      </c>
      <c r="B25" s="246" t="s">
        <v>78</v>
      </c>
      <c r="C25" s="246" t="s">
        <v>126</v>
      </c>
      <c r="D25" s="246" t="s">
        <v>339</v>
      </c>
      <c r="E25" s="246" t="s">
        <v>340</v>
      </c>
      <c r="F25" s="246" t="s">
        <v>279</v>
      </c>
      <c r="G25" s="132" t="s">
        <v>911</v>
      </c>
      <c r="H25" s="132" t="s">
        <v>912</v>
      </c>
      <c r="I25" s="132">
        <v>-185.23</v>
      </c>
      <c r="J25" s="101" t="s">
        <v>889</v>
      </c>
      <c r="K25" s="245" t="s">
        <v>390</v>
      </c>
      <c r="L25" s="245">
        <v>43220</v>
      </c>
      <c r="M25" s="245" t="s">
        <v>391</v>
      </c>
      <c r="N25" s="101">
        <v>0</v>
      </c>
      <c r="O25" s="101" t="s">
        <v>392</v>
      </c>
      <c r="P25" s="101">
        <v>0</v>
      </c>
      <c r="Q25" s="101">
        <v>0</v>
      </c>
      <c r="R25" s="101" t="s">
        <v>393</v>
      </c>
      <c r="S25" s="101" t="s">
        <v>823</v>
      </c>
      <c r="T25" s="101" t="s">
        <v>394</v>
      </c>
      <c r="V25" s="245">
        <v>13884</v>
      </c>
      <c r="W25" s="101" t="s">
        <v>395</v>
      </c>
      <c r="X25" s="101" t="s">
        <v>795</v>
      </c>
      <c r="Y25" s="101" t="s">
        <v>396</v>
      </c>
      <c r="Z25" s="101" t="s">
        <v>402</v>
      </c>
      <c r="AA25" s="101" t="s">
        <v>78</v>
      </c>
      <c r="AB25" s="101">
        <v>4101000279</v>
      </c>
      <c r="AC25" s="101" t="s">
        <v>398</v>
      </c>
      <c r="AD25" s="101" t="s">
        <v>403</v>
      </c>
      <c r="AE25" s="101" t="s">
        <v>6</v>
      </c>
      <c r="AF25" s="101" t="s">
        <v>400</v>
      </c>
      <c r="AI25" s="101" t="s">
        <v>760</v>
      </c>
    </row>
    <row r="26" spans="1:35">
      <c r="A26" s="246" t="s">
        <v>110</v>
      </c>
      <c r="B26" s="246" t="s">
        <v>66</v>
      </c>
      <c r="C26" s="246" t="s">
        <v>265</v>
      </c>
      <c r="D26" s="246" t="s">
        <v>283</v>
      </c>
      <c r="E26" s="246"/>
      <c r="F26" s="246"/>
      <c r="G26" s="132" t="s">
        <v>803</v>
      </c>
      <c r="H26" s="132" t="s">
        <v>917</v>
      </c>
      <c r="I26" s="132">
        <v>193582.06</v>
      </c>
      <c r="J26" s="101" t="s">
        <v>889</v>
      </c>
      <c r="K26" s="245" t="s">
        <v>390</v>
      </c>
      <c r="L26" s="245">
        <v>42657</v>
      </c>
      <c r="M26" s="245" t="s">
        <v>421</v>
      </c>
      <c r="N26" s="101">
        <v>0</v>
      </c>
      <c r="O26" s="101" t="s">
        <v>392</v>
      </c>
      <c r="P26" s="101">
        <v>0</v>
      </c>
      <c r="Q26" s="101">
        <v>0</v>
      </c>
      <c r="R26" s="101" t="s">
        <v>453</v>
      </c>
      <c r="S26" s="101" t="s">
        <v>724</v>
      </c>
      <c r="T26" s="101" t="s">
        <v>394</v>
      </c>
      <c r="U26" s="101" t="s">
        <v>89</v>
      </c>
      <c r="V26" s="245">
        <v>14364</v>
      </c>
      <c r="W26" s="101" t="s">
        <v>411</v>
      </c>
      <c r="X26" s="101" t="s">
        <v>77</v>
      </c>
      <c r="Y26" s="101" t="s">
        <v>392</v>
      </c>
      <c r="Z26" s="101" t="s">
        <v>412</v>
      </c>
      <c r="AA26" s="101" t="s">
        <v>474</v>
      </c>
      <c r="AB26" s="101">
        <v>101000310</v>
      </c>
      <c r="AC26" s="101" t="s">
        <v>414</v>
      </c>
      <c r="AD26" s="101" t="s">
        <v>79</v>
      </c>
      <c r="AE26" s="101" t="s">
        <v>75</v>
      </c>
      <c r="AF26" s="101" t="s">
        <v>400</v>
      </c>
      <c r="AI26" s="101" t="s">
        <v>190</v>
      </c>
    </row>
    <row r="27" spans="1:35">
      <c r="A27" s="246" t="s">
        <v>110</v>
      </c>
      <c r="B27" s="246" t="s">
        <v>66</v>
      </c>
      <c r="C27" s="246" t="s">
        <v>126</v>
      </c>
      <c r="D27" s="246" t="s">
        <v>281</v>
      </c>
      <c r="E27" s="246"/>
      <c r="F27" s="246"/>
      <c r="G27" s="132" t="s">
        <v>804</v>
      </c>
      <c r="H27" s="132" t="s">
        <v>918</v>
      </c>
      <c r="I27" s="132">
        <v>-2675.0099999999998</v>
      </c>
      <c r="J27" s="101" t="s">
        <v>889</v>
      </c>
      <c r="K27" s="245" t="s">
        <v>390</v>
      </c>
      <c r="L27" s="245">
        <v>42675</v>
      </c>
      <c r="M27" s="245" t="s">
        <v>391</v>
      </c>
      <c r="N27" s="101">
        <v>0</v>
      </c>
      <c r="O27" s="101" t="s">
        <v>392</v>
      </c>
      <c r="P27" s="101">
        <v>0</v>
      </c>
      <c r="Q27" s="101">
        <v>0</v>
      </c>
      <c r="R27" s="101" t="s">
        <v>444</v>
      </c>
      <c r="S27" s="101" t="s">
        <v>724</v>
      </c>
      <c r="T27" s="101" t="s">
        <v>394</v>
      </c>
      <c r="U27" s="101" t="s">
        <v>89</v>
      </c>
      <c r="V27" s="245">
        <v>14364</v>
      </c>
      <c r="W27" s="101" t="s">
        <v>411</v>
      </c>
      <c r="X27" s="101" t="s">
        <v>77</v>
      </c>
      <c r="Y27" s="101" t="s">
        <v>392</v>
      </c>
      <c r="Z27" s="101" t="s">
        <v>412</v>
      </c>
      <c r="AA27" s="101" t="s">
        <v>474</v>
      </c>
      <c r="AB27" s="101">
        <v>101000310</v>
      </c>
      <c r="AC27" s="101" t="s">
        <v>414</v>
      </c>
      <c r="AD27" s="101" t="s">
        <v>79</v>
      </c>
      <c r="AE27" s="101" t="s">
        <v>75</v>
      </c>
      <c r="AF27" s="101" t="s">
        <v>400</v>
      </c>
      <c r="AI27" s="101" t="s">
        <v>190</v>
      </c>
    </row>
    <row r="28" spans="1:35">
      <c r="A28" s="246" t="s">
        <v>111</v>
      </c>
      <c r="B28" s="246" t="s">
        <v>66</v>
      </c>
      <c r="C28" s="246" t="s">
        <v>265</v>
      </c>
      <c r="D28" s="246" t="s">
        <v>286</v>
      </c>
      <c r="E28" s="246"/>
      <c r="F28" s="246"/>
      <c r="G28" s="132">
        <v>-300000</v>
      </c>
      <c r="H28" s="132" t="s">
        <v>919</v>
      </c>
      <c r="I28" s="132">
        <v>-300000</v>
      </c>
      <c r="J28" s="101" t="s">
        <v>889</v>
      </c>
      <c r="K28" s="245" t="s">
        <v>390</v>
      </c>
      <c r="L28" s="245">
        <v>42839</v>
      </c>
      <c r="M28" s="245" t="s">
        <v>421</v>
      </c>
      <c r="N28" s="101">
        <v>0</v>
      </c>
      <c r="O28" s="101" t="s">
        <v>392</v>
      </c>
      <c r="P28" s="101">
        <v>0</v>
      </c>
      <c r="Q28" s="101">
        <v>0</v>
      </c>
      <c r="R28" s="101" t="s">
        <v>444</v>
      </c>
      <c r="S28" s="101" t="s">
        <v>724</v>
      </c>
      <c r="T28" s="101" t="s">
        <v>394</v>
      </c>
      <c r="U28" s="101" t="s">
        <v>89</v>
      </c>
      <c r="V28" s="245">
        <v>14364</v>
      </c>
      <c r="W28" s="101" t="s">
        <v>411</v>
      </c>
      <c r="X28" s="101" t="s">
        <v>77</v>
      </c>
      <c r="Y28" s="101" t="s">
        <v>392</v>
      </c>
      <c r="Z28" s="101" t="s">
        <v>412</v>
      </c>
      <c r="AA28" s="101" t="s">
        <v>474</v>
      </c>
      <c r="AB28" s="101">
        <v>101000310</v>
      </c>
      <c r="AC28" s="101" t="s">
        <v>414</v>
      </c>
      <c r="AD28" s="101" t="s">
        <v>79</v>
      </c>
      <c r="AE28" s="101" t="s">
        <v>75</v>
      </c>
      <c r="AF28" s="101" t="s">
        <v>400</v>
      </c>
      <c r="AI28" s="101" t="s">
        <v>190</v>
      </c>
    </row>
    <row r="29" spans="1:35">
      <c r="A29" s="246" t="s">
        <v>111</v>
      </c>
      <c r="B29" s="246" t="s">
        <v>66</v>
      </c>
      <c r="C29" s="246" t="s">
        <v>126</v>
      </c>
      <c r="D29" s="246" t="s">
        <v>273</v>
      </c>
      <c r="E29" s="246"/>
      <c r="F29" s="246"/>
      <c r="G29" s="132" t="s">
        <v>725</v>
      </c>
      <c r="H29" s="132" t="s">
        <v>920</v>
      </c>
      <c r="I29" s="132">
        <v>-5772.92</v>
      </c>
      <c r="J29" s="101" t="s">
        <v>889</v>
      </c>
      <c r="K29" s="245" t="s">
        <v>390</v>
      </c>
      <c r="L29" s="245">
        <v>42856</v>
      </c>
      <c r="M29" s="245" t="s">
        <v>391</v>
      </c>
      <c r="N29" s="101">
        <v>0</v>
      </c>
      <c r="O29" s="101" t="s">
        <v>392</v>
      </c>
      <c r="P29" s="101">
        <v>0</v>
      </c>
      <c r="Q29" s="101">
        <v>0</v>
      </c>
      <c r="R29" s="101" t="s">
        <v>444</v>
      </c>
      <c r="S29" s="101" t="s">
        <v>724</v>
      </c>
      <c r="T29" s="101" t="s">
        <v>394</v>
      </c>
      <c r="U29" s="101" t="s">
        <v>89</v>
      </c>
      <c r="V29" s="245">
        <v>14364</v>
      </c>
      <c r="W29" s="101" t="s">
        <v>411</v>
      </c>
      <c r="X29" s="101" t="s">
        <v>77</v>
      </c>
      <c r="Y29" s="101" t="s">
        <v>392</v>
      </c>
      <c r="Z29" s="101" t="s">
        <v>412</v>
      </c>
      <c r="AA29" s="101" t="s">
        <v>474</v>
      </c>
      <c r="AB29" s="101">
        <v>101000310</v>
      </c>
      <c r="AC29" s="101" t="s">
        <v>414</v>
      </c>
      <c r="AD29" s="101" t="s">
        <v>79</v>
      </c>
      <c r="AE29" s="101" t="s">
        <v>75</v>
      </c>
      <c r="AF29" s="101" t="s">
        <v>400</v>
      </c>
      <c r="AI29" s="101" t="s">
        <v>190</v>
      </c>
    </row>
    <row r="30" spans="1:35">
      <c r="A30" s="246" t="s">
        <v>112</v>
      </c>
      <c r="B30" s="246" t="s">
        <v>66</v>
      </c>
      <c r="C30" s="246" t="s">
        <v>126</v>
      </c>
      <c r="D30" s="246" t="s">
        <v>270</v>
      </c>
      <c r="E30" s="246"/>
      <c r="F30" s="246"/>
      <c r="G30" s="132">
        <v>0</v>
      </c>
      <c r="H30" s="132">
        <v>0</v>
      </c>
      <c r="I30" s="132">
        <v>0</v>
      </c>
      <c r="J30" s="101" t="s">
        <v>889</v>
      </c>
      <c r="K30" s="245" t="s">
        <v>390</v>
      </c>
      <c r="L30" s="245">
        <v>43040</v>
      </c>
      <c r="M30" s="245" t="s">
        <v>391</v>
      </c>
      <c r="N30" s="101">
        <v>0</v>
      </c>
      <c r="O30" s="101" t="s">
        <v>392</v>
      </c>
      <c r="P30" s="101">
        <v>0</v>
      </c>
      <c r="Q30" s="101">
        <v>0</v>
      </c>
      <c r="R30" s="101" t="s">
        <v>453</v>
      </c>
      <c r="S30" s="101" t="s">
        <v>724</v>
      </c>
      <c r="T30" s="101" t="s">
        <v>394</v>
      </c>
      <c r="U30" s="101" t="s">
        <v>89</v>
      </c>
      <c r="V30" s="245">
        <v>14364</v>
      </c>
      <c r="W30" s="101" t="s">
        <v>411</v>
      </c>
      <c r="X30" s="101" t="s">
        <v>77</v>
      </c>
      <c r="Y30" s="101" t="s">
        <v>392</v>
      </c>
      <c r="Z30" s="101" t="s">
        <v>412</v>
      </c>
      <c r="AA30" s="101" t="s">
        <v>474</v>
      </c>
      <c r="AB30" s="101">
        <v>101000310</v>
      </c>
      <c r="AC30" s="101" t="s">
        <v>414</v>
      </c>
      <c r="AD30" s="101" t="s">
        <v>79</v>
      </c>
      <c r="AE30" s="101" t="s">
        <v>75</v>
      </c>
      <c r="AF30" s="101" t="s">
        <v>400</v>
      </c>
      <c r="AI30" s="101" t="s">
        <v>190</v>
      </c>
    </row>
    <row r="31" spans="1:35">
      <c r="A31" s="246" t="s">
        <v>113</v>
      </c>
      <c r="B31" s="246" t="s">
        <v>66</v>
      </c>
      <c r="C31" s="246" t="s">
        <v>126</v>
      </c>
      <c r="D31" s="246" t="s">
        <v>271</v>
      </c>
      <c r="E31" s="246"/>
      <c r="F31" s="246"/>
      <c r="G31" s="132">
        <v>0</v>
      </c>
      <c r="H31" s="132">
        <v>0</v>
      </c>
      <c r="I31" s="132">
        <v>0</v>
      </c>
      <c r="J31" s="101" t="s">
        <v>889</v>
      </c>
      <c r="K31" s="245" t="s">
        <v>390</v>
      </c>
      <c r="L31" s="245">
        <v>43221</v>
      </c>
      <c r="M31" s="245" t="s">
        <v>391</v>
      </c>
      <c r="N31" s="101">
        <v>0</v>
      </c>
      <c r="O31" s="101" t="s">
        <v>392</v>
      </c>
      <c r="P31" s="101">
        <v>0</v>
      </c>
      <c r="Q31" s="101">
        <v>0</v>
      </c>
      <c r="R31" s="101" t="s">
        <v>453</v>
      </c>
      <c r="S31" s="101" t="s">
        <v>724</v>
      </c>
      <c r="T31" s="101" t="s">
        <v>394</v>
      </c>
      <c r="U31" s="101" t="s">
        <v>89</v>
      </c>
      <c r="V31" s="245">
        <v>14364</v>
      </c>
      <c r="W31" s="101" t="s">
        <v>411</v>
      </c>
      <c r="X31" s="101" t="s">
        <v>77</v>
      </c>
      <c r="Y31" s="101" t="s">
        <v>392</v>
      </c>
      <c r="Z31" s="101" t="s">
        <v>412</v>
      </c>
      <c r="AA31" s="101" t="s">
        <v>474</v>
      </c>
      <c r="AB31" s="101">
        <v>101000310</v>
      </c>
      <c r="AC31" s="101" t="s">
        <v>414</v>
      </c>
      <c r="AD31" s="101" t="s">
        <v>79</v>
      </c>
      <c r="AE31" s="101" t="s">
        <v>75</v>
      </c>
      <c r="AF31" s="101" t="s">
        <v>400</v>
      </c>
      <c r="AI31" s="101" t="s">
        <v>190</v>
      </c>
    </row>
    <row r="32" spans="1:35">
      <c r="A32" s="246" t="s">
        <v>107</v>
      </c>
      <c r="B32" s="246" t="s">
        <v>66</v>
      </c>
      <c r="C32" s="246" t="s">
        <v>126</v>
      </c>
      <c r="D32" s="246" t="s">
        <v>1769</v>
      </c>
      <c r="E32" s="246"/>
      <c r="F32" s="246"/>
      <c r="G32" s="132">
        <v>0</v>
      </c>
      <c r="H32" s="132">
        <v>0</v>
      </c>
      <c r="I32" s="132">
        <v>0</v>
      </c>
      <c r="J32" s="101" t="s">
        <v>889</v>
      </c>
      <c r="K32" s="245" t="s">
        <v>390</v>
      </c>
      <c r="L32" s="245">
        <v>42522</v>
      </c>
      <c r="M32" s="245" t="s">
        <v>391</v>
      </c>
      <c r="N32" s="101">
        <v>0</v>
      </c>
      <c r="O32" s="101" t="s">
        <v>392</v>
      </c>
      <c r="P32" s="101">
        <v>0</v>
      </c>
      <c r="Q32" s="101">
        <v>0</v>
      </c>
      <c r="R32" s="101" t="s">
        <v>428</v>
      </c>
      <c r="S32" s="101">
        <v>157752</v>
      </c>
      <c r="T32" s="101" t="s">
        <v>394</v>
      </c>
      <c r="V32" s="245">
        <v>42951</v>
      </c>
      <c r="W32" s="101" t="s">
        <v>627</v>
      </c>
      <c r="X32" s="101" t="s">
        <v>429</v>
      </c>
      <c r="Y32" s="101" t="s">
        <v>392</v>
      </c>
      <c r="Z32" s="101" t="s">
        <v>430</v>
      </c>
      <c r="AA32" s="101" t="s">
        <v>628</v>
      </c>
      <c r="AB32" s="101">
        <v>3101055606</v>
      </c>
      <c r="AC32" s="101" t="s">
        <v>431</v>
      </c>
      <c r="AD32" s="101" t="s">
        <v>431</v>
      </c>
      <c r="AE32" s="101" t="s">
        <v>75</v>
      </c>
      <c r="AF32" s="101" t="s">
        <v>400</v>
      </c>
      <c r="AG32" s="101" t="s">
        <v>624</v>
      </c>
      <c r="AI32" s="101" t="s">
        <v>760</v>
      </c>
    </row>
    <row r="33" spans="1:35">
      <c r="A33" s="246" t="s">
        <v>109</v>
      </c>
      <c r="B33" s="246" t="s">
        <v>66</v>
      </c>
      <c r="C33" s="246" t="s">
        <v>126</v>
      </c>
      <c r="D33" s="246" t="s">
        <v>272</v>
      </c>
      <c r="E33" s="246"/>
      <c r="F33" s="246"/>
      <c r="G33" s="132">
        <v>0</v>
      </c>
      <c r="H33" s="132">
        <v>0</v>
      </c>
      <c r="I33" s="132">
        <v>0</v>
      </c>
      <c r="J33" s="101" t="s">
        <v>889</v>
      </c>
      <c r="K33" s="245" t="s">
        <v>390</v>
      </c>
      <c r="L33" s="245">
        <v>42552</v>
      </c>
      <c r="M33" s="245" t="s">
        <v>391</v>
      </c>
      <c r="N33" s="101">
        <v>0</v>
      </c>
      <c r="O33" s="101" t="s">
        <v>392</v>
      </c>
      <c r="P33" s="101">
        <v>0</v>
      </c>
      <c r="Q33" s="101">
        <v>0</v>
      </c>
      <c r="R33" s="101" t="s">
        <v>428</v>
      </c>
      <c r="S33" s="101">
        <v>157752</v>
      </c>
      <c r="T33" s="101" t="s">
        <v>394</v>
      </c>
      <c r="V33" s="245">
        <v>42951</v>
      </c>
      <c r="W33" s="101" t="s">
        <v>627</v>
      </c>
      <c r="X33" s="101" t="s">
        <v>429</v>
      </c>
      <c r="Y33" s="101" t="s">
        <v>392</v>
      </c>
      <c r="Z33" s="101" t="s">
        <v>430</v>
      </c>
      <c r="AA33" s="101" t="s">
        <v>628</v>
      </c>
      <c r="AB33" s="101">
        <v>3101055606</v>
      </c>
      <c r="AC33" s="101" t="s">
        <v>431</v>
      </c>
      <c r="AD33" s="101" t="s">
        <v>431</v>
      </c>
      <c r="AE33" s="101" t="s">
        <v>75</v>
      </c>
      <c r="AF33" s="101" t="s">
        <v>400</v>
      </c>
      <c r="AG33" s="101" t="s">
        <v>624</v>
      </c>
      <c r="AI33" s="101" t="s">
        <v>760</v>
      </c>
    </row>
    <row r="34" spans="1:35">
      <c r="A34" s="246" t="s">
        <v>109</v>
      </c>
      <c r="B34" s="246" t="s">
        <v>66</v>
      </c>
      <c r="C34" s="246" t="s">
        <v>126</v>
      </c>
      <c r="D34" s="246" t="s">
        <v>272</v>
      </c>
      <c r="E34" s="246"/>
      <c r="F34" s="246"/>
      <c r="G34" s="132">
        <v>0</v>
      </c>
      <c r="H34" s="132">
        <v>0</v>
      </c>
      <c r="I34" s="132">
        <v>0</v>
      </c>
      <c r="J34" s="101" t="s">
        <v>889</v>
      </c>
      <c r="K34" s="245" t="s">
        <v>390</v>
      </c>
      <c r="L34" s="245">
        <v>42583</v>
      </c>
      <c r="M34" s="245" t="s">
        <v>391</v>
      </c>
      <c r="N34" s="101">
        <v>0</v>
      </c>
      <c r="O34" s="101" t="s">
        <v>392</v>
      </c>
      <c r="P34" s="101">
        <v>0</v>
      </c>
      <c r="Q34" s="101">
        <v>0</v>
      </c>
      <c r="R34" s="101" t="s">
        <v>428</v>
      </c>
      <c r="S34" s="101">
        <v>157752</v>
      </c>
      <c r="T34" s="101" t="s">
        <v>394</v>
      </c>
      <c r="V34" s="245">
        <v>42951</v>
      </c>
      <c r="W34" s="101" t="s">
        <v>627</v>
      </c>
      <c r="X34" s="101" t="s">
        <v>429</v>
      </c>
      <c r="Y34" s="101" t="s">
        <v>392</v>
      </c>
      <c r="Z34" s="101" t="s">
        <v>430</v>
      </c>
      <c r="AA34" s="101" t="s">
        <v>628</v>
      </c>
      <c r="AB34" s="101">
        <v>3101055606</v>
      </c>
      <c r="AC34" s="101" t="s">
        <v>431</v>
      </c>
      <c r="AD34" s="101" t="s">
        <v>431</v>
      </c>
      <c r="AE34" s="101" t="s">
        <v>75</v>
      </c>
      <c r="AF34" s="101" t="s">
        <v>400</v>
      </c>
      <c r="AG34" s="101" t="s">
        <v>624</v>
      </c>
      <c r="AI34" s="101" t="s">
        <v>760</v>
      </c>
    </row>
    <row r="35" spans="1:35">
      <c r="A35" s="246" t="s">
        <v>110</v>
      </c>
      <c r="B35" s="246" t="s">
        <v>66</v>
      </c>
      <c r="C35" s="246" t="s">
        <v>126</v>
      </c>
      <c r="D35" s="246" t="s">
        <v>281</v>
      </c>
      <c r="E35" s="246"/>
      <c r="F35" s="246"/>
      <c r="G35" s="132">
        <v>0</v>
      </c>
      <c r="H35" s="132">
        <v>0</v>
      </c>
      <c r="I35" s="132">
        <v>0</v>
      </c>
      <c r="J35" s="101" t="s">
        <v>889</v>
      </c>
      <c r="K35" s="245" t="s">
        <v>390</v>
      </c>
      <c r="L35" s="245">
        <v>42614</v>
      </c>
      <c r="M35" s="245" t="s">
        <v>391</v>
      </c>
      <c r="N35" s="101">
        <v>0</v>
      </c>
      <c r="O35" s="101" t="s">
        <v>392</v>
      </c>
      <c r="P35" s="101">
        <v>0</v>
      </c>
      <c r="Q35" s="101">
        <v>0</v>
      </c>
      <c r="R35" s="101" t="s">
        <v>428</v>
      </c>
      <c r="S35" s="101">
        <v>157752</v>
      </c>
      <c r="T35" s="101" t="s">
        <v>394</v>
      </c>
      <c r="V35" s="245">
        <v>42951</v>
      </c>
      <c r="W35" s="101" t="s">
        <v>627</v>
      </c>
      <c r="X35" s="101" t="s">
        <v>429</v>
      </c>
      <c r="Y35" s="101" t="s">
        <v>392</v>
      </c>
      <c r="Z35" s="101" t="s">
        <v>430</v>
      </c>
      <c r="AA35" s="101" t="s">
        <v>628</v>
      </c>
      <c r="AB35" s="101">
        <v>3101055606</v>
      </c>
      <c r="AC35" s="101" t="s">
        <v>431</v>
      </c>
      <c r="AD35" s="101" t="s">
        <v>431</v>
      </c>
      <c r="AE35" s="101" t="s">
        <v>75</v>
      </c>
      <c r="AF35" s="101" t="s">
        <v>400</v>
      </c>
      <c r="AG35" s="101" t="s">
        <v>624</v>
      </c>
      <c r="AI35" s="101" t="s">
        <v>760</v>
      </c>
    </row>
    <row r="36" spans="1:35">
      <c r="A36" s="246" t="s">
        <v>110</v>
      </c>
      <c r="B36" s="246" t="s">
        <v>66</v>
      </c>
      <c r="C36" s="246" t="s">
        <v>126</v>
      </c>
      <c r="D36" s="246" t="s">
        <v>281</v>
      </c>
      <c r="E36" s="246"/>
      <c r="F36" s="246"/>
      <c r="G36" s="132">
        <v>0</v>
      </c>
      <c r="H36" s="132">
        <v>0</v>
      </c>
      <c r="I36" s="132">
        <v>0</v>
      </c>
      <c r="J36" s="101" t="s">
        <v>889</v>
      </c>
      <c r="K36" s="245" t="s">
        <v>390</v>
      </c>
      <c r="L36" s="245">
        <v>42646</v>
      </c>
      <c r="M36" s="245" t="s">
        <v>391</v>
      </c>
      <c r="N36" s="101">
        <v>0</v>
      </c>
      <c r="O36" s="101" t="s">
        <v>392</v>
      </c>
      <c r="P36" s="101">
        <v>0</v>
      </c>
      <c r="Q36" s="101">
        <v>0</v>
      </c>
      <c r="R36" s="101" t="s">
        <v>428</v>
      </c>
      <c r="S36" s="101">
        <v>157752</v>
      </c>
      <c r="T36" s="101" t="s">
        <v>394</v>
      </c>
      <c r="V36" s="245">
        <v>42951</v>
      </c>
      <c r="W36" s="101" t="s">
        <v>627</v>
      </c>
      <c r="X36" s="101" t="s">
        <v>429</v>
      </c>
      <c r="Y36" s="101" t="s">
        <v>392</v>
      </c>
      <c r="Z36" s="101" t="s">
        <v>430</v>
      </c>
      <c r="AA36" s="101" t="s">
        <v>628</v>
      </c>
      <c r="AB36" s="101">
        <v>3101055606</v>
      </c>
      <c r="AC36" s="101" t="s">
        <v>431</v>
      </c>
      <c r="AD36" s="101" t="s">
        <v>431</v>
      </c>
      <c r="AE36" s="101" t="s">
        <v>75</v>
      </c>
      <c r="AF36" s="101" t="s">
        <v>400</v>
      </c>
      <c r="AG36" s="101" t="s">
        <v>624</v>
      </c>
      <c r="AI36" s="101" t="s">
        <v>760</v>
      </c>
    </row>
    <row r="37" spans="1:35">
      <c r="A37" s="246" t="s">
        <v>110</v>
      </c>
      <c r="B37" s="246" t="s">
        <v>66</v>
      </c>
      <c r="C37" s="246" t="s">
        <v>126</v>
      </c>
      <c r="D37" s="246" t="s">
        <v>281</v>
      </c>
      <c r="E37" s="246"/>
      <c r="F37" s="246"/>
      <c r="G37" s="132">
        <v>0</v>
      </c>
      <c r="H37" s="132">
        <v>0</v>
      </c>
      <c r="I37" s="132">
        <v>0</v>
      </c>
      <c r="J37" s="101" t="s">
        <v>889</v>
      </c>
      <c r="K37" s="245" t="s">
        <v>390</v>
      </c>
      <c r="L37" s="245">
        <v>42675</v>
      </c>
      <c r="M37" s="245" t="s">
        <v>391</v>
      </c>
      <c r="N37" s="101">
        <v>0</v>
      </c>
      <c r="O37" s="101" t="s">
        <v>392</v>
      </c>
      <c r="P37" s="101">
        <v>0</v>
      </c>
      <c r="Q37" s="101">
        <v>0</v>
      </c>
      <c r="R37" s="101" t="s">
        <v>428</v>
      </c>
      <c r="S37" s="101">
        <v>157752</v>
      </c>
      <c r="T37" s="101" t="s">
        <v>394</v>
      </c>
      <c r="V37" s="245">
        <v>42951</v>
      </c>
      <c r="W37" s="101" t="s">
        <v>627</v>
      </c>
      <c r="X37" s="101" t="s">
        <v>429</v>
      </c>
      <c r="Y37" s="101" t="s">
        <v>392</v>
      </c>
      <c r="Z37" s="101" t="s">
        <v>430</v>
      </c>
      <c r="AA37" s="101" t="s">
        <v>628</v>
      </c>
      <c r="AB37" s="101">
        <v>3101055606</v>
      </c>
      <c r="AC37" s="101" t="s">
        <v>431</v>
      </c>
      <c r="AD37" s="101" t="s">
        <v>431</v>
      </c>
      <c r="AE37" s="101" t="s">
        <v>75</v>
      </c>
      <c r="AF37" s="101" t="s">
        <v>400</v>
      </c>
      <c r="AG37" s="101" t="s">
        <v>624</v>
      </c>
      <c r="AI37" s="101" t="s">
        <v>760</v>
      </c>
    </row>
    <row r="38" spans="1:35">
      <c r="A38" s="246" t="s">
        <v>111</v>
      </c>
      <c r="B38" s="246" t="s">
        <v>66</v>
      </c>
      <c r="C38" s="246" t="s">
        <v>126</v>
      </c>
      <c r="D38" s="246" t="s">
        <v>273</v>
      </c>
      <c r="E38" s="246"/>
      <c r="F38" s="246"/>
      <c r="G38" s="132">
        <v>0</v>
      </c>
      <c r="H38" s="132">
        <v>0</v>
      </c>
      <c r="I38" s="132">
        <v>0</v>
      </c>
      <c r="J38" s="101" t="s">
        <v>889</v>
      </c>
      <c r="K38" s="245" t="s">
        <v>390</v>
      </c>
      <c r="L38" s="245">
        <v>42705</v>
      </c>
      <c r="M38" s="245" t="s">
        <v>391</v>
      </c>
      <c r="N38" s="101">
        <v>0</v>
      </c>
      <c r="O38" s="101" t="s">
        <v>392</v>
      </c>
      <c r="P38" s="101">
        <v>0</v>
      </c>
      <c r="Q38" s="101">
        <v>0</v>
      </c>
      <c r="R38" s="101" t="s">
        <v>428</v>
      </c>
      <c r="S38" s="101">
        <v>157752</v>
      </c>
      <c r="T38" s="101" t="s">
        <v>394</v>
      </c>
      <c r="V38" s="245">
        <v>42951</v>
      </c>
      <c r="W38" s="101" t="s">
        <v>627</v>
      </c>
      <c r="X38" s="101" t="s">
        <v>429</v>
      </c>
      <c r="Y38" s="101" t="s">
        <v>392</v>
      </c>
      <c r="Z38" s="101" t="s">
        <v>430</v>
      </c>
      <c r="AA38" s="101" t="s">
        <v>628</v>
      </c>
      <c r="AB38" s="101">
        <v>3101055606</v>
      </c>
      <c r="AC38" s="101" t="s">
        <v>431</v>
      </c>
      <c r="AD38" s="101" t="s">
        <v>431</v>
      </c>
      <c r="AE38" s="101" t="s">
        <v>75</v>
      </c>
      <c r="AF38" s="101" t="s">
        <v>400</v>
      </c>
      <c r="AG38" s="101" t="s">
        <v>624</v>
      </c>
      <c r="AI38" s="101" t="s">
        <v>760</v>
      </c>
    </row>
    <row r="39" spans="1:35">
      <c r="A39" s="246" t="s">
        <v>111</v>
      </c>
      <c r="B39" s="246" t="s">
        <v>66</v>
      </c>
      <c r="C39" s="246" t="s">
        <v>126</v>
      </c>
      <c r="D39" s="246" t="s">
        <v>273</v>
      </c>
      <c r="E39" s="246"/>
      <c r="F39" s="246"/>
      <c r="G39" s="132">
        <v>0</v>
      </c>
      <c r="H39" s="132">
        <v>0</v>
      </c>
      <c r="I39" s="132">
        <v>0</v>
      </c>
      <c r="J39" s="101" t="s">
        <v>889</v>
      </c>
      <c r="K39" s="245" t="s">
        <v>390</v>
      </c>
      <c r="L39" s="245">
        <v>42738</v>
      </c>
      <c r="M39" s="245" t="s">
        <v>391</v>
      </c>
      <c r="N39" s="101">
        <v>0</v>
      </c>
      <c r="O39" s="101" t="s">
        <v>392</v>
      </c>
      <c r="P39" s="101">
        <v>0</v>
      </c>
      <c r="Q39" s="101">
        <v>0</v>
      </c>
      <c r="R39" s="101" t="s">
        <v>428</v>
      </c>
      <c r="S39" s="101">
        <v>157752</v>
      </c>
      <c r="T39" s="101" t="s">
        <v>394</v>
      </c>
      <c r="V39" s="245">
        <v>42951</v>
      </c>
      <c r="W39" s="101" t="s">
        <v>627</v>
      </c>
      <c r="X39" s="101" t="s">
        <v>429</v>
      </c>
      <c r="Y39" s="101" t="s">
        <v>392</v>
      </c>
      <c r="Z39" s="101" t="s">
        <v>430</v>
      </c>
      <c r="AA39" s="101" t="s">
        <v>628</v>
      </c>
      <c r="AB39" s="101">
        <v>3101055606</v>
      </c>
      <c r="AC39" s="101" t="s">
        <v>431</v>
      </c>
      <c r="AD39" s="101" t="s">
        <v>431</v>
      </c>
      <c r="AE39" s="101" t="s">
        <v>75</v>
      </c>
      <c r="AF39" s="101" t="s">
        <v>400</v>
      </c>
      <c r="AG39" s="101" t="s">
        <v>624</v>
      </c>
      <c r="AI39" s="101" t="s">
        <v>760</v>
      </c>
    </row>
    <row r="40" spans="1:35">
      <c r="A40" s="246" t="s">
        <v>111</v>
      </c>
      <c r="B40" s="246" t="s">
        <v>66</v>
      </c>
      <c r="C40" s="246" t="s">
        <v>126</v>
      </c>
      <c r="D40" s="246" t="s">
        <v>273</v>
      </c>
      <c r="E40" s="246"/>
      <c r="F40" s="246"/>
      <c r="G40" s="132">
        <v>0</v>
      </c>
      <c r="H40" s="132">
        <v>0</v>
      </c>
      <c r="I40" s="132">
        <v>0</v>
      </c>
      <c r="J40" s="101" t="s">
        <v>889</v>
      </c>
      <c r="K40" s="245" t="s">
        <v>390</v>
      </c>
      <c r="L40" s="245">
        <v>42767</v>
      </c>
      <c r="M40" s="245" t="s">
        <v>391</v>
      </c>
      <c r="N40" s="101">
        <v>0</v>
      </c>
      <c r="O40" s="101" t="s">
        <v>392</v>
      </c>
      <c r="P40" s="101">
        <v>0</v>
      </c>
      <c r="Q40" s="101">
        <v>0</v>
      </c>
      <c r="R40" s="101" t="s">
        <v>428</v>
      </c>
      <c r="S40" s="101">
        <v>157752</v>
      </c>
      <c r="T40" s="101" t="s">
        <v>394</v>
      </c>
      <c r="V40" s="245">
        <v>42951</v>
      </c>
      <c r="W40" s="101" t="s">
        <v>627</v>
      </c>
      <c r="X40" s="101" t="s">
        <v>429</v>
      </c>
      <c r="Y40" s="101" t="s">
        <v>392</v>
      </c>
      <c r="Z40" s="101" t="s">
        <v>430</v>
      </c>
      <c r="AA40" s="101" t="s">
        <v>628</v>
      </c>
      <c r="AB40" s="101">
        <v>3101055606</v>
      </c>
      <c r="AC40" s="101" t="s">
        <v>431</v>
      </c>
      <c r="AD40" s="101" t="s">
        <v>431</v>
      </c>
      <c r="AE40" s="101" t="s">
        <v>75</v>
      </c>
      <c r="AF40" s="101" t="s">
        <v>400</v>
      </c>
      <c r="AG40" s="101" t="s">
        <v>624</v>
      </c>
      <c r="AI40" s="101" t="s">
        <v>760</v>
      </c>
    </row>
    <row r="41" spans="1:35">
      <c r="A41" s="246" t="s">
        <v>111</v>
      </c>
      <c r="B41" s="246" t="s">
        <v>66</v>
      </c>
      <c r="C41" s="246" t="s">
        <v>126</v>
      </c>
      <c r="D41" s="246" t="s">
        <v>273</v>
      </c>
      <c r="E41" s="246"/>
      <c r="F41" s="246"/>
      <c r="G41" s="132">
        <v>0</v>
      </c>
      <c r="H41" s="132">
        <v>0</v>
      </c>
      <c r="I41" s="132">
        <v>0</v>
      </c>
      <c r="J41" s="101" t="s">
        <v>889</v>
      </c>
      <c r="K41" s="245" t="s">
        <v>390</v>
      </c>
      <c r="L41" s="245">
        <v>42795</v>
      </c>
      <c r="M41" s="245" t="s">
        <v>391</v>
      </c>
      <c r="N41" s="101">
        <v>0</v>
      </c>
      <c r="O41" s="101" t="s">
        <v>392</v>
      </c>
      <c r="P41" s="101">
        <v>0</v>
      </c>
      <c r="Q41" s="101">
        <v>0</v>
      </c>
      <c r="R41" s="101" t="s">
        <v>428</v>
      </c>
      <c r="S41" s="101">
        <v>157752</v>
      </c>
      <c r="T41" s="101" t="s">
        <v>394</v>
      </c>
      <c r="V41" s="245">
        <v>42951</v>
      </c>
      <c r="W41" s="101" t="s">
        <v>627</v>
      </c>
      <c r="X41" s="101" t="s">
        <v>429</v>
      </c>
      <c r="Y41" s="101" t="s">
        <v>392</v>
      </c>
      <c r="Z41" s="101" t="s">
        <v>430</v>
      </c>
      <c r="AA41" s="101" t="s">
        <v>628</v>
      </c>
      <c r="AB41" s="101">
        <v>3101055606</v>
      </c>
      <c r="AC41" s="101" t="s">
        <v>431</v>
      </c>
      <c r="AD41" s="101" t="s">
        <v>431</v>
      </c>
      <c r="AE41" s="101" t="s">
        <v>75</v>
      </c>
      <c r="AF41" s="101" t="s">
        <v>400</v>
      </c>
      <c r="AG41" s="101" t="s">
        <v>624</v>
      </c>
      <c r="AI41" s="101" t="s">
        <v>760</v>
      </c>
    </row>
    <row r="42" spans="1:35">
      <c r="A42" s="246" t="s">
        <v>111</v>
      </c>
      <c r="B42" s="246" t="s">
        <v>66</v>
      </c>
      <c r="C42" s="246" t="s">
        <v>126</v>
      </c>
      <c r="D42" s="246" t="s">
        <v>273</v>
      </c>
      <c r="E42" s="246"/>
      <c r="F42" s="246"/>
      <c r="G42" s="132">
        <v>0</v>
      </c>
      <c r="H42" s="132">
        <v>0</v>
      </c>
      <c r="I42" s="132">
        <v>0</v>
      </c>
      <c r="J42" s="101" t="s">
        <v>889</v>
      </c>
      <c r="K42" s="245" t="s">
        <v>390</v>
      </c>
      <c r="L42" s="245">
        <v>42828</v>
      </c>
      <c r="M42" s="245" t="s">
        <v>391</v>
      </c>
      <c r="N42" s="101">
        <v>0</v>
      </c>
      <c r="O42" s="101" t="s">
        <v>392</v>
      </c>
      <c r="P42" s="101">
        <v>0</v>
      </c>
      <c r="Q42" s="101">
        <v>0</v>
      </c>
      <c r="R42" s="101" t="s">
        <v>428</v>
      </c>
      <c r="S42" s="101">
        <v>157752</v>
      </c>
      <c r="T42" s="101" t="s">
        <v>394</v>
      </c>
      <c r="V42" s="245">
        <v>42951</v>
      </c>
      <c r="W42" s="101" t="s">
        <v>627</v>
      </c>
      <c r="X42" s="101" t="s">
        <v>429</v>
      </c>
      <c r="Y42" s="101" t="s">
        <v>392</v>
      </c>
      <c r="Z42" s="101" t="s">
        <v>430</v>
      </c>
      <c r="AA42" s="101" t="s">
        <v>628</v>
      </c>
      <c r="AB42" s="101">
        <v>3101055606</v>
      </c>
      <c r="AC42" s="101" t="s">
        <v>431</v>
      </c>
      <c r="AD42" s="101" t="s">
        <v>431</v>
      </c>
      <c r="AE42" s="101" t="s">
        <v>75</v>
      </c>
      <c r="AF42" s="101" t="s">
        <v>400</v>
      </c>
      <c r="AG42" s="101" t="s">
        <v>624</v>
      </c>
      <c r="AI42" s="101" t="s">
        <v>760</v>
      </c>
    </row>
    <row r="43" spans="1:35">
      <c r="A43" s="246" t="s">
        <v>111</v>
      </c>
      <c r="B43" s="246" t="s">
        <v>66</v>
      </c>
      <c r="C43" s="246" t="s">
        <v>126</v>
      </c>
      <c r="D43" s="246" t="s">
        <v>273</v>
      </c>
      <c r="E43" s="246"/>
      <c r="F43" s="246"/>
      <c r="G43" s="132">
        <v>0</v>
      </c>
      <c r="H43" s="132">
        <v>0</v>
      </c>
      <c r="I43" s="132">
        <v>0</v>
      </c>
      <c r="J43" s="101" t="s">
        <v>889</v>
      </c>
      <c r="K43" s="245" t="s">
        <v>390</v>
      </c>
      <c r="L43" s="245">
        <v>42856</v>
      </c>
      <c r="M43" s="245" t="s">
        <v>391</v>
      </c>
      <c r="N43" s="101">
        <v>0</v>
      </c>
      <c r="O43" s="101" t="s">
        <v>392</v>
      </c>
      <c r="P43" s="101">
        <v>0</v>
      </c>
      <c r="Q43" s="101">
        <v>0</v>
      </c>
      <c r="R43" s="101" t="s">
        <v>428</v>
      </c>
      <c r="S43" s="101">
        <v>157752</v>
      </c>
      <c r="T43" s="101" t="s">
        <v>394</v>
      </c>
      <c r="V43" s="245">
        <v>42951</v>
      </c>
      <c r="W43" s="101" t="s">
        <v>627</v>
      </c>
      <c r="X43" s="101" t="s">
        <v>429</v>
      </c>
      <c r="Y43" s="101" t="s">
        <v>392</v>
      </c>
      <c r="Z43" s="101" t="s">
        <v>430</v>
      </c>
      <c r="AA43" s="101" t="s">
        <v>628</v>
      </c>
      <c r="AB43" s="101">
        <v>3101055606</v>
      </c>
      <c r="AC43" s="101" t="s">
        <v>431</v>
      </c>
      <c r="AD43" s="101" t="s">
        <v>431</v>
      </c>
      <c r="AE43" s="101" t="s">
        <v>75</v>
      </c>
      <c r="AF43" s="101" t="s">
        <v>400</v>
      </c>
      <c r="AG43" s="101" t="s">
        <v>624</v>
      </c>
      <c r="AI43" s="101" t="s">
        <v>760</v>
      </c>
    </row>
    <row r="44" spans="1:35">
      <c r="A44" s="246" t="s">
        <v>112</v>
      </c>
      <c r="B44" s="246" t="s">
        <v>66</v>
      </c>
      <c r="C44" s="246" t="s">
        <v>126</v>
      </c>
      <c r="D44" s="246" t="s">
        <v>270</v>
      </c>
      <c r="E44" s="246"/>
      <c r="F44" s="246"/>
      <c r="G44" s="132">
        <v>0</v>
      </c>
      <c r="H44" s="132">
        <v>0</v>
      </c>
      <c r="I44" s="132">
        <v>0</v>
      </c>
      <c r="J44" s="101" t="s">
        <v>889</v>
      </c>
      <c r="K44" s="245" t="s">
        <v>390</v>
      </c>
      <c r="L44" s="245">
        <v>42887</v>
      </c>
      <c r="M44" s="245" t="s">
        <v>391</v>
      </c>
      <c r="N44" s="101">
        <v>0</v>
      </c>
      <c r="O44" s="101" t="s">
        <v>392</v>
      </c>
      <c r="P44" s="101">
        <v>0</v>
      </c>
      <c r="Q44" s="101">
        <v>0</v>
      </c>
      <c r="R44" s="101" t="s">
        <v>428</v>
      </c>
      <c r="S44" s="101">
        <v>157752</v>
      </c>
      <c r="T44" s="101" t="s">
        <v>394</v>
      </c>
      <c r="V44" s="245">
        <v>42951</v>
      </c>
      <c r="W44" s="101" t="s">
        <v>627</v>
      </c>
      <c r="X44" s="101" t="s">
        <v>429</v>
      </c>
      <c r="Y44" s="101" t="s">
        <v>392</v>
      </c>
      <c r="Z44" s="101" t="s">
        <v>430</v>
      </c>
      <c r="AA44" s="101" t="s">
        <v>628</v>
      </c>
      <c r="AB44" s="101">
        <v>3101055606</v>
      </c>
      <c r="AC44" s="101" t="s">
        <v>431</v>
      </c>
      <c r="AD44" s="101" t="s">
        <v>431</v>
      </c>
      <c r="AE44" s="101" t="s">
        <v>75</v>
      </c>
      <c r="AF44" s="101" t="s">
        <v>400</v>
      </c>
      <c r="AG44" s="101" t="s">
        <v>624</v>
      </c>
      <c r="AI44" s="101" t="s">
        <v>760</v>
      </c>
    </row>
    <row r="45" spans="1:35">
      <c r="A45" s="246" t="s">
        <v>112</v>
      </c>
      <c r="B45" s="246" t="s">
        <v>66</v>
      </c>
      <c r="C45" s="246" t="s">
        <v>126</v>
      </c>
      <c r="D45" s="246" t="s">
        <v>270</v>
      </c>
      <c r="E45" s="246"/>
      <c r="F45" s="246"/>
      <c r="G45" s="132">
        <v>0</v>
      </c>
      <c r="H45" s="132">
        <v>0</v>
      </c>
      <c r="I45" s="132">
        <v>0</v>
      </c>
      <c r="J45" s="101" t="s">
        <v>889</v>
      </c>
      <c r="K45" s="245" t="s">
        <v>390</v>
      </c>
      <c r="L45" s="245">
        <v>42919</v>
      </c>
      <c r="M45" s="245" t="s">
        <v>391</v>
      </c>
      <c r="N45" s="101">
        <v>0</v>
      </c>
      <c r="O45" s="101" t="s">
        <v>392</v>
      </c>
      <c r="P45" s="101">
        <v>0</v>
      </c>
      <c r="Q45" s="101">
        <v>0</v>
      </c>
      <c r="R45" s="101" t="s">
        <v>428</v>
      </c>
      <c r="S45" s="101">
        <v>157752</v>
      </c>
      <c r="T45" s="101" t="s">
        <v>394</v>
      </c>
      <c r="V45" s="245">
        <v>42951</v>
      </c>
      <c r="W45" s="101" t="s">
        <v>627</v>
      </c>
      <c r="X45" s="101" t="s">
        <v>429</v>
      </c>
      <c r="Y45" s="101" t="s">
        <v>392</v>
      </c>
      <c r="Z45" s="101" t="s">
        <v>430</v>
      </c>
      <c r="AA45" s="101" t="s">
        <v>628</v>
      </c>
      <c r="AB45" s="101">
        <v>3101055606</v>
      </c>
      <c r="AC45" s="101" t="s">
        <v>431</v>
      </c>
      <c r="AD45" s="101" t="s">
        <v>431</v>
      </c>
      <c r="AE45" s="101" t="s">
        <v>75</v>
      </c>
      <c r="AF45" s="101" t="s">
        <v>400</v>
      </c>
      <c r="AG45" s="101" t="s">
        <v>624</v>
      </c>
      <c r="AI45" s="101" t="s">
        <v>760</v>
      </c>
    </row>
    <row r="46" spans="1:35">
      <c r="A46" s="246" t="s">
        <v>112</v>
      </c>
      <c r="B46" s="246" t="s">
        <v>66</v>
      </c>
      <c r="C46" s="246" t="s">
        <v>126</v>
      </c>
      <c r="D46" s="246" t="s">
        <v>270</v>
      </c>
      <c r="E46" s="246"/>
      <c r="F46" s="246"/>
      <c r="G46" s="132">
        <v>0</v>
      </c>
      <c r="H46" s="132">
        <v>0</v>
      </c>
      <c r="I46" s="132">
        <v>0</v>
      </c>
      <c r="J46" s="101" t="s">
        <v>889</v>
      </c>
      <c r="K46" s="245" t="s">
        <v>390</v>
      </c>
      <c r="L46" s="245">
        <v>42951</v>
      </c>
      <c r="M46" s="245" t="s">
        <v>391</v>
      </c>
      <c r="N46" s="101">
        <v>0</v>
      </c>
      <c r="O46" s="101" t="s">
        <v>392</v>
      </c>
      <c r="P46" s="101">
        <v>0</v>
      </c>
      <c r="Q46" s="101">
        <v>0</v>
      </c>
      <c r="R46" s="101" t="s">
        <v>428</v>
      </c>
      <c r="S46" s="101">
        <v>157752</v>
      </c>
      <c r="T46" s="101" t="s">
        <v>394</v>
      </c>
      <c r="V46" s="245">
        <v>42951</v>
      </c>
      <c r="W46" s="101" t="s">
        <v>627</v>
      </c>
      <c r="X46" s="101" t="s">
        <v>429</v>
      </c>
      <c r="Y46" s="101" t="s">
        <v>392</v>
      </c>
      <c r="Z46" s="101" t="s">
        <v>430</v>
      </c>
      <c r="AA46" s="101" t="s">
        <v>628</v>
      </c>
      <c r="AB46" s="101">
        <v>3101055606</v>
      </c>
      <c r="AC46" s="101" t="s">
        <v>431</v>
      </c>
      <c r="AD46" s="101" t="s">
        <v>431</v>
      </c>
      <c r="AE46" s="101" t="s">
        <v>75</v>
      </c>
      <c r="AF46" s="101" t="s">
        <v>400</v>
      </c>
      <c r="AG46" s="101" t="s">
        <v>624</v>
      </c>
      <c r="AI46" s="101" t="s">
        <v>760</v>
      </c>
    </row>
    <row r="47" spans="1:35">
      <c r="A47" s="246" t="s">
        <v>112</v>
      </c>
      <c r="B47" s="246" t="s">
        <v>66</v>
      </c>
      <c r="C47" s="246" t="s">
        <v>116</v>
      </c>
      <c r="D47" s="246" t="s">
        <v>330</v>
      </c>
      <c r="E47" s="246"/>
      <c r="F47" s="246"/>
      <c r="G47" s="132">
        <v>0</v>
      </c>
      <c r="H47" s="132">
        <v>0</v>
      </c>
      <c r="I47" s="132">
        <v>0</v>
      </c>
      <c r="J47" s="101" t="s">
        <v>889</v>
      </c>
      <c r="K47" s="245" t="s">
        <v>390</v>
      </c>
      <c r="L47" s="245">
        <v>42951</v>
      </c>
      <c r="M47" s="245" t="s">
        <v>421</v>
      </c>
      <c r="N47" s="101">
        <v>0</v>
      </c>
      <c r="O47" s="101" t="s">
        <v>392</v>
      </c>
      <c r="P47" s="101">
        <v>0</v>
      </c>
      <c r="Q47" s="101">
        <v>0</v>
      </c>
      <c r="R47" s="101" t="s">
        <v>428</v>
      </c>
      <c r="S47" s="101">
        <v>157752</v>
      </c>
      <c r="T47" s="101" t="s">
        <v>394</v>
      </c>
      <c r="V47" s="245">
        <v>42951</v>
      </c>
      <c r="W47" s="101" t="s">
        <v>627</v>
      </c>
      <c r="X47" s="101" t="s">
        <v>429</v>
      </c>
      <c r="Y47" s="101" t="s">
        <v>392</v>
      </c>
      <c r="Z47" s="101" t="s">
        <v>430</v>
      </c>
      <c r="AA47" s="101" t="s">
        <v>628</v>
      </c>
      <c r="AB47" s="101">
        <v>3101055606</v>
      </c>
      <c r="AC47" s="101" t="s">
        <v>431</v>
      </c>
      <c r="AD47" s="101" t="s">
        <v>431</v>
      </c>
      <c r="AE47" s="101" t="s">
        <v>75</v>
      </c>
      <c r="AF47" s="101" t="s">
        <v>400</v>
      </c>
      <c r="AG47" s="101" t="s">
        <v>624</v>
      </c>
      <c r="AI47" s="101" t="s">
        <v>760</v>
      </c>
    </row>
    <row r="48" spans="1:35">
      <c r="A48" s="246" t="s">
        <v>107</v>
      </c>
      <c r="B48" s="246" t="s">
        <v>78</v>
      </c>
      <c r="C48" s="246" t="s">
        <v>126</v>
      </c>
      <c r="D48" s="246" t="s">
        <v>772</v>
      </c>
      <c r="E48" s="246" t="s">
        <v>773</v>
      </c>
      <c r="F48" s="246" t="s">
        <v>334</v>
      </c>
      <c r="G48" s="132" t="s">
        <v>857</v>
      </c>
      <c r="H48" s="132" t="s">
        <v>921</v>
      </c>
      <c r="I48" s="132">
        <v>-252.66</v>
      </c>
      <c r="J48" s="101" t="s">
        <v>889</v>
      </c>
      <c r="K48" s="245" t="s">
        <v>390</v>
      </c>
      <c r="L48" s="245">
        <v>42521</v>
      </c>
      <c r="M48" s="245" t="s">
        <v>391</v>
      </c>
      <c r="N48" s="101">
        <v>0</v>
      </c>
      <c r="O48" s="101" t="s">
        <v>392</v>
      </c>
      <c r="P48" s="101">
        <v>0</v>
      </c>
      <c r="Q48" s="101">
        <v>0</v>
      </c>
      <c r="R48" s="101" t="s">
        <v>393</v>
      </c>
      <c r="S48" s="101" t="s">
        <v>858</v>
      </c>
      <c r="T48" s="101" t="s">
        <v>394</v>
      </c>
      <c r="V48" s="245">
        <v>46387</v>
      </c>
      <c r="W48" s="101" t="s">
        <v>395</v>
      </c>
      <c r="X48" s="101" t="s">
        <v>795</v>
      </c>
      <c r="Y48" s="101" t="s">
        <v>396</v>
      </c>
      <c r="Z48" s="101" t="s">
        <v>402</v>
      </c>
      <c r="AA48" s="101" t="s">
        <v>78</v>
      </c>
      <c r="AB48" s="101">
        <v>4101000279</v>
      </c>
      <c r="AC48" s="101" t="s">
        <v>398</v>
      </c>
      <c r="AD48" s="101" t="s">
        <v>403</v>
      </c>
      <c r="AE48" s="101" t="s">
        <v>6</v>
      </c>
      <c r="AF48" s="101" t="s">
        <v>400</v>
      </c>
      <c r="AI48" s="101" t="s">
        <v>760</v>
      </c>
    </row>
    <row r="49" spans="1:35">
      <c r="A49" s="246" t="s">
        <v>109</v>
      </c>
      <c r="B49" s="246" t="s">
        <v>78</v>
      </c>
      <c r="C49" s="246" t="s">
        <v>126</v>
      </c>
      <c r="D49" s="246" t="s">
        <v>337</v>
      </c>
      <c r="E49" s="246" t="s">
        <v>336</v>
      </c>
      <c r="F49" s="246" t="s">
        <v>275</v>
      </c>
      <c r="G49" s="132" t="s">
        <v>922</v>
      </c>
      <c r="H49" s="132" t="s">
        <v>923</v>
      </c>
      <c r="I49" s="132">
        <v>-246.39999999999998</v>
      </c>
      <c r="J49" s="101" t="s">
        <v>889</v>
      </c>
      <c r="K49" s="245" t="s">
        <v>390</v>
      </c>
      <c r="L49" s="245">
        <v>42551</v>
      </c>
      <c r="M49" s="245" t="s">
        <v>391</v>
      </c>
      <c r="N49" s="101">
        <v>0</v>
      </c>
      <c r="O49" s="101" t="s">
        <v>392</v>
      </c>
      <c r="P49" s="101">
        <v>0</v>
      </c>
      <c r="Q49" s="101">
        <v>0</v>
      </c>
      <c r="R49" s="101" t="s">
        <v>393</v>
      </c>
      <c r="S49" s="101" t="s">
        <v>858</v>
      </c>
      <c r="T49" s="101" t="s">
        <v>394</v>
      </c>
      <c r="V49" s="245">
        <v>46387</v>
      </c>
      <c r="W49" s="101" t="s">
        <v>395</v>
      </c>
      <c r="X49" s="101" t="s">
        <v>795</v>
      </c>
      <c r="Y49" s="101" t="s">
        <v>396</v>
      </c>
      <c r="Z49" s="101" t="s">
        <v>402</v>
      </c>
      <c r="AA49" s="101" t="s">
        <v>78</v>
      </c>
      <c r="AB49" s="101">
        <v>4101000279</v>
      </c>
      <c r="AC49" s="101" t="s">
        <v>398</v>
      </c>
      <c r="AD49" s="101" t="s">
        <v>403</v>
      </c>
      <c r="AE49" s="101" t="s">
        <v>6</v>
      </c>
      <c r="AF49" s="101" t="s">
        <v>400</v>
      </c>
      <c r="AI49" s="101" t="s">
        <v>760</v>
      </c>
    </row>
    <row r="50" spans="1:35">
      <c r="A50" s="246" t="s">
        <v>109</v>
      </c>
      <c r="B50" s="246" t="s">
        <v>78</v>
      </c>
      <c r="C50" s="246" t="s">
        <v>126</v>
      </c>
      <c r="D50" s="246" t="s">
        <v>337</v>
      </c>
      <c r="E50" s="246" t="s">
        <v>336</v>
      </c>
      <c r="F50" s="246" t="s">
        <v>275</v>
      </c>
      <c r="G50" s="132" t="s">
        <v>924</v>
      </c>
      <c r="H50" s="132" t="s">
        <v>925</v>
      </c>
      <c r="I50" s="132">
        <v>-243.51</v>
      </c>
      <c r="J50" s="101" t="s">
        <v>889</v>
      </c>
      <c r="K50" s="245" t="s">
        <v>390</v>
      </c>
      <c r="L50" s="245">
        <v>42580</v>
      </c>
      <c r="M50" s="245" t="s">
        <v>391</v>
      </c>
      <c r="N50" s="101">
        <v>0</v>
      </c>
      <c r="O50" s="101" t="s">
        <v>392</v>
      </c>
      <c r="P50" s="101">
        <v>0</v>
      </c>
      <c r="Q50" s="101">
        <v>0</v>
      </c>
      <c r="R50" s="101" t="s">
        <v>393</v>
      </c>
      <c r="S50" s="101" t="s">
        <v>858</v>
      </c>
      <c r="T50" s="101" t="s">
        <v>394</v>
      </c>
      <c r="V50" s="245">
        <v>46387</v>
      </c>
      <c r="W50" s="101" t="s">
        <v>395</v>
      </c>
      <c r="X50" s="101" t="s">
        <v>795</v>
      </c>
      <c r="Y50" s="101" t="s">
        <v>396</v>
      </c>
      <c r="Z50" s="101" t="s">
        <v>402</v>
      </c>
      <c r="AA50" s="101" t="s">
        <v>78</v>
      </c>
      <c r="AB50" s="101">
        <v>4101000279</v>
      </c>
      <c r="AC50" s="101" t="s">
        <v>398</v>
      </c>
      <c r="AD50" s="101" t="s">
        <v>403</v>
      </c>
      <c r="AE50" s="101" t="s">
        <v>6</v>
      </c>
      <c r="AF50" s="101" t="s">
        <v>400</v>
      </c>
      <c r="AI50" s="101" t="s">
        <v>760</v>
      </c>
    </row>
    <row r="51" spans="1:35">
      <c r="A51" s="246" t="s">
        <v>110</v>
      </c>
      <c r="B51" s="246" t="s">
        <v>78</v>
      </c>
      <c r="C51" s="246" t="s">
        <v>126</v>
      </c>
      <c r="D51" s="246" t="s">
        <v>770</v>
      </c>
      <c r="E51" s="246" t="s">
        <v>771</v>
      </c>
      <c r="F51" s="246" t="s">
        <v>276</v>
      </c>
      <c r="G51" s="132" t="s">
        <v>926</v>
      </c>
      <c r="H51" s="132" t="s">
        <v>927</v>
      </c>
      <c r="I51" s="132">
        <v>-322.05</v>
      </c>
      <c r="J51" s="101" t="s">
        <v>889</v>
      </c>
      <c r="K51" s="245" t="s">
        <v>390</v>
      </c>
      <c r="L51" s="245">
        <v>42613</v>
      </c>
      <c r="M51" s="245" t="s">
        <v>391</v>
      </c>
      <c r="N51" s="101">
        <v>0</v>
      </c>
      <c r="O51" s="101" t="s">
        <v>392</v>
      </c>
      <c r="P51" s="101">
        <v>0</v>
      </c>
      <c r="Q51" s="101">
        <v>0</v>
      </c>
      <c r="R51" s="101" t="s">
        <v>393</v>
      </c>
      <c r="S51" s="101" t="s">
        <v>858</v>
      </c>
      <c r="T51" s="101" t="s">
        <v>394</v>
      </c>
      <c r="V51" s="245">
        <v>46387</v>
      </c>
      <c r="W51" s="101" t="s">
        <v>395</v>
      </c>
      <c r="X51" s="101" t="s">
        <v>795</v>
      </c>
      <c r="Y51" s="101" t="s">
        <v>396</v>
      </c>
      <c r="Z51" s="101" t="s">
        <v>402</v>
      </c>
      <c r="AA51" s="101" t="s">
        <v>78</v>
      </c>
      <c r="AB51" s="101">
        <v>4101000279</v>
      </c>
      <c r="AC51" s="101" t="s">
        <v>398</v>
      </c>
      <c r="AD51" s="101" t="s">
        <v>403</v>
      </c>
      <c r="AE51" s="101" t="s">
        <v>6</v>
      </c>
      <c r="AF51" s="101" t="s">
        <v>400</v>
      </c>
      <c r="AI51" s="101" t="s">
        <v>760</v>
      </c>
    </row>
    <row r="52" spans="1:35">
      <c r="A52" s="246" t="s">
        <v>110</v>
      </c>
      <c r="B52" s="246" t="s">
        <v>78</v>
      </c>
      <c r="C52" s="246" t="s">
        <v>126</v>
      </c>
      <c r="D52" s="246" t="s">
        <v>770</v>
      </c>
      <c r="E52" s="246" t="s">
        <v>771</v>
      </c>
      <c r="F52" s="246" t="s">
        <v>276</v>
      </c>
      <c r="G52" s="132" t="s">
        <v>928</v>
      </c>
      <c r="H52" s="132" t="s">
        <v>929</v>
      </c>
      <c r="I52" s="132">
        <v>-322.26</v>
      </c>
      <c r="J52" s="101" t="s">
        <v>889</v>
      </c>
      <c r="K52" s="245" t="s">
        <v>390</v>
      </c>
      <c r="L52" s="245">
        <v>42643</v>
      </c>
      <c r="M52" s="245" t="s">
        <v>391</v>
      </c>
      <c r="N52" s="101">
        <v>0</v>
      </c>
      <c r="O52" s="101" t="s">
        <v>392</v>
      </c>
      <c r="P52" s="101">
        <v>0</v>
      </c>
      <c r="Q52" s="101">
        <v>0</v>
      </c>
      <c r="R52" s="101" t="s">
        <v>393</v>
      </c>
      <c r="S52" s="101" t="s">
        <v>858</v>
      </c>
      <c r="T52" s="101" t="s">
        <v>394</v>
      </c>
      <c r="V52" s="245">
        <v>46387</v>
      </c>
      <c r="W52" s="101" t="s">
        <v>395</v>
      </c>
      <c r="X52" s="101" t="s">
        <v>795</v>
      </c>
      <c r="Y52" s="101" t="s">
        <v>396</v>
      </c>
      <c r="Z52" s="101" t="s">
        <v>402</v>
      </c>
      <c r="AA52" s="101" t="s">
        <v>78</v>
      </c>
      <c r="AB52" s="101">
        <v>4101000279</v>
      </c>
      <c r="AC52" s="101" t="s">
        <v>398</v>
      </c>
      <c r="AD52" s="101" t="s">
        <v>403</v>
      </c>
      <c r="AE52" s="101" t="s">
        <v>6</v>
      </c>
      <c r="AF52" s="101" t="s">
        <v>400</v>
      </c>
      <c r="AI52" s="101" t="s">
        <v>760</v>
      </c>
    </row>
    <row r="53" spans="1:35">
      <c r="A53" s="246" t="s">
        <v>110</v>
      </c>
      <c r="B53" s="246" t="s">
        <v>78</v>
      </c>
      <c r="C53" s="246" t="s">
        <v>126</v>
      </c>
      <c r="D53" s="246" t="s">
        <v>770</v>
      </c>
      <c r="E53" s="246" t="s">
        <v>771</v>
      </c>
      <c r="F53" s="246" t="s">
        <v>276</v>
      </c>
      <c r="G53" s="132" t="s">
        <v>930</v>
      </c>
      <c r="H53" s="132" t="s">
        <v>931</v>
      </c>
      <c r="I53" s="132">
        <v>-333.01</v>
      </c>
      <c r="J53" s="101" t="s">
        <v>889</v>
      </c>
      <c r="K53" s="245" t="s">
        <v>390</v>
      </c>
      <c r="L53" s="245">
        <v>42674</v>
      </c>
      <c r="M53" s="245" t="s">
        <v>391</v>
      </c>
      <c r="N53" s="101">
        <v>0</v>
      </c>
      <c r="O53" s="101" t="s">
        <v>392</v>
      </c>
      <c r="P53" s="101">
        <v>0</v>
      </c>
      <c r="Q53" s="101">
        <v>0</v>
      </c>
      <c r="R53" s="101" t="s">
        <v>393</v>
      </c>
      <c r="S53" s="101" t="s">
        <v>858</v>
      </c>
      <c r="T53" s="101" t="s">
        <v>394</v>
      </c>
      <c r="V53" s="245">
        <v>46387</v>
      </c>
      <c r="W53" s="101" t="s">
        <v>395</v>
      </c>
      <c r="X53" s="101" t="s">
        <v>795</v>
      </c>
      <c r="Y53" s="101" t="s">
        <v>396</v>
      </c>
      <c r="Z53" s="101" t="s">
        <v>402</v>
      </c>
      <c r="AA53" s="101" t="s">
        <v>78</v>
      </c>
      <c r="AB53" s="101">
        <v>4101000279</v>
      </c>
      <c r="AC53" s="101" t="s">
        <v>398</v>
      </c>
      <c r="AD53" s="101" t="s">
        <v>403</v>
      </c>
      <c r="AE53" s="101" t="s">
        <v>6</v>
      </c>
      <c r="AF53" s="101" t="s">
        <v>400</v>
      </c>
      <c r="AI53" s="101" t="s">
        <v>760</v>
      </c>
    </row>
    <row r="54" spans="1:35">
      <c r="A54" s="246" t="s">
        <v>111</v>
      </c>
      <c r="B54" s="246" t="s">
        <v>78</v>
      </c>
      <c r="C54" s="246" t="s">
        <v>126</v>
      </c>
      <c r="D54" s="246" t="s">
        <v>768</v>
      </c>
      <c r="E54" s="246" t="s">
        <v>769</v>
      </c>
      <c r="F54" s="246" t="s">
        <v>277</v>
      </c>
      <c r="G54" s="132" t="s">
        <v>932</v>
      </c>
      <c r="H54" s="132" t="s">
        <v>933</v>
      </c>
      <c r="I54" s="132">
        <v>-367.72999999999996</v>
      </c>
      <c r="J54" s="101" t="s">
        <v>889</v>
      </c>
      <c r="K54" s="245" t="s">
        <v>390</v>
      </c>
      <c r="L54" s="245">
        <v>42704</v>
      </c>
      <c r="M54" s="245" t="s">
        <v>391</v>
      </c>
      <c r="N54" s="101">
        <v>0</v>
      </c>
      <c r="O54" s="101" t="s">
        <v>392</v>
      </c>
      <c r="P54" s="101">
        <v>0</v>
      </c>
      <c r="Q54" s="101">
        <v>0</v>
      </c>
      <c r="R54" s="101" t="s">
        <v>393</v>
      </c>
      <c r="S54" s="101" t="s">
        <v>858</v>
      </c>
      <c r="T54" s="101" t="s">
        <v>394</v>
      </c>
      <c r="V54" s="245">
        <v>46387</v>
      </c>
      <c r="W54" s="101" t="s">
        <v>395</v>
      </c>
      <c r="X54" s="101" t="s">
        <v>795</v>
      </c>
      <c r="Y54" s="101" t="s">
        <v>396</v>
      </c>
      <c r="Z54" s="101" t="s">
        <v>402</v>
      </c>
      <c r="AA54" s="101" t="s">
        <v>78</v>
      </c>
      <c r="AB54" s="101">
        <v>4101000279</v>
      </c>
      <c r="AC54" s="101" t="s">
        <v>398</v>
      </c>
      <c r="AD54" s="101" t="s">
        <v>403</v>
      </c>
      <c r="AE54" s="101" t="s">
        <v>6</v>
      </c>
      <c r="AF54" s="101" t="s">
        <v>400</v>
      </c>
      <c r="AI54" s="101" t="s">
        <v>760</v>
      </c>
    </row>
    <row r="55" spans="1:35">
      <c r="A55" s="246" t="s">
        <v>111</v>
      </c>
      <c r="B55" s="246" t="s">
        <v>78</v>
      </c>
      <c r="C55" s="246" t="s">
        <v>126</v>
      </c>
      <c r="D55" s="246" t="s">
        <v>768</v>
      </c>
      <c r="E55" s="246" t="s">
        <v>769</v>
      </c>
      <c r="F55" s="246" t="s">
        <v>277</v>
      </c>
      <c r="G55" s="132" t="s">
        <v>934</v>
      </c>
      <c r="H55" s="132" t="s">
        <v>935</v>
      </c>
      <c r="I55" s="132">
        <v>-407.51</v>
      </c>
      <c r="J55" s="101" t="s">
        <v>889</v>
      </c>
      <c r="K55" s="245" t="s">
        <v>390</v>
      </c>
      <c r="L55" s="245">
        <v>42734</v>
      </c>
      <c r="M55" s="245" t="s">
        <v>391</v>
      </c>
      <c r="N55" s="101">
        <v>0</v>
      </c>
      <c r="O55" s="101" t="s">
        <v>392</v>
      </c>
      <c r="P55" s="101">
        <v>0</v>
      </c>
      <c r="Q55" s="101">
        <v>0</v>
      </c>
      <c r="R55" s="101" t="s">
        <v>393</v>
      </c>
      <c r="S55" s="101" t="s">
        <v>858</v>
      </c>
      <c r="T55" s="101" t="s">
        <v>394</v>
      </c>
      <c r="V55" s="245">
        <v>46387</v>
      </c>
      <c r="W55" s="101" t="s">
        <v>395</v>
      </c>
      <c r="X55" s="101" t="s">
        <v>795</v>
      </c>
      <c r="Y55" s="101" t="s">
        <v>396</v>
      </c>
      <c r="Z55" s="101" t="s">
        <v>402</v>
      </c>
      <c r="AA55" s="101" t="s">
        <v>78</v>
      </c>
      <c r="AB55" s="101">
        <v>4101000279</v>
      </c>
      <c r="AC55" s="101" t="s">
        <v>398</v>
      </c>
      <c r="AD55" s="101" t="s">
        <v>403</v>
      </c>
      <c r="AE55" s="101" t="s">
        <v>6</v>
      </c>
      <c r="AF55" s="101" t="s">
        <v>400</v>
      </c>
      <c r="AI55" s="101" t="s">
        <v>760</v>
      </c>
    </row>
    <row r="56" spans="1:35">
      <c r="A56" s="246" t="s">
        <v>111</v>
      </c>
      <c r="B56" s="246" t="s">
        <v>78</v>
      </c>
      <c r="C56" s="246" t="s">
        <v>126</v>
      </c>
      <c r="D56" s="246" t="s">
        <v>768</v>
      </c>
      <c r="E56" s="246" t="s">
        <v>769</v>
      </c>
      <c r="F56" s="246" t="s">
        <v>277</v>
      </c>
      <c r="G56" s="132" t="s">
        <v>936</v>
      </c>
      <c r="H56" s="132" t="s">
        <v>937</v>
      </c>
      <c r="I56" s="132">
        <v>-434.69</v>
      </c>
      <c r="J56" s="101" t="s">
        <v>889</v>
      </c>
      <c r="K56" s="245" t="s">
        <v>390</v>
      </c>
      <c r="L56" s="245">
        <v>42766</v>
      </c>
      <c r="M56" s="245" t="s">
        <v>391</v>
      </c>
      <c r="N56" s="101">
        <v>0</v>
      </c>
      <c r="O56" s="101" t="s">
        <v>392</v>
      </c>
      <c r="P56" s="101">
        <v>0</v>
      </c>
      <c r="Q56" s="101">
        <v>0</v>
      </c>
      <c r="R56" s="101" t="s">
        <v>393</v>
      </c>
      <c r="S56" s="101" t="s">
        <v>858</v>
      </c>
      <c r="T56" s="101" t="s">
        <v>394</v>
      </c>
      <c r="V56" s="245">
        <v>46387</v>
      </c>
      <c r="W56" s="101" t="s">
        <v>395</v>
      </c>
      <c r="X56" s="101" t="s">
        <v>795</v>
      </c>
      <c r="Y56" s="101" t="s">
        <v>396</v>
      </c>
      <c r="Z56" s="101" t="s">
        <v>402</v>
      </c>
      <c r="AA56" s="101" t="s">
        <v>78</v>
      </c>
      <c r="AB56" s="101">
        <v>4101000279</v>
      </c>
      <c r="AC56" s="101" t="s">
        <v>398</v>
      </c>
      <c r="AD56" s="101" t="s">
        <v>403</v>
      </c>
      <c r="AE56" s="101" t="s">
        <v>6</v>
      </c>
      <c r="AF56" s="101" t="s">
        <v>400</v>
      </c>
      <c r="AI56" s="101" t="s">
        <v>760</v>
      </c>
    </row>
    <row r="57" spans="1:35">
      <c r="A57" s="246" t="s">
        <v>111</v>
      </c>
      <c r="B57" s="246" t="s">
        <v>78</v>
      </c>
      <c r="C57" s="246" t="s">
        <v>126</v>
      </c>
      <c r="D57" s="246" t="s">
        <v>768</v>
      </c>
      <c r="E57" s="246" t="s">
        <v>769</v>
      </c>
      <c r="F57" s="246" t="s">
        <v>277</v>
      </c>
      <c r="G57" s="132" t="s">
        <v>938</v>
      </c>
      <c r="H57" s="132" t="s">
        <v>939</v>
      </c>
      <c r="I57" s="132">
        <v>-430.06</v>
      </c>
      <c r="J57" s="101" t="s">
        <v>889</v>
      </c>
      <c r="K57" s="245" t="s">
        <v>390</v>
      </c>
      <c r="L57" s="245">
        <v>42794</v>
      </c>
      <c r="M57" s="245" t="s">
        <v>391</v>
      </c>
      <c r="N57" s="101">
        <v>0</v>
      </c>
      <c r="O57" s="101" t="s">
        <v>392</v>
      </c>
      <c r="P57" s="101">
        <v>0</v>
      </c>
      <c r="Q57" s="101">
        <v>0</v>
      </c>
      <c r="R57" s="101" t="s">
        <v>393</v>
      </c>
      <c r="S57" s="101" t="s">
        <v>858</v>
      </c>
      <c r="T57" s="101" t="s">
        <v>394</v>
      </c>
      <c r="V57" s="245">
        <v>46387</v>
      </c>
      <c r="W57" s="101" t="s">
        <v>395</v>
      </c>
      <c r="X57" s="101" t="s">
        <v>795</v>
      </c>
      <c r="Y57" s="101" t="s">
        <v>396</v>
      </c>
      <c r="Z57" s="101" t="s">
        <v>402</v>
      </c>
      <c r="AA57" s="101" t="s">
        <v>78</v>
      </c>
      <c r="AB57" s="101">
        <v>4101000279</v>
      </c>
      <c r="AC57" s="101" t="s">
        <v>398</v>
      </c>
      <c r="AD57" s="101" t="s">
        <v>403</v>
      </c>
      <c r="AE57" s="101" t="s">
        <v>6</v>
      </c>
      <c r="AF57" s="101" t="s">
        <v>400</v>
      </c>
      <c r="AI57" s="101" t="s">
        <v>760</v>
      </c>
    </row>
    <row r="58" spans="1:35">
      <c r="A58" s="246" t="s">
        <v>111</v>
      </c>
      <c r="B58" s="246" t="s">
        <v>78</v>
      </c>
      <c r="C58" s="246" t="s">
        <v>126</v>
      </c>
      <c r="D58" s="246" t="s">
        <v>768</v>
      </c>
      <c r="E58" s="246" t="s">
        <v>769</v>
      </c>
      <c r="F58" s="246" t="s">
        <v>277</v>
      </c>
      <c r="G58" s="132" t="s">
        <v>940</v>
      </c>
      <c r="H58" s="132" t="s">
        <v>941</v>
      </c>
      <c r="I58" s="132">
        <v>-523.88</v>
      </c>
      <c r="J58" s="101" t="s">
        <v>889</v>
      </c>
      <c r="K58" s="245" t="s">
        <v>390</v>
      </c>
      <c r="L58" s="245">
        <v>42825</v>
      </c>
      <c r="M58" s="245" t="s">
        <v>391</v>
      </c>
      <c r="N58" s="101">
        <v>0</v>
      </c>
      <c r="O58" s="101" t="s">
        <v>392</v>
      </c>
      <c r="P58" s="101">
        <v>0</v>
      </c>
      <c r="Q58" s="101">
        <v>0</v>
      </c>
      <c r="R58" s="101" t="s">
        <v>393</v>
      </c>
      <c r="S58" s="101" t="s">
        <v>858</v>
      </c>
      <c r="T58" s="101" t="s">
        <v>394</v>
      </c>
      <c r="V58" s="245">
        <v>46387</v>
      </c>
      <c r="W58" s="101" t="s">
        <v>395</v>
      </c>
      <c r="X58" s="101" t="s">
        <v>795</v>
      </c>
      <c r="Y58" s="101" t="s">
        <v>396</v>
      </c>
      <c r="Z58" s="101" t="s">
        <v>402</v>
      </c>
      <c r="AA58" s="101" t="s">
        <v>78</v>
      </c>
      <c r="AB58" s="101">
        <v>4101000279</v>
      </c>
      <c r="AC58" s="101" t="s">
        <v>398</v>
      </c>
      <c r="AD58" s="101" t="s">
        <v>403</v>
      </c>
      <c r="AE58" s="101" t="s">
        <v>6</v>
      </c>
      <c r="AF58" s="101" t="s">
        <v>400</v>
      </c>
      <c r="AI58" s="101" t="s">
        <v>760</v>
      </c>
    </row>
    <row r="59" spans="1:35">
      <c r="A59" s="246" t="s">
        <v>111</v>
      </c>
      <c r="B59" s="246" t="s">
        <v>78</v>
      </c>
      <c r="C59" s="246" t="s">
        <v>126</v>
      </c>
      <c r="D59" s="246" t="s">
        <v>768</v>
      </c>
      <c r="E59" s="246" t="s">
        <v>769</v>
      </c>
      <c r="F59" s="246" t="s">
        <v>277</v>
      </c>
      <c r="G59" s="132" t="s">
        <v>942</v>
      </c>
      <c r="H59" s="132" t="s">
        <v>943</v>
      </c>
      <c r="I59" s="132">
        <v>-473.15999999999997</v>
      </c>
      <c r="J59" s="101" t="s">
        <v>889</v>
      </c>
      <c r="K59" s="245" t="s">
        <v>390</v>
      </c>
      <c r="L59" s="245">
        <v>42853</v>
      </c>
      <c r="M59" s="245" t="s">
        <v>391</v>
      </c>
      <c r="N59" s="101">
        <v>0</v>
      </c>
      <c r="O59" s="101" t="s">
        <v>392</v>
      </c>
      <c r="P59" s="101">
        <v>0</v>
      </c>
      <c r="Q59" s="101">
        <v>0</v>
      </c>
      <c r="R59" s="101" t="s">
        <v>393</v>
      </c>
      <c r="S59" s="101" t="s">
        <v>858</v>
      </c>
      <c r="T59" s="101" t="s">
        <v>394</v>
      </c>
      <c r="V59" s="245">
        <v>46387</v>
      </c>
      <c r="W59" s="101" t="s">
        <v>395</v>
      </c>
      <c r="X59" s="101" t="s">
        <v>795</v>
      </c>
      <c r="Y59" s="101" t="s">
        <v>396</v>
      </c>
      <c r="Z59" s="101" t="s">
        <v>402</v>
      </c>
      <c r="AA59" s="101" t="s">
        <v>78</v>
      </c>
      <c r="AB59" s="101">
        <v>4101000279</v>
      </c>
      <c r="AC59" s="101" t="s">
        <v>398</v>
      </c>
      <c r="AD59" s="101" t="s">
        <v>403</v>
      </c>
      <c r="AE59" s="101" t="s">
        <v>6</v>
      </c>
      <c r="AF59" s="101" t="s">
        <v>400</v>
      </c>
      <c r="AI59" s="101" t="s">
        <v>760</v>
      </c>
    </row>
    <row r="60" spans="1:35">
      <c r="A60" s="246" t="s">
        <v>112</v>
      </c>
      <c r="B60" s="246" t="s">
        <v>78</v>
      </c>
      <c r="C60" s="246" t="s">
        <v>126</v>
      </c>
      <c r="D60" s="246" t="s">
        <v>341</v>
      </c>
      <c r="E60" s="246" t="s">
        <v>342</v>
      </c>
      <c r="F60" s="246" t="s">
        <v>278</v>
      </c>
      <c r="G60" s="132" t="s">
        <v>944</v>
      </c>
      <c r="H60" s="132" t="s">
        <v>945</v>
      </c>
      <c r="I60" s="132">
        <v>-619.6</v>
      </c>
      <c r="J60" s="101" t="s">
        <v>889</v>
      </c>
      <c r="K60" s="245" t="s">
        <v>390</v>
      </c>
      <c r="L60" s="245">
        <v>42886</v>
      </c>
      <c r="M60" s="245" t="s">
        <v>391</v>
      </c>
      <c r="N60" s="101">
        <v>0</v>
      </c>
      <c r="O60" s="101" t="s">
        <v>392</v>
      </c>
      <c r="P60" s="101">
        <v>0</v>
      </c>
      <c r="Q60" s="101">
        <v>0</v>
      </c>
      <c r="R60" s="101" t="s">
        <v>393</v>
      </c>
      <c r="S60" s="101" t="s">
        <v>858</v>
      </c>
      <c r="T60" s="101" t="s">
        <v>394</v>
      </c>
      <c r="V60" s="245">
        <v>46387</v>
      </c>
      <c r="W60" s="101" t="s">
        <v>395</v>
      </c>
      <c r="X60" s="101" t="s">
        <v>795</v>
      </c>
      <c r="Y60" s="101" t="s">
        <v>396</v>
      </c>
      <c r="Z60" s="101" t="s">
        <v>402</v>
      </c>
      <c r="AA60" s="101" t="s">
        <v>78</v>
      </c>
      <c r="AB60" s="101">
        <v>4101000279</v>
      </c>
      <c r="AC60" s="101" t="s">
        <v>398</v>
      </c>
      <c r="AD60" s="101" t="s">
        <v>403</v>
      </c>
      <c r="AE60" s="101" t="s">
        <v>6</v>
      </c>
      <c r="AF60" s="101" t="s">
        <v>400</v>
      </c>
      <c r="AI60" s="101" t="s">
        <v>760</v>
      </c>
    </row>
    <row r="61" spans="1:35">
      <c r="A61" s="246" t="s">
        <v>112</v>
      </c>
      <c r="B61" s="246" t="s">
        <v>78</v>
      </c>
      <c r="C61" s="246" t="s">
        <v>126</v>
      </c>
      <c r="D61" s="246" t="s">
        <v>341</v>
      </c>
      <c r="E61" s="246" t="s">
        <v>342</v>
      </c>
      <c r="F61" s="246" t="s">
        <v>278</v>
      </c>
      <c r="G61" s="132" t="s">
        <v>946</v>
      </c>
      <c r="H61" s="132" t="s">
        <v>947</v>
      </c>
      <c r="I61" s="132">
        <v>-604.70999999999992</v>
      </c>
      <c r="J61" s="101" t="s">
        <v>889</v>
      </c>
      <c r="K61" s="245" t="s">
        <v>390</v>
      </c>
      <c r="L61" s="245">
        <v>42916</v>
      </c>
      <c r="M61" s="245" t="s">
        <v>391</v>
      </c>
      <c r="N61" s="101">
        <v>0</v>
      </c>
      <c r="O61" s="101" t="s">
        <v>392</v>
      </c>
      <c r="P61" s="101">
        <v>0</v>
      </c>
      <c r="Q61" s="101">
        <v>0</v>
      </c>
      <c r="R61" s="101" t="s">
        <v>393</v>
      </c>
      <c r="S61" s="101" t="s">
        <v>858</v>
      </c>
      <c r="T61" s="101" t="s">
        <v>394</v>
      </c>
      <c r="V61" s="245">
        <v>46387</v>
      </c>
      <c r="W61" s="101" t="s">
        <v>395</v>
      </c>
      <c r="X61" s="101" t="s">
        <v>795</v>
      </c>
      <c r="Y61" s="101" t="s">
        <v>396</v>
      </c>
      <c r="Z61" s="101" t="s">
        <v>402</v>
      </c>
      <c r="AA61" s="101" t="s">
        <v>78</v>
      </c>
      <c r="AB61" s="101">
        <v>4101000279</v>
      </c>
      <c r="AC61" s="101" t="s">
        <v>398</v>
      </c>
      <c r="AD61" s="101" t="s">
        <v>403</v>
      </c>
      <c r="AE61" s="101" t="s">
        <v>6</v>
      </c>
      <c r="AF61" s="101" t="s">
        <v>400</v>
      </c>
      <c r="AI61" s="101" t="s">
        <v>760</v>
      </c>
    </row>
    <row r="62" spans="1:35">
      <c r="A62" s="246" t="s">
        <v>112</v>
      </c>
      <c r="B62" s="246" t="s">
        <v>78</v>
      </c>
      <c r="C62" s="246" t="s">
        <v>126</v>
      </c>
      <c r="D62" s="246" t="s">
        <v>341</v>
      </c>
      <c r="E62" s="246" t="s">
        <v>342</v>
      </c>
      <c r="F62" s="246" t="s">
        <v>278</v>
      </c>
      <c r="G62" s="132" t="s">
        <v>948</v>
      </c>
      <c r="H62" s="132" t="s">
        <v>949</v>
      </c>
      <c r="I62" s="132">
        <v>-624.88</v>
      </c>
      <c r="J62" s="101" t="s">
        <v>889</v>
      </c>
      <c r="K62" s="245" t="s">
        <v>390</v>
      </c>
      <c r="L62" s="245">
        <v>42947</v>
      </c>
      <c r="M62" s="245" t="s">
        <v>391</v>
      </c>
      <c r="N62" s="101">
        <v>0</v>
      </c>
      <c r="O62" s="101" t="s">
        <v>392</v>
      </c>
      <c r="P62" s="101">
        <v>0</v>
      </c>
      <c r="Q62" s="101">
        <v>0</v>
      </c>
      <c r="R62" s="101" t="s">
        <v>393</v>
      </c>
      <c r="S62" s="101" t="s">
        <v>858</v>
      </c>
      <c r="T62" s="101" t="s">
        <v>394</v>
      </c>
      <c r="V62" s="245">
        <v>46387</v>
      </c>
      <c r="W62" s="101" t="s">
        <v>395</v>
      </c>
      <c r="X62" s="101" t="s">
        <v>795</v>
      </c>
      <c r="Y62" s="101" t="s">
        <v>396</v>
      </c>
      <c r="Z62" s="101" t="s">
        <v>402</v>
      </c>
      <c r="AA62" s="101" t="s">
        <v>78</v>
      </c>
      <c r="AB62" s="101">
        <v>4101000279</v>
      </c>
      <c r="AC62" s="101" t="s">
        <v>398</v>
      </c>
      <c r="AD62" s="101" t="s">
        <v>403</v>
      </c>
      <c r="AE62" s="101" t="s">
        <v>6</v>
      </c>
      <c r="AF62" s="101" t="s">
        <v>400</v>
      </c>
      <c r="AI62" s="101" t="s">
        <v>760</v>
      </c>
    </row>
    <row r="63" spans="1:35">
      <c r="A63" s="246" t="s">
        <v>112</v>
      </c>
      <c r="B63" s="246" t="s">
        <v>78</v>
      </c>
      <c r="C63" s="246" t="s">
        <v>126</v>
      </c>
      <c r="D63" s="246" t="s">
        <v>341</v>
      </c>
      <c r="E63" s="246" t="s">
        <v>342</v>
      </c>
      <c r="F63" s="246" t="s">
        <v>278</v>
      </c>
      <c r="G63" s="132" t="s">
        <v>948</v>
      </c>
      <c r="H63" s="132" t="s">
        <v>949</v>
      </c>
      <c r="I63" s="132">
        <v>-624.88</v>
      </c>
      <c r="J63" s="101" t="s">
        <v>889</v>
      </c>
      <c r="K63" s="245" t="s">
        <v>390</v>
      </c>
      <c r="L63" s="245">
        <v>42978</v>
      </c>
      <c r="M63" s="245" t="s">
        <v>391</v>
      </c>
      <c r="N63" s="101">
        <v>0</v>
      </c>
      <c r="O63" s="101" t="s">
        <v>392</v>
      </c>
      <c r="P63" s="101">
        <v>0</v>
      </c>
      <c r="Q63" s="101">
        <v>0</v>
      </c>
      <c r="R63" s="101" t="s">
        <v>393</v>
      </c>
      <c r="S63" s="101" t="s">
        <v>858</v>
      </c>
      <c r="T63" s="101" t="s">
        <v>394</v>
      </c>
      <c r="V63" s="245">
        <v>46387</v>
      </c>
      <c r="W63" s="101" t="s">
        <v>395</v>
      </c>
      <c r="X63" s="101" t="s">
        <v>795</v>
      </c>
      <c r="Y63" s="101" t="s">
        <v>396</v>
      </c>
      <c r="Z63" s="101" t="s">
        <v>402</v>
      </c>
      <c r="AA63" s="101" t="s">
        <v>78</v>
      </c>
      <c r="AB63" s="101">
        <v>4101000279</v>
      </c>
      <c r="AC63" s="101" t="s">
        <v>398</v>
      </c>
      <c r="AD63" s="101" t="s">
        <v>403</v>
      </c>
      <c r="AE63" s="101" t="s">
        <v>6</v>
      </c>
      <c r="AF63" s="101" t="s">
        <v>400</v>
      </c>
      <c r="AI63" s="101" t="s">
        <v>760</v>
      </c>
    </row>
    <row r="64" spans="1:35">
      <c r="A64" s="246" t="s">
        <v>112</v>
      </c>
      <c r="B64" s="246" t="s">
        <v>78</v>
      </c>
      <c r="C64" s="246" t="s">
        <v>126</v>
      </c>
      <c r="D64" s="246" t="s">
        <v>341</v>
      </c>
      <c r="E64" s="246" t="s">
        <v>342</v>
      </c>
      <c r="F64" s="246" t="s">
        <v>278</v>
      </c>
      <c r="G64" s="132" t="s">
        <v>950</v>
      </c>
      <c r="H64" s="132" t="s">
        <v>951</v>
      </c>
      <c r="I64" s="132">
        <v>-584.54999999999995</v>
      </c>
      <c r="J64" s="101" t="s">
        <v>889</v>
      </c>
      <c r="K64" s="245" t="s">
        <v>390</v>
      </c>
      <c r="L64" s="245">
        <v>43007</v>
      </c>
      <c r="M64" s="245" t="s">
        <v>391</v>
      </c>
      <c r="N64" s="101">
        <v>0</v>
      </c>
      <c r="O64" s="101" t="s">
        <v>392</v>
      </c>
      <c r="P64" s="101">
        <v>0</v>
      </c>
      <c r="Q64" s="101">
        <v>0</v>
      </c>
      <c r="R64" s="101" t="s">
        <v>393</v>
      </c>
      <c r="S64" s="101" t="s">
        <v>858</v>
      </c>
      <c r="T64" s="101" t="s">
        <v>394</v>
      </c>
      <c r="V64" s="245">
        <v>46387</v>
      </c>
      <c r="W64" s="101" t="s">
        <v>395</v>
      </c>
      <c r="X64" s="101" t="s">
        <v>795</v>
      </c>
      <c r="Y64" s="101" t="s">
        <v>396</v>
      </c>
      <c r="Z64" s="101" t="s">
        <v>402</v>
      </c>
      <c r="AA64" s="101" t="s">
        <v>78</v>
      </c>
      <c r="AB64" s="101">
        <v>4101000279</v>
      </c>
      <c r="AC64" s="101" t="s">
        <v>398</v>
      </c>
      <c r="AD64" s="101" t="s">
        <v>403</v>
      </c>
      <c r="AE64" s="101" t="s">
        <v>6</v>
      </c>
      <c r="AF64" s="101" t="s">
        <v>400</v>
      </c>
      <c r="AI64" s="101" t="s">
        <v>760</v>
      </c>
    </row>
    <row r="65" spans="1:35">
      <c r="A65" s="246" t="s">
        <v>112</v>
      </c>
      <c r="B65" s="246" t="s">
        <v>78</v>
      </c>
      <c r="C65" s="246" t="s">
        <v>126</v>
      </c>
      <c r="D65" s="246" t="s">
        <v>341</v>
      </c>
      <c r="E65" s="246" t="s">
        <v>342</v>
      </c>
      <c r="F65" s="246" t="s">
        <v>278</v>
      </c>
      <c r="G65" s="132" t="s">
        <v>952</v>
      </c>
      <c r="H65" s="132" t="s">
        <v>953</v>
      </c>
      <c r="I65" s="132">
        <v>-645.04</v>
      </c>
      <c r="J65" s="101" t="s">
        <v>889</v>
      </c>
      <c r="K65" s="245" t="s">
        <v>390</v>
      </c>
      <c r="L65" s="245">
        <v>43039</v>
      </c>
      <c r="M65" s="245" t="s">
        <v>391</v>
      </c>
      <c r="N65" s="101">
        <v>0</v>
      </c>
      <c r="O65" s="101" t="s">
        <v>392</v>
      </c>
      <c r="P65" s="101">
        <v>0</v>
      </c>
      <c r="Q65" s="101">
        <v>0</v>
      </c>
      <c r="R65" s="101" t="s">
        <v>393</v>
      </c>
      <c r="S65" s="101" t="s">
        <v>858</v>
      </c>
      <c r="T65" s="101" t="s">
        <v>394</v>
      </c>
      <c r="V65" s="245">
        <v>46387</v>
      </c>
      <c r="W65" s="101" t="s">
        <v>395</v>
      </c>
      <c r="X65" s="101" t="s">
        <v>795</v>
      </c>
      <c r="Y65" s="101" t="s">
        <v>396</v>
      </c>
      <c r="Z65" s="101" t="s">
        <v>402</v>
      </c>
      <c r="AA65" s="101" t="s">
        <v>78</v>
      </c>
      <c r="AB65" s="101">
        <v>4101000279</v>
      </c>
      <c r="AC65" s="101" t="s">
        <v>398</v>
      </c>
      <c r="AD65" s="101" t="s">
        <v>403</v>
      </c>
      <c r="AE65" s="101" t="s">
        <v>6</v>
      </c>
      <c r="AF65" s="101" t="s">
        <v>400</v>
      </c>
      <c r="AI65" s="101" t="s">
        <v>760</v>
      </c>
    </row>
    <row r="66" spans="1:35">
      <c r="A66" s="246" t="s">
        <v>113</v>
      </c>
      <c r="B66" s="246" t="s">
        <v>78</v>
      </c>
      <c r="C66" s="246" t="s">
        <v>126</v>
      </c>
      <c r="D66" s="246" t="s">
        <v>339</v>
      </c>
      <c r="E66" s="246" t="s">
        <v>340</v>
      </c>
      <c r="F66" s="246" t="s">
        <v>279</v>
      </c>
      <c r="G66" s="132" t="s">
        <v>946</v>
      </c>
      <c r="H66" s="132" t="s">
        <v>947</v>
      </c>
      <c r="I66" s="132">
        <v>-604.70999999999992</v>
      </c>
      <c r="J66" s="101" t="s">
        <v>889</v>
      </c>
      <c r="K66" s="245" t="s">
        <v>390</v>
      </c>
      <c r="L66" s="245">
        <v>43069</v>
      </c>
      <c r="M66" s="245" t="s">
        <v>391</v>
      </c>
      <c r="N66" s="101">
        <v>0</v>
      </c>
      <c r="O66" s="101" t="s">
        <v>392</v>
      </c>
      <c r="P66" s="101">
        <v>0</v>
      </c>
      <c r="Q66" s="101">
        <v>0</v>
      </c>
      <c r="R66" s="101" t="s">
        <v>393</v>
      </c>
      <c r="S66" s="101" t="s">
        <v>858</v>
      </c>
      <c r="T66" s="101" t="s">
        <v>394</v>
      </c>
      <c r="V66" s="245">
        <v>46387</v>
      </c>
      <c r="W66" s="101" t="s">
        <v>395</v>
      </c>
      <c r="X66" s="101" t="s">
        <v>795</v>
      </c>
      <c r="Y66" s="101" t="s">
        <v>396</v>
      </c>
      <c r="Z66" s="101" t="s">
        <v>402</v>
      </c>
      <c r="AA66" s="101" t="s">
        <v>78</v>
      </c>
      <c r="AB66" s="101">
        <v>4101000279</v>
      </c>
      <c r="AC66" s="101" t="s">
        <v>398</v>
      </c>
      <c r="AD66" s="101" t="s">
        <v>403</v>
      </c>
      <c r="AE66" s="101" t="s">
        <v>6</v>
      </c>
      <c r="AF66" s="101" t="s">
        <v>400</v>
      </c>
      <c r="AI66" s="101" t="s">
        <v>760</v>
      </c>
    </row>
    <row r="67" spans="1:35">
      <c r="A67" s="246" t="s">
        <v>113</v>
      </c>
      <c r="B67" s="246" t="s">
        <v>78</v>
      </c>
      <c r="C67" s="246" t="s">
        <v>126</v>
      </c>
      <c r="D67" s="246" t="s">
        <v>339</v>
      </c>
      <c r="E67" s="246" t="s">
        <v>340</v>
      </c>
      <c r="F67" s="246" t="s">
        <v>279</v>
      </c>
      <c r="G67" s="132" t="s">
        <v>950</v>
      </c>
      <c r="H67" s="132" t="s">
        <v>951</v>
      </c>
      <c r="I67" s="132">
        <v>-584.54999999999995</v>
      </c>
      <c r="J67" s="101" t="s">
        <v>889</v>
      </c>
      <c r="K67" s="245" t="s">
        <v>390</v>
      </c>
      <c r="L67" s="245">
        <v>43098</v>
      </c>
      <c r="M67" s="245" t="s">
        <v>391</v>
      </c>
      <c r="N67" s="101">
        <v>1</v>
      </c>
      <c r="O67" s="101" t="s">
        <v>392</v>
      </c>
      <c r="P67" s="101">
        <v>0</v>
      </c>
      <c r="Q67" s="101">
        <v>0</v>
      </c>
      <c r="R67" s="101" t="s">
        <v>393</v>
      </c>
      <c r="S67" s="101" t="s">
        <v>858</v>
      </c>
      <c r="T67" s="101" t="s">
        <v>394</v>
      </c>
      <c r="V67" s="245">
        <v>46387</v>
      </c>
      <c r="W67" s="101" t="s">
        <v>395</v>
      </c>
      <c r="X67" s="101" t="s">
        <v>795</v>
      </c>
      <c r="Y67" s="101" t="s">
        <v>396</v>
      </c>
      <c r="Z67" s="101" t="s">
        <v>402</v>
      </c>
      <c r="AA67" s="101" t="s">
        <v>78</v>
      </c>
      <c r="AB67" s="101">
        <v>4101000279</v>
      </c>
      <c r="AC67" s="101" t="s">
        <v>398</v>
      </c>
      <c r="AD67" s="101" t="s">
        <v>403</v>
      </c>
      <c r="AE67" s="101" t="s">
        <v>6</v>
      </c>
      <c r="AF67" s="101" t="s">
        <v>400</v>
      </c>
      <c r="AI67" s="101" t="s">
        <v>760</v>
      </c>
    </row>
    <row r="68" spans="1:35">
      <c r="A68" s="246" t="s">
        <v>113</v>
      </c>
      <c r="B68" s="246" t="s">
        <v>78</v>
      </c>
      <c r="C68" s="246" t="s">
        <v>126</v>
      </c>
      <c r="D68" s="246" t="s">
        <v>339</v>
      </c>
      <c r="E68" s="246" t="s">
        <v>340</v>
      </c>
      <c r="F68" s="246" t="s">
        <v>279</v>
      </c>
      <c r="G68" s="132" t="s">
        <v>954</v>
      </c>
      <c r="H68" s="132" t="s">
        <v>955</v>
      </c>
      <c r="I68" s="132">
        <v>-665.20999999999992</v>
      </c>
      <c r="J68" s="101" t="s">
        <v>889</v>
      </c>
      <c r="K68" s="245" t="s">
        <v>390</v>
      </c>
      <c r="L68" s="245">
        <v>43131</v>
      </c>
      <c r="M68" s="245" t="s">
        <v>391</v>
      </c>
      <c r="N68" s="101">
        <v>1</v>
      </c>
      <c r="O68" s="101" t="s">
        <v>392</v>
      </c>
      <c r="P68" s="101">
        <v>0</v>
      </c>
      <c r="Q68" s="101">
        <v>0</v>
      </c>
      <c r="R68" s="101" t="s">
        <v>393</v>
      </c>
      <c r="S68" s="101" t="s">
        <v>858</v>
      </c>
      <c r="T68" s="101" t="s">
        <v>394</v>
      </c>
      <c r="V68" s="245">
        <v>46387</v>
      </c>
      <c r="W68" s="101" t="s">
        <v>395</v>
      </c>
      <c r="X68" s="101" t="s">
        <v>795</v>
      </c>
      <c r="Y68" s="101" t="s">
        <v>396</v>
      </c>
      <c r="Z68" s="101" t="s">
        <v>402</v>
      </c>
      <c r="AA68" s="101" t="s">
        <v>78</v>
      </c>
      <c r="AB68" s="101">
        <v>4101000279</v>
      </c>
      <c r="AC68" s="101" t="s">
        <v>398</v>
      </c>
      <c r="AD68" s="101" t="s">
        <v>403</v>
      </c>
      <c r="AE68" s="101" t="s">
        <v>6</v>
      </c>
      <c r="AF68" s="101" t="s">
        <v>400</v>
      </c>
      <c r="AI68" s="101" t="s">
        <v>760</v>
      </c>
    </row>
    <row r="69" spans="1:35">
      <c r="A69" s="246" t="s">
        <v>113</v>
      </c>
      <c r="B69" s="246" t="s">
        <v>78</v>
      </c>
      <c r="C69" s="246" t="s">
        <v>126</v>
      </c>
      <c r="D69" s="246" t="s">
        <v>339</v>
      </c>
      <c r="E69" s="246" t="s">
        <v>340</v>
      </c>
      <c r="F69" s="246" t="s">
        <v>279</v>
      </c>
      <c r="G69" s="132" t="s">
        <v>956</v>
      </c>
      <c r="H69" s="132" t="s">
        <v>957</v>
      </c>
      <c r="I69" s="132">
        <v>-564.38</v>
      </c>
      <c r="J69" s="101" t="s">
        <v>889</v>
      </c>
      <c r="K69" s="245" t="s">
        <v>390</v>
      </c>
      <c r="L69" s="245">
        <v>43159</v>
      </c>
      <c r="M69" s="245" t="s">
        <v>391</v>
      </c>
      <c r="N69" s="101">
        <v>1</v>
      </c>
      <c r="O69" s="101" t="s">
        <v>392</v>
      </c>
      <c r="P69" s="101">
        <v>0</v>
      </c>
      <c r="Q69" s="101">
        <v>0</v>
      </c>
      <c r="R69" s="101" t="s">
        <v>393</v>
      </c>
      <c r="S69" s="101" t="s">
        <v>858</v>
      </c>
      <c r="T69" s="101" t="s">
        <v>394</v>
      </c>
      <c r="V69" s="245">
        <v>46387</v>
      </c>
      <c r="W69" s="101" t="s">
        <v>395</v>
      </c>
      <c r="X69" s="101" t="s">
        <v>795</v>
      </c>
      <c r="Y69" s="101" t="s">
        <v>396</v>
      </c>
      <c r="Z69" s="101" t="s">
        <v>402</v>
      </c>
      <c r="AA69" s="101" t="s">
        <v>78</v>
      </c>
      <c r="AB69" s="101">
        <v>4101000279</v>
      </c>
      <c r="AC69" s="101" t="s">
        <v>398</v>
      </c>
      <c r="AD69" s="101" t="s">
        <v>403</v>
      </c>
      <c r="AE69" s="101" t="s">
        <v>6</v>
      </c>
      <c r="AF69" s="101" t="s">
        <v>400</v>
      </c>
      <c r="AI69" s="101" t="s">
        <v>760</v>
      </c>
    </row>
    <row r="70" spans="1:35">
      <c r="A70" s="246" t="s">
        <v>113</v>
      </c>
      <c r="B70" s="246" t="s">
        <v>78</v>
      </c>
      <c r="C70" s="246" t="s">
        <v>126</v>
      </c>
      <c r="D70" s="246" t="s">
        <v>339</v>
      </c>
      <c r="E70" s="246" t="s">
        <v>340</v>
      </c>
      <c r="F70" s="246" t="s">
        <v>279</v>
      </c>
      <c r="G70" s="132" t="s">
        <v>946</v>
      </c>
      <c r="H70" s="132" t="s">
        <v>947</v>
      </c>
      <c r="I70" s="132">
        <v>-604.70999999999992</v>
      </c>
      <c r="J70" s="101" t="s">
        <v>889</v>
      </c>
      <c r="K70" s="245" t="s">
        <v>390</v>
      </c>
      <c r="L70" s="245">
        <v>43189</v>
      </c>
      <c r="M70" s="245" t="s">
        <v>391</v>
      </c>
      <c r="N70" s="101">
        <v>1</v>
      </c>
      <c r="O70" s="101" t="s">
        <v>392</v>
      </c>
      <c r="P70" s="101">
        <v>0</v>
      </c>
      <c r="Q70" s="101">
        <v>0</v>
      </c>
      <c r="R70" s="101" t="s">
        <v>393</v>
      </c>
      <c r="S70" s="101" t="s">
        <v>858</v>
      </c>
      <c r="T70" s="101" t="s">
        <v>394</v>
      </c>
      <c r="V70" s="245">
        <v>46387</v>
      </c>
      <c r="W70" s="101" t="s">
        <v>395</v>
      </c>
      <c r="X70" s="101" t="s">
        <v>795</v>
      </c>
      <c r="Y70" s="101" t="s">
        <v>396</v>
      </c>
      <c r="Z70" s="101" t="s">
        <v>402</v>
      </c>
      <c r="AA70" s="101" t="s">
        <v>78</v>
      </c>
      <c r="AB70" s="101">
        <v>4101000279</v>
      </c>
      <c r="AC70" s="101" t="s">
        <v>398</v>
      </c>
      <c r="AD70" s="101" t="s">
        <v>403</v>
      </c>
      <c r="AE70" s="101" t="s">
        <v>6</v>
      </c>
      <c r="AF70" s="101" t="s">
        <v>400</v>
      </c>
      <c r="AI70" s="101" t="s">
        <v>760</v>
      </c>
    </row>
    <row r="71" spans="1:35">
      <c r="A71" s="246" t="s">
        <v>113</v>
      </c>
      <c r="B71" s="246" t="s">
        <v>78</v>
      </c>
      <c r="C71" s="246" t="s">
        <v>126</v>
      </c>
      <c r="D71" s="246" t="s">
        <v>339</v>
      </c>
      <c r="E71" s="246" t="s">
        <v>340</v>
      </c>
      <c r="F71" s="246" t="s">
        <v>279</v>
      </c>
      <c r="G71" s="132" t="s">
        <v>948</v>
      </c>
      <c r="H71" s="132" t="s">
        <v>949</v>
      </c>
      <c r="I71" s="132">
        <v>-624.88</v>
      </c>
      <c r="J71" s="101" t="s">
        <v>889</v>
      </c>
      <c r="K71" s="245" t="s">
        <v>390</v>
      </c>
      <c r="L71" s="245">
        <v>43220</v>
      </c>
      <c r="M71" s="245" t="s">
        <v>391</v>
      </c>
      <c r="N71" s="101">
        <v>1</v>
      </c>
      <c r="O71" s="101" t="s">
        <v>392</v>
      </c>
      <c r="P71" s="101">
        <v>0</v>
      </c>
      <c r="Q71" s="101">
        <v>0</v>
      </c>
      <c r="R71" s="101" t="s">
        <v>393</v>
      </c>
      <c r="S71" s="101" t="s">
        <v>858</v>
      </c>
      <c r="T71" s="101" t="s">
        <v>394</v>
      </c>
      <c r="V71" s="245">
        <v>46387</v>
      </c>
      <c r="W71" s="101" t="s">
        <v>395</v>
      </c>
      <c r="X71" s="101" t="s">
        <v>795</v>
      </c>
      <c r="Y71" s="101" t="s">
        <v>396</v>
      </c>
      <c r="Z71" s="101" t="s">
        <v>402</v>
      </c>
      <c r="AA71" s="101" t="s">
        <v>78</v>
      </c>
      <c r="AB71" s="101">
        <v>4101000279</v>
      </c>
      <c r="AC71" s="101" t="s">
        <v>398</v>
      </c>
      <c r="AD71" s="101" t="s">
        <v>403</v>
      </c>
      <c r="AE71" s="101" t="s">
        <v>6</v>
      </c>
      <c r="AF71" s="101" t="s">
        <v>400</v>
      </c>
      <c r="AI71" s="101" t="s">
        <v>760</v>
      </c>
    </row>
    <row r="72" spans="1:35">
      <c r="A72" s="246" t="s">
        <v>109</v>
      </c>
      <c r="B72" s="246" t="s">
        <v>78</v>
      </c>
      <c r="C72" s="246" t="s">
        <v>126</v>
      </c>
      <c r="D72" s="246" t="s">
        <v>337</v>
      </c>
      <c r="E72" s="246" t="s">
        <v>336</v>
      </c>
      <c r="F72" s="246" t="s">
        <v>275</v>
      </c>
      <c r="G72" s="132" t="s">
        <v>726</v>
      </c>
      <c r="H72" s="132" t="s">
        <v>958</v>
      </c>
      <c r="I72" s="132">
        <v>30514.629999999997</v>
      </c>
      <c r="J72" s="101" t="s">
        <v>889</v>
      </c>
      <c r="K72" s="245" t="s">
        <v>390</v>
      </c>
      <c r="L72" s="245">
        <v>42551</v>
      </c>
      <c r="M72" s="245" t="s">
        <v>391</v>
      </c>
      <c r="N72" s="101">
        <v>0</v>
      </c>
      <c r="O72" s="101" t="s">
        <v>392</v>
      </c>
      <c r="P72" s="101">
        <v>0</v>
      </c>
      <c r="Q72" s="101">
        <v>0</v>
      </c>
      <c r="R72" s="101" t="s">
        <v>393</v>
      </c>
      <c r="S72" s="101" t="s">
        <v>858</v>
      </c>
      <c r="T72" s="101" t="s">
        <v>394</v>
      </c>
      <c r="V72" s="245">
        <v>46387</v>
      </c>
      <c r="W72" s="101" t="s">
        <v>395</v>
      </c>
      <c r="X72" s="101" t="s">
        <v>795</v>
      </c>
      <c r="Y72" s="101" t="s">
        <v>396</v>
      </c>
      <c r="Z72" s="101" t="s">
        <v>402</v>
      </c>
      <c r="AA72" s="101" t="s">
        <v>78</v>
      </c>
      <c r="AB72" s="101">
        <v>4101000279</v>
      </c>
      <c r="AC72" s="101" t="s">
        <v>398</v>
      </c>
      <c r="AD72" s="101" t="s">
        <v>403</v>
      </c>
      <c r="AE72" s="101" t="s">
        <v>6</v>
      </c>
      <c r="AF72" s="101" t="s">
        <v>400</v>
      </c>
      <c r="AI72" s="101" t="s">
        <v>760</v>
      </c>
    </row>
    <row r="73" spans="1:35">
      <c r="A73" s="246" t="s">
        <v>111</v>
      </c>
      <c r="B73" s="246" t="s">
        <v>78</v>
      </c>
      <c r="C73" s="246" t="s">
        <v>126</v>
      </c>
      <c r="D73" s="246" t="s">
        <v>768</v>
      </c>
      <c r="E73" s="246" t="s">
        <v>769</v>
      </c>
      <c r="F73" s="246" t="s">
        <v>277</v>
      </c>
      <c r="G73" s="132" t="s">
        <v>726</v>
      </c>
      <c r="H73" s="132" t="s">
        <v>958</v>
      </c>
      <c r="I73" s="132">
        <v>30514.629999999997</v>
      </c>
      <c r="J73" s="101" t="s">
        <v>889</v>
      </c>
      <c r="K73" s="245" t="s">
        <v>390</v>
      </c>
      <c r="L73" s="245">
        <v>42734</v>
      </c>
      <c r="M73" s="245" t="s">
        <v>391</v>
      </c>
      <c r="N73" s="101">
        <v>0</v>
      </c>
      <c r="O73" s="101" t="s">
        <v>392</v>
      </c>
      <c r="P73" s="101">
        <v>0</v>
      </c>
      <c r="Q73" s="101">
        <v>0</v>
      </c>
      <c r="R73" s="101" t="s">
        <v>393</v>
      </c>
      <c r="S73" s="101" t="s">
        <v>858</v>
      </c>
      <c r="T73" s="101" t="s">
        <v>394</v>
      </c>
      <c r="V73" s="245">
        <v>46387</v>
      </c>
      <c r="W73" s="101" t="s">
        <v>395</v>
      </c>
      <c r="X73" s="101" t="s">
        <v>795</v>
      </c>
      <c r="Y73" s="101" t="s">
        <v>396</v>
      </c>
      <c r="Z73" s="101" t="s">
        <v>402</v>
      </c>
      <c r="AA73" s="101" t="s">
        <v>78</v>
      </c>
      <c r="AB73" s="101">
        <v>4101000279</v>
      </c>
      <c r="AC73" s="101" t="s">
        <v>398</v>
      </c>
      <c r="AD73" s="101" t="s">
        <v>403</v>
      </c>
      <c r="AE73" s="101" t="s">
        <v>6</v>
      </c>
      <c r="AF73" s="101" t="s">
        <v>400</v>
      </c>
      <c r="AI73" s="101" t="s">
        <v>760</v>
      </c>
    </row>
    <row r="74" spans="1:35">
      <c r="A74" s="246" t="s">
        <v>112</v>
      </c>
      <c r="B74" s="246" t="s">
        <v>78</v>
      </c>
      <c r="C74" s="246" t="s">
        <v>126</v>
      </c>
      <c r="D74" s="246" t="s">
        <v>341</v>
      </c>
      <c r="E74" s="246" t="s">
        <v>342</v>
      </c>
      <c r="F74" s="246" t="s">
        <v>278</v>
      </c>
      <c r="G74" s="132" t="s">
        <v>726</v>
      </c>
      <c r="H74" s="132" t="s">
        <v>958</v>
      </c>
      <c r="I74" s="132">
        <v>30514.629999999997</v>
      </c>
      <c r="J74" s="101" t="s">
        <v>889</v>
      </c>
      <c r="K74" s="245" t="s">
        <v>390</v>
      </c>
      <c r="L74" s="245">
        <v>42916</v>
      </c>
      <c r="M74" s="245" t="s">
        <v>391</v>
      </c>
      <c r="N74" s="101">
        <v>0</v>
      </c>
      <c r="O74" s="101" t="s">
        <v>392</v>
      </c>
      <c r="P74" s="101">
        <v>0</v>
      </c>
      <c r="Q74" s="101">
        <v>0</v>
      </c>
      <c r="R74" s="101" t="s">
        <v>393</v>
      </c>
      <c r="S74" s="101" t="s">
        <v>858</v>
      </c>
      <c r="T74" s="101" t="s">
        <v>394</v>
      </c>
      <c r="V74" s="245">
        <v>46387</v>
      </c>
      <c r="W74" s="101" t="s">
        <v>395</v>
      </c>
      <c r="X74" s="101" t="s">
        <v>795</v>
      </c>
      <c r="Y74" s="101" t="s">
        <v>396</v>
      </c>
      <c r="Z74" s="101" t="s">
        <v>402</v>
      </c>
      <c r="AA74" s="101" t="s">
        <v>78</v>
      </c>
      <c r="AB74" s="101">
        <v>4101000279</v>
      </c>
      <c r="AC74" s="101" t="s">
        <v>398</v>
      </c>
      <c r="AD74" s="101" t="s">
        <v>403</v>
      </c>
      <c r="AE74" s="101" t="s">
        <v>6</v>
      </c>
      <c r="AF74" s="101" t="s">
        <v>400</v>
      </c>
      <c r="AI74" s="101" t="s">
        <v>760</v>
      </c>
    </row>
    <row r="75" spans="1:35">
      <c r="A75" s="246" t="s">
        <v>113</v>
      </c>
      <c r="B75" s="246" t="s">
        <v>78</v>
      </c>
      <c r="C75" s="246" t="s">
        <v>126</v>
      </c>
      <c r="D75" s="246" t="s">
        <v>339</v>
      </c>
      <c r="E75" s="246" t="s">
        <v>340</v>
      </c>
      <c r="F75" s="246" t="s">
        <v>279</v>
      </c>
      <c r="G75" s="132" t="s">
        <v>727</v>
      </c>
      <c r="H75" s="132" t="s">
        <v>959</v>
      </c>
      <c r="I75" s="132">
        <v>30345.1</v>
      </c>
      <c r="J75" s="101" t="s">
        <v>889</v>
      </c>
      <c r="K75" s="245" t="s">
        <v>390</v>
      </c>
      <c r="L75" s="245">
        <v>43098</v>
      </c>
      <c r="M75" s="245" t="s">
        <v>391</v>
      </c>
      <c r="N75" s="101">
        <v>1</v>
      </c>
      <c r="O75" s="101" t="s">
        <v>392</v>
      </c>
      <c r="P75" s="101">
        <v>0</v>
      </c>
      <c r="Q75" s="101">
        <v>0</v>
      </c>
      <c r="R75" s="101" t="s">
        <v>393</v>
      </c>
      <c r="S75" s="101" t="s">
        <v>858</v>
      </c>
      <c r="T75" s="101" t="s">
        <v>394</v>
      </c>
      <c r="V75" s="245">
        <v>46387</v>
      </c>
      <c r="W75" s="101" t="s">
        <v>395</v>
      </c>
      <c r="X75" s="101" t="s">
        <v>795</v>
      </c>
      <c r="Y75" s="101" t="s">
        <v>396</v>
      </c>
      <c r="Z75" s="101" t="s">
        <v>402</v>
      </c>
      <c r="AA75" s="101" t="s">
        <v>78</v>
      </c>
      <c r="AB75" s="101">
        <v>4101000279</v>
      </c>
      <c r="AC75" s="101" t="s">
        <v>398</v>
      </c>
      <c r="AD75" s="101" t="s">
        <v>403</v>
      </c>
      <c r="AE75" s="101" t="s">
        <v>6</v>
      </c>
      <c r="AF75" s="101" t="s">
        <v>400</v>
      </c>
      <c r="AI75" s="101" t="s">
        <v>760</v>
      </c>
    </row>
    <row r="76" spans="1:35">
      <c r="A76" s="246" t="s">
        <v>110</v>
      </c>
      <c r="B76" s="246" t="s">
        <v>78</v>
      </c>
      <c r="C76" s="246" t="s">
        <v>126</v>
      </c>
      <c r="D76" s="246" t="s">
        <v>770</v>
      </c>
      <c r="E76" s="246" t="s">
        <v>771</v>
      </c>
      <c r="F76" s="246" t="s">
        <v>276</v>
      </c>
      <c r="G76" s="132">
        <v>0</v>
      </c>
      <c r="H76" s="132">
        <v>0</v>
      </c>
      <c r="I76" s="132">
        <v>0</v>
      </c>
      <c r="J76" s="101" t="s">
        <v>889</v>
      </c>
      <c r="K76" s="245" t="s">
        <v>390</v>
      </c>
      <c r="L76" s="245">
        <v>42674</v>
      </c>
      <c r="M76" s="245" t="s">
        <v>391</v>
      </c>
      <c r="N76" s="101">
        <v>0</v>
      </c>
      <c r="O76" s="101" t="s">
        <v>392</v>
      </c>
      <c r="P76" s="101">
        <v>0</v>
      </c>
      <c r="Q76" s="101">
        <v>0</v>
      </c>
      <c r="R76" s="101" t="s">
        <v>393</v>
      </c>
      <c r="S76" s="101" t="s">
        <v>960</v>
      </c>
      <c r="T76" s="101" t="s">
        <v>394</v>
      </c>
      <c r="V76" s="245">
        <v>36525</v>
      </c>
      <c r="W76" s="101" t="s">
        <v>424</v>
      </c>
      <c r="X76" s="101" t="s">
        <v>425</v>
      </c>
      <c r="Y76" s="101" t="s">
        <v>396</v>
      </c>
      <c r="Z76" s="101" t="s">
        <v>426</v>
      </c>
      <c r="AA76" s="101" t="s">
        <v>78</v>
      </c>
      <c r="AB76" s="101">
        <v>4101000279</v>
      </c>
      <c r="AC76" s="101" t="s">
        <v>419</v>
      </c>
      <c r="AD76" s="101" t="s">
        <v>94</v>
      </c>
      <c r="AE76" s="101" t="s">
        <v>6</v>
      </c>
      <c r="AF76" s="101" t="s">
        <v>400</v>
      </c>
      <c r="AG76" s="101" t="s">
        <v>567</v>
      </c>
      <c r="AI76" s="101" t="s">
        <v>760</v>
      </c>
    </row>
    <row r="77" spans="1:35">
      <c r="A77" s="246" t="s">
        <v>103</v>
      </c>
      <c r="B77" s="246" t="s">
        <v>78</v>
      </c>
      <c r="C77" s="246" t="s">
        <v>126</v>
      </c>
      <c r="D77" s="246" t="s">
        <v>886</v>
      </c>
      <c r="E77" s="246" t="s">
        <v>887</v>
      </c>
      <c r="F77" s="246"/>
      <c r="G77" s="132" t="s">
        <v>961</v>
      </c>
      <c r="H77" s="132" t="s">
        <v>962</v>
      </c>
      <c r="I77" s="132">
        <v>-16406.25</v>
      </c>
      <c r="J77" s="101" t="s">
        <v>889</v>
      </c>
      <c r="K77" s="245" t="s">
        <v>390</v>
      </c>
      <c r="L77" s="245">
        <v>42506</v>
      </c>
      <c r="M77" s="245" t="s">
        <v>391</v>
      </c>
      <c r="N77" s="101">
        <v>0</v>
      </c>
      <c r="O77" s="101" t="s">
        <v>392</v>
      </c>
      <c r="P77" s="101">
        <v>0</v>
      </c>
      <c r="Q77" s="101">
        <v>0</v>
      </c>
      <c r="R77" s="101" t="s">
        <v>438</v>
      </c>
      <c r="S77" s="101">
        <v>194068</v>
      </c>
      <c r="T77" s="101" t="s">
        <v>394</v>
      </c>
      <c r="V77" s="245">
        <v>47253</v>
      </c>
      <c r="W77" s="101" t="s">
        <v>424</v>
      </c>
      <c r="X77" s="101" t="s">
        <v>76</v>
      </c>
      <c r="Y77" s="101" t="s">
        <v>392</v>
      </c>
      <c r="Z77" s="101" t="s">
        <v>430</v>
      </c>
      <c r="AA77" s="101" t="s">
        <v>78</v>
      </c>
      <c r="AB77" s="101">
        <v>4101000279</v>
      </c>
      <c r="AC77" s="101" t="s">
        <v>431</v>
      </c>
      <c r="AD77" s="101" t="s">
        <v>431</v>
      </c>
      <c r="AE77" s="101" t="s">
        <v>75</v>
      </c>
      <c r="AF77" s="101" t="s">
        <v>400</v>
      </c>
      <c r="AG77" s="101" t="s">
        <v>427</v>
      </c>
      <c r="AI77" s="101" t="s">
        <v>760</v>
      </c>
    </row>
    <row r="78" spans="1:35">
      <c r="A78" s="246" t="s">
        <v>111</v>
      </c>
      <c r="B78" s="246" t="s">
        <v>78</v>
      </c>
      <c r="C78" s="246" t="s">
        <v>126</v>
      </c>
      <c r="D78" s="246" t="s">
        <v>768</v>
      </c>
      <c r="E78" s="246" t="s">
        <v>769</v>
      </c>
      <c r="F78" s="246"/>
      <c r="G78" s="132" t="s">
        <v>961</v>
      </c>
      <c r="H78" s="132" t="s">
        <v>962</v>
      </c>
      <c r="I78" s="132">
        <v>-16406.25</v>
      </c>
      <c r="J78" s="101" t="s">
        <v>889</v>
      </c>
      <c r="K78" s="245" t="s">
        <v>390</v>
      </c>
      <c r="L78" s="245">
        <v>42689</v>
      </c>
      <c r="M78" s="245" t="s">
        <v>391</v>
      </c>
      <c r="N78" s="101">
        <v>0</v>
      </c>
      <c r="O78" s="101" t="s">
        <v>392</v>
      </c>
      <c r="P78" s="101">
        <v>0</v>
      </c>
      <c r="Q78" s="101">
        <v>0</v>
      </c>
      <c r="R78" s="101" t="s">
        <v>438</v>
      </c>
      <c r="S78" s="101">
        <v>194068</v>
      </c>
      <c r="T78" s="101" t="s">
        <v>394</v>
      </c>
      <c r="V78" s="245">
        <v>47253</v>
      </c>
      <c r="W78" s="101" t="s">
        <v>424</v>
      </c>
      <c r="X78" s="101" t="s">
        <v>76</v>
      </c>
      <c r="Y78" s="101" t="s">
        <v>392</v>
      </c>
      <c r="Z78" s="101" t="s">
        <v>430</v>
      </c>
      <c r="AA78" s="101" t="s">
        <v>78</v>
      </c>
      <c r="AB78" s="101">
        <v>4101000279</v>
      </c>
      <c r="AC78" s="101" t="s">
        <v>431</v>
      </c>
      <c r="AD78" s="101" t="s">
        <v>431</v>
      </c>
      <c r="AE78" s="101" t="s">
        <v>75</v>
      </c>
      <c r="AF78" s="101" t="s">
        <v>400</v>
      </c>
      <c r="AG78" s="101" t="s">
        <v>427</v>
      </c>
      <c r="AI78" s="101" t="s">
        <v>760</v>
      </c>
    </row>
    <row r="79" spans="1:35">
      <c r="A79" s="246" t="s">
        <v>112</v>
      </c>
      <c r="B79" s="246" t="s">
        <v>78</v>
      </c>
      <c r="C79" s="246" t="s">
        <v>126</v>
      </c>
      <c r="D79" s="246" t="s">
        <v>341</v>
      </c>
      <c r="E79" s="246" t="s">
        <v>342</v>
      </c>
      <c r="F79" s="246"/>
      <c r="G79" s="132" t="s">
        <v>961</v>
      </c>
      <c r="H79" s="132" t="s">
        <v>962</v>
      </c>
      <c r="I79" s="132">
        <v>-16406.25</v>
      </c>
      <c r="J79" s="101" t="s">
        <v>889</v>
      </c>
      <c r="K79" s="245" t="s">
        <v>390</v>
      </c>
      <c r="L79" s="245">
        <v>42870</v>
      </c>
      <c r="M79" s="245" t="s">
        <v>391</v>
      </c>
      <c r="N79" s="101">
        <v>0</v>
      </c>
      <c r="O79" s="101" t="s">
        <v>392</v>
      </c>
      <c r="P79" s="101">
        <v>0</v>
      </c>
      <c r="Q79" s="101">
        <v>0</v>
      </c>
      <c r="R79" s="101" t="s">
        <v>438</v>
      </c>
      <c r="S79" s="101">
        <v>194068</v>
      </c>
      <c r="T79" s="101" t="s">
        <v>394</v>
      </c>
      <c r="V79" s="245">
        <v>47253</v>
      </c>
      <c r="W79" s="101" t="s">
        <v>424</v>
      </c>
      <c r="X79" s="101" t="s">
        <v>76</v>
      </c>
      <c r="Y79" s="101" t="s">
        <v>392</v>
      </c>
      <c r="Z79" s="101" t="s">
        <v>430</v>
      </c>
      <c r="AA79" s="101" t="s">
        <v>78</v>
      </c>
      <c r="AB79" s="101">
        <v>4101000279</v>
      </c>
      <c r="AC79" s="101" t="s">
        <v>431</v>
      </c>
      <c r="AD79" s="101" t="s">
        <v>431</v>
      </c>
      <c r="AE79" s="101" t="s">
        <v>75</v>
      </c>
      <c r="AF79" s="101" t="s">
        <v>400</v>
      </c>
      <c r="AG79" s="101" t="s">
        <v>427</v>
      </c>
      <c r="AI79" s="101" t="s">
        <v>760</v>
      </c>
    </row>
    <row r="80" spans="1:35">
      <c r="A80" s="246" t="s">
        <v>113</v>
      </c>
      <c r="B80" s="246" t="s">
        <v>78</v>
      </c>
      <c r="C80" s="246" t="s">
        <v>126</v>
      </c>
      <c r="D80" s="246" t="s">
        <v>339</v>
      </c>
      <c r="E80" s="246" t="s">
        <v>340</v>
      </c>
      <c r="F80" s="246"/>
      <c r="G80" s="132" t="s">
        <v>961</v>
      </c>
      <c r="H80" s="132" t="s">
        <v>962</v>
      </c>
      <c r="I80" s="132">
        <v>-16406.25</v>
      </c>
      <c r="J80" s="101" t="s">
        <v>889</v>
      </c>
      <c r="K80" s="245" t="s">
        <v>390</v>
      </c>
      <c r="L80" s="245">
        <v>43054</v>
      </c>
      <c r="M80" s="245" t="s">
        <v>391</v>
      </c>
      <c r="N80" s="101">
        <v>0</v>
      </c>
      <c r="O80" s="101" t="s">
        <v>392</v>
      </c>
      <c r="P80" s="101">
        <v>0</v>
      </c>
      <c r="Q80" s="101">
        <v>0</v>
      </c>
      <c r="R80" s="101" t="s">
        <v>438</v>
      </c>
      <c r="S80" s="101">
        <v>194068</v>
      </c>
      <c r="T80" s="101" t="s">
        <v>394</v>
      </c>
      <c r="V80" s="245">
        <v>47253</v>
      </c>
      <c r="W80" s="101" t="s">
        <v>424</v>
      </c>
      <c r="X80" s="101" t="s">
        <v>76</v>
      </c>
      <c r="Y80" s="101" t="s">
        <v>392</v>
      </c>
      <c r="Z80" s="101" t="s">
        <v>430</v>
      </c>
      <c r="AA80" s="101" t="s">
        <v>78</v>
      </c>
      <c r="AB80" s="101">
        <v>4101000279</v>
      </c>
      <c r="AC80" s="101" t="s">
        <v>431</v>
      </c>
      <c r="AD80" s="101" t="s">
        <v>431</v>
      </c>
      <c r="AE80" s="101" t="s">
        <v>75</v>
      </c>
      <c r="AF80" s="101" t="s">
        <v>400</v>
      </c>
      <c r="AG80" s="101" t="s">
        <v>427</v>
      </c>
      <c r="AI80" s="101" t="s">
        <v>760</v>
      </c>
    </row>
    <row r="81" spans="1:35">
      <c r="A81" s="246" t="s">
        <v>101</v>
      </c>
      <c r="B81" s="246" t="s">
        <v>78</v>
      </c>
      <c r="C81" s="246" t="s">
        <v>126</v>
      </c>
      <c r="D81" s="246" t="s">
        <v>764</v>
      </c>
      <c r="E81" s="246" t="s">
        <v>765</v>
      </c>
      <c r="F81" s="246"/>
      <c r="G81" s="132" t="s">
        <v>753</v>
      </c>
      <c r="H81" s="132" t="s">
        <v>963</v>
      </c>
      <c r="I81" s="132">
        <v>-221938.89</v>
      </c>
      <c r="J81" s="101" t="s">
        <v>889</v>
      </c>
      <c r="K81" s="245" t="s">
        <v>390</v>
      </c>
      <c r="L81" s="245">
        <v>42502</v>
      </c>
      <c r="M81" s="245" t="s">
        <v>391</v>
      </c>
      <c r="N81" s="101">
        <v>0</v>
      </c>
      <c r="O81" s="101" t="s">
        <v>392</v>
      </c>
      <c r="P81" s="101">
        <v>0</v>
      </c>
      <c r="Q81" s="101">
        <v>0</v>
      </c>
      <c r="R81" s="101" t="s">
        <v>393</v>
      </c>
      <c r="S81" s="101" t="s">
        <v>754</v>
      </c>
      <c r="T81" s="101" t="s">
        <v>394</v>
      </c>
      <c r="V81" s="245">
        <v>42502</v>
      </c>
      <c r="W81" s="101" t="s">
        <v>417</v>
      </c>
      <c r="X81" s="101" t="s">
        <v>709</v>
      </c>
      <c r="Y81" s="101" t="s">
        <v>471</v>
      </c>
      <c r="Z81" s="101" t="s">
        <v>418</v>
      </c>
      <c r="AA81" s="101" t="s">
        <v>78</v>
      </c>
      <c r="AB81" s="101">
        <v>4101000279</v>
      </c>
      <c r="AC81" s="101" t="s">
        <v>419</v>
      </c>
      <c r="AD81" s="101" t="s">
        <v>420</v>
      </c>
      <c r="AE81" s="101" t="s">
        <v>75</v>
      </c>
      <c r="AF81" s="101" t="s">
        <v>400</v>
      </c>
      <c r="AI81" s="101" t="s">
        <v>760</v>
      </c>
    </row>
    <row r="82" spans="1:35">
      <c r="A82" s="246" t="s">
        <v>101</v>
      </c>
      <c r="B82" s="246" t="s">
        <v>78</v>
      </c>
      <c r="C82" s="246" t="s">
        <v>761</v>
      </c>
      <c r="D82" s="246" t="s">
        <v>1770</v>
      </c>
      <c r="E82" s="246" t="s">
        <v>765</v>
      </c>
      <c r="F82" s="246"/>
      <c r="G82" s="132">
        <v>-100000000</v>
      </c>
      <c r="H82" s="132" t="s">
        <v>964</v>
      </c>
      <c r="I82" s="132">
        <v>-100000000</v>
      </c>
      <c r="J82" s="101" t="s">
        <v>889</v>
      </c>
      <c r="K82" s="245" t="s">
        <v>390</v>
      </c>
      <c r="L82" s="245">
        <v>42502</v>
      </c>
      <c r="M82" s="245" t="s">
        <v>421</v>
      </c>
      <c r="N82" s="101">
        <v>0</v>
      </c>
      <c r="O82" s="101" t="s">
        <v>392</v>
      </c>
      <c r="P82" s="101">
        <v>0</v>
      </c>
      <c r="Q82" s="101">
        <v>0</v>
      </c>
      <c r="R82" s="101" t="s">
        <v>393</v>
      </c>
      <c r="S82" s="101" t="s">
        <v>754</v>
      </c>
      <c r="T82" s="101" t="s">
        <v>394</v>
      </c>
      <c r="V82" s="245">
        <v>42502</v>
      </c>
      <c r="W82" s="101" t="s">
        <v>417</v>
      </c>
      <c r="X82" s="101" t="s">
        <v>709</v>
      </c>
      <c r="Y82" s="101" t="s">
        <v>471</v>
      </c>
      <c r="Z82" s="101" t="s">
        <v>418</v>
      </c>
      <c r="AA82" s="101" t="s">
        <v>78</v>
      </c>
      <c r="AB82" s="101">
        <v>4101000279</v>
      </c>
      <c r="AC82" s="101" t="s">
        <v>419</v>
      </c>
      <c r="AD82" s="101" t="s">
        <v>420</v>
      </c>
      <c r="AE82" s="101" t="s">
        <v>75</v>
      </c>
      <c r="AF82" s="101" t="s">
        <v>400</v>
      </c>
      <c r="AI82" s="101" t="s">
        <v>760</v>
      </c>
    </row>
    <row r="83" spans="1:35">
      <c r="A83" s="246" t="s">
        <v>103</v>
      </c>
      <c r="B83" s="246" t="s">
        <v>78</v>
      </c>
      <c r="C83" s="246" t="s">
        <v>126</v>
      </c>
      <c r="D83" s="246" t="s">
        <v>886</v>
      </c>
      <c r="E83" s="246" t="s">
        <v>887</v>
      </c>
      <c r="F83" s="246"/>
      <c r="G83" s="132" t="s">
        <v>615</v>
      </c>
      <c r="H83" s="132" t="s">
        <v>965</v>
      </c>
      <c r="I83" s="132">
        <v>-856718.74999999988</v>
      </c>
      <c r="J83" s="101" t="s">
        <v>889</v>
      </c>
      <c r="K83" s="245" t="s">
        <v>390</v>
      </c>
      <c r="L83" s="245">
        <v>42506</v>
      </c>
      <c r="M83" s="245" t="s">
        <v>391</v>
      </c>
      <c r="N83" s="101">
        <v>0</v>
      </c>
      <c r="O83" s="101" t="s">
        <v>392</v>
      </c>
      <c r="P83" s="101">
        <v>0</v>
      </c>
      <c r="Q83" s="101">
        <v>0</v>
      </c>
      <c r="R83" s="101" t="s">
        <v>438</v>
      </c>
      <c r="S83" s="101">
        <v>193990</v>
      </c>
      <c r="T83" s="101" t="s">
        <v>394</v>
      </c>
      <c r="V83" s="245">
        <v>47253</v>
      </c>
      <c r="W83" s="101" t="s">
        <v>424</v>
      </c>
      <c r="X83" s="101" t="s">
        <v>76</v>
      </c>
      <c r="Y83" s="101" t="s">
        <v>392</v>
      </c>
      <c r="Z83" s="101" t="s">
        <v>430</v>
      </c>
      <c r="AA83" s="101" t="s">
        <v>78</v>
      </c>
      <c r="AB83" s="101">
        <v>4101000279</v>
      </c>
      <c r="AC83" s="101" t="s">
        <v>431</v>
      </c>
      <c r="AD83" s="101" t="s">
        <v>431</v>
      </c>
      <c r="AE83" s="101" t="s">
        <v>75</v>
      </c>
      <c r="AF83" s="101" t="s">
        <v>400</v>
      </c>
      <c r="AG83" s="101" t="s">
        <v>427</v>
      </c>
      <c r="AI83" s="101" t="s">
        <v>760</v>
      </c>
    </row>
    <row r="84" spans="1:35">
      <c r="A84" s="246" t="s">
        <v>111</v>
      </c>
      <c r="B84" s="246" t="s">
        <v>78</v>
      </c>
      <c r="C84" s="246" t="s">
        <v>126</v>
      </c>
      <c r="D84" s="246" t="s">
        <v>768</v>
      </c>
      <c r="E84" s="246" t="s">
        <v>769</v>
      </c>
      <c r="F84" s="246"/>
      <c r="G84" s="132" t="s">
        <v>615</v>
      </c>
      <c r="H84" s="132" t="s">
        <v>965</v>
      </c>
      <c r="I84" s="132">
        <v>-856718.74999999988</v>
      </c>
      <c r="J84" s="101" t="s">
        <v>889</v>
      </c>
      <c r="K84" s="245" t="s">
        <v>390</v>
      </c>
      <c r="L84" s="245">
        <v>42689</v>
      </c>
      <c r="M84" s="245" t="s">
        <v>391</v>
      </c>
      <c r="N84" s="101">
        <v>0</v>
      </c>
      <c r="O84" s="101" t="s">
        <v>392</v>
      </c>
      <c r="P84" s="101">
        <v>0</v>
      </c>
      <c r="Q84" s="101">
        <v>0</v>
      </c>
      <c r="R84" s="101" t="s">
        <v>438</v>
      </c>
      <c r="S84" s="101">
        <v>193990</v>
      </c>
      <c r="T84" s="101" t="s">
        <v>394</v>
      </c>
      <c r="V84" s="245">
        <v>47253</v>
      </c>
      <c r="W84" s="101" t="s">
        <v>424</v>
      </c>
      <c r="X84" s="101" t="s">
        <v>76</v>
      </c>
      <c r="Y84" s="101" t="s">
        <v>392</v>
      </c>
      <c r="Z84" s="101" t="s">
        <v>430</v>
      </c>
      <c r="AA84" s="101" t="s">
        <v>78</v>
      </c>
      <c r="AB84" s="101">
        <v>4101000279</v>
      </c>
      <c r="AC84" s="101" t="s">
        <v>431</v>
      </c>
      <c r="AD84" s="101" t="s">
        <v>431</v>
      </c>
      <c r="AE84" s="101" t="s">
        <v>75</v>
      </c>
      <c r="AF84" s="101" t="s">
        <v>400</v>
      </c>
      <c r="AG84" s="101" t="s">
        <v>427</v>
      </c>
      <c r="AI84" s="101" t="s">
        <v>760</v>
      </c>
    </row>
    <row r="85" spans="1:35">
      <c r="A85" s="246" t="s">
        <v>112</v>
      </c>
      <c r="B85" s="246" t="s">
        <v>78</v>
      </c>
      <c r="C85" s="246" t="s">
        <v>126</v>
      </c>
      <c r="D85" s="246" t="s">
        <v>341</v>
      </c>
      <c r="E85" s="246" t="s">
        <v>342</v>
      </c>
      <c r="F85" s="246"/>
      <c r="G85" s="132" t="s">
        <v>615</v>
      </c>
      <c r="H85" s="132" t="s">
        <v>965</v>
      </c>
      <c r="I85" s="132">
        <v>-856718.74999999988</v>
      </c>
      <c r="J85" s="101" t="s">
        <v>889</v>
      </c>
      <c r="K85" s="245" t="s">
        <v>390</v>
      </c>
      <c r="L85" s="245">
        <v>42870</v>
      </c>
      <c r="M85" s="245" t="s">
        <v>391</v>
      </c>
      <c r="N85" s="101">
        <v>0</v>
      </c>
      <c r="O85" s="101" t="s">
        <v>392</v>
      </c>
      <c r="P85" s="101">
        <v>0</v>
      </c>
      <c r="Q85" s="101">
        <v>0</v>
      </c>
      <c r="R85" s="101" t="s">
        <v>438</v>
      </c>
      <c r="S85" s="101">
        <v>193990</v>
      </c>
      <c r="T85" s="101" t="s">
        <v>394</v>
      </c>
      <c r="V85" s="245">
        <v>47253</v>
      </c>
      <c r="W85" s="101" t="s">
        <v>424</v>
      </c>
      <c r="X85" s="101" t="s">
        <v>76</v>
      </c>
      <c r="Y85" s="101" t="s">
        <v>392</v>
      </c>
      <c r="Z85" s="101" t="s">
        <v>430</v>
      </c>
      <c r="AA85" s="101" t="s">
        <v>78</v>
      </c>
      <c r="AB85" s="101">
        <v>4101000279</v>
      </c>
      <c r="AC85" s="101" t="s">
        <v>431</v>
      </c>
      <c r="AD85" s="101" t="s">
        <v>431</v>
      </c>
      <c r="AE85" s="101" t="s">
        <v>75</v>
      </c>
      <c r="AF85" s="101" t="s">
        <v>400</v>
      </c>
      <c r="AG85" s="101" t="s">
        <v>427</v>
      </c>
      <c r="AI85" s="101" t="s">
        <v>760</v>
      </c>
    </row>
    <row r="86" spans="1:35">
      <c r="A86" s="246" t="s">
        <v>113</v>
      </c>
      <c r="B86" s="246" t="s">
        <v>78</v>
      </c>
      <c r="C86" s="246" t="s">
        <v>126</v>
      </c>
      <c r="D86" s="246" t="s">
        <v>339</v>
      </c>
      <c r="E86" s="246" t="s">
        <v>340</v>
      </c>
      <c r="F86" s="246"/>
      <c r="G86" s="132" t="s">
        <v>615</v>
      </c>
      <c r="H86" s="132" t="s">
        <v>965</v>
      </c>
      <c r="I86" s="132">
        <v>-856718.74999999988</v>
      </c>
      <c r="J86" s="101" t="s">
        <v>889</v>
      </c>
      <c r="K86" s="245" t="s">
        <v>390</v>
      </c>
      <c r="L86" s="245">
        <v>43054</v>
      </c>
      <c r="M86" s="245" t="s">
        <v>391</v>
      </c>
      <c r="N86" s="101">
        <v>0</v>
      </c>
      <c r="O86" s="101" t="s">
        <v>392</v>
      </c>
      <c r="P86" s="101">
        <v>0</v>
      </c>
      <c r="Q86" s="101">
        <v>0</v>
      </c>
      <c r="R86" s="101" t="s">
        <v>438</v>
      </c>
      <c r="S86" s="101">
        <v>193990</v>
      </c>
      <c r="T86" s="101" t="s">
        <v>394</v>
      </c>
      <c r="V86" s="245">
        <v>47253</v>
      </c>
      <c r="W86" s="101" t="s">
        <v>424</v>
      </c>
      <c r="X86" s="101" t="s">
        <v>76</v>
      </c>
      <c r="Y86" s="101" t="s">
        <v>392</v>
      </c>
      <c r="Z86" s="101" t="s">
        <v>430</v>
      </c>
      <c r="AA86" s="101" t="s">
        <v>78</v>
      </c>
      <c r="AB86" s="101">
        <v>4101000279</v>
      </c>
      <c r="AC86" s="101" t="s">
        <v>431</v>
      </c>
      <c r="AD86" s="101" t="s">
        <v>431</v>
      </c>
      <c r="AE86" s="101" t="s">
        <v>75</v>
      </c>
      <c r="AF86" s="101" t="s">
        <v>400</v>
      </c>
      <c r="AG86" s="101" t="s">
        <v>427</v>
      </c>
      <c r="AI86" s="101" t="s">
        <v>760</v>
      </c>
    </row>
    <row r="87" spans="1:35">
      <c r="A87" s="246" t="s">
        <v>109</v>
      </c>
      <c r="B87" s="246" t="s">
        <v>66</v>
      </c>
      <c r="C87" s="246" t="s">
        <v>126</v>
      </c>
      <c r="D87" s="246" t="s">
        <v>272</v>
      </c>
      <c r="E87" s="246"/>
      <c r="F87" s="246" t="s">
        <v>275</v>
      </c>
      <c r="G87" s="132">
        <v>-9375</v>
      </c>
      <c r="H87" s="132" t="s">
        <v>966</v>
      </c>
      <c r="I87" s="132">
        <v>-9375</v>
      </c>
      <c r="J87" s="101" t="s">
        <v>889</v>
      </c>
      <c r="K87" s="245" t="s">
        <v>390</v>
      </c>
      <c r="L87" s="245">
        <v>42549</v>
      </c>
      <c r="M87" s="245" t="s">
        <v>391</v>
      </c>
      <c r="N87" s="101">
        <v>0</v>
      </c>
      <c r="O87" s="101" t="s">
        <v>392</v>
      </c>
      <c r="P87" s="101">
        <v>0</v>
      </c>
      <c r="Q87" s="101">
        <v>0</v>
      </c>
      <c r="R87" s="101" t="s">
        <v>393</v>
      </c>
      <c r="S87" s="101" t="s">
        <v>416</v>
      </c>
      <c r="T87" s="101" t="s">
        <v>394</v>
      </c>
      <c r="V87" s="245">
        <v>42549</v>
      </c>
      <c r="W87" s="101" t="s">
        <v>417</v>
      </c>
      <c r="X87" s="101" t="s">
        <v>77</v>
      </c>
      <c r="Y87" s="101" t="s">
        <v>396</v>
      </c>
      <c r="Z87" s="101" t="s">
        <v>418</v>
      </c>
      <c r="AA87" s="101" t="s">
        <v>397</v>
      </c>
      <c r="AB87" s="101">
        <v>5101000018</v>
      </c>
      <c r="AC87" s="101" t="s">
        <v>419</v>
      </c>
      <c r="AD87" s="101" t="s">
        <v>420</v>
      </c>
      <c r="AE87" s="101" t="s">
        <v>6</v>
      </c>
      <c r="AF87" s="101" t="s">
        <v>400</v>
      </c>
      <c r="AI87" s="101" t="s">
        <v>760</v>
      </c>
    </row>
    <row r="88" spans="1:35">
      <c r="A88" s="246" t="s">
        <v>109</v>
      </c>
      <c r="B88" s="246" t="s">
        <v>78</v>
      </c>
      <c r="C88" s="246" t="s">
        <v>126</v>
      </c>
      <c r="D88" s="246" t="s">
        <v>337</v>
      </c>
      <c r="E88" s="246" t="s">
        <v>336</v>
      </c>
      <c r="F88" s="246" t="s">
        <v>275</v>
      </c>
      <c r="G88" s="132" t="s">
        <v>822</v>
      </c>
      <c r="H88" s="132" t="s">
        <v>967</v>
      </c>
      <c r="I88" s="132">
        <v>1251.6999999999998</v>
      </c>
      <c r="J88" s="101" t="s">
        <v>889</v>
      </c>
      <c r="K88" s="245" t="s">
        <v>390</v>
      </c>
      <c r="L88" s="245">
        <v>42551</v>
      </c>
      <c r="M88" s="245" t="s">
        <v>391</v>
      </c>
      <c r="N88" s="101">
        <v>0</v>
      </c>
      <c r="O88" s="101" t="s">
        <v>392</v>
      </c>
      <c r="P88" s="101">
        <v>0</v>
      </c>
      <c r="Q88" s="101">
        <v>0</v>
      </c>
      <c r="R88" s="101" t="s">
        <v>393</v>
      </c>
      <c r="S88" s="101" t="s">
        <v>823</v>
      </c>
      <c r="T88" s="101" t="s">
        <v>394</v>
      </c>
      <c r="V88" s="245">
        <v>13884</v>
      </c>
      <c r="W88" s="101" t="s">
        <v>395</v>
      </c>
      <c r="X88" s="101" t="s">
        <v>795</v>
      </c>
      <c r="Y88" s="101" t="s">
        <v>396</v>
      </c>
      <c r="Z88" s="101" t="s">
        <v>402</v>
      </c>
      <c r="AA88" s="101" t="s">
        <v>78</v>
      </c>
      <c r="AB88" s="101">
        <v>4101000279</v>
      </c>
      <c r="AC88" s="101" t="s">
        <v>398</v>
      </c>
      <c r="AD88" s="101" t="s">
        <v>403</v>
      </c>
      <c r="AE88" s="101" t="s">
        <v>6</v>
      </c>
      <c r="AF88" s="101" t="s">
        <v>400</v>
      </c>
      <c r="AI88" s="101" t="s">
        <v>760</v>
      </c>
    </row>
    <row r="89" spans="1:35">
      <c r="A89" s="246" t="s">
        <v>109</v>
      </c>
      <c r="B89" s="246" t="s">
        <v>78</v>
      </c>
      <c r="C89" s="246" t="s">
        <v>126</v>
      </c>
      <c r="D89" s="246" t="s">
        <v>337</v>
      </c>
      <c r="E89" s="246" t="s">
        <v>336</v>
      </c>
      <c r="F89" s="246" t="s">
        <v>275</v>
      </c>
      <c r="G89" s="132" t="s">
        <v>824</v>
      </c>
      <c r="H89" s="132" t="s">
        <v>968</v>
      </c>
      <c r="I89" s="132">
        <v>10349.5</v>
      </c>
      <c r="J89" s="101" t="s">
        <v>889</v>
      </c>
      <c r="K89" s="245" t="s">
        <v>390</v>
      </c>
      <c r="L89" s="245">
        <v>42551</v>
      </c>
      <c r="M89" s="245" t="s">
        <v>391</v>
      </c>
      <c r="N89" s="101">
        <v>0</v>
      </c>
      <c r="O89" s="101" t="s">
        <v>392</v>
      </c>
      <c r="P89" s="101">
        <v>0</v>
      </c>
      <c r="Q89" s="101">
        <v>0</v>
      </c>
      <c r="R89" s="101" t="s">
        <v>393</v>
      </c>
      <c r="S89" s="101" t="s">
        <v>823</v>
      </c>
      <c r="T89" s="101" t="s">
        <v>394</v>
      </c>
      <c r="V89" s="245">
        <v>13884</v>
      </c>
      <c r="W89" s="101" t="s">
        <v>395</v>
      </c>
      <c r="X89" s="101" t="s">
        <v>795</v>
      </c>
      <c r="Y89" s="101" t="s">
        <v>396</v>
      </c>
      <c r="Z89" s="101" t="s">
        <v>402</v>
      </c>
      <c r="AA89" s="101" t="s">
        <v>78</v>
      </c>
      <c r="AB89" s="101">
        <v>4101000279</v>
      </c>
      <c r="AC89" s="101" t="s">
        <v>398</v>
      </c>
      <c r="AD89" s="101" t="s">
        <v>403</v>
      </c>
      <c r="AE89" s="101" t="s">
        <v>6</v>
      </c>
      <c r="AF89" s="101" t="s">
        <v>400</v>
      </c>
      <c r="AI89" s="101" t="s">
        <v>760</v>
      </c>
    </row>
    <row r="90" spans="1:35">
      <c r="A90" s="246" t="s">
        <v>109</v>
      </c>
      <c r="B90" s="246" t="s">
        <v>78</v>
      </c>
      <c r="C90" s="246" t="s">
        <v>126</v>
      </c>
      <c r="D90" s="246" t="s">
        <v>337</v>
      </c>
      <c r="E90" s="246" t="s">
        <v>336</v>
      </c>
      <c r="F90" s="246" t="s">
        <v>275</v>
      </c>
      <c r="G90" s="132" t="s">
        <v>825</v>
      </c>
      <c r="H90" s="132" t="s">
        <v>969</v>
      </c>
      <c r="I90" s="132">
        <v>9222.4699999999993</v>
      </c>
      <c r="J90" s="101" t="s">
        <v>889</v>
      </c>
      <c r="K90" s="245" t="s">
        <v>390</v>
      </c>
      <c r="L90" s="245">
        <v>42551</v>
      </c>
      <c r="M90" s="245" t="s">
        <v>391</v>
      </c>
      <c r="N90" s="101">
        <v>0</v>
      </c>
      <c r="O90" s="101" t="s">
        <v>392</v>
      </c>
      <c r="P90" s="101">
        <v>0</v>
      </c>
      <c r="Q90" s="101">
        <v>0</v>
      </c>
      <c r="R90" s="101" t="s">
        <v>393</v>
      </c>
      <c r="S90" s="101" t="s">
        <v>823</v>
      </c>
      <c r="T90" s="101" t="s">
        <v>394</v>
      </c>
      <c r="V90" s="245">
        <v>13884</v>
      </c>
      <c r="W90" s="101" t="s">
        <v>395</v>
      </c>
      <c r="X90" s="101" t="s">
        <v>795</v>
      </c>
      <c r="Y90" s="101" t="s">
        <v>396</v>
      </c>
      <c r="Z90" s="101" t="s">
        <v>402</v>
      </c>
      <c r="AA90" s="101" t="s">
        <v>78</v>
      </c>
      <c r="AB90" s="101">
        <v>4101000279</v>
      </c>
      <c r="AC90" s="101" t="s">
        <v>398</v>
      </c>
      <c r="AD90" s="101" t="s">
        <v>403</v>
      </c>
      <c r="AE90" s="101" t="s">
        <v>6</v>
      </c>
      <c r="AF90" s="101" t="s">
        <v>400</v>
      </c>
      <c r="AI90" s="101" t="s">
        <v>760</v>
      </c>
    </row>
    <row r="91" spans="1:35">
      <c r="A91" s="246" t="s">
        <v>111</v>
      </c>
      <c r="B91" s="246" t="s">
        <v>78</v>
      </c>
      <c r="C91" s="246" t="s">
        <v>126</v>
      </c>
      <c r="D91" s="246" t="s">
        <v>768</v>
      </c>
      <c r="E91" s="246" t="s">
        <v>769</v>
      </c>
      <c r="F91" s="246" t="s">
        <v>277</v>
      </c>
      <c r="G91" s="132">
        <v>14700</v>
      </c>
      <c r="H91" s="132" t="s">
        <v>970</v>
      </c>
      <c r="I91" s="132">
        <v>14700</v>
      </c>
      <c r="J91" s="101" t="s">
        <v>889</v>
      </c>
      <c r="K91" s="245" t="s">
        <v>390</v>
      </c>
      <c r="L91" s="245">
        <v>42734</v>
      </c>
      <c r="M91" s="245" t="s">
        <v>391</v>
      </c>
      <c r="N91" s="101">
        <v>0</v>
      </c>
      <c r="O91" s="101" t="s">
        <v>392</v>
      </c>
      <c r="P91" s="101">
        <v>0</v>
      </c>
      <c r="Q91" s="101">
        <v>0</v>
      </c>
      <c r="R91" s="101" t="s">
        <v>393</v>
      </c>
      <c r="S91" s="101" t="s">
        <v>823</v>
      </c>
      <c r="T91" s="101" t="s">
        <v>394</v>
      </c>
      <c r="V91" s="245">
        <v>13884</v>
      </c>
      <c r="W91" s="101" t="s">
        <v>395</v>
      </c>
      <c r="X91" s="101" t="s">
        <v>795</v>
      </c>
      <c r="Y91" s="101" t="s">
        <v>396</v>
      </c>
      <c r="Z91" s="101" t="s">
        <v>402</v>
      </c>
      <c r="AA91" s="101" t="s">
        <v>78</v>
      </c>
      <c r="AB91" s="101">
        <v>4101000279</v>
      </c>
      <c r="AC91" s="101" t="s">
        <v>398</v>
      </c>
      <c r="AD91" s="101" t="s">
        <v>403</v>
      </c>
      <c r="AE91" s="101" t="s">
        <v>6</v>
      </c>
      <c r="AF91" s="101" t="s">
        <v>400</v>
      </c>
      <c r="AI91" s="101" t="s">
        <v>760</v>
      </c>
    </row>
    <row r="92" spans="1:35">
      <c r="A92" s="246" t="s">
        <v>112</v>
      </c>
      <c r="B92" s="246" t="s">
        <v>78</v>
      </c>
      <c r="C92" s="246" t="s">
        <v>126</v>
      </c>
      <c r="D92" s="246" t="s">
        <v>341</v>
      </c>
      <c r="E92" s="246" t="s">
        <v>342</v>
      </c>
      <c r="F92" s="246" t="s">
        <v>278</v>
      </c>
      <c r="G92" s="132">
        <v>14700</v>
      </c>
      <c r="H92" s="132" t="s">
        <v>970</v>
      </c>
      <c r="I92" s="132">
        <v>14700</v>
      </c>
      <c r="J92" s="101" t="s">
        <v>889</v>
      </c>
      <c r="K92" s="245" t="s">
        <v>390</v>
      </c>
      <c r="L92" s="245">
        <v>42916</v>
      </c>
      <c r="M92" s="245" t="s">
        <v>391</v>
      </c>
      <c r="N92" s="101">
        <v>0</v>
      </c>
      <c r="O92" s="101" t="s">
        <v>392</v>
      </c>
      <c r="P92" s="101">
        <v>0</v>
      </c>
      <c r="Q92" s="101">
        <v>0</v>
      </c>
      <c r="R92" s="101" t="s">
        <v>393</v>
      </c>
      <c r="S92" s="101" t="s">
        <v>823</v>
      </c>
      <c r="T92" s="101" t="s">
        <v>394</v>
      </c>
      <c r="V92" s="245">
        <v>13884</v>
      </c>
      <c r="W92" s="101" t="s">
        <v>395</v>
      </c>
      <c r="X92" s="101" t="s">
        <v>795</v>
      </c>
      <c r="Y92" s="101" t="s">
        <v>396</v>
      </c>
      <c r="Z92" s="101" t="s">
        <v>402</v>
      </c>
      <c r="AA92" s="101" t="s">
        <v>78</v>
      </c>
      <c r="AB92" s="101">
        <v>4101000279</v>
      </c>
      <c r="AC92" s="101" t="s">
        <v>398</v>
      </c>
      <c r="AD92" s="101" t="s">
        <v>403</v>
      </c>
      <c r="AE92" s="101" t="s">
        <v>6</v>
      </c>
      <c r="AF92" s="101" t="s">
        <v>400</v>
      </c>
      <c r="AI92" s="101" t="s">
        <v>760</v>
      </c>
    </row>
    <row r="93" spans="1:35">
      <c r="A93" s="246" t="s">
        <v>113</v>
      </c>
      <c r="B93" s="246" t="s">
        <v>78</v>
      </c>
      <c r="C93" s="246" t="s">
        <v>126</v>
      </c>
      <c r="D93" s="246" t="s">
        <v>339</v>
      </c>
      <c r="E93" s="246" t="s">
        <v>340</v>
      </c>
      <c r="F93" s="246" t="s">
        <v>279</v>
      </c>
      <c r="G93" s="132">
        <v>14700</v>
      </c>
      <c r="H93" s="132" t="s">
        <v>970</v>
      </c>
      <c r="I93" s="132">
        <v>14700</v>
      </c>
      <c r="J93" s="101" t="s">
        <v>889</v>
      </c>
      <c r="K93" s="245" t="s">
        <v>390</v>
      </c>
      <c r="L93" s="245">
        <v>43098</v>
      </c>
      <c r="M93" s="245" t="s">
        <v>391</v>
      </c>
      <c r="N93" s="101">
        <v>0</v>
      </c>
      <c r="O93" s="101" t="s">
        <v>392</v>
      </c>
      <c r="P93" s="101">
        <v>0</v>
      </c>
      <c r="Q93" s="101">
        <v>0</v>
      </c>
      <c r="R93" s="101" t="s">
        <v>393</v>
      </c>
      <c r="S93" s="101" t="s">
        <v>823</v>
      </c>
      <c r="T93" s="101" t="s">
        <v>394</v>
      </c>
      <c r="V93" s="245">
        <v>13884</v>
      </c>
      <c r="W93" s="101" t="s">
        <v>395</v>
      </c>
      <c r="X93" s="101" t="s">
        <v>795</v>
      </c>
      <c r="Y93" s="101" t="s">
        <v>396</v>
      </c>
      <c r="Z93" s="101" t="s">
        <v>402</v>
      </c>
      <c r="AA93" s="101" t="s">
        <v>78</v>
      </c>
      <c r="AB93" s="101">
        <v>4101000279</v>
      </c>
      <c r="AC93" s="101" t="s">
        <v>398</v>
      </c>
      <c r="AD93" s="101" t="s">
        <v>403</v>
      </c>
      <c r="AE93" s="101" t="s">
        <v>6</v>
      </c>
      <c r="AF93" s="101" t="s">
        <v>400</v>
      </c>
      <c r="AI93" s="101" t="s">
        <v>760</v>
      </c>
    </row>
    <row r="94" spans="1:35">
      <c r="A94" s="246" t="s">
        <v>110</v>
      </c>
      <c r="B94" s="246" t="s">
        <v>66</v>
      </c>
      <c r="C94" s="246" t="s">
        <v>126</v>
      </c>
      <c r="D94" s="246" t="s">
        <v>281</v>
      </c>
      <c r="E94" s="246"/>
      <c r="F94" s="246" t="s">
        <v>276</v>
      </c>
      <c r="G94" s="132">
        <v>0</v>
      </c>
      <c r="H94" s="132">
        <v>0</v>
      </c>
      <c r="I94" s="132">
        <v>0</v>
      </c>
      <c r="J94" s="101" t="s">
        <v>889</v>
      </c>
      <c r="K94" s="245" t="s">
        <v>390</v>
      </c>
      <c r="L94" s="245">
        <v>42674</v>
      </c>
      <c r="M94" s="245" t="s">
        <v>391</v>
      </c>
      <c r="N94" s="101">
        <v>0</v>
      </c>
      <c r="O94" s="101" t="s">
        <v>392</v>
      </c>
      <c r="P94" s="101">
        <v>0</v>
      </c>
      <c r="Q94" s="101">
        <v>0</v>
      </c>
      <c r="R94" s="101" t="s">
        <v>393</v>
      </c>
      <c r="S94" s="101" t="s">
        <v>756</v>
      </c>
      <c r="T94" s="101" t="s">
        <v>394</v>
      </c>
      <c r="V94" s="245">
        <v>36525</v>
      </c>
      <c r="W94" s="101" t="s">
        <v>424</v>
      </c>
      <c r="X94" s="101" t="s">
        <v>425</v>
      </c>
      <c r="Y94" s="101" t="s">
        <v>396</v>
      </c>
      <c r="Z94" s="101" t="s">
        <v>426</v>
      </c>
      <c r="AA94" s="101" t="s">
        <v>397</v>
      </c>
      <c r="AB94" s="101">
        <v>5101000018</v>
      </c>
      <c r="AC94" s="101" t="s">
        <v>419</v>
      </c>
      <c r="AD94" s="101" t="s">
        <v>94</v>
      </c>
      <c r="AE94" s="101" t="s">
        <v>6</v>
      </c>
      <c r="AF94" s="101" t="s">
        <v>400</v>
      </c>
      <c r="AG94" s="101" t="s">
        <v>567</v>
      </c>
      <c r="AI94" s="101" t="s">
        <v>760</v>
      </c>
    </row>
    <row r="95" spans="1:35">
      <c r="A95" s="246" t="s">
        <v>111</v>
      </c>
      <c r="B95" s="246" t="s">
        <v>66</v>
      </c>
      <c r="C95" s="246" t="s">
        <v>126</v>
      </c>
      <c r="D95" s="246" t="s">
        <v>273</v>
      </c>
      <c r="E95" s="246"/>
      <c r="F95" s="246"/>
      <c r="G95" s="132" t="s">
        <v>971</v>
      </c>
      <c r="H95" s="132" t="s">
        <v>972</v>
      </c>
      <c r="I95" s="132">
        <v>-175.71999999999997</v>
      </c>
      <c r="J95" s="101" t="s">
        <v>889</v>
      </c>
      <c r="K95" s="245" t="s">
        <v>390</v>
      </c>
      <c r="L95" s="245">
        <v>42856</v>
      </c>
      <c r="M95" s="245" t="s">
        <v>391</v>
      </c>
      <c r="N95" s="101">
        <v>0</v>
      </c>
      <c r="O95" s="101" t="s">
        <v>392</v>
      </c>
      <c r="P95" s="101">
        <v>0</v>
      </c>
      <c r="Q95" s="101">
        <v>0</v>
      </c>
      <c r="R95" s="101" t="s">
        <v>444</v>
      </c>
      <c r="S95" s="101" t="s">
        <v>465</v>
      </c>
      <c r="T95" s="101" t="s">
        <v>394</v>
      </c>
      <c r="U95" s="101" t="s">
        <v>82</v>
      </c>
      <c r="V95" s="245">
        <v>45658</v>
      </c>
      <c r="W95" s="101" t="s">
        <v>411</v>
      </c>
      <c r="X95" s="101" t="s">
        <v>77</v>
      </c>
      <c r="Y95" s="101" t="s">
        <v>392</v>
      </c>
      <c r="Z95" s="101" t="s">
        <v>412</v>
      </c>
      <c r="AA95" s="101" t="s">
        <v>466</v>
      </c>
      <c r="AB95" s="101">
        <v>101000141</v>
      </c>
      <c r="AC95" s="101" t="s">
        <v>414</v>
      </c>
      <c r="AD95" s="101" t="s">
        <v>79</v>
      </c>
      <c r="AE95" s="101" t="s">
        <v>75</v>
      </c>
      <c r="AF95" s="101" t="s">
        <v>400</v>
      </c>
      <c r="AI95" s="101" t="s">
        <v>172</v>
      </c>
    </row>
    <row r="96" spans="1:35">
      <c r="A96" s="246" t="s">
        <v>112</v>
      </c>
      <c r="B96" s="246" t="s">
        <v>66</v>
      </c>
      <c r="C96" s="246" t="s">
        <v>126</v>
      </c>
      <c r="D96" s="246" t="s">
        <v>270</v>
      </c>
      <c r="E96" s="246"/>
      <c r="F96" s="246"/>
      <c r="G96" s="132" t="s">
        <v>973</v>
      </c>
      <c r="H96" s="132" t="s">
        <v>974</v>
      </c>
      <c r="I96" s="132">
        <v>-195.14</v>
      </c>
      <c r="J96" s="101" t="s">
        <v>889</v>
      </c>
      <c r="K96" s="245" t="s">
        <v>390</v>
      </c>
      <c r="L96" s="245">
        <v>42887</v>
      </c>
      <c r="M96" s="245" t="s">
        <v>391</v>
      </c>
      <c r="N96" s="101">
        <v>0</v>
      </c>
      <c r="O96" s="101" t="s">
        <v>392</v>
      </c>
      <c r="P96" s="101">
        <v>0</v>
      </c>
      <c r="Q96" s="101">
        <v>0</v>
      </c>
      <c r="R96" s="101" t="s">
        <v>444</v>
      </c>
      <c r="S96" s="101" t="s">
        <v>465</v>
      </c>
      <c r="T96" s="101" t="s">
        <v>394</v>
      </c>
      <c r="U96" s="101" t="s">
        <v>82</v>
      </c>
      <c r="V96" s="245">
        <v>45658</v>
      </c>
      <c r="W96" s="101" t="s">
        <v>411</v>
      </c>
      <c r="X96" s="101" t="s">
        <v>77</v>
      </c>
      <c r="Y96" s="101" t="s">
        <v>392</v>
      </c>
      <c r="Z96" s="101" t="s">
        <v>412</v>
      </c>
      <c r="AA96" s="101" t="s">
        <v>466</v>
      </c>
      <c r="AB96" s="101">
        <v>101000141</v>
      </c>
      <c r="AC96" s="101" t="s">
        <v>414</v>
      </c>
      <c r="AD96" s="101" t="s">
        <v>79</v>
      </c>
      <c r="AE96" s="101" t="s">
        <v>75</v>
      </c>
      <c r="AF96" s="101" t="s">
        <v>400</v>
      </c>
      <c r="AI96" s="101" t="s">
        <v>172</v>
      </c>
    </row>
    <row r="97" spans="1:35">
      <c r="A97" s="246" t="s">
        <v>112</v>
      </c>
      <c r="B97" s="246" t="s">
        <v>66</v>
      </c>
      <c r="C97" s="246" t="s">
        <v>126</v>
      </c>
      <c r="D97" s="246" t="s">
        <v>270</v>
      </c>
      <c r="E97" s="246"/>
      <c r="F97" s="246"/>
      <c r="G97" s="132" t="s">
        <v>975</v>
      </c>
      <c r="H97" s="132" t="s">
        <v>976</v>
      </c>
      <c r="I97" s="132">
        <v>-203.51999999999998</v>
      </c>
      <c r="J97" s="101" t="s">
        <v>889</v>
      </c>
      <c r="K97" s="245" t="s">
        <v>390</v>
      </c>
      <c r="L97" s="245">
        <v>42919</v>
      </c>
      <c r="M97" s="245" t="s">
        <v>391</v>
      </c>
      <c r="N97" s="101">
        <v>0</v>
      </c>
      <c r="O97" s="101" t="s">
        <v>392</v>
      </c>
      <c r="P97" s="101">
        <v>0</v>
      </c>
      <c r="Q97" s="101">
        <v>0</v>
      </c>
      <c r="R97" s="101" t="s">
        <v>444</v>
      </c>
      <c r="S97" s="101" t="s">
        <v>465</v>
      </c>
      <c r="T97" s="101" t="s">
        <v>394</v>
      </c>
      <c r="U97" s="101" t="s">
        <v>82</v>
      </c>
      <c r="V97" s="245">
        <v>45658</v>
      </c>
      <c r="W97" s="101" t="s">
        <v>411</v>
      </c>
      <c r="X97" s="101" t="s">
        <v>77</v>
      </c>
      <c r="Y97" s="101" t="s">
        <v>392</v>
      </c>
      <c r="Z97" s="101" t="s">
        <v>412</v>
      </c>
      <c r="AA97" s="101" t="s">
        <v>466</v>
      </c>
      <c r="AB97" s="101">
        <v>101000141</v>
      </c>
      <c r="AC97" s="101" t="s">
        <v>414</v>
      </c>
      <c r="AD97" s="101" t="s">
        <v>79</v>
      </c>
      <c r="AE97" s="101" t="s">
        <v>75</v>
      </c>
      <c r="AF97" s="101" t="s">
        <v>400</v>
      </c>
      <c r="AI97" s="101" t="s">
        <v>172</v>
      </c>
    </row>
    <row r="98" spans="1:35">
      <c r="A98" s="246" t="s">
        <v>112</v>
      </c>
      <c r="B98" s="246" t="s">
        <v>66</v>
      </c>
      <c r="C98" s="246" t="s">
        <v>126</v>
      </c>
      <c r="D98" s="246" t="s">
        <v>270</v>
      </c>
      <c r="E98" s="246"/>
      <c r="F98" s="246"/>
      <c r="G98" s="132" t="s">
        <v>977</v>
      </c>
      <c r="H98" s="132" t="s">
        <v>978</v>
      </c>
      <c r="I98" s="132">
        <v>-185.31</v>
      </c>
      <c r="J98" s="101" t="s">
        <v>889</v>
      </c>
      <c r="K98" s="245" t="s">
        <v>390</v>
      </c>
      <c r="L98" s="245">
        <v>42948</v>
      </c>
      <c r="M98" s="245" t="s">
        <v>391</v>
      </c>
      <c r="N98" s="101">
        <v>0</v>
      </c>
      <c r="O98" s="101" t="s">
        <v>392</v>
      </c>
      <c r="P98" s="101">
        <v>0</v>
      </c>
      <c r="Q98" s="101">
        <v>0</v>
      </c>
      <c r="R98" s="101" t="s">
        <v>444</v>
      </c>
      <c r="S98" s="101" t="s">
        <v>465</v>
      </c>
      <c r="T98" s="101" t="s">
        <v>394</v>
      </c>
      <c r="U98" s="101" t="s">
        <v>82</v>
      </c>
      <c r="V98" s="245">
        <v>45658</v>
      </c>
      <c r="W98" s="101" t="s">
        <v>411</v>
      </c>
      <c r="X98" s="101" t="s">
        <v>77</v>
      </c>
      <c r="Y98" s="101" t="s">
        <v>392</v>
      </c>
      <c r="Z98" s="101" t="s">
        <v>412</v>
      </c>
      <c r="AA98" s="101" t="s">
        <v>466</v>
      </c>
      <c r="AB98" s="101">
        <v>101000141</v>
      </c>
      <c r="AC98" s="101" t="s">
        <v>414</v>
      </c>
      <c r="AD98" s="101" t="s">
        <v>79</v>
      </c>
      <c r="AE98" s="101" t="s">
        <v>75</v>
      </c>
      <c r="AF98" s="101" t="s">
        <v>400</v>
      </c>
      <c r="AI98" s="101" t="s">
        <v>172</v>
      </c>
    </row>
    <row r="99" spans="1:35">
      <c r="A99" s="246" t="s">
        <v>112</v>
      </c>
      <c r="B99" s="246" t="s">
        <v>66</v>
      </c>
      <c r="C99" s="246" t="s">
        <v>126</v>
      </c>
      <c r="D99" s="246" t="s">
        <v>270</v>
      </c>
      <c r="E99" s="246"/>
      <c r="F99" s="246"/>
      <c r="G99" s="132" t="s">
        <v>979</v>
      </c>
      <c r="H99" s="132" t="s">
        <v>980</v>
      </c>
      <c r="I99" s="132">
        <v>-202.55999999999997</v>
      </c>
      <c r="J99" s="101" t="s">
        <v>889</v>
      </c>
      <c r="K99" s="245" t="s">
        <v>390</v>
      </c>
      <c r="L99" s="245">
        <v>42979</v>
      </c>
      <c r="M99" s="245" t="s">
        <v>391</v>
      </c>
      <c r="N99" s="101">
        <v>0</v>
      </c>
      <c r="O99" s="101" t="s">
        <v>392</v>
      </c>
      <c r="P99" s="101">
        <v>0</v>
      </c>
      <c r="Q99" s="101">
        <v>0</v>
      </c>
      <c r="R99" s="101" t="s">
        <v>444</v>
      </c>
      <c r="S99" s="101" t="s">
        <v>465</v>
      </c>
      <c r="T99" s="101" t="s">
        <v>394</v>
      </c>
      <c r="U99" s="101" t="s">
        <v>82</v>
      </c>
      <c r="V99" s="245">
        <v>45658</v>
      </c>
      <c r="W99" s="101" t="s">
        <v>411</v>
      </c>
      <c r="X99" s="101" t="s">
        <v>77</v>
      </c>
      <c r="Y99" s="101" t="s">
        <v>392</v>
      </c>
      <c r="Z99" s="101" t="s">
        <v>412</v>
      </c>
      <c r="AA99" s="101" t="s">
        <v>466</v>
      </c>
      <c r="AB99" s="101">
        <v>101000141</v>
      </c>
      <c r="AC99" s="101" t="s">
        <v>414</v>
      </c>
      <c r="AD99" s="101" t="s">
        <v>79</v>
      </c>
      <c r="AE99" s="101" t="s">
        <v>75</v>
      </c>
      <c r="AF99" s="101" t="s">
        <v>400</v>
      </c>
      <c r="AI99" s="101" t="s">
        <v>172</v>
      </c>
    </row>
    <row r="100" spans="1:35">
      <c r="A100" s="246" t="s">
        <v>112</v>
      </c>
      <c r="B100" s="246" t="s">
        <v>66</v>
      </c>
      <c r="C100" s="246" t="s">
        <v>126</v>
      </c>
      <c r="D100" s="246" t="s">
        <v>270</v>
      </c>
      <c r="E100" s="246"/>
      <c r="F100" s="246"/>
      <c r="G100" s="132" t="s">
        <v>981</v>
      </c>
      <c r="H100" s="132" t="s">
        <v>982</v>
      </c>
      <c r="I100" s="132">
        <v>-203.95</v>
      </c>
      <c r="J100" s="101" t="s">
        <v>889</v>
      </c>
      <c r="K100" s="245" t="s">
        <v>390</v>
      </c>
      <c r="L100" s="245">
        <v>43010</v>
      </c>
      <c r="M100" s="245" t="s">
        <v>391</v>
      </c>
      <c r="N100" s="101">
        <v>0</v>
      </c>
      <c r="O100" s="101" t="s">
        <v>392</v>
      </c>
      <c r="P100" s="101">
        <v>0</v>
      </c>
      <c r="Q100" s="101">
        <v>0</v>
      </c>
      <c r="R100" s="101" t="s">
        <v>444</v>
      </c>
      <c r="S100" s="101" t="s">
        <v>465</v>
      </c>
      <c r="T100" s="101" t="s">
        <v>394</v>
      </c>
      <c r="U100" s="101" t="s">
        <v>82</v>
      </c>
      <c r="V100" s="245">
        <v>45658</v>
      </c>
      <c r="W100" s="101" t="s">
        <v>411</v>
      </c>
      <c r="X100" s="101" t="s">
        <v>77</v>
      </c>
      <c r="Y100" s="101" t="s">
        <v>392</v>
      </c>
      <c r="Z100" s="101" t="s">
        <v>412</v>
      </c>
      <c r="AA100" s="101" t="s">
        <v>466</v>
      </c>
      <c r="AB100" s="101">
        <v>101000141</v>
      </c>
      <c r="AC100" s="101" t="s">
        <v>414</v>
      </c>
      <c r="AD100" s="101" t="s">
        <v>79</v>
      </c>
      <c r="AE100" s="101" t="s">
        <v>75</v>
      </c>
      <c r="AF100" s="101" t="s">
        <v>400</v>
      </c>
      <c r="AI100" s="101" t="s">
        <v>172</v>
      </c>
    </row>
    <row r="101" spans="1:35">
      <c r="A101" s="246" t="s">
        <v>112</v>
      </c>
      <c r="B101" s="246" t="s">
        <v>66</v>
      </c>
      <c r="C101" s="246" t="s">
        <v>126</v>
      </c>
      <c r="D101" s="246" t="s">
        <v>270</v>
      </c>
      <c r="E101" s="246"/>
      <c r="F101" s="246"/>
      <c r="G101" s="132" t="s">
        <v>983</v>
      </c>
      <c r="H101" s="132" t="s">
        <v>984</v>
      </c>
      <c r="I101" s="132">
        <v>-206.4</v>
      </c>
      <c r="J101" s="101" t="s">
        <v>889</v>
      </c>
      <c r="K101" s="245" t="s">
        <v>390</v>
      </c>
      <c r="L101" s="245">
        <v>43040</v>
      </c>
      <c r="M101" s="245" t="s">
        <v>391</v>
      </c>
      <c r="N101" s="101">
        <v>0</v>
      </c>
      <c r="O101" s="101" t="s">
        <v>392</v>
      </c>
      <c r="P101" s="101">
        <v>0</v>
      </c>
      <c r="Q101" s="101">
        <v>0</v>
      </c>
      <c r="R101" s="101" t="s">
        <v>444</v>
      </c>
      <c r="S101" s="101" t="s">
        <v>465</v>
      </c>
      <c r="T101" s="101" t="s">
        <v>394</v>
      </c>
      <c r="U101" s="101" t="s">
        <v>82</v>
      </c>
      <c r="V101" s="245">
        <v>45658</v>
      </c>
      <c r="W101" s="101" t="s">
        <v>411</v>
      </c>
      <c r="X101" s="101" t="s">
        <v>77</v>
      </c>
      <c r="Y101" s="101" t="s">
        <v>392</v>
      </c>
      <c r="Z101" s="101" t="s">
        <v>412</v>
      </c>
      <c r="AA101" s="101" t="s">
        <v>466</v>
      </c>
      <c r="AB101" s="101">
        <v>101000141</v>
      </c>
      <c r="AC101" s="101" t="s">
        <v>414</v>
      </c>
      <c r="AD101" s="101" t="s">
        <v>79</v>
      </c>
      <c r="AE101" s="101" t="s">
        <v>75</v>
      </c>
      <c r="AF101" s="101" t="s">
        <v>400</v>
      </c>
      <c r="AI101" s="101" t="s">
        <v>172</v>
      </c>
    </row>
    <row r="102" spans="1:35">
      <c r="A102" s="246" t="s">
        <v>113</v>
      </c>
      <c r="B102" s="246" t="s">
        <v>66</v>
      </c>
      <c r="C102" s="246" t="s">
        <v>126</v>
      </c>
      <c r="D102" s="246" t="s">
        <v>271</v>
      </c>
      <c r="E102" s="246"/>
      <c r="F102" s="246"/>
      <c r="G102" s="132" t="s">
        <v>985</v>
      </c>
      <c r="H102" s="132" t="s">
        <v>986</v>
      </c>
      <c r="I102" s="132">
        <v>-207.8</v>
      </c>
      <c r="J102" s="101" t="s">
        <v>889</v>
      </c>
      <c r="K102" s="245" t="s">
        <v>390</v>
      </c>
      <c r="L102" s="245">
        <v>43070</v>
      </c>
      <c r="M102" s="245" t="s">
        <v>391</v>
      </c>
      <c r="N102" s="101">
        <v>0</v>
      </c>
      <c r="O102" s="101" t="s">
        <v>392</v>
      </c>
      <c r="P102" s="101">
        <v>0</v>
      </c>
      <c r="Q102" s="101">
        <v>0</v>
      </c>
      <c r="R102" s="101" t="s">
        <v>444</v>
      </c>
      <c r="S102" s="101" t="s">
        <v>465</v>
      </c>
      <c r="T102" s="101" t="s">
        <v>394</v>
      </c>
      <c r="U102" s="101" t="s">
        <v>82</v>
      </c>
      <c r="V102" s="245">
        <v>45658</v>
      </c>
      <c r="W102" s="101" t="s">
        <v>411</v>
      </c>
      <c r="X102" s="101" t="s">
        <v>77</v>
      </c>
      <c r="Y102" s="101" t="s">
        <v>392</v>
      </c>
      <c r="Z102" s="101" t="s">
        <v>412</v>
      </c>
      <c r="AA102" s="101" t="s">
        <v>466</v>
      </c>
      <c r="AB102" s="101">
        <v>101000141</v>
      </c>
      <c r="AC102" s="101" t="s">
        <v>414</v>
      </c>
      <c r="AD102" s="101" t="s">
        <v>79</v>
      </c>
      <c r="AE102" s="101" t="s">
        <v>75</v>
      </c>
      <c r="AF102" s="101" t="s">
        <v>400</v>
      </c>
      <c r="AI102" s="101" t="s">
        <v>172</v>
      </c>
    </row>
    <row r="103" spans="1:35">
      <c r="A103" s="246" t="s">
        <v>113</v>
      </c>
      <c r="B103" s="246" t="s">
        <v>66</v>
      </c>
      <c r="C103" s="246" t="s">
        <v>126</v>
      </c>
      <c r="D103" s="246" t="s">
        <v>271</v>
      </c>
      <c r="E103" s="246"/>
      <c r="F103" s="246"/>
      <c r="G103" s="132" t="s">
        <v>987</v>
      </c>
      <c r="H103" s="132" t="s">
        <v>988</v>
      </c>
      <c r="I103" s="132">
        <v>-244.02999999999997</v>
      </c>
      <c r="J103" s="101" t="s">
        <v>889</v>
      </c>
      <c r="K103" s="245" t="s">
        <v>390</v>
      </c>
      <c r="L103" s="245">
        <v>43102</v>
      </c>
      <c r="M103" s="245" t="s">
        <v>391</v>
      </c>
      <c r="N103" s="101">
        <v>0</v>
      </c>
      <c r="O103" s="101" t="s">
        <v>392</v>
      </c>
      <c r="P103" s="101">
        <v>0</v>
      </c>
      <c r="Q103" s="101">
        <v>0</v>
      </c>
      <c r="R103" s="101" t="s">
        <v>444</v>
      </c>
      <c r="S103" s="101" t="s">
        <v>465</v>
      </c>
      <c r="T103" s="101" t="s">
        <v>394</v>
      </c>
      <c r="U103" s="101" t="s">
        <v>82</v>
      </c>
      <c r="V103" s="245">
        <v>45658</v>
      </c>
      <c r="W103" s="101" t="s">
        <v>411</v>
      </c>
      <c r="X103" s="101" t="s">
        <v>77</v>
      </c>
      <c r="Y103" s="101" t="s">
        <v>392</v>
      </c>
      <c r="Z103" s="101" t="s">
        <v>412</v>
      </c>
      <c r="AA103" s="101" t="s">
        <v>466</v>
      </c>
      <c r="AB103" s="101">
        <v>101000141</v>
      </c>
      <c r="AC103" s="101" t="s">
        <v>414</v>
      </c>
      <c r="AD103" s="101" t="s">
        <v>79</v>
      </c>
      <c r="AE103" s="101" t="s">
        <v>75</v>
      </c>
      <c r="AF103" s="101" t="s">
        <v>400</v>
      </c>
      <c r="AI103" s="101" t="s">
        <v>172</v>
      </c>
    </row>
    <row r="104" spans="1:35">
      <c r="A104" s="246" t="s">
        <v>113</v>
      </c>
      <c r="B104" s="246" t="s">
        <v>66</v>
      </c>
      <c r="C104" s="246" t="s">
        <v>126</v>
      </c>
      <c r="D104" s="246" t="s">
        <v>271</v>
      </c>
      <c r="E104" s="246"/>
      <c r="F104" s="246"/>
      <c r="G104" s="132" t="s">
        <v>989</v>
      </c>
      <c r="H104" s="132" t="s">
        <v>990</v>
      </c>
      <c r="I104" s="132">
        <v>-228.77</v>
      </c>
      <c r="J104" s="101" t="s">
        <v>889</v>
      </c>
      <c r="K104" s="245" t="s">
        <v>390</v>
      </c>
      <c r="L104" s="245">
        <v>43132</v>
      </c>
      <c r="M104" s="245" t="s">
        <v>391</v>
      </c>
      <c r="N104" s="101">
        <v>0</v>
      </c>
      <c r="O104" s="101" t="s">
        <v>392</v>
      </c>
      <c r="P104" s="101">
        <v>0</v>
      </c>
      <c r="Q104" s="101">
        <v>0</v>
      </c>
      <c r="R104" s="101" t="s">
        <v>444</v>
      </c>
      <c r="S104" s="101" t="s">
        <v>465</v>
      </c>
      <c r="T104" s="101" t="s">
        <v>394</v>
      </c>
      <c r="U104" s="101" t="s">
        <v>82</v>
      </c>
      <c r="V104" s="245">
        <v>45658</v>
      </c>
      <c r="W104" s="101" t="s">
        <v>411</v>
      </c>
      <c r="X104" s="101" t="s">
        <v>77</v>
      </c>
      <c r="Y104" s="101" t="s">
        <v>392</v>
      </c>
      <c r="Z104" s="101" t="s">
        <v>412</v>
      </c>
      <c r="AA104" s="101" t="s">
        <v>466</v>
      </c>
      <c r="AB104" s="101">
        <v>101000141</v>
      </c>
      <c r="AC104" s="101" t="s">
        <v>414</v>
      </c>
      <c r="AD104" s="101" t="s">
        <v>79</v>
      </c>
      <c r="AE104" s="101" t="s">
        <v>75</v>
      </c>
      <c r="AF104" s="101" t="s">
        <v>400</v>
      </c>
      <c r="AI104" s="101" t="s">
        <v>172</v>
      </c>
    </row>
    <row r="105" spans="1:35">
      <c r="A105" s="246" t="s">
        <v>113</v>
      </c>
      <c r="B105" s="246" t="s">
        <v>66</v>
      </c>
      <c r="C105" s="246" t="s">
        <v>126</v>
      </c>
      <c r="D105" s="246" t="s">
        <v>271</v>
      </c>
      <c r="E105" s="246"/>
      <c r="F105" s="246"/>
      <c r="G105" s="132" t="s">
        <v>991</v>
      </c>
      <c r="H105" s="132" t="s">
        <v>992</v>
      </c>
      <c r="I105" s="132">
        <v>-213.51999999999998</v>
      </c>
      <c r="J105" s="101" t="s">
        <v>889</v>
      </c>
      <c r="K105" s="245" t="s">
        <v>390</v>
      </c>
      <c r="L105" s="245">
        <v>43160</v>
      </c>
      <c r="M105" s="245" t="s">
        <v>391</v>
      </c>
      <c r="N105" s="101">
        <v>0</v>
      </c>
      <c r="O105" s="101" t="s">
        <v>392</v>
      </c>
      <c r="P105" s="101">
        <v>0</v>
      </c>
      <c r="Q105" s="101">
        <v>0</v>
      </c>
      <c r="R105" s="101" t="s">
        <v>444</v>
      </c>
      <c r="S105" s="101" t="s">
        <v>465</v>
      </c>
      <c r="T105" s="101" t="s">
        <v>394</v>
      </c>
      <c r="U105" s="101" t="s">
        <v>82</v>
      </c>
      <c r="V105" s="245">
        <v>45658</v>
      </c>
      <c r="W105" s="101" t="s">
        <v>411</v>
      </c>
      <c r="X105" s="101" t="s">
        <v>77</v>
      </c>
      <c r="Y105" s="101" t="s">
        <v>392</v>
      </c>
      <c r="Z105" s="101" t="s">
        <v>412</v>
      </c>
      <c r="AA105" s="101" t="s">
        <v>466</v>
      </c>
      <c r="AB105" s="101">
        <v>101000141</v>
      </c>
      <c r="AC105" s="101" t="s">
        <v>414</v>
      </c>
      <c r="AD105" s="101" t="s">
        <v>79</v>
      </c>
      <c r="AE105" s="101" t="s">
        <v>75</v>
      </c>
      <c r="AF105" s="101" t="s">
        <v>400</v>
      </c>
      <c r="AI105" s="101" t="s">
        <v>172</v>
      </c>
    </row>
    <row r="106" spans="1:35">
      <c r="A106" s="246" t="s">
        <v>113</v>
      </c>
      <c r="B106" s="246" t="s">
        <v>66</v>
      </c>
      <c r="C106" s="246" t="s">
        <v>126</v>
      </c>
      <c r="D106" s="246" t="s">
        <v>271</v>
      </c>
      <c r="E106" s="246"/>
      <c r="F106" s="246"/>
      <c r="G106" s="132" t="s">
        <v>993</v>
      </c>
      <c r="H106" s="132" t="s">
        <v>994</v>
      </c>
      <c r="I106" s="132">
        <v>-244.02</v>
      </c>
      <c r="J106" s="101" t="s">
        <v>889</v>
      </c>
      <c r="K106" s="245" t="s">
        <v>390</v>
      </c>
      <c r="L106" s="245">
        <v>43192</v>
      </c>
      <c r="M106" s="245" t="s">
        <v>391</v>
      </c>
      <c r="N106" s="101">
        <v>0</v>
      </c>
      <c r="O106" s="101" t="s">
        <v>392</v>
      </c>
      <c r="P106" s="101">
        <v>0</v>
      </c>
      <c r="Q106" s="101">
        <v>0</v>
      </c>
      <c r="R106" s="101" t="s">
        <v>444</v>
      </c>
      <c r="S106" s="101" t="s">
        <v>465</v>
      </c>
      <c r="T106" s="101" t="s">
        <v>394</v>
      </c>
      <c r="U106" s="101" t="s">
        <v>82</v>
      </c>
      <c r="V106" s="245">
        <v>45658</v>
      </c>
      <c r="W106" s="101" t="s">
        <v>411</v>
      </c>
      <c r="X106" s="101" t="s">
        <v>77</v>
      </c>
      <c r="Y106" s="101" t="s">
        <v>392</v>
      </c>
      <c r="Z106" s="101" t="s">
        <v>412</v>
      </c>
      <c r="AA106" s="101" t="s">
        <v>466</v>
      </c>
      <c r="AB106" s="101">
        <v>101000141</v>
      </c>
      <c r="AC106" s="101" t="s">
        <v>414</v>
      </c>
      <c r="AD106" s="101" t="s">
        <v>79</v>
      </c>
      <c r="AE106" s="101" t="s">
        <v>75</v>
      </c>
      <c r="AF106" s="101" t="s">
        <v>400</v>
      </c>
      <c r="AI106" s="101" t="s">
        <v>172</v>
      </c>
    </row>
    <row r="107" spans="1:35">
      <c r="A107" s="246" t="s">
        <v>113</v>
      </c>
      <c r="B107" s="246" t="s">
        <v>66</v>
      </c>
      <c r="C107" s="246" t="s">
        <v>126</v>
      </c>
      <c r="D107" s="246" t="s">
        <v>271</v>
      </c>
      <c r="E107" s="246"/>
      <c r="F107" s="246"/>
      <c r="G107" s="132" t="s">
        <v>995</v>
      </c>
      <c r="H107" s="132" t="s">
        <v>996</v>
      </c>
      <c r="I107" s="132">
        <v>-229.57999999999998</v>
      </c>
      <c r="J107" s="101" t="s">
        <v>889</v>
      </c>
      <c r="K107" s="245" t="s">
        <v>390</v>
      </c>
      <c r="L107" s="245">
        <v>43221</v>
      </c>
      <c r="M107" s="245" t="s">
        <v>391</v>
      </c>
      <c r="N107" s="101">
        <v>0</v>
      </c>
      <c r="O107" s="101" t="s">
        <v>392</v>
      </c>
      <c r="P107" s="101">
        <v>0</v>
      </c>
      <c r="Q107" s="101">
        <v>0</v>
      </c>
      <c r="R107" s="101" t="s">
        <v>444</v>
      </c>
      <c r="S107" s="101" t="s">
        <v>465</v>
      </c>
      <c r="T107" s="101" t="s">
        <v>394</v>
      </c>
      <c r="U107" s="101" t="s">
        <v>82</v>
      </c>
      <c r="V107" s="245">
        <v>45658</v>
      </c>
      <c r="W107" s="101" t="s">
        <v>411</v>
      </c>
      <c r="X107" s="101" t="s">
        <v>77</v>
      </c>
      <c r="Y107" s="101" t="s">
        <v>392</v>
      </c>
      <c r="Z107" s="101" t="s">
        <v>412</v>
      </c>
      <c r="AA107" s="101" t="s">
        <v>466</v>
      </c>
      <c r="AB107" s="101">
        <v>101000141</v>
      </c>
      <c r="AC107" s="101" t="s">
        <v>414</v>
      </c>
      <c r="AD107" s="101" t="s">
        <v>79</v>
      </c>
      <c r="AE107" s="101" t="s">
        <v>75</v>
      </c>
      <c r="AF107" s="101" t="s">
        <v>400</v>
      </c>
      <c r="AI107" s="101" t="s">
        <v>172</v>
      </c>
    </row>
    <row r="108" spans="1:35">
      <c r="A108" s="246" t="s">
        <v>107</v>
      </c>
      <c r="B108" s="246" t="s">
        <v>66</v>
      </c>
      <c r="C108" s="246" t="s">
        <v>126</v>
      </c>
      <c r="D108" s="246" t="s">
        <v>1769</v>
      </c>
      <c r="E108" s="246"/>
      <c r="F108" s="246"/>
      <c r="G108" s="132" t="s">
        <v>997</v>
      </c>
      <c r="H108" s="132" t="s">
        <v>998</v>
      </c>
      <c r="I108" s="132">
        <v>-159.16999999999999</v>
      </c>
      <c r="J108" s="101" t="s">
        <v>889</v>
      </c>
      <c r="K108" s="245" t="s">
        <v>390</v>
      </c>
      <c r="L108" s="245">
        <v>42522</v>
      </c>
      <c r="M108" s="245" t="s">
        <v>391</v>
      </c>
      <c r="N108" s="101">
        <v>0</v>
      </c>
      <c r="O108" s="101" t="s">
        <v>392</v>
      </c>
      <c r="P108" s="101">
        <v>0</v>
      </c>
      <c r="Q108" s="101">
        <v>0</v>
      </c>
      <c r="R108" s="101" t="s">
        <v>444</v>
      </c>
      <c r="S108" s="101" t="s">
        <v>465</v>
      </c>
      <c r="T108" s="101" t="s">
        <v>394</v>
      </c>
      <c r="U108" s="101" t="s">
        <v>82</v>
      </c>
      <c r="V108" s="245">
        <v>45658</v>
      </c>
      <c r="W108" s="101" t="s">
        <v>411</v>
      </c>
      <c r="X108" s="101" t="s">
        <v>77</v>
      </c>
      <c r="Y108" s="101" t="s">
        <v>392</v>
      </c>
      <c r="Z108" s="101" t="s">
        <v>412</v>
      </c>
      <c r="AA108" s="101" t="s">
        <v>466</v>
      </c>
      <c r="AB108" s="101">
        <v>101000141</v>
      </c>
      <c r="AC108" s="101" t="s">
        <v>414</v>
      </c>
      <c r="AD108" s="101" t="s">
        <v>79</v>
      </c>
      <c r="AE108" s="101" t="s">
        <v>75</v>
      </c>
      <c r="AF108" s="101" t="s">
        <v>400</v>
      </c>
      <c r="AI108" s="101" t="s">
        <v>172</v>
      </c>
    </row>
    <row r="109" spans="1:35">
      <c r="A109" s="246" t="s">
        <v>109</v>
      </c>
      <c r="B109" s="246" t="s">
        <v>66</v>
      </c>
      <c r="C109" s="246" t="s">
        <v>126</v>
      </c>
      <c r="D109" s="246" t="s">
        <v>272</v>
      </c>
      <c r="E109" s="246"/>
      <c r="F109" s="246"/>
      <c r="G109" s="132" t="s">
        <v>999</v>
      </c>
      <c r="H109" s="132" t="s">
        <v>1000</v>
      </c>
      <c r="I109" s="132">
        <v>-148.19999999999999</v>
      </c>
      <c r="J109" s="101" t="s">
        <v>889</v>
      </c>
      <c r="K109" s="245" t="s">
        <v>390</v>
      </c>
      <c r="L109" s="245">
        <v>42552</v>
      </c>
      <c r="M109" s="245" t="s">
        <v>391</v>
      </c>
      <c r="N109" s="101">
        <v>0</v>
      </c>
      <c r="O109" s="101" t="s">
        <v>392</v>
      </c>
      <c r="P109" s="101">
        <v>0</v>
      </c>
      <c r="Q109" s="101">
        <v>0</v>
      </c>
      <c r="R109" s="101" t="s">
        <v>444</v>
      </c>
      <c r="S109" s="101" t="s">
        <v>465</v>
      </c>
      <c r="T109" s="101" t="s">
        <v>394</v>
      </c>
      <c r="U109" s="101" t="s">
        <v>82</v>
      </c>
      <c r="V109" s="245">
        <v>45658</v>
      </c>
      <c r="W109" s="101" t="s">
        <v>411</v>
      </c>
      <c r="X109" s="101" t="s">
        <v>77</v>
      </c>
      <c r="Y109" s="101" t="s">
        <v>392</v>
      </c>
      <c r="Z109" s="101" t="s">
        <v>412</v>
      </c>
      <c r="AA109" s="101" t="s">
        <v>466</v>
      </c>
      <c r="AB109" s="101">
        <v>101000141</v>
      </c>
      <c r="AC109" s="101" t="s">
        <v>414</v>
      </c>
      <c r="AD109" s="101" t="s">
        <v>79</v>
      </c>
      <c r="AE109" s="101" t="s">
        <v>75</v>
      </c>
      <c r="AF109" s="101" t="s">
        <v>400</v>
      </c>
      <c r="AI109" s="101" t="s">
        <v>172</v>
      </c>
    </row>
    <row r="110" spans="1:35">
      <c r="A110" s="246" t="s">
        <v>109</v>
      </c>
      <c r="B110" s="246" t="s">
        <v>66</v>
      </c>
      <c r="C110" s="246" t="s">
        <v>126</v>
      </c>
      <c r="D110" s="246" t="s">
        <v>272</v>
      </c>
      <c r="E110" s="246"/>
      <c r="F110" s="246"/>
      <c r="G110" s="132" t="s">
        <v>1001</v>
      </c>
      <c r="H110" s="132" t="s">
        <v>1002</v>
      </c>
      <c r="I110" s="132">
        <v>-153.52000000000001</v>
      </c>
      <c r="J110" s="101" t="s">
        <v>889</v>
      </c>
      <c r="K110" s="245" t="s">
        <v>390</v>
      </c>
      <c r="L110" s="245">
        <v>42583</v>
      </c>
      <c r="M110" s="245" t="s">
        <v>391</v>
      </c>
      <c r="N110" s="101">
        <v>0</v>
      </c>
      <c r="O110" s="101" t="s">
        <v>392</v>
      </c>
      <c r="P110" s="101">
        <v>0</v>
      </c>
      <c r="Q110" s="101">
        <v>0</v>
      </c>
      <c r="R110" s="101" t="s">
        <v>444</v>
      </c>
      <c r="S110" s="101" t="s">
        <v>465</v>
      </c>
      <c r="T110" s="101" t="s">
        <v>394</v>
      </c>
      <c r="U110" s="101" t="s">
        <v>82</v>
      </c>
      <c r="V110" s="245">
        <v>45658</v>
      </c>
      <c r="W110" s="101" t="s">
        <v>411</v>
      </c>
      <c r="X110" s="101" t="s">
        <v>77</v>
      </c>
      <c r="Y110" s="101" t="s">
        <v>392</v>
      </c>
      <c r="Z110" s="101" t="s">
        <v>412</v>
      </c>
      <c r="AA110" s="101" t="s">
        <v>466</v>
      </c>
      <c r="AB110" s="101">
        <v>101000141</v>
      </c>
      <c r="AC110" s="101" t="s">
        <v>414</v>
      </c>
      <c r="AD110" s="101" t="s">
        <v>79</v>
      </c>
      <c r="AE110" s="101" t="s">
        <v>75</v>
      </c>
      <c r="AF110" s="101" t="s">
        <v>400</v>
      </c>
      <c r="AI110" s="101" t="s">
        <v>172</v>
      </c>
    </row>
    <row r="111" spans="1:35">
      <c r="A111" s="246" t="s">
        <v>110</v>
      </c>
      <c r="B111" s="246" t="s">
        <v>66</v>
      </c>
      <c r="C111" s="246" t="s">
        <v>126</v>
      </c>
      <c r="D111" s="246" t="s">
        <v>281</v>
      </c>
      <c r="E111" s="246"/>
      <c r="F111" s="246"/>
      <c r="G111" s="132" t="s">
        <v>1003</v>
      </c>
      <c r="H111" s="132" t="s">
        <v>1004</v>
      </c>
      <c r="I111" s="132">
        <v>-153.80000000000001</v>
      </c>
      <c r="J111" s="101" t="s">
        <v>889</v>
      </c>
      <c r="K111" s="245" t="s">
        <v>390</v>
      </c>
      <c r="L111" s="245">
        <v>42614</v>
      </c>
      <c r="M111" s="245" t="s">
        <v>391</v>
      </c>
      <c r="N111" s="101">
        <v>0</v>
      </c>
      <c r="O111" s="101" t="s">
        <v>392</v>
      </c>
      <c r="P111" s="101">
        <v>0</v>
      </c>
      <c r="Q111" s="101">
        <v>0</v>
      </c>
      <c r="R111" s="101" t="s">
        <v>444</v>
      </c>
      <c r="S111" s="101" t="s">
        <v>465</v>
      </c>
      <c r="T111" s="101" t="s">
        <v>394</v>
      </c>
      <c r="U111" s="101" t="s">
        <v>82</v>
      </c>
      <c r="V111" s="245">
        <v>45658</v>
      </c>
      <c r="W111" s="101" t="s">
        <v>411</v>
      </c>
      <c r="X111" s="101" t="s">
        <v>77</v>
      </c>
      <c r="Y111" s="101" t="s">
        <v>392</v>
      </c>
      <c r="Z111" s="101" t="s">
        <v>412</v>
      </c>
      <c r="AA111" s="101" t="s">
        <v>466</v>
      </c>
      <c r="AB111" s="101">
        <v>101000141</v>
      </c>
      <c r="AC111" s="101" t="s">
        <v>414</v>
      </c>
      <c r="AD111" s="101" t="s">
        <v>79</v>
      </c>
      <c r="AE111" s="101" t="s">
        <v>75</v>
      </c>
      <c r="AF111" s="101" t="s">
        <v>400</v>
      </c>
      <c r="AI111" s="101" t="s">
        <v>172</v>
      </c>
    </row>
    <row r="112" spans="1:35">
      <c r="A112" s="246" t="s">
        <v>110</v>
      </c>
      <c r="B112" s="246" t="s">
        <v>66</v>
      </c>
      <c r="C112" s="246" t="s">
        <v>126</v>
      </c>
      <c r="D112" s="246" t="s">
        <v>281</v>
      </c>
      <c r="E112" s="246"/>
      <c r="F112" s="246"/>
      <c r="G112" s="132" t="s">
        <v>1005</v>
      </c>
      <c r="H112" s="132" t="s">
        <v>1006</v>
      </c>
      <c r="I112" s="132">
        <v>-170.1</v>
      </c>
      <c r="J112" s="101" t="s">
        <v>889</v>
      </c>
      <c r="K112" s="245" t="s">
        <v>390</v>
      </c>
      <c r="L112" s="245">
        <v>42646</v>
      </c>
      <c r="M112" s="245" t="s">
        <v>391</v>
      </c>
      <c r="N112" s="101">
        <v>0</v>
      </c>
      <c r="O112" s="101" t="s">
        <v>392</v>
      </c>
      <c r="P112" s="101">
        <v>0</v>
      </c>
      <c r="Q112" s="101">
        <v>0</v>
      </c>
      <c r="R112" s="101" t="s">
        <v>444</v>
      </c>
      <c r="S112" s="101" t="s">
        <v>465</v>
      </c>
      <c r="T112" s="101" t="s">
        <v>394</v>
      </c>
      <c r="U112" s="101" t="s">
        <v>82</v>
      </c>
      <c r="V112" s="245">
        <v>45658</v>
      </c>
      <c r="W112" s="101" t="s">
        <v>411</v>
      </c>
      <c r="X112" s="101" t="s">
        <v>77</v>
      </c>
      <c r="Y112" s="101" t="s">
        <v>392</v>
      </c>
      <c r="Z112" s="101" t="s">
        <v>412</v>
      </c>
      <c r="AA112" s="101" t="s">
        <v>466</v>
      </c>
      <c r="AB112" s="101">
        <v>101000141</v>
      </c>
      <c r="AC112" s="101" t="s">
        <v>414</v>
      </c>
      <c r="AD112" s="101" t="s">
        <v>79</v>
      </c>
      <c r="AE112" s="101" t="s">
        <v>75</v>
      </c>
      <c r="AF112" s="101" t="s">
        <v>400</v>
      </c>
      <c r="AI112" s="101" t="s">
        <v>172</v>
      </c>
    </row>
    <row r="113" spans="1:35">
      <c r="A113" s="246" t="s">
        <v>110</v>
      </c>
      <c r="B113" s="246" t="s">
        <v>66</v>
      </c>
      <c r="C113" s="246" t="s">
        <v>126</v>
      </c>
      <c r="D113" s="246" t="s">
        <v>281</v>
      </c>
      <c r="E113" s="246"/>
      <c r="F113" s="246"/>
      <c r="G113" s="132" t="s">
        <v>1007</v>
      </c>
      <c r="H113" s="132" t="s">
        <v>1008</v>
      </c>
      <c r="I113" s="132">
        <v>-162.14999999999998</v>
      </c>
      <c r="J113" s="101" t="s">
        <v>889</v>
      </c>
      <c r="K113" s="245" t="s">
        <v>390</v>
      </c>
      <c r="L113" s="245">
        <v>42675</v>
      </c>
      <c r="M113" s="245" t="s">
        <v>391</v>
      </c>
      <c r="N113" s="101">
        <v>0</v>
      </c>
      <c r="O113" s="101" t="s">
        <v>392</v>
      </c>
      <c r="P113" s="101">
        <v>0</v>
      </c>
      <c r="Q113" s="101">
        <v>0</v>
      </c>
      <c r="R113" s="101" t="s">
        <v>444</v>
      </c>
      <c r="S113" s="101" t="s">
        <v>465</v>
      </c>
      <c r="T113" s="101" t="s">
        <v>394</v>
      </c>
      <c r="U113" s="101" t="s">
        <v>82</v>
      </c>
      <c r="V113" s="245">
        <v>45658</v>
      </c>
      <c r="W113" s="101" t="s">
        <v>411</v>
      </c>
      <c r="X113" s="101" t="s">
        <v>77</v>
      </c>
      <c r="Y113" s="101" t="s">
        <v>392</v>
      </c>
      <c r="Z113" s="101" t="s">
        <v>412</v>
      </c>
      <c r="AA113" s="101" t="s">
        <v>466</v>
      </c>
      <c r="AB113" s="101">
        <v>101000141</v>
      </c>
      <c r="AC113" s="101" t="s">
        <v>414</v>
      </c>
      <c r="AD113" s="101" t="s">
        <v>79</v>
      </c>
      <c r="AE113" s="101" t="s">
        <v>75</v>
      </c>
      <c r="AF113" s="101" t="s">
        <v>400</v>
      </c>
      <c r="AI113" s="101" t="s">
        <v>172</v>
      </c>
    </row>
    <row r="114" spans="1:35">
      <c r="A114" s="246" t="s">
        <v>111</v>
      </c>
      <c r="B114" s="246" t="s">
        <v>66</v>
      </c>
      <c r="C114" s="246" t="s">
        <v>126</v>
      </c>
      <c r="D114" s="246" t="s">
        <v>273</v>
      </c>
      <c r="E114" s="246"/>
      <c r="F114" s="246"/>
      <c r="G114" s="132" t="s">
        <v>1009</v>
      </c>
      <c r="H114" s="132" t="s">
        <v>1010</v>
      </c>
      <c r="I114" s="132">
        <v>-183.82</v>
      </c>
      <c r="J114" s="101" t="s">
        <v>889</v>
      </c>
      <c r="K114" s="245" t="s">
        <v>390</v>
      </c>
      <c r="L114" s="245">
        <v>42705</v>
      </c>
      <c r="M114" s="245" t="s">
        <v>391</v>
      </c>
      <c r="N114" s="101">
        <v>0</v>
      </c>
      <c r="O114" s="101" t="s">
        <v>392</v>
      </c>
      <c r="P114" s="101">
        <v>0</v>
      </c>
      <c r="Q114" s="101">
        <v>0</v>
      </c>
      <c r="R114" s="101" t="s">
        <v>444</v>
      </c>
      <c r="S114" s="101" t="s">
        <v>465</v>
      </c>
      <c r="T114" s="101" t="s">
        <v>394</v>
      </c>
      <c r="U114" s="101" t="s">
        <v>82</v>
      </c>
      <c r="V114" s="245">
        <v>45658</v>
      </c>
      <c r="W114" s="101" t="s">
        <v>411</v>
      </c>
      <c r="X114" s="101" t="s">
        <v>77</v>
      </c>
      <c r="Y114" s="101" t="s">
        <v>392</v>
      </c>
      <c r="Z114" s="101" t="s">
        <v>412</v>
      </c>
      <c r="AA114" s="101" t="s">
        <v>466</v>
      </c>
      <c r="AB114" s="101">
        <v>101000141</v>
      </c>
      <c r="AC114" s="101" t="s">
        <v>414</v>
      </c>
      <c r="AD114" s="101" t="s">
        <v>79</v>
      </c>
      <c r="AE114" s="101" t="s">
        <v>75</v>
      </c>
      <c r="AF114" s="101" t="s">
        <v>400</v>
      </c>
      <c r="AI114" s="101" t="s">
        <v>172</v>
      </c>
    </row>
    <row r="115" spans="1:35">
      <c r="A115" s="246" t="s">
        <v>111</v>
      </c>
      <c r="B115" s="246" t="s">
        <v>66</v>
      </c>
      <c r="C115" s="246" t="s">
        <v>126</v>
      </c>
      <c r="D115" s="246" t="s">
        <v>273</v>
      </c>
      <c r="E115" s="246"/>
      <c r="F115" s="246"/>
      <c r="G115" s="132" t="s">
        <v>1011</v>
      </c>
      <c r="H115" s="132" t="s">
        <v>1012</v>
      </c>
      <c r="I115" s="132">
        <v>-222.43</v>
      </c>
      <c r="J115" s="101" t="s">
        <v>889</v>
      </c>
      <c r="K115" s="245" t="s">
        <v>390</v>
      </c>
      <c r="L115" s="245">
        <v>42738</v>
      </c>
      <c r="M115" s="245" t="s">
        <v>391</v>
      </c>
      <c r="N115" s="101">
        <v>0</v>
      </c>
      <c r="O115" s="101" t="s">
        <v>392</v>
      </c>
      <c r="P115" s="101">
        <v>0</v>
      </c>
      <c r="Q115" s="101">
        <v>0</v>
      </c>
      <c r="R115" s="101" t="s">
        <v>444</v>
      </c>
      <c r="S115" s="101" t="s">
        <v>465</v>
      </c>
      <c r="T115" s="101" t="s">
        <v>394</v>
      </c>
      <c r="U115" s="101" t="s">
        <v>82</v>
      </c>
      <c r="V115" s="245">
        <v>45658</v>
      </c>
      <c r="W115" s="101" t="s">
        <v>411</v>
      </c>
      <c r="X115" s="101" t="s">
        <v>77</v>
      </c>
      <c r="Y115" s="101" t="s">
        <v>392</v>
      </c>
      <c r="Z115" s="101" t="s">
        <v>412</v>
      </c>
      <c r="AA115" s="101" t="s">
        <v>466</v>
      </c>
      <c r="AB115" s="101">
        <v>101000141</v>
      </c>
      <c r="AC115" s="101" t="s">
        <v>414</v>
      </c>
      <c r="AD115" s="101" t="s">
        <v>79</v>
      </c>
      <c r="AE115" s="101" t="s">
        <v>75</v>
      </c>
      <c r="AF115" s="101" t="s">
        <v>400</v>
      </c>
      <c r="AI115" s="101" t="s">
        <v>172</v>
      </c>
    </row>
    <row r="116" spans="1:35">
      <c r="A116" s="246" t="s">
        <v>111</v>
      </c>
      <c r="B116" s="246" t="s">
        <v>66</v>
      </c>
      <c r="C116" s="246" t="s">
        <v>126</v>
      </c>
      <c r="D116" s="246" t="s">
        <v>273</v>
      </c>
      <c r="E116" s="246"/>
      <c r="F116" s="246"/>
      <c r="G116" s="132" t="s">
        <v>1013</v>
      </c>
      <c r="H116" s="132" t="s">
        <v>1014</v>
      </c>
      <c r="I116" s="132">
        <v>-190.9</v>
      </c>
      <c r="J116" s="101" t="s">
        <v>889</v>
      </c>
      <c r="K116" s="245" t="s">
        <v>390</v>
      </c>
      <c r="L116" s="245">
        <v>42767</v>
      </c>
      <c r="M116" s="245" t="s">
        <v>391</v>
      </c>
      <c r="N116" s="101">
        <v>0</v>
      </c>
      <c r="O116" s="101" t="s">
        <v>392</v>
      </c>
      <c r="P116" s="101">
        <v>0</v>
      </c>
      <c r="Q116" s="101">
        <v>0</v>
      </c>
      <c r="R116" s="101" t="s">
        <v>444</v>
      </c>
      <c r="S116" s="101" t="s">
        <v>465</v>
      </c>
      <c r="T116" s="101" t="s">
        <v>394</v>
      </c>
      <c r="U116" s="101" t="s">
        <v>82</v>
      </c>
      <c r="V116" s="245">
        <v>45658</v>
      </c>
      <c r="W116" s="101" t="s">
        <v>411</v>
      </c>
      <c r="X116" s="101" t="s">
        <v>77</v>
      </c>
      <c r="Y116" s="101" t="s">
        <v>392</v>
      </c>
      <c r="Z116" s="101" t="s">
        <v>412</v>
      </c>
      <c r="AA116" s="101" t="s">
        <v>466</v>
      </c>
      <c r="AB116" s="101">
        <v>101000141</v>
      </c>
      <c r="AC116" s="101" t="s">
        <v>414</v>
      </c>
      <c r="AD116" s="101" t="s">
        <v>79</v>
      </c>
      <c r="AE116" s="101" t="s">
        <v>75</v>
      </c>
      <c r="AF116" s="101" t="s">
        <v>400</v>
      </c>
      <c r="AI116" s="101" t="s">
        <v>172</v>
      </c>
    </row>
    <row r="117" spans="1:35">
      <c r="A117" s="246" t="s">
        <v>111</v>
      </c>
      <c r="B117" s="246" t="s">
        <v>66</v>
      </c>
      <c r="C117" s="246" t="s">
        <v>126</v>
      </c>
      <c r="D117" s="246" t="s">
        <v>273</v>
      </c>
      <c r="E117" s="246"/>
      <c r="F117" s="246"/>
      <c r="G117" s="132" t="s">
        <v>1015</v>
      </c>
      <c r="H117" s="132" t="s">
        <v>1016</v>
      </c>
      <c r="I117" s="132">
        <v>-178.64000000000001</v>
      </c>
      <c r="J117" s="101" t="s">
        <v>889</v>
      </c>
      <c r="K117" s="245" t="s">
        <v>390</v>
      </c>
      <c r="L117" s="245">
        <v>42795</v>
      </c>
      <c r="M117" s="245" t="s">
        <v>391</v>
      </c>
      <c r="N117" s="101">
        <v>0</v>
      </c>
      <c r="O117" s="101" t="s">
        <v>392</v>
      </c>
      <c r="P117" s="101">
        <v>0</v>
      </c>
      <c r="Q117" s="101">
        <v>0</v>
      </c>
      <c r="R117" s="101" t="s">
        <v>444</v>
      </c>
      <c r="S117" s="101" t="s">
        <v>465</v>
      </c>
      <c r="T117" s="101" t="s">
        <v>394</v>
      </c>
      <c r="U117" s="101" t="s">
        <v>82</v>
      </c>
      <c r="V117" s="245">
        <v>45658</v>
      </c>
      <c r="W117" s="101" t="s">
        <v>411</v>
      </c>
      <c r="X117" s="101" t="s">
        <v>77</v>
      </c>
      <c r="Y117" s="101" t="s">
        <v>392</v>
      </c>
      <c r="Z117" s="101" t="s">
        <v>412</v>
      </c>
      <c r="AA117" s="101" t="s">
        <v>466</v>
      </c>
      <c r="AB117" s="101">
        <v>101000141</v>
      </c>
      <c r="AC117" s="101" t="s">
        <v>414</v>
      </c>
      <c r="AD117" s="101" t="s">
        <v>79</v>
      </c>
      <c r="AE117" s="101" t="s">
        <v>75</v>
      </c>
      <c r="AF117" s="101" t="s">
        <v>400</v>
      </c>
      <c r="AI117" s="101" t="s">
        <v>172</v>
      </c>
    </row>
    <row r="118" spans="1:35">
      <c r="A118" s="246" t="s">
        <v>111</v>
      </c>
      <c r="B118" s="246" t="s">
        <v>66</v>
      </c>
      <c r="C118" s="246" t="s">
        <v>126</v>
      </c>
      <c r="D118" s="246" t="s">
        <v>273</v>
      </c>
      <c r="E118" s="246"/>
      <c r="F118" s="246"/>
      <c r="G118" s="132" t="s">
        <v>1017</v>
      </c>
      <c r="H118" s="132" t="s">
        <v>1018</v>
      </c>
      <c r="I118" s="132">
        <v>-209.39000000000001</v>
      </c>
      <c r="J118" s="101" t="s">
        <v>889</v>
      </c>
      <c r="K118" s="245" t="s">
        <v>390</v>
      </c>
      <c r="L118" s="245">
        <v>42828</v>
      </c>
      <c r="M118" s="245" t="s">
        <v>391</v>
      </c>
      <c r="N118" s="101">
        <v>0</v>
      </c>
      <c r="O118" s="101" t="s">
        <v>392</v>
      </c>
      <c r="P118" s="101">
        <v>0</v>
      </c>
      <c r="Q118" s="101">
        <v>0</v>
      </c>
      <c r="R118" s="101" t="s">
        <v>444</v>
      </c>
      <c r="S118" s="101" t="s">
        <v>465</v>
      </c>
      <c r="T118" s="101" t="s">
        <v>394</v>
      </c>
      <c r="U118" s="101" t="s">
        <v>82</v>
      </c>
      <c r="V118" s="245">
        <v>45658</v>
      </c>
      <c r="W118" s="101" t="s">
        <v>411</v>
      </c>
      <c r="X118" s="101" t="s">
        <v>77</v>
      </c>
      <c r="Y118" s="101" t="s">
        <v>392</v>
      </c>
      <c r="Z118" s="101" t="s">
        <v>412</v>
      </c>
      <c r="AA118" s="101" t="s">
        <v>466</v>
      </c>
      <c r="AB118" s="101">
        <v>101000141</v>
      </c>
      <c r="AC118" s="101" t="s">
        <v>414</v>
      </c>
      <c r="AD118" s="101" t="s">
        <v>79</v>
      </c>
      <c r="AE118" s="101" t="s">
        <v>75</v>
      </c>
      <c r="AF118" s="101" t="s">
        <v>400</v>
      </c>
      <c r="AI118" s="101" t="s">
        <v>172</v>
      </c>
    </row>
    <row r="119" spans="1:35">
      <c r="A119" s="246" t="s">
        <v>109</v>
      </c>
      <c r="B119" s="246" t="s">
        <v>66</v>
      </c>
      <c r="C119" s="246" t="s">
        <v>126</v>
      </c>
      <c r="D119" s="246" t="s">
        <v>272</v>
      </c>
      <c r="E119" s="246"/>
      <c r="F119" s="246" t="s">
        <v>275</v>
      </c>
      <c r="G119" s="132" t="s">
        <v>681</v>
      </c>
      <c r="H119" s="132" t="s">
        <v>1019</v>
      </c>
      <c r="I119" s="132">
        <v>-30514.629999999997</v>
      </c>
      <c r="J119" s="101" t="s">
        <v>889</v>
      </c>
      <c r="K119" s="245" t="s">
        <v>390</v>
      </c>
      <c r="L119" s="245">
        <v>42551</v>
      </c>
      <c r="M119" s="245" t="s">
        <v>391</v>
      </c>
      <c r="N119" s="101">
        <v>0</v>
      </c>
      <c r="O119" s="101" t="s">
        <v>392</v>
      </c>
      <c r="P119" s="101">
        <v>0</v>
      </c>
      <c r="Q119" s="101">
        <v>0</v>
      </c>
      <c r="R119" s="101" t="s">
        <v>444</v>
      </c>
      <c r="S119" s="101" t="s">
        <v>682</v>
      </c>
      <c r="T119" s="101" t="s">
        <v>394</v>
      </c>
      <c r="U119" s="101" t="s">
        <v>35</v>
      </c>
      <c r="V119" s="245">
        <v>46387</v>
      </c>
      <c r="W119" s="101" t="s">
        <v>411</v>
      </c>
      <c r="X119" s="101" t="s">
        <v>77</v>
      </c>
      <c r="Y119" s="101" t="s">
        <v>392</v>
      </c>
      <c r="Z119" s="101" t="s">
        <v>412</v>
      </c>
      <c r="AA119" s="101" t="s">
        <v>631</v>
      </c>
      <c r="AB119" s="101">
        <v>101000580</v>
      </c>
      <c r="AC119" s="101" t="s">
        <v>414</v>
      </c>
      <c r="AD119" s="101" t="s">
        <v>79</v>
      </c>
      <c r="AE119" s="101" t="s">
        <v>6</v>
      </c>
      <c r="AF119" s="101" t="s">
        <v>400</v>
      </c>
      <c r="AI119" s="101" t="s">
        <v>190</v>
      </c>
    </row>
    <row r="120" spans="1:35">
      <c r="A120" s="246" t="s">
        <v>111</v>
      </c>
      <c r="B120" s="246" t="s">
        <v>66</v>
      </c>
      <c r="C120" s="246" t="s">
        <v>126</v>
      </c>
      <c r="D120" s="246" t="s">
        <v>273</v>
      </c>
      <c r="E120" s="246"/>
      <c r="F120" s="246" t="s">
        <v>277</v>
      </c>
      <c r="G120" s="132" t="s">
        <v>681</v>
      </c>
      <c r="H120" s="132" t="s">
        <v>1019</v>
      </c>
      <c r="I120" s="132">
        <v>-30514.629999999997</v>
      </c>
      <c r="J120" s="101" t="s">
        <v>889</v>
      </c>
      <c r="K120" s="245" t="s">
        <v>390</v>
      </c>
      <c r="L120" s="245">
        <v>42734</v>
      </c>
      <c r="M120" s="245" t="s">
        <v>391</v>
      </c>
      <c r="N120" s="101">
        <v>0</v>
      </c>
      <c r="O120" s="101" t="s">
        <v>392</v>
      </c>
      <c r="P120" s="101">
        <v>0</v>
      </c>
      <c r="Q120" s="101">
        <v>0</v>
      </c>
      <c r="R120" s="101" t="s">
        <v>444</v>
      </c>
      <c r="S120" s="101" t="s">
        <v>682</v>
      </c>
      <c r="T120" s="101" t="s">
        <v>394</v>
      </c>
      <c r="U120" s="101" t="s">
        <v>35</v>
      </c>
      <c r="V120" s="245">
        <v>46387</v>
      </c>
      <c r="W120" s="101" t="s">
        <v>411</v>
      </c>
      <c r="X120" s="101" t="s">
        <v>77</v>
      </c>
      <c r="Y120" s="101" t="s">
        <v>392</v>
      </c>
      <c r="Z120" s="101" t="s">
        <v>412</v>
      </c>
      <c r="AA120" s="101" t="s">
        <v>631</v>
      </c>
      <c r="AB120" s="101">
        <v>101000580</v>
      </c>
      <c r="AC120" s="101" t="s">
        <v>414</v>
      </c>
      <c r="AD120" s="101" t="s">
        <v>79</v>
      </c>
      <c r="AE120" s="101" t="s">
        <v>6</v>
      </c>
      <c r="AF120" s="101" t="s">
        <v>400</v>
      </c>
      <c r="AI120" s="101" t="s">
        <v>190</v>
      </c>
    </row>
    <row r="121" spans="1:35">
      <c r="A121" s="246" t="s">
        <v>112</v>
      </c>
      <c r="B121" s="246" t="s">
        <v>66</v>
      </c>
      <c r="C121" s="246" t="s">
        <v>126</v>
      </c>
      <c r="D121" s="246" t="s">
        <v>270</v>
      </c>
      <c r="E121" s="246"/>
      <c r="F121" s="246" t="s">
        <v>278</v>
      </c>
      <c r="G121" s="132" t="s">
        <v>681</v>
      </c>
      <c r="H121" s="132" t="s">
        <v>1019</v>
      </c>
      <c r="I121" s="132">
        <v>-30514.629999999997</v>
      </c>
      <c r="J121" s="101" t="s">
        <v>889</v>
      </c>
      <c r="K121" s="245" t="s">
        <v>390</v>
      </c>
      <c r="L121" s="245">
        <v>42916</v>
      </c>
      <c r="M121" s="245" t="s">
        <v>391</v>
      </c>
      <c r="N121" s="101">
        <v>0</v>
      </c>
      <c r="O121" s="101" t="s">
        <v>392</v>
      </c>
      <c r="P121" s="101">
        <v>0</v>
      </c>
      <c r="Q121" s="101">
        <v>0</v>
      </c>
      <c r="R121" s="101" t="s">
        <v>444</v>
      </c>
      <c r="S121" s="101" t="s">
        <v>682</v>
      </c>
      <c r="T121" s="101" t="s">
        <v>394</v>
      </c>
      <c r="U121" s="101" t="s">
        <v>35</v>
      </c>
      <c r="V121" s="245">
        <v>46387</v>
      </c>
      <c r="W121" s="101" t="s">
        <v>411</v>
      </c>
      <c r="X121" s="101" t="s">
        <v>77</v>
      </c>
      <c r="Y121" s="101" t="s">
        <v>392</v>
      </c>
      <c r="Z121" s="101" t="s">
        <v>412</v>
      </c>
      <c r="AA121" s="101" t="s">
        <v>631</v>
      </c>
      <c r="AB121" s="101">
        <v>101000580</v>
      </c>
      <c r="AC121" s="101" t="s">
        <v>414</v>
      </c>
      <c r="AD121" s="101" t="s">
        <v>79</v>
      </c>
      <c r="AE121" s="101" t="s">
        <v>6</v>
      </c>
      <c r="AF121" s="101" t="s">
        <v>400</v>
      </c>
      <c r="AI121" s="101" t="s">
        <v>190</v>
      </c>
    </row>
    <row r="122" spans="1:35">
      <c r="A122" s="246" t="s">
        <v>113</v>
      </c>
      <c r="B122" s="246" t="s">
        <v>66</v>
      </c>
      <c r="C122" s="246" t="s">
        <v>126</v>
      </c>
      <c r="D122" s="246" t="s">
        <v>271</v>
      </c>
      <c r="E122" s="246"/>
      <c r="F122" s="246" t="s">
        <v>279</v>
      </c>
      <c r="G122" s="132" t="s">
        <v>683</v>
      </c>
      <c r="H122" s="132" t="s">
        <v>1020</v>
      </c>
      <c r="I122" s="132">
        <v>-30345.1</v>
      </c>
      <c r="J122" s="101" t="s">
        <v>889</v>
      </c>
      <c r="K122" s="245" t="s">
        <v>390</v>
      </c>
      <c r="L122" s="245">
        <v>43098</v>
      </c>
      <c r="M122" s="245" t="s">
        <v>391</v>
      </c>
      <c r="N122" s="101">
        <v>1</v>
      </c>
      <c r="O122" s="101" t="s">
        <v>392</v>
      </c>
      <c r="P122" s="101">
        <v>0</v>
      </c>
      <c r="Q122" s="101">
        <v>0</v>
      </c>
      <c r="R122" s="101" t="s">
        <v>444</v>
      </c>
      <c r="S122" s="101" t="s">
        <v>682</v>
      </c>
      <c r="T122" s="101" t="s">
        <v>394</v>
      </c>
      <c r="U122" s="101" t="s">
        <v>35</v>
      </c>
      <c r="V122" s="245">
        <v>46387</v>
      </c>
      <c r="W122" s="101" t="s">
        <v>411</v>
      </c>
      <c r="X122" s="101" t="s">
        <v>77</v>
      </c>
      <c r="Y122" s="101" t="s">
        <v>392</v>
      </c>
      <c r="Z122" s="101" t="s">
        <v>412</v>
      </c>
      <c r="AA122" s="101" t="s">
        <v>631</v>
      </c>
      <c r="AB122" s="101">
        <v>101000580</v>
      </c>
      <c r="AC122" s="101" t="s">
        <v>414</v>
      </c>
      <c r="AD122" s="101" t="s">
        <v>79</v>
      </c>
      <c r="AE122" s="101" t="s">
        <v>6</v>
      </c>
      <c r="AF122" s="101" t="s">
        <v>400</v>
      </c>
      <c r="AI122" s="101" t="s">
        <v>190</v>
      </c>
    </row>
    <row r="123" spans="1:35">
      <c r="A123" s="246" t="s">
        <v>109</v>
      </c>
      <c r="B123" s="246" t="s">
        <v>66</v>
      </c>
      <c r="C123" s="246" t="s">
        <v>126</v>
      </c>
      <c r="D123" s="246" t="s">
        <v>272</v>
      </c>
      <c r="E123" s="246"/>
      <c r="F123" s="246"/>
      <c r="G123" s="132">
        <v>12500</v>
      </c>
      <c r="H123" s="132" t="s">
        <v>1021</v>
      </c>
      <c r="I123" s="132">
        <v>12500</v>
      </c>
      <c r="J123" s="101" t="s">
        <v>889</v>
      </c>
      <c r="K123" s="245" t="s">
        <v>390</v>
      </c>
      <c r="L123" s="245">
        <v>42536</v>
      </c>
      <c r="M123" s="245" t="s">
        <v>391</v>
      </c>
      <c r="N123" s="101">
        <v>0</v>
      </c>
      <c r="O123" s="101" t="s">
        <v>392</v>
      </c>
      <c r="P123" s="101">
        <v>0</v>
      </c>
      <c r="Q123" s="101">
        <v>0</v>
      </c>
      <c r="R123" s="101" t="s">
        <v>450</v>
      </c>
      <c r="S123" s="101">
        <v>193061</v>
      </c>
      <c r="T123" s="101" t="s">
        <v>394</v>
      </c>
      <c r="V123" s="245">
        <v>42536</v>
      </c>
      <c r="W123" s="101" t="s">
        <v>441</v>
      </c>
      <c r="X123" s="101" t="s">
        <v>76</v>
      </c>
      <c r="Y123" s="101" t="s">
        <v>392</v>
      </c>
      <c r="Z123" s="101" t="s">
        <v>430</v>
      </c>
      <c r="AA123" s="101" t="s">
        <v>531</v>
      </c>
      <c r="AB123" s="101">
        <v>3101053435</v>
      </c>
      <c r="AC123" s="101" t="s">
        <v>431</v>
      </c>
      <c r="AD123" s="101" t="s">
        <v>431</v>
      </c>
      <c r="AE123" s="101" t="s">
        <v>75</v>
      </c>
      <c r="AF123" s="101" t="s">
        <v>400</v>
      </c>
      <c r="AG123" s="101" t="s">
        <v>532</v>
      </c>
      <c r="AI123" s="101" t="s">
        <v>760</v>
      </c>
    </row>
    <row r="124" spans="1:35">
      <c r="A124" s="246" t="s">
        <v>109</v>
      </c>
      <c r="B124" s="246" t="s">
        <v>66</v>
      </c>
      <c r="C124" s="246" t="s">
        <v>116</v>
      </c>
      <c r="D124" s="246" t="s">
        <v>338</v>
      </c>
      <c r="E124" s="246"/>
      <c r="F124" s="246"/>
      <c r="G124" s="132">
        <v>5000000</v>
      </c>
      <c r="H124" s="132" t="s">
        <v>1022</v>
      </c>
      <c r="I124" s="132">
        <v>4999999.9999999991</v>
      </c>
      <c r="J124" s="101" t="s">
        <v>889</v>
      </c>
      <c r="K124" s="245" t="s">
        <v>390</v>
      </c>
      <c r="L124" s="245">
        <v>42536</v>
      </c>
      <c r="M124" s="245" t="s">
        <v>421</v>
      </c>
      <c r="N124" s="101">
        <v>0</v>
      </c>
      <c r="O124" s="101" t="s">
        <v>392</v>
      </c>
      <c r="P124" s="101">
        <v>0</v>
      </c>
      <c r="Q124" s="101">
        <v>0</v>
      </c>
      <c r="R124" s="101" t="s">
        <v>450</v>
      </c>
      <c r="S124" s="101">
        <v>193061</v>
      </c>
      <c r="T124" s="101" t="s">
        <v>394</v>
      </c>
      <c r="V124" s="245">
        <v>42536</v>
      </c>
      <c r="W124" s="101" t="s">
        <v>441</v>
      </c>
      <c r="X124" s="101" t="s">
        <v>76</v>
      </c>
      <c r="Y124" s="101" t="s">
        <v>392</v>
      </c>
      <c r="Z124" s="101" t="s">
        <v>430</v>
      </c>
      <c r="AA124" s="101" t="s">
        <v>531</v>
      </c>
      <c r="AB124" s="101">
        <v>3101053435</v>
      </c>
      <c r="AC124" s="101" t="s">
        <v>431</v>
      </c>
      <c r="AD124" s="101" t="s">
        <v>431</v>
      </c>
      <c r="AE124" s="101" t="s">
        <v>75</v>
      </c>
      <c r="AF124" s="101" t="s">
        <v>400</v>
      </c>
      <c r="AG124" s="101" t="s">
        <v>532</v>
      </c>
      <c r="AI124" s="101" t="s">
        <v>760</v>
      </c>
    </row>
    <row r="125" spans="1:35">
      <c r="A125" s="246" t="s">
        <v>113</v>
      </c>
      <c r="B125" s="246" t="s">
        <v>66</v>
      </c>
      <c r="C125" s="246" t="s">
        <v>126</v>
      </c>
      <c r="D125" s="246" t="s">
        <v>271</v>
      </c>
      <c r="E125" s="246"/>
      <c r="F125" s="246" t="s">
        <v>279</v>
      </c>
      <c r="G125" s="132">
        <v>-8234</v>
      </c>
      <c r="H125" s="132" t="s">
        <v>1023</v>
      </c>
      <c r="I125" s="132">
        <v>-8234</v>
      </c>
      <c r="J125" s="101" t="s">
        <v>889</v>
      </c>
      <c r="K125" s="245" t="s">
        <v>390</v>
      </c>
      <c r="L125" s="245">
        <v>43098</v>
      </c>
      <c r="M125" s="245" t="s">
        <v>391</v>
      </c>
      <c r="N125" s="101">
        <v>0</v>
      </c>
      <c r="O125" s="101" t="s">
        <v>392</v>
      </c>
      <c r="P125" s="101">
        <v>0</v>
      </c>
      <c r="Q125" s="101">
        <v>0</v>
      </c>
      <c r="R125" s="101" t="s">
        <v>422</v>
      </c>
      <c r="S125" s="101" t="s">
        <v>646</v>
      </c>
      <c r="T125" s="101" t="s">
        <v>394</v>
      </c>
      <c r="U125" s="101" t="s">
        <v>27</v>
      </c>
      <c r="V125" s="245">
        <v>14426</v>
      </c>
      <c r="W125" s="101" t="s">
        <v>411</v>
      </c>
      <c r="X125" s="101" t="s">
        <v>77</v>
      </c>
      <c r="Y125" s="101" t="s">
        <v>392</v>
      </c>
      <c r="Z125" s="101" t="s">
        <v>412</v>
      </c>
      <c r="AA125" s="101" t="s">
        <v>413</v>
      </c>
      <c r="AB125" s="101">
        <v>101000512</v>
      </c>
      <c r="AC125" s="101" t="s">
        <v>414</v>
      </c>
      <c r="AD125" s="101" t="s">
        <v>79</v>
      </c>
      <c r="AE125" s="101" t="s">
        <v>6</v>
      </c>
      <c r="AF125" s="101" t="s">
        <v>400</v>
      </c>
      <c r="AI125" s="101" t="s">
        <v>190</v>
      </c>
    </row>
    <row r="126" spans="1:35">
      <c r="A126" s="246" t="s">
        <v>109</v>
      </c>
      <c r="B126" s="246" t="s">
        <v>66</v>
      </c>
      <c r="C126" s="246" t="s">
        <v>126</v>
      </c>
      <c r="D126" s="246" t="s">
        <v>272</v>
      </c>
      <c r="E126" s="246"/>
      <c r="F126" s="246" t="s">
        <v>275</v>
      </c>
      <c r="G126" s="132" t="s">
        <v>878</v>
      </c>
      <c r="H126" s="132" t="s">
        <v>1024</v>
      </c>
      <c r="I126" s="132">
        <v>-9344.8599999999988</v>
      </c>
      <c r="J126" s="101" t="s">
        <v>889</v>
      </c>
      <c r="K126" s="245" t="s">
        <v>390</v>
      </c>
      <c r="L126" s="245">
        <v>42551</v>
      </c>
      <c r="M126" s="245" t="s">
        <v>391</v>
      </c>
      <c r="N126" s="101">
        <v>0</v>
      </c>
      <c r="O126" s="101" t="s">
        <v>392</v>
      </c>
      <c r="P126" s="101">
        <v>0</v>
      </c>
      <c r="Q126" s="101">
        <v>0</v>
      </c>
      <c r="R126" s="101" t="s">
        <v>422</v>
      </c>
      <c r="S126" s="101" t="s">
        <v>646</v>
      </c>
      <c r="T126" s="101" t="s">
        <v>394</v>
      </c>
      <c r="U126" s="101" t="s">
        <v>27</v>
      </c>
      <c r="V126" s="245">
        <v>14426</v>
      </c>
      <c r="W126" s="101" t="s">
        <v>411</v>
      </c>
      <c r="X126" s="101" t="s">
        <v>77</v>
      </c>
      <c r="Y126" s="101" t="s">
        <v>392</v>
      </c>
      <c r="Z126" s="101" t="s">
        <v>412</v>
      </c>
      <c r="AA126" s="101" t="s">
        <v>413</v>
      </c>
      <c r="AB126" s="101">
        <v>101000512</v>
      </c>
      <c r="AC126" s="101" t="s">
        <v>414</v>
      </c>
      <c r="AD126" s="101" t="s">
        <v>79</v>
      </c>
      <c r="AE126" s="101" t="s">
        <v>6</v>
      </c>
      <c r="AF126" s="101" t="s">
        <v>400</v>
      </c>
      <c r="AI126" s="101" t="s">
        <v>190</v>
      </c>
    </row>
    <row r="127" spans="1:35">
      <c r="A127" s="246" t="s">
        <v>109</v>
      </c>
      <c r="B127" s="246" t="s">
        <v>66</v>
      </c>
      <c r="C127" s="246" t="s">
        <v>265</v>
      </c>
      <c r="D127" s="246" t="s">
        <v>291</v>
      </c>
      <c r="E127" s="246"/>
      <c r="F127" s="246" t="s">
        <v>275</v>
      </c>
      <c r="G127" s="132" t="s">
        <v>879</v>
      </c>
      <c r="H127" s="132" t="s">
        <v>1025</v>
      </c>
      <c r="I127" s="132">
        <v>1260075.73</v>
      </c>
      <c r="J127" s="101" t="s">
        <v>889</v>
      </c>
      <c r="K127" s="245" t="s">
        <v>390</v>
      </c>
      <c r="L127" s="245">
        <v>42551</v>
      </c>
      <c r="M127" s="245" t="s">
        <v>421</v>
      </c>
      <c r="N127" s="101">
        <v>0</v>
      </c>
      <c r="O127" s="101" t="s">
        <v>392</v>
      </c>
      <c r="P127" s="101">
        <v>0</v>
      </c>
      <c r="Q127" s="101">
        <v>0</v>
      </c>
      <c r="R127" s="101" t="s">
        <v>410</v>
      </c>
      <c r="S127" s="101" t="s">
        <v>646</v>
      </c>
      <c r="T127" s="101" t="s">
        <v>394</v>
      </c>
      <c r="U127" s="101" t="s">
        <v>27</v>
      </c>
      <c r="V127" s="245">
        <v>14426</v>
      </c>
      <c r="W127" s="101" t="s">
        <v>411</v>
      </c>
      <c r="X127" s="101" t="s">
        <v>77</v>
      </c>
      <c r="Y127" s="101" t="s">
        <v>392</v>
      </c>
      <c r="Z127" s="101" t="s">
        <v>412</v>
      </c>
      <c r="AA127" s="101" t="s">
        <v>413</v>
      </c>
      <c r="AB127" s="101">
        <v>101000512</v>
      </c>
      <c r="AC127" s="101" t="s">
        <v>414</v>
      </c>
      <c r="AD127" s="101" t="s">
        <v>79</v>
      </c>
      <c r="AE127" s="101" t="s">
        <v>6</v>
      </c>
      <c r="AF127" s="101" t="s">
        <v>400</v>
      </c>
      <c r="AI127" s="101" t="s">
        <v>190</v>
      </c>
    </row>
    <row r="128" spans="1:35">
      <c r="A128" s="246" t="s">
        <v>111</v>
      </c>
      <c r="B128" s="246" t="s">
        <v>66</v>
      </c>
      <c r="C128" s="246" t="s">
        <v>126</v>
      </c>
      <c r="D128" s="246" t="s">
        <v>273</v>
      </c>
      <c r="E128" s="246"/>
      <c r="F128" s="246" t="s">
        <v>277</v>
      </c>
      <c r="G128" s="132">
        <v>-41400</v>
      </c>
      <c r="H128" s="132" t="s">
        <v>1026</v>
      </c>
      <c r="I128" s="132">
        <v>-41400</v>
      </c>
      <c r="J128" s="101" t="s">
        <v>889</v>
      </c>
      <c r="K128" s="245" t="s">
        <v>390</v>
      </c>
      <c r="L128" s="245">
        <v>42734</v>
      </c>
      <c r="M128" s="245" t="s">
        <v>391</v>
      </c>
      <c r="N128" s="101">
        <v>0</v>
      </c>
      <c r="O128" s="101" t="s">
        <v>392</v>
      </c>
      <c r="P128" s="101">
        <v>0</v>
      </c>
      <c r="Q128" s="101">
        <v>0</v>
      </c>
      <c r="R128" s="101" t="s">
        <v>422</v>
      </c>
      <c r="S128" s="101" t="s">
        <v>646</v>
      </c>
      <c r="T128" s="101" t="s">
        <v>394</v>
      </c>
      <c r="U128" s="101" t="s">
        <v>27</v>
      </c>
      <c r="V128" s="245">
        <v>14426</v>
      </c>
      <c r="W128" s="101" t="s">
        <v>411</v>
      </c>
      <c r="X128" s="101" t="s">
        <v>77</v>
      </c>
      <c r="Y128" s="101" t="s">
        <v>392</v>
      </c>
      <c r="Z128" s="101" t="s">
        <v>412</v>
      </c>
      <c r="AA128" s="101" t="s">
        <v>413</v>
      </c>
      <c r="AB128" s="101">
        <v>101000512</v>
      </c>
      <c r="AC128" s="101" t="s">
        <v>414</v>
      </c>
      <c r="AD128" s="101" t="s">
        <v>79</v>
      </c>
      <c r="AE128" s="101" t="s">
        <v>6</v>
      </c>
      <c r="AF128" s="101" t="s">
        <v>400</v>
      </c>
      <c r="AI128" s="101" t="s">
        <v>190</v>
      </c>
    </row>
    <row r="129" spans="1:35">
      <c r="A129" s="246" t="s">
        <v>111</v>
      </c>
      <c r="B129" s="246" t="s">
        <v>66</v>
      </c>
      <c r="C129" s="246" t="s">
        <v>265</v>
      </c>
      <c r="D129" s="246" t="s">
        <v>286</v>
      </c>
      <c r="E129" s="246"/>
      <c r="F129" s="246" t="s">
        <v>277</v>
      </c>
      <c r="G129" s="132">
        <v>-1600000</v>
      </c>
      <c r="H129" s="132" t="s">
        <v>1027</v>
      </c>
      <c r="I129" s="132">
        <v>-1600000</v>
      </c>
      <c r="J129" s="101" t="s">
        <v>889</v>
      </c>
      <c r="K129" s="245" t="s">
        <v>390</v>
      </c>
      <c r="L129" s="245">
        <v>42734</v>
      </c>
      <c r="M129" s="245" t="s">
        <v>421</v>
      </c>
      <c r="N129" s="101">
        <v>0</v>
      </c>
      <c r="O129" s="101" t="s">
        <v>392</v>
      </c>
      <c r="P129" s="101">
        <v>0</v>
      </c>
      <c r="Q129" s="101">
        <v>0</v>
      </c>
      <c r="R129" s="101" t="s">
        <v>422</v>
      </c>
      <c r="S129" s="101" t="s">
        <v>646</v>
      </c>
      <c r="T129" s="101" t="s">
        <v>394</v>
      </c>
      <c r="U129" s="101" t="s">
        <v>27</v>
      </c>
      <c r="V129" s="245">
        <v>14426</v>
      </c>
      <c r="W129" s="101" t="s">
        <v>411</v>
      </c>
      <c r="X129" s="101" t="s">
        <v>77</v>
      </c>
      <c r="Y129" s="101" t="s">
        <v>392</v>
      </c>
      <c r="Z129" s="101" t="s">
        <v>412</v>
      </c>
      <c r="AA129" s="101" t="s">
        <v>413</v>
      </c>
      <c r="AB129" s="101">
        <v>101000512</v>
      </c>
      <c r="AC129" s="101" t="s">
        <v>414</v>
      </c>
      <c r="AD129" s="101" t="s">
        <v>79</v>
      </c>
      <c r="AE129" s="101" t="s">
        <v>6</v>
      </c>
      <c r="AF129" s="101" t="s">
        <v>400</v>
      </c>
      <c r="AI129" s="101" t="s">
        <v>190</v>
      </c>
    </row>
    <row r="130" spans="1:35">
      <c r="A130" s="246" t="s">
        <v>112</v>
      </c>
      <c r="B130" s="246" t="s">
        <v>66</v>
      </c>
      <c r="C130" s="246" t="s">
        <v>126</v>
      </c>
      <c r="D130" s="246" t="s">
        <v>270</v>
      </c>
      <c r="E130" s="246"/>
      <c r="F130" s="246" t="s">
        <v>278</v>
      </c>
      <c r="G130" s="132">
        <v>-8280</v>
      </c>
      <c r="H130" s="132" t="s">
        <v>1028</v>
      </c>
      <c r="I130" s="132">
        <v>-8280</v>
      </c>
      <c r="J130" s="101" t="s">
        <v>889</v>
      </c>
      <c r="K130" s="245" t="s">
        <v>390</v>
      </c>
      <c r="L130" s="245">
        <v>42916</v>
      </c>
      <c r="M130" s="245" t="s">
        <v>391</v>
      </c>
      <c r="N130" s="101">
        <v>0</v>
      </c>
      <c r="O130" s="101" t="s">
        <v>392</v>
      </c>
      <c r="P130" s="101">
        <v>0</v>
      </c>
      <c r="Q130" s="101">
        <v>0</v>
      </c>
      <c r="R130" s="101" t="s">
        <v>422</v>
      </c>
      <c r="S130" s="101" t="s">
        <v>646</v>
      </c>
      <c r="T130" s="101" t="s">
        <v>394</v>
      </c>
      <c r="U130" s="101" t="s">
        <v>27</v>
      </c>
      <c r="V130" s="245">
        <v>14426</v>
      </c>
      <c r="W130" s="101" t="s">
        <v>411</v>
      </c>
      <c r="X130" s="101" t="s">
        <v>77</v>
      </c>
      <c r="Y130" s="101" t="s">
        <v>392</v>
      </c>
      <c r="Z130" s="101" t="s">
        <v>412</v>
      </c>
      <c r="AA130" s="101" t="s">
        <v>413</v>
      </c>
      <c r="AB130" s="101">
        <v>101000512</v>
      </c>
      <c r="AC130" s="101" t="s">
        <v>414</v>
      </c>
      <c r="AD130" s="101" t="s">
        <v>79</v>
      </c>
      <c r="AE130" s="101" t="s">
        <v>6</v>
      </c>
      <c r="AF130" s="101" t="s">
        <v>400</v>
      </c>
      <c r="AI130" s="101" t="s">
        <v>190</v>
      </c>
    </row>
    <row r="131" spans="1:35">
      <c r="A131" s="246" t="s">
        <v>102</v>
      </c>
      <c r="B131" s="246" t="s">
        <v>263</v>
      </c>
      <c r="C131" s="246" t="s">
        <v>126</v>
      </c>
      <c r="D131" s="246" t="s">
        <v>1771</v>
      </c>
      <c r="E131" s="246" t="s">
        <v>1772</v>
      </c>
      <c r="F131" s="246"/>
      <c r="G131" s="132">
        <v>-21000</v>
      </c>
      <c r="H131" s="132" t="s">
        <v>1029</v>
      </c>
      <c r="I131" s="132">
        <v>-21000</v>
      </c>
      <c r="J131" s="101" t="s">
        <v>889</v>
      </c>
      <c r="K131" s="245" t="s">
        <v>390</v>
      </c>
      <c r="L131" s="245">
        <v>42503</v>
      </c>
      <c r="M131" s="245" t="s">
        <v>391</v>
      </c>
      <c r="N131" s="101">
        <v>0</v>
      </c>
      <c r="O131" s="101" t="s">
        <v>392</v>
      </c>
      <c r="P131" s="101">
        <v>0</v>
      </c>
      <c r="Q131" s="101">
        <v>0</v>
      </c>
      <c r="R131" s="101" t="s">
        <v>393</v>
      </c>
      <c r="S131" s="101" t="s">
        <v>448</v>
      </c>
      <c r="T131" s="101" t="s">
        <v>394</v>
      </c>
      <c r="V131" s="245">
        <v>42503</v>
      </c>
      <c r="W131" s="101" t="s">
        <v>417</v>
      </c>
      <c r="X131" s="101" t="s">
        <v>76</v>
      </c>
      <c r="Y131" s="101" t="s">
        <v>396</v>
      </c>
      <c r="Z131" s="101" t="s">
        <v>449</v>
      </c>
      <c r="AA131" s="101" t="s">
        <v>91</v>
      </c>
      <c r="AB131" s="101">
        <v>3101005792</v>
      </c>
      <c r="AC131" s="101" t="s">
        <v>419</v>
      </c>
      <c r="AD131" s="101" t="s">
        <v>95</v>
      </c>
      <c r="AE131" s="101" t="s">
        <v>75</v>
      </c>
      <c r="AF131" s="101" t="s">
        <v>400</v>
      </c>
      <c r="AG131" s="101" t="s">
        <v>427</v>
      </c>
      <c r="AI131" s="101" t="s">
        <v>760</v>
      </c>
    </row>
    <row r="132" spans="1:35">
      <c r="A132" s="246" t="s">
        <v>102</v>
      </c>
      <c r="B132" s="246" t="s">
        <v>263</v>
      </c>
      <c r="C132" s="246" t="s">
        <v>95</v>
      </c>
      <c r="D132" s="246" t="s">
        <v>1773</v>
      </c>
      <c r="E132" s="246" t="s">
        <v>1772</v>
      </c>
      <c r="F132" s="246"/>
      <c r="G132" s="132">
        <v>-9000000</v>
      </c>
      <c r="H132" s="132" t="s">
        <v>1030</v>
      </c>
      <c r="I132" s="132">
        <v>-9000000</v>
      </c>
      <c r="J132" s="101" t="s">
        <v>889</v>
      </c>
      <c r="K132" s="245" t="s">
        <v>390</v>
      </c>
      <c r="L132" s="245">
        <v>42503</v>
      </c>
      <c r="M132" s="245" t="s">
        <v>421</v>
      </c>
      <c r="N132" s="101">
        <v>0</v>
      </c>
      <c r="O132" s="101" t="s">
        <v>392</v>
      </c>
      <c r="P132" s="101">
        <v>0</v>
      </c>
      <c r="Q132" s="101">
        <v>0</v>
      </c>
      <c r="R132" s="101" t="s">
        <v>393</v>
      </c>
      <c r="S132" s="101" t="s">
        <v>448</v>
      </c>
      <c r="T132" s="101" t="s">
        <v>394</v>
      </c>
      <c r="V132" s="245">
        <v>42503</v>
      </c>
      <c r="W132" s="101" t="s">
        <v>417</v>
      </c>
      <c r="X132" s="101" t="s">
        <v>76</v>
      </c>
      <c r="Y132" s="101" t="s">
        <v>396</v>
      </c>
      <c r="Z132" s="101" t="s">
        <v>449</v>
      </c>
      <c r="AA132" s="101" t="s">
        <v>91</v>
      </c>
      <c r="AB132" s="101">
        <v>3101005792</v>
      </c>
      <c r="AC132" s="101" t="s">
        <v>419</v>
      </c>
      <c r="AD132" s="101" t="s">
        <v>95</v>
      </c>
      <c r="AE132" s="101" t="s">
        <v>75</v>
      </c>
      <c r="AF132" s="101" t="s">
        <v>400</v>
      </c>
      <c r="AG132" s="101" t="s">
        <v>427</v>
      </c>
      <c r="AI132" s="101" t="s">
        <v>760</v>
      </c>
    </row>
    <row r="133" spans="1:35">
      <c r="A133" s="246" t="s">
        <v>108</v>
      </c>
      <c r="B133" s="246" t="s">
        <v>66</v>
      </c>
      <c r="C133" s="246" t="s">
        <v>126</v>
      </c>
      <c r="D133" s="246" t="s">
        <v>280</v>
      </c>
      <c r="E133" s="246"/>
      <c r="F133" s="246"/>
      <c r="G133" s="132">
        <v>43125</v>
      </c>
      <c r="H133" s="132" t="s">
        <v>1031</v>
      </c>
      <c r="I133" s="132">
        <v>43125</v>
      </c>
      <c r="J133" s="101" t="s">
        <v>889</v>
      </c>
      <c r="K133" s="245" t="s">
        <v>390</v>
      </c>
      <c r="L133" s="245">
        <v>42531</v>
      </c>
      <c r="M133" s="245" t="s">
        <v>391</v>
      </c>
      <c r="N133" s="101">
        <v>0</v>
      </c>
      <c r="O133" s="101" t="s">
        <v>392</v>
      </c>
      <c r="P133" s="101">
        <v>0</v>
      </c>
      <c r="Q133" s="101">
        <v>0</v>
      </c>
      <c r="R133" s="101" t="s">
        <v>438</v>
      </c>
      <c r="S133" s="101">
        <v>190709</v>
      </c>
      <c r="T133" s="101" t="s">
        <v>394</v>
      </c>
      <c r="V133" s="245">
        <v>44722</v>
      </c>
      <c r="W133" s="101" t="s">
        <v>622</v>
      </c>
      <c r="X133" s="101" t="s">
        <v>76</v>
      </c>
      <c r="Y133" s="101" t="s">
        <v>392</v>
      </c>
      <c r="Z133" s="101" t="s">
        <v>430</v>
      </c>
      <c r="AA133" s="101" t="s">
        <v>397</v>
      </c>
      <c r="AB133" s="101">
        <v>5101000018</v>
      </c>
      <c r="AC133" s="101" t="s">
        <v>431</v>
      </c>
      <c r="AD133" s="101" t="s">
        <v>431</v>
      </c>
      <c r="AE133" s="101" t="s">
        <v>75</v>
      </c>
      <c r="AF133" s="101" t="s">
        <v>400</v>
      </c>
      <c r="AG133" s="101" t="s">
        <v>623</v>
      </c>
      <c r="AI133" s="101" t="s">
        <v>760</v>
      </c>
    </row>
    <row r="134" spans="1:35">
      <c r="A134" s="246" t="s">
        <v>111</v>
      </c>
      <c r="B134" s="246" t="s">
        <v>66</v>
      </c>
      <c r="C134" s="246" t="s">
        <v>126</v>
      </c>
      <c r="D134" s="246" t="s">
        <v>273</v>
      </c>
      <c r="E134" s="246"/>
      <c r="F134" s="246"/>
      <c r="G134" s="132">
        <v>43125</v>
      </c>
      <c r="H134" s="132" t="s">
        <v>1031</v>
      </c>
      <c r="I134" s="132">
        <v>43125</v>
      </c>
      <c r="J134" s="101" t="s">
        <v>889</v>
      </c>
      <c r="K134" s="245" t="s">
        <v>390</v>
      </c>
      <c r="L134" s="245">
        <v>42716</v>
      </c>
      <c r="M134" s="245" t="s">
        <v>391</v>
      </c>
      <c r="N134" s="101">
        <v>0</v>
      </c>
      <c r="O134" s="101" t="s">
        <v>392</v>
      </c>
      <c r="P134" s="101">
        <v>0</v>
      </c>
      <c r="Q134" s="101">
        <v>0</v>
      </c>
      <c r="R134" s="101" t="s">
        <v>438</v>
      </c>
      <c r="S134" s="101">
        <v>190709</v>
      </c>
      <c r="T134" s="101" t="s">
        <v>394</v>
      </c>
      <c r="V134" s="245">
        <v>44722</v>
      </c>
      <c r="W134" s="101" t="s">
        <v>622</v>
      </c>
      <c r="X134" s="101" t="s">
        <v>76</v>
      </c>
      <c r="Y134" s="101" t="s">
        <v>392</v>
      </c>
      <c r="Z134" s="101" t="s">
        <v>430</v>
      </c>
      <c r="AA134" s="101" t="s">
        <v>397</v>
      </c>
      <c r="AB134" s="101">
        <v>5101000018</v>
      </c>
      <c r="AC134" s="101" t="s">
        <v>431</v>
      </c>
      <c r="AD134" s="101" t="s">
        <v>431</v>
      </c>
      <c r="AE134" s="101" t="s">
        <v>75</v>
      </c>
      <c r="AF134" s="101" t="s">
        <v>400</v>
      </c>
      <c r="AG134" s="101" t="s">
        <v>623</v>
      </c>
      <c r="AI134" s="101" t="s">
        <v>760</v>
      </c>
    </row>
    <row r="135" spans="1:35">
      <c r="A135" s="246" t="s">
        <v>112</v>
      </c>
      <c r="B135" s="246" t="s">
        <v>66</v>
      </c>
      <c r="C135" s="246" t="s">
        <v>126</v>
      </c>
      <c r="D135" s="246" t="s">
        <v>270</v>
      </c>
      <c r="E135" s="246"/>
      <c r="F135" s="246"/>
      <c r="G135" s="132">
        <v>43125</v>
      </c>
      <c r="H135" s="132" t="s">
        <v>1031</v>
      </c>
      <c r="I135" s="132">
        <v>43125</v>
      </c>
      <c r="J135" s="101" t="s">
        <v>889</v>
      </c>
      <c r="K135" s="245" t="s">
        <v>390</v>
      </c>
      <c r="L135" s="245">
        <v>42898</v>
      </c>
      <c r="M135" s="245" t="s">
        <v>391</v>
      </c>
      <c r="N135" s="101">
        <v>0</v>
      </c>
      <c r="O135" s="101" t="s">
        <v>392</v>
      </c>
      <c r="P135" s="101">
        <v>0</v>
      </c>
      <c r="Q135" s="101">
        <v>0</v>
      </c>
      <c r="R135" s="101" t="s">
        <v>438</v>
      </c>
      <c r="S135" s="101">
        <v>190709</v>
      </c>
      <c r="T135" s="101" t="s">
        <v>394</v>
      </c>
      <c r="V135" s="245">
        <v>44722</v>
      </c>
      <c r="W135" s="101" t="s">
        <v>622</v>
      </c>
      <c r="X135" s="101" t="s">
        <v>76</v>
      </c>
      <c r="Y135" s="101" t="s">
        <v>392</v>
      </c>
      <c r="Z135" s="101" t="s">
        <v>430</v>
      </c>
      <c r="AA135" s="101" t="s">
        <v>397</v>
      </c>
      <c r="AB135" s="101">
        <v>5101000018</v>
      </c>
      <c r="AC135" s="101" t="s">
        <v>431</v>
      </c>
      <c r="AD135" s="101" t="s">
        <v>431</v>
      </c>
      <c r="AE135" s="101" t="s">
        <v>75</v>
      </c>
      <c r="AF135" s="101" t="s">
        <v>400</v>
      </c>
      <c r="AG135" s="101" t="s">
        <v>623</v>
      </c>
      <c r="AI135" s="101" t="s">
        <v>760</v>
      </c>
    </row>
    <row r="136" spans="1:35">
      <c r="A136" s="246" t="s">
        <v>113</v>
      </c>
      <c r="B136" s="246" t="s">
        <v>66</v>
      </c>
      <c r="C136" s="246" t="s">
        <v>126</v>
      </c>
      <c r="D136" s="246" t="s">
        <v>271</v>
      </c>
      <c r="E136" s="246"/>
      <c r="F136" s="246"/>
      <c r="G136" s="132">
        <v>43125</v>
      </c>
      <c r="H136" s="132" t="s">
        <v>1031</v>
      </c>
      <c r="I136" s="132">
        <v>43125</v>
      </c>
      <c r="J136" s="101" t="s">
        <v>889</v>
      </c>
      <c r="K136" s="245" t="s">
        <v>390</v>
      </c>
      <c r="L136" s="245">
        <v>43080</v>
      </c>
      <c r="M136" s="245" t="s">
        <v>391</v>
      </c>
      <c r="N136" s="101">
        <v>0</v>
      </c>
      <c r="O136" s="101" t="s">
        <v>392</v>
      </c>
      <c r="P136" s="101">
        <v>0</v>
      </c>
      <c r="Q136" s="101">
        <v>0</v>
      </c>
      <c r="R136" s="101" t="s">
        <v>438</v>
      </c>
      <c r="S136" s="101">
        <v>190709</v>
      </c>
      <c r="T136" s="101" t="s">
        <v>394</v>
      </c>
      <c r="V136" s="245">
        <v>44722</v>
      </c>
      <c r="W136" s="101" t="s">
        <v>622</v>
      </c>
      <c r="X136" s="101" t="s">
        <v>76</v>
      </c>
      <c r="Y136" s="101" t="s">
        <v>392</v>
      </c>
      <c r="Z136" s="101" t="s">
        <v>430</v>
      </c>
      <c r="AA136" s="101" t="s">
        <v>397</v>
      </c>
      <c r="AB136" s="101">
        <v>5101000018</v>
      </c>
      <c r="AC136" s="101" t="s">
        <v>431</v>
      </c>
      <c r="AD136" s="101" t="s">
        <v>431</v>
      </c>
      <c r="AE136" s="101" t="s">
        <v>75</v>
      </c>
      <c r="AF136" s="101" t="s">
        <v>400</v>
      </c>
      <c r="AG136" s="101" t="s">
        <v>623</v>
      </c>
      <c r="AI136" s="101" t="s">
        <v>760</v>
      </c>
    </row>
    <row r="137" spans="1:35">
      <c r="A137" s="246" t="s">
        <v>109</v>
      </c>
      <c r="B137" s="246" t="s">
        <v>66</v>
      </c>
      <c r="C137" s="246" t="s">
        <v>126</v>
      </c>
      <c r="D137" s="246" t="s">
        <v>272</v>
      </c>
      <c r="E137" s="246"/>
      <c r="F137" s="246"/>
      <c r="G137" s="132" t="s">
        <v>616</v>
      </c>
      <c r="H137" s="132" t="s">
        <v>1032</v>
      </c>
      <c r="I137" s="132">
        <v>-133391.65999999997</v>
      </c>
      <c r="J137" s="101" t="s">
        <v>889</v>
      </c>
      <c r="K137" s="245" t="s">
        <v>390</v>
      </c>
      <c r="L137" s="245">
        <v>42578</v>
      </c>
      <c r="M137" s="245" t="s">
        <v>391</v>
      </c>
      <c r="N137" s="101">
        <v>0</v>
      </c>
      <c r="O137" s="101" t="s">
        <v>392</v>
      </c>
      <c r="P137" s="101">
        <v>0</v>
      </c>
      <c r="Q137" s="101">
        <v>0</v>
      </c>
      <c r="R137" s="101" t="s">
        <v>422</v>
      </c>
      <c r="S137" s="101" t="s">
        <v>617</v>
      </c>
      <c r="T137" s="101" t="s">
        <v>394</v>
      </c>
      <c r="U137" s="101" t="s">
        <v>90</v>
      </c>
      <c r="V137" s="245">
        <v>13728</v>
      </c>
      <c r="W137" s="101" t="s">
        <v>445</v>
      </c>
      <c r="X137" s="101" t="s">
        <v>76</v>
      </c>
      <c r="Y137" s="101" t="s">
        <v>392</v>
      </c>
      <c r="Z137" s="101" t="s">
        <v>412</v>
      </c>
      <c r="AA137" s="101" t="s">
        <v>618</v>
      </c>
      <c r="AB137" s="101">
        <v>3101054097</v>
      </c>
      <c r="AC137" s="101" t="s">
        <v>414</v>
      </c>
      <c r="AD137" s="101" t="s">
        <v>79</v>
      </c>
      <c r="AE137" s="101" t="s">
        <v>75</v>
      </c>
      <c r="AF137" s="101" t="s">
        <v>400</v>
      </c>
      <c r="AI137" s="101" t="s">
        <v>172</v>
      </c>
    </row>
    <row r="138" spans="1:35">
      <c r="A138" s="246" t="s">
        <v>111</v>
      </c>
      <c r="B138" s="246" t="s">
        <v>66</v>
      </c>
      <c r="C138" s="246" t="s">
        <v>126</v>
      </c>
      <c r="D138" s="246" t="s">
        <v>273</v>
      </c>
      <c r="E138" s="246"/>
      <c r="F138" s="246"/>
      <c r="G138" s="132" t="s">
        <v>616</v>
      </c>
      <c r="H138" s="132" t="s">
        <v>1032</v>
      </c>
      <c r="I138" s="132">
        <v>-133391.65999999997</v>
      </c>
      <c r="J138" s="101" t="s">
        <v>889</v>
      </c>
      <c r="K138" s="245" t="s">
        <v>390</v>
      </c>
      <c r="L138" s="245">
        <v>42762</v>
      </c>
      <c r="M138" s="245" t="s">
        <v>391</v>
      </c>
      <c r="N138" s="101">
        <v>0</v>
      </c>
      <c r="O138" s="101" t="s">
        <v>392</v>
      </c>
      <c r="P138" s="101">
        <v>0</v>
      </c>
      <c r="Q138" s="101">
        <v>0</v>
      </c>
      <c r="R138" s="101" t="s">
        <v>422</v>
      </c>
      <c r="S138" s="101" t="s">
        <v>617</v>
      </c>
      <c r="T138" s="101" t="s">
        <v>394</v>
      </c>
      <c r="U138" s="101" t="s">
        <v>90</v>
      </c>
      <c r="V138" s="245">
        <v>13728</v>
      </c>
      <c r="W138" s="101" t="s">
        <v>445</v>
      </c>
      <c r="X138" s="101" t="s">
        <v>76</v>
      </c>
      <c r="Y138" s="101" t="s">
        <v>392</v>
      </c>
      <c r="Z138" s="101" t="s">
        <v>412</v>
      </c>
      <c r="AA138" s="101" t="s">
        <v>618</v>
      </c>
      <c r="AB138" s="101">
        <v>3101054097</v>
      </c>
      <c r="AC138" s="101" t="s">
        <v>414</v>
      </c>
      <c r="AD138" s="101" t="s">
        <v>79</v>
      </c>
      <c r="AE138" s="101" t="s">
        <v>75</v>
      </c>
      <c r="AF138" s="101" t="s">
        <v>400</v>
      </c>
      <c r="AI138" s="101" t="s">
        <v>172</v>
      </c>
    </row>
    <row r="139" spans="1:35">
      <c r="A139" s="246" t="s">
        <v>112</v>
      </c>
      <c r="B139" s="246" t="s">
        <v>66</v>
      </c>
      <c r="C139" s="246" t="s">
        <v>126</v>
      </c>
      <c r="D139" s="246" t="s">
        <v>270</v>
      </c>
      <c r="E139" s="246"/>
      <c r="F139" s="246"/>
      <c r="G139" s="132" t="s">
        <v>616</v>
      </c>
      <c r="H139" s="132" t="s">
        <v>1032</v>
      </c>
      <c r="I139" s="132">
        <v>-133391.65999999997</v>
      </c>
      <c r="J139" s="101" t="s">
        <v>889</v>
      </c>
      <c r="K139" s="245" t="s">
        <v>390</v>
      </c>
      <c r="L139" s="245">
        <v>42943</v>
      </c>
      <c r="M139" s="245" t="s">
        <v>391</v>
      </c>
      <c r="N139" s="101">
        <v>0</v>
      </c>
      <c r="O139" s="101" t="s">
        <v>392</v>
      </c>
      <c r="P139" s="101">
        <v>0</v>
      </c>
      <c r="Q139" s="101">
        <v>0</v>
      </c>
      <c r="R139" s="101" t="s">
        <v>422</v>
      </c>
      <c r="S139" s="101" t="s">
        <v>617</v>
      </c>
      <c r="T139" s="101" t="s">
        <v>394</v>
      </c>
      <c r="U139" s="101" t="s">
        <v>90</v>
      </c>
      <c r="V139" s="245">
        <v>13728</v>
      </c>
      <c r="W139" s="101" t="s">
        <v>445</v>
      </c>
      <c r="X139" s="101" t="s">
        <v>76</v>
      </c>
      <c r="Y139" s="101" t="s">
        <v>392</v>
      </c>
      <c r="Z139" s="101" t="s">
        <v>412</v>
      </c>
      <c r="AA139" s="101" t="s">
        <v>618</v>
      </c>
      <c r="AB139" s="101">
        <v>3101054097</v>
      </c>
      <c r="AC139" s="101" t="s">
        <v>414</v>
      </c>
      <c r="AD139" s="101" t="s">
        <v>79</v>
      </c>
      <c r="AE139" s="101" t="s">
        <v>75</v>
      </c>
      <c r="AF139" s="101" t="s">
        <v>400</v>
      </c>
      <c r="AI139" s="101" t="s">
        <v>172</v>
      </c>
    </row>
    <row r="140" spans="1:35">
      <c r="A140" s="246" t="s">
        <v>113</v>
      </c>
      <c r="B140" s="246" t="s">
        <v>66</v>
      </c>
      <c r="C140" s="246" t="s">
        <v>126</v>
      </c>
      <c r="D140" s="246" t="s">
        <v>271</v>
      </c>
      <c r="E140" s="246"/>
      <c r="F140" s="246"/>
      <c r="G140" s="132" t="s">
        <v>616</v>
      </c>
      <c r="H140" s="132" t="s">
        <v>1032</v>
      </c>
      <c r="I140" s="132">
        <v>-133391.65999999997</v>
      </c>
      <c r="J140" s="101" t="s">
        <v>889</v>
      </c>
      <c r="K140" s="245" t="s">
        <v>390</v>
      </c>
      <c r="L140" s="245">
        <v>43129</v>
      </c>
      <c r="M140" s="245" t="s">
        <v>391</v>
      </c>
      <c r="N140" s="101">
        <v>0</v>
      </c>
      <c r="O140" s="101" t="s">
        <v>392</v>
      </c>
      <c r="P140" s="101">
        <v>0</v>
      </c>
      <c r="Q140" s="101">
        <v>0</v>
      </c>
      <c r="R140" s="101" t="s">
        <v>422</v>
      </c>
      <c r="S140" s="101" t="s">
        <v>617</v>
      </c>
      <c r="T140" s="101" t="s">
        <v>394</v>
      </c>
      <c r="U140" s="101" t="s">
        <v>90</v>
      </c>
      <c r="V140" s="245">
        <v>13728</v>
      </c>
      <c r="W140" s="101" t="s">
        <v>445</v>
      </c>
      <c r="X140" s="101" t="s">
        <v>76</v>
      </c>
      <c r="Y140" s="101" t="s">
        <v>392</v>
      </c>
      <c r="Z140" s="101" t="s">
        <v>412</v>
      </c>
      <c r="AA140" s="101" t="s">
        <v>618</v>
      </c>
      <c r="AB140" s="101">
        <v>3101054097</v>
      </c>
      <c r="AC140" s="101" t="s">
        <v>414</v>
      </c>
      <c r="AD140" s="101" t="s">
        <v>79</v>
      </c>
      <c r="AE140" s="101" t="s">
        <v>75</v>
      </c>
      <c r="AF140" s="101" t="s">
        <v>400</v>
      </c>
      <c r="AI140" s="101" t="s">
        <v>172</v>
      </c>
    </row>
    <row r="141" spans="1:35">
      <c r="A141" s="246" t="s">
        <v>109</v>
      </c>
      <c r="B141" s="246" t="s">
        <v>66</v>
      </c>
      <c r="C141" s="246" t="s">
        <v>126</v>
      </c>
      <c r="D141" s="246" t="s">
        <v>272</v>
      </c>
      <c r="E141" s="246"/>
      <c r="F141" s="246"/>
      <c r="G141" s="132">
        <v>167500</v>
      </c>
      <c r="H141" s="132" t="s">
        <v>1033</v>
      </c>
      <c r="I141" s="132">
        <v>167499.99999999997</v>
      </c>
      <c r="J141" s="101" t="s">
        <v>889</v>
      </c>
      <c r="K141" s="245" t="s">
        <v>390</v>
      </c>
      <c r="L141" s="245">
        <v>42536</v>
      </c>
      <c r="M141" s="245" t="s">
        <v>391</v>
      </c>
      <c r="N141" s="101">
        <v>0</v>
      </c>
      <c r="O141" s="101" t="s">
        <v>392</v>
      </c>
      <c r="P141" s="101">
        <v>0</v>
      </c>
      <c r="Q141" s="101">
        <v>0</v>
      </c>
      <c r="R141" s="101" t="s">
        <v>450</v>
      </c>
      <c r="S141" s="101">
        <v>193021</v>
      </c>
      <c r="T141" s="101" t="s">
        <v>394</v>
      </c>
      <c r="V141" s="245">
        <v>42536</v>
      </c>
      <c r="W141" s="101" t="s">
        <v>441</v>
      </c>
      <c r="X141" s="101" t="s">
        <v>76</v>
      </c>
      <c r="Y141" s="101" t="s">
        <v>392</v>
      </c>
      <c r="Z141" s="101" t="s">
        <v>430</v>
      </c>
      <c r="AA141" s="101" t="s">
        <v>531</v>
      </c>
      <c r="AB141" s="101">
        <v>3101053435</v>
      </c>
      <c r="AC141" s="101" t="s">
        <v>431</v>
      </c>
      <c r="AD141" s="101" t="s">
        <v>431</v>
      </c>
      <c r="AE141" s="101" t="s">
        <v>75</v>
      </c>
      <c r="AF141" s="101" t="s">
        <v>400</v>
      </c>
      <c r="AG141" s="101" t="s">
        <v>532</v>
      </c>
      <c r="AI141" s="101" t="s">
        <v>760</v>
      </c>
    </row>
    <row r="142" spans="1:35">
      <c r="A142" s="246" t="s">
        <v>109</v>
      </c>
      <c r="B142" s="246" t="s">
        <v>66</v>
      </c>
      <c r="C142" s="246" t="s">
        <v>116</v>
      </c>
      <c r="D142" s="246" t="s">
        <v>338</v>
      </c>
      <c r="E142" s="246"/>
      <c r="F142" s="246"/>
      <c r="G142" s="132">
        <v>67000000</v>
      </c>
      <c r="H142" s="132" t="s">
        <v>1034</v>
      </c>
      <c r="I142" s="132">
        <v>66999999.999999993</v>
      </c>
      <c r="J142" s="101" t="s">
        <v>889</v>
      </c>
      <c r="K142" s="245" t="s">
        <v>390</v>
      </c>
      <c r="L142" s="245">
        <v>42536</v>
      </c>
      <c r="M142" s="245" t="s">
        <v>421</v>
      </c>
      <c r="N142" s="101">
        <v>0</v>
      </c>
      <c r="O142" s="101" t="s">
        <v>392</v>
      </c>
      <c r="P142" s="101">
        <v>0</v>
      </c>
      <c r="Q142" s="101">
        <v>0</v>
      </c>
      <c r="R142" s="101" t="s">
        <v>450</v>
      </c>
      <c r="S142" s="101">
        <v>193021</v>
      </c>
      <c r="T142" s="101" t="s">
        <v>394</v>
      </c>
      <c r="V142" s="245">
        <v>42536</v>
      </c>
      <c r="W142" s="101" t="s">
        <v>441</v>
      </c>
      <c r="X142" s="101" t="s">
        <v>76</v>
      </c>
      <c r="Y142" s="101" t="s">
        <v>392</v>
      </c>
      <c r="Z142" s="101" t="s">
        <v>430</v>
      </c>
      <c r="AA142" s="101" t="s">
        <v>531</v>
      </c>
      <c r="AB142" s="101">
        <v>3101053435</v>
      </c>
      <c r="AC142" s="101" t="s">
        <v>431</v>
      </c>
      <c r="AD142" s="101" t="s">
        <v>431</v>
      </c>
      <c r="AE142" s="101" t="s">
        <v>75</v>
      </c>
      <c r="AF142" s="101" t="s">
        <v>400</v>
      </c>
      <c r="AG142" s="101" t="s">
        <v>532</v>
      </c>
      <c r="AI142" s="101" t="s">
        <v>760</v>
      </c>
    </row>
    <row r="143" spans="1:35">
      <c r="A143" s="246" t="s">
        <v>103</v>
      </c>
      <c r="B143" s="246" t="s">
        <v>66</v>
      </c>
      <c r="C143" s="246" t="s">
        <v>126</v>
      </c>
      <c r="D143" s="246" t="s">
        <v>1774</v>
      </c>
      <c r="E143" s="246"/>
      <c r="F143" s="246"/>
      <c r="G143" s="132">
        <v>2187500</v>
      </c>
      <c r="H143" s="132" t="s">
        <v>1035</v>
      </c>
      <c r="I143" s="132">
        <v>2187500</v>
      </c>
      <c r="J143" s="101" t="s">
        <v>889</v>
      </c>
      <c r="K143" s="245" t="s">
        <v>390</v>
      </c>
      <c r="L143" s="245">
        <v>42506</v>
      </c>
      <c r="M143" s="245" t="s">
        <v>391</v>
      </c>
      <c r="N143" s="101">
        <v>0</v>
      </c>
      <c r="O143" s="101" t="s">
        <v>392</v>
      </c>
      <c r="P143" s="101">
        <v>0</v>
      </c>
      <c r="Q143" s="101">
        <v>0</v>
      </c>
      <c r="R143" s="101" t="s">
        <v>438</v>
      </c>
      <c r="S143" s="101">
        <v>148891</v>
      </c>
      <c r="T143" s="101" t="s">
        <v>394</v>
      </c>
      <c r="V143" s="245">
        <v>47253</v>
      </c>
      <c r="W143" s="101" t="s">
        <v>424</v>
      </c>
      <c r="X143" s="101" t="s">
        <v>76</v>
      </c>
      <c r="Y143" s="101" t="s">
        <v>392</v>
      </c>
      <c r="Z143" s="101" t="s">
        <v>430</v>
      </c>
      <c r="AA143" s="101" t="s">
        <v>397</v>
      </c>
      <c r="AB143" s="101">
        <v>5101000018</v>
      </c>
      <c r="AC143" s="101" t="s">
        <v>431</v>
      </c>
      <c r="AD143" s="101" t="s">
        <v>431</v>
      </c>
      <c r="AE143" s="101" t="s">
        <v>75</v>
      </c>
      <c r="AF143" s="101" t="s">
        <v>400</v>
      </c>
      <c r="AG143" s="101" t="s">
        <v>427</v>
      </c>
      <c r="AI143" s="101" t="s">
        <v>760</v>
      </c>
    </row>
    <row r="144" spans="1:35">
      <c r="A144" s="246" t="s">
        <v>111</v>
      </c>
      <c r="B144" s="246" t="s">
        <v>66</v>
      </c>
      <c r="C144" s="246" t="s">
        <v>126</v>
      </c>
      <c r="D144" s="246" t="s">
        <v>273</v>
      </c>
      <c r="E144" s="246"/>
      <c r="F144" s="246"/>
      <c r="G144" s="132">
        <v>2187500</v>
      </c>
      <c r="H144" s="132" t="s">
        <v>1035</v>
      </c>
      <c r="I144" s="132">
        <v>2187500</v>
      </c>
      <c r="J144" s="101" t="s">
        <v>889</v>
      </c>
      <c r="K144" s="245" t="s">
        <v>390</v>
      </c>
      <c r="L144" s="245">
        <v>42689</v>
      </c>
      <c r="M144" s="245" t="s">
        <v>391</v>
      </c>
      <c r="N144" s="101">
        <v>0</v>
      </c>
      <c r="O144" s="101" t="s">
        <v>392</v>
      </c>
      <c r="P144" s="101">
        <v>0</v>
      </c>
      <c r="Q144" s="101">
        <v>0</v>
      </c>
      <c r="R144" s="101" t="s">
        <v>438</v>
      </c>
      <c r="S144" s="101">
        <v>148891</v>
      </c>
      <c r="T144" s="101" t="s">
        <v>394</v>
      </c>
      <c r="V144" s="245">
        <v>47253</v>
      </c>
      <c r="W144" s="101" t="s">
        <v>424</v>
      </c>
      <c r="X144" s="101" t="s">
        <v>76</v>
      </c>
      <c r="Y144" s="101" t="s">
        <v>392</v>
      </c>
      <c r="Z144" s="101" t="s">
        <v>430</v>
      </c>
      <c r="AA144" s="101" t="s">
        <v>397</v>
      </c>
      <c r="AB144" s="101">
        <v>5101000018</v>
      </c>
      <c r="AC144" s="101" t="s">
        <v>431</v>
      </c>
      <c r="AD144" s="101" t="s">
        <v>431</v>
      </c>
      <c r="AE144" s="101" t="s">
        <v>75</v>
      </c>
      <c r="AF144" s="101" t="s">
        <v>400</v>
      </c>
      <c r="AG144" s="101" t="s">
        <v>427</v>
      </c>
      <c r="AI144" s="101" t="s">
        <v>760</v>
      </c>
    </row>
    <row r="145" spans="1:35">
      <c r="A145" s="246" t="s">
        <v>112</v>
      </c>
      <c r="B145" s="246" t="s">
        <v>66</v>
      </c>
      <c r="C145" s="246" t="s">
        <v>126</v>
      </c>
      <c r="D145" s="246" t="s">
        <v>270</v>
      </c>
      <c r="E145" s="246"/>
      <c r="F145" s="246"/>
      <c r="G145" s="132">
        <v>2187500</v>
      </c>
      <c r="H145" s="132" t="s">
        <v>1035</v>
      </c>
      <c r="I145" s="132">
        <v>2187500</v>
      </c>
      <c r="J145" s="101" t="s">
        <v>889</v>
      </c>
      <c r="K145" s="245" t="s">
        <v>390</v>
      </c>
      <c r="L145" s="245">
        <v>42870</v>
      </c>
      <c r="M145" s="245" t="s">
        <v>391</v>
      </c>
      <c r="N145" s="101">
        <v>0</v>
      </c>
      <c r="O145" s="101" t="s">
        <v>392</v>
      </c>
      <c r="P145" s="101">
        <v>0</v>
      </c>
      <c r="Q145" s="101">
        <v>0</v>
      </c>
      <c r="R145" s="101" t="s">
        <v>438</v>
      </c>
      <c r="S145" s="101">
        <v>148891</v>
      </c>
      <c r="T145" s="101" t="s">
        <v>394</v>
      </c>
      <c r="V145" s="245">
        <v>47253</v>
      </c>
      <c r="W145" s="101" t="s">
        <v>424</v>
      </c>
      <c r="X145" s="101" t="s">
        <v>76</v>
      </c>
      <c r="Y145" s="101" t="s">
        <v>392</v>
      </c>
      <c r="Z145" s="101" t="s">
        <v>430</v>
      </c>
      <c r="AA145" s="101" t="s">
        <v>397</v>
      </c>
      <c r="AB145" s="101">
        <v>5101000018</v>
      </c>
      <c r="AC145" s="101" t="s">
        <v>431</v>
      </c>
      <c r="AD145" s="101" t="s">
        <v>431</v>
      </c>
      <c r="AE145" s="101" t="s">
        <v>75</v>
      </c>
      <c r="AF145" s="101" t="s">
        <v>400</v>
      </c>
      <c r="AG145" s="101" t="s">
        <v>427</v>
      </c>
      <c r="AI145" s="101" t="s">
        <v>760</v>
      </c>
    </row>
    <row r="146" spans="1:35">
      <c r="A146" s="246" t="s">
        <v>113</v>
      </c>
      <c r="B146" s="246" t="s">
        <v>66</v>
      </c>
      <c r="C146" s="246" t="s">
        <v>126</v>
      </c>
      <c r="D146" s="246" t="s">
        <v>271</v>
      </c>
      <c r="E146" s="246"/>
      <c r="F146" s="246"/>
      <c r="G146" s="132">
        <v>2187500</v>
      </c>
      <c r="H146" s="132" t="s">
        <v>1035</v>
      </c>
      <c r="I146" s="132">
        <v>2187500</v>
      </c>
      <c r="J146" s="101" t="s">
        <v>889</v>
      </c>
      <c r="K146" s="245" t="s">
        <v>390</v>
      </c>
      <c r="L146" s="245">
        <v>43054</v>
      </c>
      <c r="M146" s="245" t="s">
        <v>391</v>
      </c>
      <c r="N146" s="101">
        <v>0</v>
      </c>
      <c r="O146" s="101" t="s">
        <v>392</v>
      </c>
      <c r="P146" s="101">
        <v>0</v>
      </c>
      <c r="Q146" s="101">
        <v>0</v>
      </c>
      <c r="R146" s="101" t="s">
        <v>438</v>
      </c>
      <c r="S146" s="101">
        <v>148891</v>
      </c>
      <c r="T146" s="101" t="s">
        <v>394</v>
      </c>
      <c r="V146" s="245">
        <v>47253</v>
      </c>
      <c r="W146" s="101" t="s">
        <v>424</v>
      </c>
      <c r="X146" s="101" t="s">
        <v>76</v>
      </c>
      <c r="Y146" s="101" t="s">
        <v>392</v>
      </c>
      <c r="Z146" s="101" t="s">
        <v>430</v>
      </c>
      <c r="AA146" s="101" t="s">
        <v>397</v>
      </c>
      <c r="AB146" s="101">
        <v>5101000018</v>
      </c>
      <c r="AC146" s="101" t="s">
        <v>431</v>
      </c>
      <c r="AD146" s="101" t="s">
        <v>431</v>
      </c>
      <c r="AE146" s="101" t="s">
        <v>75</v>
      </c>
      <c r="AF146" s="101" t="s">
        <v>400</v>
      </c>
      <c r="AG146" s="101" t="s">
        <v>427</v>
      </c>
      <c r="AI146" s="101" t="s">
        <v>760</v>
      </c>
    </row>
    <row r="147" spans="1:35">
      <c r="A147" s="246" t="s">
        <v>103</v>
      </c>
      <c r="B147" s="246" t="s">
        <v>78</v>
      </c>
      <c r="C147" s="246" t="s">
        <v>126</v>
      </c>
      <c r="D147" s="246" t="s">
        <v>886</v>
      </c>
      <c r="E147" s="246" t="s">
        <v>887</v>
      </c>
      <c r="F147" s="246"/>
      <c r="G147" s="132">
        <v>-34375</v>
      </c>
      <c r="H147" s="132" t="s">
        <v>1036</v>
      </c>
      <c r="I147" s="132">
        <v>-34375</v>
      </c>
      <c r="J147" s="101" t="s">
        <v>889</v>
      </c>
      <c r="K147" s="245" t="s">
        <v>390</v>
      </c>
      <c r="L147" s="245">
        <v>42506</v>
      </c>
      <c r="M147" s="245" t="s">
        <v>391</v>
      </c>
      <c r="N147" s="101">
        <v>0</v>
      </c>
      <c r="O147" s="101" t="s">
        <v>392</v>
      </c>
      <c r="P147" s="101">
        <v>0</v>
      </c>
      <c r="Q147" s="101">
        <v>0</v>
      </c>
      <c r="R147" s="101" t="s">
        <v>438</v>
      </c>
      <c r="S147" s="101">
        <v>194030</v>
      </c>
      <c r="T147" s="101" t="s">
        <v>394</v>
      </c>
      <c r="V147" s="245">
        <v>47253</v>
      </c>
      <c r="W147" s="101" t="s">
        <v>424</v>
      </c>
      <c r="X147" s="101" t="s">
        <v>76</v>
      </c>
      <c r="Y147" s="101" t="s">
        <v>392</v>
      </c>
      <c r="Z147" s="101" t="s">
        <v>430</v>
      </c>
      <c r="AA147" s="101" t="s">
        <v>78</v>
      </c>
      <c r="AB147" s="101">
        <v>4101000279</v>
      </c>
      <c r="AC147" s="101" t="s">
        <v>431</v>
      </c>
      <c r="AD147" s="101" t="s">
        <v>431</v>
      </c>
      <c r="AE147" s="101" t="s">
        <v>75</v>
      </c>
      <c r="AF147" s="101" t="s">
        <v>400</v>
      </c>
      <c r="AG147" s="101" t="s">
        <v>427</v>
      </c>
      <c r="AI147" s="101" t="s">
        <v>760</v>
      </c>
    </row>
    <row r="148" spans="1:35">
      <c r="A148" s="246" t="s">
        <v>111</v>
      </c>
      <c r="B148" s="246" t="s">
        <v>78</v>
      </c>
      <c r="C148" s="246" t="s">
        <v>126</v>
      </c>
      <c r="D148" s="246" t="s">
        <v>768</v>
      </c>
      <c r="E148" s="246" t="s">
        <v>769</v>
      </c>
      <c r="F148" s="246"/>
      <c r="G148" s="132">
        <v>-34375</v>
      </c>
      <c r="H148" s="132" t="s">
        <v>1036</v>
      </c>
      <c r="I148" s="132">
        <v>-34375</v>
      </c>
      <c r="J148" s="101" t="s">
        <v>889</v>
      </c>
      <c r="K148" s="245" t="s">
        <v>390</v>
      </c>
      <c r="L148" s="245">
        <v>42689</v>
      </c>
      <c r="M148" s="245" t="s">
        <v>391</v>
      </c>
      <c r="N148" s="101">
        <v>0</v>
      </c>
      <c r="O148" s="101" t="s">
        <v>392</v>
      </c>
      <c r="P148" s="101">
        <v>0</v>
      </c>
      <c r="Q148" s="101">
        <v>0</v>
      </c>
      <c r="R148" s="101" t="s">
        <v>438</v>
      </c>
      <c r="S148" s="101">
        <v>194030</v>
      </c>
      <c r="T148" s="101" t="s">
        <v>394</v>
      </c>
      <c r="V148" s="245">
        <v>47253</v>
      </c>
      <c r="W148" s="101" t="s">
        <v>424</v>
      </c>
      <c r="X148" s="101" t="s">
        <v>76</v>
      </c>
      <c r="Y148" s="101" t="s">
        <v>392</v>
      </c>
      <c r="Z148" s="101" t="s">
        <v>430</v>
      </c>
      <c r="AA148" s="101" t="s">
        <v>78</v>
      </c>
      <c r="AB148" s="101">
        <v>4101000279</v>
      </c>
      <c r="AC148" s="101" t="s">
        <v>431</v>
      </c>
      <c r="AD148" s="101" t="s">
        <v>431</v>
      </c>
      <c r="AE148" s="101" t="s">
        <v>75</v>
      </c>
      <c r="AF148" s="101" t="s">
        <v>400</v>
      </c>
      <c r="AG148" s="101" t="s">
        <v>427</v>
      </c>
      <c r="AI148" s="101" t="s">
        <v>760</v>
      </c>
    </row>
    <row r="149" spans="1:35">
      <c r="A149" s="246" t="s">
        <v>112</v>
      </c>
      <c r="B149" s="246" t="s">
        <v>78</v>
      </c>
      <c r="C149" s="246" t="s">
        <v>126</v>
      </c>
      <c r="D149" s="246" t="s">
        <v>341</v>
      </c>
      <c r="E149" s="246" t="s">
        <v>342</v>
      </c>
      <c r="F149" s="246"/>
      <c r="G149" s="132">
        <v>-34375</v>
      </c>
      <c r="H149" s="132" t="s">
        <v>1036</v>
      </c>
      <c r="I149" s="132">
        <v>-34375</v>
      </c>
      <c r="J149" s="101" t="s">
        <v>889</v>
      </c>
      <c r="K149" s="245" t="s">
        <v>390</v>
      </c>
      <c r="L149" s="245">
        <v>42870</v>
      </c>
      <c r="M149" s="245" t="s">
        <v>391</v>
      </c>
      <c r="N149" s="101">
        <v>0</v>
      </c>
      <c r="O149" s="101" t="s">
        <v>392</v>
      </c>
      <c r="P149" s="101">
        <v>0</v>
      </c>
      <c r="Q149" s="101">
        <v>0</v>
      </c>
      <c r="R149" s="101" t="s">
        <v>438</v>
      </c>
      <c r="S149" s="101">
        <v>194030</v>
      </c>
      <c r="T149" s="101" t="s">
        <v>394</v>
      </c>
      <c r="V149" s="245">
        <v>47253</v>
      </c>
      <c r="W149" s="101" t="s">
        <v>424</v>
      </c>
      <c r="X149" s="101" t="s">
        <v>76</v>
      </c>
      <c r="Y149" s="101" t="s">
        <v>392</v>
      </c>
      <c r="Z149" s="101" t="s">
        <v>430</v>
      </c>
      <c r="AA149" s="101" t="s">
        <v>78</v>
      </c>
      <c r="AB149" s="101">
        <v>4101000279</v>
      </c>
      <c r="AC149" s="101" t="s">
        <v>431</v>
      </c>
      <c r="AD149" s="101" t="s">
        <v>431</v>
      </c>
      <c r="AE149" s="101" t="s">
        <v>75</v>
      </c>
      <c r="AF149" s="101" t="s">
        <v>400</v>
      </c>
      <c r="AG149" s="101" t="s">
        <v>427</v>
      </c>
      <c r="AI149" s="101" t="s">
        <v>760</v>
      </c>
    </row>
    <row r="150" spans="1:35">
      <c r="A150" s="246" t="s">
        <v>113</v>
      </c>
      <c r="B150" s="246" t="s">
        <v>78</v>
      </c>
      <c r="C150" s="246" t="s">
        <v>126</v>
      </c>
      <c r="D150" s="246" t="s">
        <v>339</v>
      </c>
      <c r="E150" s="246" t="s">
        <v>340</v>
      </c>
      <c r="F150" s="246"/>
      <c r="G150" s="132">
        <v>-34375</v>
      </c>
      <c r="H150" s="132" t="s">
        <v>1036</v>
      </c>
      <c r="I150" s="132">
        <v>-34375</v>
      </c>
      <c r="J150" s="101" t="s">
        <v>889</v>
      </c>
      <c r="K150" s="245" t="s">
        <v>390</v>
      </c>
      <c r="L150" s="245">
        <v>43054</v>
      </c>
      <c r="M150" s="245" t="s">
        <v>391</v>
      </c>
      <c r="N150" s="101">
        <v>0</v>
      </c>
      <c r="O150" s="101" t="s">
        <v>392</v>
      </c>
      <c r="P150" s="101">
        <v>0</v>
      </c>
      <c r="Q150" s="101">
        <v>0</v>
      </c>
      <c r="R150" s="101" t="s">
        <v>438</v>
      </c>
      <c r="S150" s="101">
        <v>194030</v>
      </c>
      <c r="T150" s="101" t="s">
        <v>394</v>
      </c>
      <c r="V150" s="245">
        <v>47253</v>
      </c>
      <c r="W150" s="101" t="s">
        <v>424</v>
      </c>
      <c r="X150" s="101" t="s">
        <v>76</v>
      </c>
      <c r="Y150" s="101" t="s">
        <v>392</v>
      </c>
      <c r="Z150" s="101" t="s">
        <v>430</v>
      </c>
      <c r="AA150" s="101" t="s">
        <v>78</v>
      </c>
      <c r="AB150" s="101">
        <v>4101000279</v>
      </c>
      <c r="AC150" s="101" t="s">
        <v>431</v>
      </c>
      <c r="AD150" s="101" t="s">
        <v>431</v>
      </c>
      <c r="AE150" s="101" t="s">
        <v>75</v>
      </c>
      <c r="AF150" s="101" t="s">
        <v>400</v>
      </c>
      <c r="AG150" s="101" t="s">
        <v>427</v>
      </c>
      <c r="AI150" s="101" t="s">
        <v>760</v>
      </c>
    </row>
    <row r="151" spans="1:35">
      <c r="A151" s="246" t="s">
        <v>110</v>
      </c>
      <c r="B151" s="246" t="s">
        <v>66</v>
      </c>
      <c r="C151" s="246" t="s">
        <v>265</v>
      </c>
      <c r="D151" s="246" t="s">
        <v>283</v>
      </c>
      <c r="E151" s="246"/>
      <c r="F151" s="246"/>
      <c r="G151" s="132" t="s">
        <v>874</v>
      </c>
      <c r="H151" s="132" t="s">
        <v>1037</v>
      </c>
      <c r="I151" s="132">
        <v>35948.199999999997</v>
      </c>
      <c r="J151" s="101" t="s">
        <v>889</v>
      </c>
      <c r="K151" s="245" t="s">
        <v>390</v>
      </c>
      <c r="L151" s="245">
        <v>42608</v>
      </c>
      <c r="M151" s="245" t="s">
        <v>421</v>
      </c>
      <c r="N151" s="101">
        <v>0</v>
      </c>
      <c r="O151" s="101" t="s">
        <v>392</v>
      </c>
      <c r="P151" s="101">
        <v>0</v>
      </c>
      <c r="Q151" s="101">
        <v>0</v>
      </c>
      <c r="R151" s="101" t="s">
        <v>453</v>
      </c>
      <c r="S151" s="101" t="s">
        <v>473</v>
      </c>
      <c r="T151" s="101" t="s">
        <v>394</v>
      </c>
      <c r="U151" s="101" t="s">
        <v>85</v>
      </c>
      <c r="V151" s="245">
        <v>14854</v>
      </c>
      <c r="W151" s="101" t="s">
        <v>411</v>
      </c>
      <c r="X151" s="101" t="s">
        <v>77</v>
      </c>
      <c r="Y151" s="101" t="s">
        <v>392</v>
      </c>
      <c r="Z151" s="101" t="s">
        <v>412</v>
      </c>
      <c r="AA151" s="101" t="s">
        <v>474</v>
      </c>
      <c r="AB151" s="101">
        <v>101000310</v>
      </c>
      <c r="AC151" s="101" t="s">
        <v>414</v>
      </c>
      <c r="AD151" s="101" t="s">
        <v>79</v>
      </c>
      <c r="AE151" s="101" t="s">
        <v>75</v>
      </c>
      <c r="AF151" s="101" t="s">
        <v>400</v>
      </c>
      <c r="AI151" s="101" t="s">
        <v>190</v>
      </c>
    </row>
    <row r="152" spans="1:35">
      <c r="A152" s="246" t="s">
        <v>110</v>
      </c>
      <c r="B152" s="246" t="s">
        <v>66</v>
      </c>
      <c r="C152" s="246" t="s">
        <v>126</v>
      </c>
      <c r="D152" s="246" t="s">
        <v>281</v>
      </c>
      <c r="E152" s="246"/>
      <c r="F152" s="246"/>
      <c r="G152" s="132" t="s">
        <v>873</v>
      </c>
      <c r="H152" s="132" t="s">
        <v>1038</v>
      </c>
      <c r="I152" s="132">
        <v>-4333.9399999999996</v>
      </c>
      <c r="J152" s="101" t="s">
        <v>889</v>
      </c>
      <c r="K152" s="245" t="s">
        <v>390</v>
      </c>
      <c r="L152" s="245">
        <v>42614</v>
      </c>
      <c r="M152" s="245" t="s">
        <v>391</v>
      </c>
      <c r="N152" s="101">
        <v>0</v>
      </c>
      <c r="O152" s="101" t="s">
        <v>392</v>
      </c>
      <c r="P152" s="101">
        <v>0</v>
      </c>
      <c r="Q152" s="101">
        <v>0</v>
      </c>
      <c r="R152" s="101" t="s">
        <v>444</v>
      </c>
      <c r="S152" s="101" t="s">
        <v>473</v>
      </c>
      <c r="T152" s="101" t="s">
        <v>394</v>
      </c>
      <c r="U152" s="101" t="s">
        <v>85</v>
      </c>
      <c r="V152" s="245">
        <v>14854</v>
      </c>
      <c r="W152" s="101" t="s">
        <v>411</v>
      </c>
      <c r="X152" s="101" t="s">
        <v>77</v>
      </c>
      <c r="Y152" s="101" t="s">
        <v>392</v>
      </c>
      <c r="Z152" s="101" t="s">
        <v>412</v>
      </c>
      <c r="AA152" s="101" t="s">
        <v>474</v>
      </c>
      <c r="AB152" s="101">
        <v>101000310</v>
      </c>
      <c r="AC152" s="101" t="s">
        <v>414</v>
      </c>
      <c r="AD152" s="101" t="s">
        <v>79</v>
      </c>
      <c r="AE152" s="101" t="s">
        <v>75</v>
      </c>
      <c r="AF152" s="101" t="s">
        <v>400</v>
      </c>
      <c r="AI152" s="101" t="s">
        <v>190</v>
      </c>
    </row>
    <row r="153" spans="1:35">
      <c r="A153" s="246" t="s">
        <v>111</v>
      </c>
      <c r="B153" s="246" t="s">
        <v>66</v>
      </c>
      <c r="C153" s="246" t="s">
        <v>126</v>
      </c>
      <c r="D153" s="246" t="s">
        <v>273</v>
      </c>
      <c r="E153" s="246"/>
      <c r="F153" s="246"/>
      <c r="G153" s="132" t="s">
        <v>475</v>
      </c>
      <c r="H153" s="132" t="s">
        <v>1039</v>
      </c>
      <c r="I153" s="132">
        <v>-4404.33</v>
      </c>
      <c r="J153" s="101" t="s">
        <v>889</v>
      </c>
      <c r="K153" s="245" t="s">
        <v>390</v>
      </c>
      <c r="L153" s="245">
        <v>42795</v>
      </c>
      <c r="M153" s="245" t="s">
        <v>391</v>
      </c>
      <c r="N153" s="101">
        <v>0</v>
      </c>
      <c r="O153" s="101" t="s">
        <v>392</v>
      </c>
      <c r="P153" s="101">
        <v>0</v>
      </c>
      <c r="Q153" s="101">
        <v>0</v>
      </c>
      <c r="R153" s="101" t="s">
        <v>444</v>
      </c>
      <c r="S153" s="101" t="s">
        <v>473</v>
      </c>
      <c r="T153" s="101" t="s">
        <v>394</v>
      </c>
      <c r="U153" s="101" t="s">
        <v>85</v>
      </c>
      <c r="V153" s="245">
        <v>14854</v>
      </c>
      <c r="W153" s="101" t="s">
        <v>411</v>
      </c>
      <c r="X153" s="101" t="s">
        <v>77</v>
      </c>
      <c r="Y153" s="101" t="s">
        <v>392</v>
      </c>
      <c r="Z153" s="101" t="s">
        <v>412</v>
      </c>
      <c r="AA153" s="101" t="s">
        <v>474</v>
      </c>
      <c r="AB153" s="101">
        <v>101000310</v>
      </c>
      <c r="AC153" s="101" t="s">
        <v>414</v>
      </c>
      <c r="AD153" s="101" t="s">
        <v>79</v>
      </c>
      <c r="AE153" s="101" t="s">
        <v>75</v>
      </c>
      <c r="AF153" s="101" t="s">
        <v>400</v>
      </c>
      <c r="AI153" s="101" t="s">
        <v>190</v>
      </c>
    </row>
    <row r="154" spans="1:35">
      <c r="A154" s="246" t="s">
        <v>112</v>
      </c>
      <c r="B154" s="246" t="s">
        <v>66</v>
      </c>
      <c r="C154" s="246" t="s">
        <v>126</v>
      </c>
      <c r="D154" s="246" t="s">
        <v>270</v>
      </c>
      <c r="E154" s="246"/>
      <c r="F154" s="246"/>
      <c r="G154" s="132" t="s">
        <v>476</v>
      </c>
      <c r="H154" s="132" t="s">
        <v>1040</v>
      </c>
      <c r="I154" s="132">
        <v>-4477.33</v>
      </c>
      <c r="J154" s="101" t="s">
        <v>889</v>
      </c>
      <c r="K154" s="245" t="s">
        <v>390</v>
      </c>
      <c r="L154" s="245">
        <v>42979</v>
      </c>
      <c r="M154" s="245" t="s">
        <v>391</v>
      </c>
      <c r="N154" s="101">
        <v>0</v>
      </c>
      <c r="O154" s="101" t="s">
        <v>392</v>
      </c>
      <c r="P154" s="101">
        <v>0</v>
      </c>
      <c r="Q154" s="101">
        <v>0</v>
      </c>
      <c r="R154" s="101" t="s">
        <v>444</v>
      </c>
      <c r="S154" s="101" t="s">
        <v>473</v>
      </c>
      <c r="T154" s="101" t="s">
        <v>394</v>
      </c>
      <c r="U154" s="101" t="s">
        <v>85</v>
      </c>
      <c r="V154" s="245">
        <v>14854</v>
      </c>
      <c r="W154" s="101" t="s">
        <v>411</v>
      </c>
      <c r="X154" s="101" t="s">
        <v>77</v>
      </c>
      <c r="Y154" s="101" t="s">
        <v>392</v>
      </c>
      <c r="Z154" s="101" t="s">
        <v>412</v>
      </c>
      <c r="AA154" s="101" t="s">
        <v>474</v>
      </c>
      <c r="AB154" s="101">
        <v>101000310</v>
      </c>
      <c r="AC154" s="101" t="s">
        <v>414</v>
      </c>
      <c r="AD154" s="101" t="s">
        <v>79</v>
      </c>
      <c r="AE154" s="101" t="s">
        <v>75</v>
      </c>
      <c r="AF154" s="101" t="s">
        <v>400</v>
      </c>
      <c r="AI154" s="101" t="s">
        <v>190</v>
      </c>
    </row>
    <row r="155" spans="1:35">
      <c r="A155" s="246" t="s">
        <v>113</v>
      </c>
      <c r="B155" s="246" t="s">
        <v>66</v>
      </c>
      <c r="C155" s="246" t="s">
        <v>126</v>
      </c>
      <c r="D155" s="246" t="s">
        <v>271</v>
      </c>
      <c r="E155" s="246"/>
      <c r="F155" s="246"/>
      <c r="G155" s="132" t="s">
        <v>475</v>
      </c>
      <c r="H155" s="132" t="s">
        <v>1039</v>
      </c>
      <c r="I155" s="132">
        <v>-4404.33</v>
      </c>
      <c r="J155" s="101" t="s">
        <v>889</v>
      </c>
      <c r="K155" s="245" t="s">
        <v>390</v>
      </c>
      <c r="L155" s="245">
        <v>43160</v>
      </c>
      <c r="M155" s="245" t="s">
        <v>391</v>
      </c>
      <c r="N155" s="101">
        <v>0</v>
      </c>
      <c r="O155" s="101" t="s">
        <v>392</v>
      </c>
      <c r="P155" s="101">
        <v>0</v>
      </c>
      <c r="Q155" s="101">
        <v>0</v>
      </c>
      <c r="R155" s="101" t="s">
        <v>444</v>
      </c>
      <c r="S155" s="101" t="s">
        <v>473</v>
      </c>
      <c r="T155" s="101" t="s">
        <v>394</v>
      </c>
      <c r="U155" s="101" t="s">
        <v>85</v>
      </c>
      <c r="V155" s="245">
        <v>14854</v>
      </c>
      <c r="W155" s="101" t="s">
        <v>411</v>
      </c>
      <c r="X155" s="101" t="s">
        <v>77</v>
      </c>
      <c r="Y155" s="101" t="s">
        <v>392</v>
      </c>
      <c r="Z155" s="101" t="s">
        <v>412</v>
      </c>
      <c r="AA155" s="101" t="s">
        <v>474</v>
      </c>
      <c r="AB155" s="101">
        <v>101000310</v>
      </c>
      <c r="AC155" s="101" t="s">
        <v>414</v>
      </c>
      <c r="AD155" s="101" t="s">
        <v>79</v>
      </c>
      <c r="AE155" s="101" t="s">
        <v>75</v>
      </c>
      <c r="AF155" s="101" t="s">
        <v>400</v>
      </c>
      <c r="AI155" s="101" t="s">
        <v>190</v>
      </c>
    </row>
    <row r="156" spans="1:35">
      <c r="A156" s="246" t="s">
        <v>113</v>
      </c>
      <c r="B156" s="246" t="s">
        <v>66</v>
      </c>
      <c r="C156" s="246" t="s">
        <v>126</v>
      </c>
      <c r="D156" s="246" t="s">
        <v>271</v>
      </c>
      <c r="E156" s="246"/>
      <c r="F156" s="246" t="s">
        <v>279</v>
      </c>
      <c r="G156" s="132" t="s">
        <v>1041</v>
      </c>
      <c r="H156" s="132" t="s">
        <v>1042</v>
      </c>
      <c r="I156" s="132">
        <v>-25.71</v>
      </c>
      <c r="J156" s="101" t="s">
        <v>889</v>
      </c>
      <c r="K156" s="245" t="s">
        <v>390</v>
      </c>
      <c r="L156" s="245">
        <v>43098</v>
      </c>
      <c r="M156" s="245" t="s">
        <v>391</v>
      </c>
      <c r="N156" s="101">
        <v>0</v>
      </c>
      <c r="O156" s="101" t="s">
        <v>392</v>
      </c>
      <c r="P156" s="101">
        <v>0</v>
      </c>
      <c r="Q156" s="101">
        <v>0</v>
      </c>
      <c r="R156" s="101" t="s">
        <v>393</v>
      </c>
      <c r="S156" s="101" t="s">
        <v>630</v>
      </c>
      <c r="T156" s="101" t="s">
        <v>394</v>
      </c>
      <c r="V156" s="245">
        <v>46387</v>
      </c>
      <c r="W156" s="101" t="s">
        <v>395</v>
      </c>
      <c r="X156" s="101" t="s">
        <v>77</v>
      </c>
      <c r="Y156" s="101" t="s">
        <v>392</v>
      </c>
      <c r="Z156" s="101" t="s">
        <v>393</v>
      </c>
      <c r="AA156" s="101" t="s">
        <v>631</v>
      </c>
      <c r="AB156" s="101">
        <v>101000580</v>
      </c>
      <c r="AC156" s="101" t="s">
        <v>398</v>
      </c>
      <c r="AD156" s="101" t="s">
        <v>399</v>
      </c>
      <c r="AE156" s="101" t="s">
        <v>6</v>
      </c>
      <c r="AF156" s="101" t="s">
        <v>400</v>
      </c>
      <c r="AI156" s="101" t="s">
        <v>760</v>
      </c>
    </row>
    <row r="157" spans="1:35">
      <c r="A157" s="246" t="s">
        <v>113</v>
      </c>
      <c r="B157" s="246" t="s">
        <v>66</v>
      </c>
      <c r="C157" s="246" t="s">
        <v>126</v>
      </c>
      <c r="D157" s="246" t="s">
        <v>271</v>
      </c>
      <c r="E157" s="246"/>
      <c r="F157" s="246" t="s">
        <v>279</v>
      </c>
      <c r="G157" s="132" t="s">
        <v>1043</v>
      </c>
      <c r="H157" s="132" t="s">
        <v>1044</v>
      </c>
      <c r="I157" s="132">
        <v>-2317.27</v>
      </c>
      <c r="J157" s="101" t="s">
        <v>889</v>
      </c>
      <c r="K157" s="245" t="s">
        <v>390</v>
      </c>
      <c r="L157" s="245">
        <v>43188</v>
      </c>
      <c r="M157" s="245" t="s">
        <v>391</v>
      </c>
      <c r="N157" s="101">
        <v>0</v>
      </c>
      <c r="O157" s="101" t="s">
        <v>392</v>
      </c>
      <c r="P157" s="101">
        <v>0</v>
      </c>
      <c r="Q157" s="101">
        <v>0</v>
      </c>
      <c r="R157" s="101" t="s">
        <v>393</v>
      </c>
      <c r="S157" s="101" t="s">
        <v>630</v>
      </c>
      <c r="T157" s="101" t="s">
        <v>394</v>
      </c>
      <c r="V157" s="245">
        <v>46387</v>
      </c>
      <c r="W157" s="101" t="s">
        <v>395</v>
      </c>
      <c r="X157" s="101" t="s">
        <v>77</v>
      </c>
      <c r="Y157" s="101" t="s">
        <v>392</v>
      </c>
      <c r="Z157" s="101" t="s">
        <v>393</v>
      </c>
      <c r="AA157" s="101" t="s">
        <v>631</v>
      </c>
      <c r="AB157" s="101">
        <v>101000580</v>
      </c>
      <c r="AC157" s="101" t="s">
        <v>398</v>
      </c>
      <c r="AD157" s="101" t="s">
        <v>399</v>
      </c>
      <c r="AE157" s="101" t="s">
        <v>6</v>
      </c>
      <c r="AF157" s="101" t="s">
        <v>400</v>
      </c>
      <c r="AI157" s="101" t="s">
        <v>760</v>
      </c>
    </row>
    <row r="158" spans="1:35">
      <c r="A158" s="246" t="s">
        <v>113</v>
      </c>
      <c r="B158" s="246" t="s">
        <v>66</v>
      </c>
      <c r="C158" s="246" t="s">
        <v>126</v>
      </c>
      <c r="D158" s="246" t="s">
        <v>271</v>
      </c>
      <c r="E158" s="246"/>
      <c r="F158" s="246" t="s">
        <v>279</v>
      </c>
      <c r="G158" s="132" t="s">
        <v>401</v>
      </c>
      <c r="H158" s="132" t="s">
        <v>1045</v>
      </c>
      <c r="I158" s="132">
        <v>169.53</v>
      </c>
      <c r="J158" s="101" t="s">
        <v>889</v>
      </c>
      <c r="K158" s="245" t="s">
        <v>390</v>
      </c>
      <c r="L158" s="245">
        <v>43098</v>
      </c>
      <c r="M158" s="245" t="s">
        <v>391</v>
      </c>
      <c r="N158" s="101">
        <v>0</v>
      </c>
      <c r="O158" s="101" t="s">
        <v>392</v>
      </c>
      <c r="P158" s="101">
        <v>0</v>
      </c>
      <c r="Q158" s="101">
        <v>0</v>
      </c>
      <c r="R158" s="101" t="s">
        <v>393</v>
      </c>
      <c r="S158" s="101" t="s">
        <v>630</v>
      </c>
      <c r="T158" s="101" t="s">
        <v>394</v>
      </c>
      <c r="V158" s="245">
        <v>46387</v>
      </c>
      <c r="W158" s="101" t="s">
        <v>395</v>
      </c>
      <c r="X158" s="101" t="s">
        <v>77</v>
      </c>
      <c r="Y158" s="101" t="s">
        <v>392</v>
      </c>
      <c r="Z158" s="101" t="s">
        <v>393</v>
      </c>
      <c r="AA158" s="101" t="s">
        <v>631</v>
      </c>
      <c r="AB158" s="101">
        <v>101000580</v>
      </c>
      <c r="AC158" s="101" t="s">
        <v>398</v>
      </c>
      <c r="AD158" s="101" t="s">
        <v>399</v>
      </c>
      <c r="AE158" s="101" t="s">
        <v>6</v>
      </c>
      <c r="AF158" s="101" t="s">
        <v>400</v>
      </c>
      <c r="AI158" s="101" t="s">
        <v>760</v>
      </c>
    </row>
    <row r="159" spans="1:35">
      <c r="A159" s="246" t="s">
        <v>107</v>
      </c>
      <c r="B159" s="246" t="s">
        <v>78</v>
      </c>
      <c r="C159" s="246" t="s">
        <v>126</v>
      </c>
      <c r="D159" s="246" t="s">
        <v>772</v>
      </c>
      <c r="E159" s="246" t="s">
        <v>773</v>
      </c>
      <c r="F159" s="246" t="s">
        <v>334</v>
      </c>
      <c r="G159" s="132" t="s">
        <v>826</v>
      </c>
      <c r="H159" s="132" t="s">
        <v>1046</v>
      </c>
      <c r="I159" s="132">
        <v>536.09</v>
      </c>
      <c r="J159" s="101" t="s">
        <v>889</v>
      </c>
      <c r="K159" s="245" t="s">
        <v>390</v>
      </c>
      <c r="L159" s="245">
        <v>42521</v>
      </c>
      <c r="M159" s="245" t="s">
        <v>391</v>
      </c>
      <c r="N159" s="101">
        <v>0</v>
      </c>
      <c r="O159" s="101" t="s">
        <v>392</v>
      </c>
      <c r="P159" s="101">
        <v>0</v>
      </c>
      <c r="Q159" s="101">
        <v>0</v>
      </c>
      <c r="R159" s="101" t="s">
        <v>393</v>
      </c>
      <c r="S159" s="101" t="s">
        <v>818</v>
      </c>
      <c r="T159" s="101" t="s">
        <v>394</v>
      </c>
      <c r="V159" s="245">
        <v>14248</v>
      </c>
      <c r="W159" s="101" t="s">
        <v>395</v>
      </c>
      <c r="X159" s="101" t="s">
        <v>795</v>
      </c>
      <c r="Y159" s="101" t="s">
        <v>396</v>
      </c>
      <c r="Z159" s="101" t="s">
        <v>402</v>
      </c>
      <c r="AA159" s="101" t="s">
        <v>78</v>
      </c>
      <c r="AB159" s="101">
        <v>4101000279</v>
      </c>
      <c r="AC159" s="101" t="s">
        <v>398</v>
      </c>
      <c r="AD159" s="101" t="s">
        <v>403</v>
      </c>
      <c r="AE159" s="101" t="s">
        <v>6</v>
      </c>
      <c r="AF159" s="101" t="s">
        <v>400</v>
      </c>
      <c r="AI159" s="101" t="s">
        <v>760</v>
      </c>
    </row>
    <row r="160" spans="1:35">
      <c r="A160" s="246" t="s">
        <v>109</v>
      </c>
      <c r="B160" s="246" t="s">
        <v>78</v>
      </c>
      <c r="C160" s="246" t="s">
        <v>126</v>
      </c>
      <c r="D160" s="246" t="s">
        <v>337</v>
      </c>
      <c r="E160" s="246" t="s">
        <v>336</v>
      </c>
      <c r="F160" s="246" t="s">
        <v>275</v>
      </c>
      <c r="G160" s="132" t="s">
        <v>1047</v>
      </c>
      <c r="H160" s="132" t="s">
        <v>1048</v>
      </c>
      <c r="I160" s="132">
        <v>480.94</v>
      </c>
      <c r="J160" s="101" t="s">
        <v>889</v>
      </c>
      <c r="K160" s="245" t="s">
        <v>390</v>
      </c>
      <c r="L160" s="245">
        <v>42551</v>
      </c>
      <c r="M160" s="245" t="s">
        <v>391</v>
      </c>
      <c r="N160" s="101">
        <v>0</v>
      </c>
      <c r="O160" s="101" t="s">
        <v>392</v>
      </c>
      <c r="P160" s="101">
        <v>0</v>
      </c>
      <c r="Q160" s="101">
        <v>0</v>
      </c>
      <c r="R160" s="101" t="s">
        <v>393</v>
      </c>
      <c r="S160" s="101" t="s">
        <v>818</v>
      </c>
      <c r="T160" s="101" t="s">
        <v>394</v>
      </c>
      <c r="V160" s="245">
        <v>14248</v>
      </c>
      <c r="W160" s="101" t="s">
        <v>395</v>
      </c>
      <c r="X160" s="101" t="s">
        <v>795</v>
      </c>
      <c r="Y160" s="101" t="s">
        <v>396</v>
      </c>
      <c r="Z160" s="101" t="s">
        <v>402</v>
      </c>
      <c r="AA160" s="101" t="s">
        <v>78</v>
      </c>
      <c r="AB160" s="101">
        <v>4101000279</v>
      </c>
      <c r="AC160" s="101" t="s">
        <v>398</v>
      </c>
      <c r="AD160" s="101" t="s">
        <v>403</v>
      </c>
      <c r="AE160" s="101" t="s">
        <v>6</v>
      </c>
      <c r="AF160" s="101" t="s">
        <v>400</v>
      </c>
      <c r="AI160" s="101" t="s">
        <v>760</v>
      </c>
    </row>
    <row r="161" spans="1:35">
      <c r="A161" s="246" t="s">
        <v>109</v>
      </c>
      <c r="B161" s="246" t="s">
        <v>78</v>
      </c>
      <c r="C161" s="246" t="s">
        <v>126</v>
      </c>
      <c r="D161" s="246" t="s">
        <v>337</v>
      </c>
      <c r="E161" s="246" t="s">
        <v>336</v>
      </c>
      <c r="F161" s="246" t="s">
        <v>275</v>
      </c>
      <c r="G161" s="132" t="s">
        <v>1049</v>
      </c>
      <c r="H161" s="132" t="s">
        <v>1050</v>
      </c>
      <c r="I161" s="132">
        <v>237.53</v>
      </c>
      <c r="J161" s="101" t="s">
        <v>889</v>
      </c>
      <c r="K161" s="245" t="s">
        <v>390</v>
      </c>
      <c r="L161" s="245">
        <v>42580</v>
      </c>
      <c r="M161" s="245" t="s">
        <v>391</v>
      </c>
      <c r="N161" s="101">
        <v>0</v>
      </c>
      <c r="O161" s="101" t="s">
        <v>392</v>
      </c>
      <c r="P161" s="101">
        <v>0</v>
      </c>
      <c r="Q161" s="101">
        <v>0</v>
      </c>
      <c r="R161" s="101" t="s">
        <v>393</v>
      </c>
      <c r="S161" s="101" t="s">
        <v>818</v>
      </c>
      <c r="T161" s="101" t="s">
        <v>394</v>
      </c>
      <c r="V161" s="245">
        <v>14248</v>
      </c>
      <c r="W161" s="101" t="s">
        <v>395</v>
      </c>
      <c r="X161" s="101" t="s">
        <v>795</v>
      </c>
      <c r="Y161" s="101" t="s">
        <v>396</v>
      </c>
      <c r="Z161" s="101" t="s">
        <v>402</v>
      </c>
      <c r="AA161" s="101" t="s">
        <v>78</v>
      </c>
      <c r="AB161" s="101">
        <v>4101000279</v>
      </c>
      <c r="AC161" s="101" t="s">
        <v>398</v>
      </c>
      <c r="AD161" s="101" t="s">
        <v>403</v>
      </c>
      <c r="AE161" s="101" t="s">
        <v>6</v>
      </c>
      <c r="AF161" s="101" t="s">
        <v>400</v>
      </c>
      <c r="AI161" s="101" t="s">
        <v>760</v>
      </c>
    </row>
    <row r="162" spans="1:35">
      <c r="A162" s="246" t="s">
        <v>110</v>
      </c>
      <c r="B162" s="246" t="s">
        <v>78</v>
      </c>
      <c r="C162" s="246" t="s">
        <v>126</v>
      </c>
      <c r="D162" s="246" t="s">
        <v>770</v>
      </c>
      <c r="E162" s="246" t="s">
        <v>771</v>
      </c>
      <c r="F162" s="246" t="s">
        <v>276</v>
      </c>
      <c r="G162" s="132" t="s">
        <v>1051</v>
      </c>
      <c r="H162" s="132" t="s">
        <v>1052</v>
      </c>
      <c r="I162" s="132">
        <v>214.16</v>
      </c>
      <c r="J162" s="101" t="s">
        <v>889</v>
      </c>
      <c r="K162" s="245" t="s">
        <v>390</v>
      </c>
      <c r="L162" s="245">
        <v>42613</v>
      </c>
      <c r="M162" s="245" t="s">
        <v>391</v>
      </c>
      <c r="N162" s="101">
        <v>0</v>
      </c>
      <c r="O162" s="101" t="s">
        <v>392</v>
      </c>
      <c r="P162" s="101">
        <v>0</v>
      </c>
      <c r="Q162" s="101">
        <v>0</v>
      </c>
      <c r="R162" s="101" t="s">
        <v>393</v>
      </c>
      <c r="S162" s="101" t="s">
        <v>818</v>
      </c>
      <c r="T162" s="101" t="s">
        <v>394</v>
      </c>
      <c r="V162" s="245">
        <v>14248</v>
      </c>
      <c r="W162" s="101" t="s">
        <v>395</v>
      </c>
      <c r="X162" s="101" t="s">
        <v>795</v>
      </c>
      <c r="Y162" s="101" t="s">
        <v>396</v>
      </c>
      <c r="Z162" s="101" t="s">
        <v>402</v>
      </c>
      <c r="AA162" s="101" t="s">
        <v>78</v>
      </c>
      <c r="AB162" s="101">
        <v>4101000279</v>
      </c>
      <c r="AC162" s="101" t="s">
        <v>398</v>
      </c>
      <c r="AD162" s="101" t="s">
        <v>403</v>
      </c>
      <c r="AE162" s="101" t="s">
        <v>6</v>
      </c>
      <c r="AF162" s="101" t="s">
        <v>400</v>
      </c>
      <c r="AI162" s="101" t="s">
        <v>760</v>
      </c>
    </row>
    <row r="163" spans="1:35">
      <c r="A163" s="246" t="s">
        <v>110</v>
      </c>
      <c r="B163" s="246" t="s">
        <v>78</v>
      </c>
      <c r="C163" s="246" t="s">
        <v>126</v>
      </c>
      <c r="D163" s="246" t="s">
        <v>770</v>
      </c>
      <c r="E163" s="246" t="s">
        <v>771</v>
      </c>
      <c r="F163" s="246" t="s">
        <v>276</v>
      </c>
      <c r="G163" s="132">
        <v>195</v>
      </c>
      <c r="H163" s="132" t="s">
        <v>1053</v>
      </c>
      <c r="I163" s="132">
        <v>194.99999999999997</v>
      </c>
      <c r="J163" s="101" t="s">
        <v>889</v>
      </c>
      <c r="K163" s="245" t="s">
        <v>390</v>
      </c>
      <c r="L163" s="245">
        <v>42643</v>
      </c>
      <c r="M163" s="245" t="s">
        <v>391</v>
      </c>
      <c r="N163" s="101">
        <v>0</v>
      </c>
      <c r="O163" s="101" t="s">
        <v>392</v>
      </c>
      <c r="P163" s="101">
        <v>0</v>
      </c>
      <c r="Q163" s="101">
        <v>0</v>
      </c>
      <c r="R163" s="101" t="s">
        <v>393</v>
      </c>
      <c r="S163" s="101" t="s">
        <v>818</v>
      </c>
      <c r="T163" s="101" t="s">
        <v>394</v>
      </c>
      <c r="V163" s="245">
        <v>14248</v>
      </c>
      <c r="W163" s="101" t="s">
        <v>395</v>
      </c>
      <c r="X163" s="101" t="s">
        <v>795</v>
      </c>
      <c r="Y163" s="101" t="s">
        <v>396</v>
      </c>
      <c r="Z163" s="101" t="s">
        <v>402</v>
      </c>
      <c r="AA163" s="101" t="s">
        <v>78</v>
      </c>
      <c r="AB163" s="101">
        <v>4101000279</v>
      </c>
      <c r="AC163" s="101" t="s">
        <v>398</v>
      </c>
      <c r="AD163" s="101" t="s">
        <v>403</v>
      </c>
      <c r="AE163" s="101" t="s">
        <v>6</v>
      </c>
      <c r="AF163" s="101" t="s">
        <v>400</v>
      </c>
      <c r="AI163" s="101" t="s">
        <v>760</v>
      </c>
    </row>
    <row r="164" spans="1:35">
      <c r="A164" s="246" t="s">
        <v>110</v>
      </c>
      <c r="B164" s="246" t="s">
        <v>78</v>
      </c>
      <c r="C164" s="246" t="s">
        <v>126</v>
      </c>
      <c r="D164" s="246" t="s">
        <v>770</v>
      </c>
      <c r="E164" s="246" t="s">
        <v>771</v>
      </c>
      <c r="F164" s="246" t="s">
        <v>276</v>
      </c>
      <c r="G164" s="132" t="s">
        <v>1054</v>
      </c>
      <c r="H164" s="132" t="s">
        <v>1055</v>
      </c>
      <c r="I164" s="132">
        <v>201.5</v>
      </c>
      <c r="J164" s="101" t="s">
        <v>889</v>
      </c>
      <c r="K164" s="245" t="s">
        <v>390</v>
      </c>
      <c r="L164" s="245">
        <v>42674</v>
      </c>
      <c r="M164" s="245" t="s">
        <v>391</v>
      </c>
      <c r="N164" s="101">
        <v>0</v>
      </c>
      <c r="O164" s="101" t="s">
        <v>392</v>
      </c>
      <c r="P164" s="101">
        <v>0</v>
      </c>
      <c r="Q164" s="101">
        <v>0</v>
      </c>
      <c r="R164" s="101" t="s">
        <v>393</v>
      </c>
      <c r="S164" s="101" t="s">
        <v>818</v>
      </c>
      <c r="T164" s="101" t="s">
        <v>394</v>
      </c>
      <c r="V164" s="245">
        <v>14248</v>
      </c>
      <c r="W164" s="101" t="s">
        <v>395</v>
      </c>
      <c r="X164" s="101" t="s">
        <v>795</v>
      </c>
      <c r="Y164" s="101" t="s">
        <v>396</v>
      </c>
      <c r="Z164" s="101" t="s">
        <v>402</v>
      </c>
      <c r="AA164" s="101" t="s">
        <v>78</v>
      </c>
      <c r="AB164" s="101">
        <v>4101000279</v>
      </c>
      <c r="AC164" s="101" t="s">
        <v>398</v>
      </c>
      <c r="AD164" s="101" t="s">
        <v>403</v>
      </c>
      <c r="AE164" s="101" t="s">
        <v>6</v>
      </c>
      <c r="AF164" s="101" t="s">
        <v>400</v>
      </c>
      <c r="AI164" s="101" t="s">
        <v>760</v>
      </c>
    </row>
    <row r="165" spans="1:35">
      <c r="A165" s="246" t="s">
        <v>111</v>
      </c>
      <c r="B165" s="246" t="s">
        <v>78</v>
      </c>
      <c r="C165" s="246" t="s">
        <v>126</v>
      </c>
      <c r="D165" s="246" t="s">
        <v>768</v>
      </c>
      <c r="E165" s="246" t="s">
        <v>769</v>
      </c>
      <c r="F165" s="246" t="s">
        <v>277</v>
      </c>
      <c r="G165" s="132" t="s">
        <v>1056</v>
      </c>
      <c r="H165" s="132" t="s">
        <v>1057</v>
      </c>
      <c r="I165" s="132">
        <v>171.02</v>
      </c>
      <c r="J165" s="101" t="s">
        <v>889</v>
      </c>
      <c r="K165" s="245" t="s">
        <v>390</v>
      </c>
      <c r="L165" s="245">
        <v>42704</v>
      </c>
      <c r="M165" s="245" t="s">
        <v>391</v>
      </c>
      <c r="N165" s="101">
        <v>0</v>
      </c>
      <c r="O165" s="101" t="s">
        <v>392</v>
      </c>
      <c r="P165" s="101">
        <v>0</v>
      </c>
      <c r="Q165" s="101">
        <v>0</v>
      </c>
      <c r="R165" s="101" t="s">
        <v>393</v>
      </c>
      <c r="S165" s="101" t="s">
        <v>818</v>
      </c>
      <c r="T165" s="101" t="s">
        <v>394</v>
      </c>
      <c r="V165" s="245">
        <v>14248</v>
      </c>
      <c r="W165" s="101" t="s">
        <v>395</v>
      </c>
      <c r="X165" s="101" t="s">
        <v>795</v>
      </c>
      <c r="Y165" s="101" t="s">
        <v>396</v>
      </c>
      <c r="Z165" s="101" t="s">
        <v>402</v>
      </c>
      <c r="AA165" s="101" t="s">
        <v>78</v>
      </c>
      <c r="AB165" s="101">
        <v>4101000279</v>
      </c>
      <c r="AC165" s="101" t="s">
        <v>398</v>
      </c>
      <c r="AD165" s="101" t="s">
        <v>403</v>
      </c>
      <c r="AE165" s="101" t="s">
        <v>6</v>
      </c>
      <c r="AF165" s="101" t="s">
        <v>400</v>
      </c>
      <c r="AI165" s="101" t="s">
        <v>760</v>
      </c>
    </row>
    <row r="166" spans="1:35">
      <c r="A166" s="246" t="s">
        <v>111</v>
      </c>
      <c r="B166" s="246" t="s">
        <v>78</v>
      </c>
      <c r="C166" s="246" t="s">
        <v>126</v>
      </c>
      <c r="D166" s="246" t="s">
        <v>768</v>
      </c>
      <c r="E166" s="246" t="s">
        <v>769</v>
      </c>
      <c r="F166" s="246" t="s">
        <v>277</v>
      </c>
      <c r="G166" s="132" t="s">
        <v>1058</v>
      </c>
      <c r="H166" s="132" t="s">
        <v>1059</v>
      </c>
      <c r="I166" s="132">
        <v>157.76</v>
      </c>
      <c r="J166" s="101" t="s">
        <v>889</v>
      </c>
      <c r="K166" s="245" t="s">
        <v>390</v>
      </c>
      <c r="L166" s="245">
        <v>42734</v>
      </c>
      <c r="M166" s="245" t="s">
        <v>391</v>
      </c>
      <c r="N166" s="101">
        <v>0</v>
      </c>
      <c r="O166" s="101" t="s">
        <v>392</v>
      </c>
      <c r="P166" s="101">
        <v>0</v>
      </c>
      <c r="Q166" s="101">
        <v>0</v>
      </c>
      <c r="R166" s="101" t="s">
        <v>393</v>
      </c>
      <c r="S166" s="101" t="s">
        <v>818</v>
      </c>
      <c r="T166" s="101" t="s">
        <v>394</v>
      </c>
      <c r="V166" s="245">
        <v>14248</v>
      </c>
      <c r="W166" s="101" t="s">
        <v>395</v>
      </c>
      <c r="X166" s="101" t="s">
        <v>795</v>
      </c>
      <c r="Y166" s="101" t="s">
        <v>396</v>
      </c>
      <c r="Z166" s="101" t="s">
        <v>402</v>
      </c>
      <c r="AA166" s="101" t="s">
        <v>78</v>
      </c>
      <c r="AB166" s="101">
        <v>4101000279</v>
      </c>
      <c r="AC166" s="101" t="s">
        <v>398</v>
      </c>
      <c r="AD166" s="101" t="s">
        <v>403</v>
      </c>
      <c r="AE166" s="101" t="s">
        <v>6</v>
      </c>
      <c r="AF166" s="101" t="s">
        <v>400</v>
      </c>
      <c r="AI166" s="101" t="s">
        <v>760</v>
      </c>
    </row>
    <row r="167" spans="1:35">
      <c r="A167" s="246" t="s">
        <v>111</v>
      </c>
      <c r="B167" s="246" t="s">
        <v>78</v>
      </c>
      <c r="C167" s="246" t="s">
        <v>126</v>
      </c>
      <c r="D167" s="246" t="s">
        <v>768</v>
      </c>
      <c r="E167" s="246" t="s">
        <v>769</v>
      </c>
      <c r="F167" s="246" t="s">
        <v>277</v>
      </c>
      <c r="G167" s="132" t="s">
        <v>1058</v>
      </c>
      <c r="H167" s="132" t="s">
        <v>1059</v>
      </c>
      <c r="I167" s="132">
        <v>157.76</v>
      </c>
      <c r="J167" s="101" t="s">
        <v>889</v>
      </c>
      <c r="K167" s="245" t="s">
        <v>390</v>
      </c>
      <c r="L167" s="245">
        <v>42766</v>
      </c>
      <c r="M167" s="245" t="s">
        <v>391</v>
      </c>
      <c r="N167" s="101">
        <v>0</v>
      </c>
      <c r="O167" s="101" t="s">
        <v>392</v>
      </c>
      <c r="P167" s="101">
        <v>0</v>
      </c>
      <c r="Q167" s="101">
        <v>0</v>
      </c>
      <c r="R167" s="101" t="s">
        <v>393</v>
      </c>
      <c r="S167" s="101" t="s">
        <v>818</v>
      </c>
      <c r="T167" s="101" t="s">
        <v>394</v>
      </c>
      <c r="V167" s="245">
        <v>14248</v>
      </c>
      <c r="W167" s="101" t="s">
        <v>395</v>
      </c>
      <c r="X167" s="101" t="s">
        <v>795</v>
      </c>
      <c r="Y167" s="101" t="s">
        <v>396</v>
      </c>
      <c r="Z167" s="101" t="s">
        <v>402</v>
      </c>
      <c r="AA167" s="101" t="s">
        <v>78</v>
      </c>
      <c r="AB167" s="101">
        <v>4101000279</v>
      </c>
      <c r="AC167" s="101" t="s">
        <v>398</v>
      </c>
      <c r="AD167" s="101" t="s">
        <v>403</v>
      </c>
      <c r="AE167" s="101" t="s">
        <v>6</v>
      </c>
      <c r="AF167" s="101" t="s">
        <v>400</v>
      </c>
      <c r="AI167" s="101" t="s">
        <v>760</v>
      </c>
    </row>
    <row r="168" spans="1:35">
      <c r="A168" s="246" t="s">
        <v>111</v>
      </c>
      <c r="B168" s="246" t="s">
        <v>78</v>
      </c>
      <c r="C168" s="246" t="s">
        <v>126</v>
      </c>
      <c r="D168" s="246" t="s">
        <v>768</v>
      </c>
      <c r="E168" s="246" t="s">
        <v>769</v>
      </c>
      <c r="F168" s="246" t="s">
        <v>277</v>
      </c>
      <c r="G168" s="132" t="s">
        <v>1060</v>
      </c>
      <c r="H168" s="132" t="s">
        <v>1061</v>
      </c>
      <c r="I168" s="132">
        <v>116.17</v>
      </c>
      <c r="J168" s="101" t="s">
        <v>889</v>
      </c>
      <c r="K168" s="245" t="s">
        <v>390</v>
      </c>
      <c r="L168" s="245">
        <v>42794</v>
      </c>
      <c r="M168" s="245" t="s">
        <v>391</v>
      </c>
      <c r="N168" s="101">
        <v>0</v>
      </c>
      <c r="O168" s="101" t="s">
        <v>392</v>
      </c>
      <c r="P168" s="101">
        <v>0</v>
      </c>
      <c r="Q168" s="101">
        <v>0</v>
      </c>
      <c r="R168" s="101" t="s">
        <v>393</v>
      </c>
      <c r="S168" s="101" t="s">
        <v>818</v>
      </c>
      <c r="T168" s="101" t="s">
        <v>394</v>
      </c>
      <c r="V168" s="245">
        <v>14248</v>
      </c>
      <c r="W168" s="101" t="s">
        <v>395</v>
      </c>
      <c r="X168" s="101" t="s">
        <v>795</v>
      </c>
      <c r="Y168" s="101" t="s">
        <v>396</v>
      </c>
      <c r="Z168" s="101" t="s">
        <v>402</v>
      </c>
      <c r="AA168" s="101" t="s">
        <v>78</v>
      </c>
      <c r="AB168" s="101">
        <v>4101000279</v>
      </c>
      <c r="AC168" s="101" t="s">
        <v>398</v>
      </c>
      <c r="AD168" s="101" t="s">
        <v>403</v>
      </c>
      <c r="AE168" s="101" t="s">
        <v>6</v>
      </c>
      <c r="AF168" s="101" t="s">
        <v>400</v>
      </c>
      <c r="AI168" s="101" t="s">
        <v>760</v>
      </c>
    </row>
    <row r="169" spans="1:35">
      <c r="A169" s="246" t="s">
        <v>111</v>
      </c>
      <c r="B169" s="246" t="s">
        <v>78</v>
      </c>
      <c r="C169" s="246" t="s">
        <v>126</v>
      </c>
      <c r="D169" s="246" t="s">
        <v>768</v>
      </c>
      <c r="E169" s="246" t="s">
        <v>769</v>
      </c>
      <c r="F169" s="246" t="s">
        <v>277</v>
      </c>
      <c r="G169" s="132" t="s">
        <v>1062</v>
      </c>
      <c r="H169" s="132" t="s">
        <v>1063</v>
      </c>
      <c r="I169" s="132">
        <v>106.74</v>
      </c>
      <c r="J169" s="101" t="s">
        <v>889</v>
      </c>
      <c r="K169" s="245" t="s">
        <v>390</v>
      </c>
      <c r="L169" s="245">
        <v>42825</v>
      </c>
      <c r="M169" s="245" t="s">
        <v>391</v>
      </c>
      <c r="N169" s="101">
        <v>0</v>
      </c>
      <c r="O169" s="101" t="s">
        <v>392</v>
      </c>
      <c r="P169" s="101">
        <v>0</v>
      </c>
      <c r="Q169" s="101">
        <v>0</v>
      </c>
      <c r="R169" s="101" t="s">
        <v>393</v>
      </c>
      <c r="S169" s="101" t="s">
        <v>818</v>
      </c>
      <c r="T169" s="101" t="s">
        <v>394</v>
      </c>
      <c r="V169" s="245">
        <v>14248</v>
      </c>
      <c r="W169" s="101" t="s">
        <v>395</v>
      </c>
      <c r="X169" s="101" t="s">
        <v>795</v>
      </c>
      <c r="Y169" s="101" t="s">
        <v>396</v>
      </c>
      <c r="Z169" s="101" t="s">
        <v>402</v>
      </c>
      <c r="AA169" s="101" t="s">
        <v>78</v>
      </c>
      <c r="AB169" s="101">
        <v>4101000279</v>
      </c>
      <c r="AC169" s="101" t="s">
        <v>398</v>
      </c>
      <c r="AD169" s="101" t="s">
        <v>403</v>
      </c>
      <c r="AE169" s="101" t="s">
        <v>6</v>
      </c>
      <c r="AF169" s="101" t="s">
        <v>400</v>
      </c>
      <c r="AI169" s="101" t="s">
        <v>760</v>
      </c>
    </row>
    <row r="170" spans="1:35">
      <c r="A170" s="246" t="s">
        <v>111</v>
      </c>
      <c r="B170" s="246" t="s">
        <v>78</v>
      </c>
      <c r="C170" s="246" t="s">
        <v>126</v>
      </c>
      <c r="D170" s="246" t="s">
        <v>768</v>
      </c>
      <c r="E170" s="246" t="s">
        <v>769</v>
      </c>
      <c r="F170" s="246" t="s">
        <v>277</v>
      </c>
      <c r="G170" s="132" t="s">
        <v>1064</v>
      </c>
      <c r="H170" s="132" t="s">
        <v>1065</v>
      </c>
      <c r="I170" s="132">
        <v>103.3</v>
      </c>
      <c r="J170" s="101" t="s">
        <v>889</v>
      </c>
      <c r="K170" s="245" t="s">
        <v>390</v>
      </c>
      <c r="L170" s="245">
        <v>42853</v>
      </c>
      <c r="M170" s="245" t="s">
        <v>391</v>
      </c>
      <c r="N170" s="101">
        <v>0</v>
      </c>
      <c r="O170" s="101" t="s">
        <v>392</v>
      </c>
      <c r="P170" s="101">
        <v>0</v>
      </c>
      <c r="Q170" s="101">
        <v>0</v>
      </c>
      <c r="R170" s="101" t="s">
        <v>393</v>
      </c>
      <c r="S170" s="101" t="s">
        <v>818</v>
      </c>
      <c r="T170" s="101" t="s">
        <v>394</v>
      </c>
      <c r="V170" s="245">
        <v>14248</v>
      </c>
      <c r="W170" s="101" t="s">
        <v>395</v>
      </c>
      <c r="X170" s="101" t="s">
        <v>795</v>
      </c>
      <c r="Y170" s="101" t="s">
        <v>396</v>
      </c>
      <c r="Z170" s="101" t="s">
        <v>402</v>
      </c>
      <c r="AA170" s="101" t="s">
        <v>78</v>
      </c>
      <c r="AB170" s="101">
        <v>4101000279</v>
      </c>
      <c r="AC170" s="101" t="s">
        <v>398</v>
      </c>
      <c r="AD170" s="101" t="s">
        <v>403</v>
      </c>
      <c r="AE170" s="101" t="s">
        <v>6</v>
      </c>
      <c r="AF170" s="101" t="s">
        <v>400</v>
      </c>
      <c r="AI170" s="101" t="s">
        <v>760</v>
      </c>
    </row>
    <row r="171" spans="1:35">
      <c r="A171" s="246" t="s">
        <v>112</v>
      </c>
      <c r="B171" s="246" t="s">
        <v>78</v>
      </c>
      <c r="C171" s="246" t="s">
        <v>126</v>
      </c>
      <c r="D171" s="246" t="s">
        <v>341</v>
      </c>
      <c r="E171" s="246" t="s">
        <v>342</v>
      </c>
      <c r="F171" s="246" t="s">
        <v>278</v>
      </c>
      <c r="G171" s="132" t="s">
        <v>1066</v>
      </c>
      <c r="H171" s="132" t="s">
        <v>1067</v>
      </c>
      <c r="I171" s="132">
        <v>72.77</v>
      </c>
      <c r="J171" s="101" t="s">
        <v>889</v>
      </c>
      <c r="K171" s="245" t="s">
        <v>390</v>
      </c>
      <c r="L171" s="245">
        <v>42886</v>
      </c>
      <c r="M171" s="245" t="s">
        <v>391</v>
      </c>
      <c r="N171" s="101">
        <v>0</v>
      </c>
      <c r="O171" s="101" t="s">
        <v>392</v>
      </c>
      <c r="P171" s="101">
        <v>0</v>
      </c>
      <c r="Q171" s="101">
        <v>0</v>
      </c>
      <c r="R171" s="101" t="s">
        <v>393</v>
      </c>
      <c r="S171" s="101" t="s">
        <v>818</v>
      </c>
      <c r="T171" s="101" t="s">
        <v>394</v>
      </c>
      <c r="V171" s="245">
        <v>14248</v>
      </c>
      <c r="W171" s="101" t="s">
        <v>395</v>
      </c>
      <c r="X171" s="101" t="s">
        <v>795</v>
      </c>
      <c r="Y171" s="101" t="s">
        <v>396</v>
      </c>
      <c r="Z171" s="101" t="s">
        <v>402</v>
      </c>
      <c r="AA171" s="101" t="s">
        <v>78</v>
      </c>
      <c r="AB171" s="101">
        <v>4101000279</v>
      </c>
      <c r="AC171" s="101" t="s">
        <v>398</v>
      </c>
      <c r="AD171" s="101" t="s">
        <v>403</v>
      </c>
      <c r="AE171" s="101" t="s">
        <v>6</v>
      </c>
      <c r="AF171" s="101" t="s">
        <v>400</v>
      </c>
      <c r="AI171" s="101" t="s">
        <v>760</v>
      </c>
    </row>
    <row r="172" spans="1:35">
      <c r="A172" s="246" t="s">
        <v>112</v>
      </c>
      <c r="B172" s="246" t="s">
        <v>78</v>
      </c>
      <c r="C172" s="246" t="s">
        <v>126</v>
      </c>
      <c r="D172" s="246" t="s">
        <v>341</v>
      </c>
      <c r="E172" s="246" t="s">
        <v>342</v>
      </c>
      <c r="F172" s="246" t="s">
        <v>278</v>
      </c>
      <c r="G172" s="132" t="s">
        <v>1068</v>
      </c>
      <c r="H172" s="132" t="s">
        <v>1069</v>
      </c>
      <c r="I172" s="132">
        <v>54.769999999999996</v>
      </c>
      <c r="J172" s="101" t="s">
        <v>889</v>
      </c>
      <c r="K172" s="245" t="s">
        <v>390</v>
      </c>
      <c r="L172" s="245">
        <v>42916</v>
      </c>
      <c r="M172" s="245" t="s">
        <v>391</v>
      </c>
      <c r="N172" s="101">
        <v>0</v>
      </c>
      <c r="O172" s="101" t="s">
        <v>392</v>
      </c>
      <c r="P172" s="101">
        <v>0</v>
      </c>
      <c r="Q172" s="101">
        <v>0</v>
      </c>
      <c r="R172" s="101" t="s">
        <v>393</v>
      </c>
      <c r="S172" s="101" t="s">
        <v>818</v>
      </c>
      <c r="T172" s="101" t="s">
        <v>394</v>
      </c>
      <c r="V172" s="245">
        <v>14248</v>
      </c>
      <c r="W172" s="101" t="s">
        <v>395</v>
      </c>
      <c r="X172" s="101" t="s">
        <v>795</v>
      </c>
      <c r="Y172" s="101" t="s">
        <v>396</v>
      </c>
      <c r="Z172" s="101" t="s">
        <v>402</v>
      </c>
      <c r="AA172" s="101" t="s">
        <v>78</v>
      </c>
      <c r="AB172" s="101">
        <v>4101000279</v>
      </c>
      <c r="AC172" s="101" t="s">
        <v>398</v>
      </c>
      <c r="AD172" s="101" t="s">
        <v>403</v>
      </c>
      <c r="AE172" s="101" t="s">
        <v>6</v>
      </c>
      <c r="AF172" s="101" t="s">
        <v>400</v>
      </c>
      <c r="AI172" s="101" t="s">
        <v>760</v>
      </c>
    </row>
    <row r="173" spans="1:35">
      <c r="A173" s="246" t="s">
        <v>112</v>
      </c>
      <c r="B173" s="246" t="s">
        <v>78</v>
      </c>
      <c r="C173" s="246" t="s">
        <v>126</v>
      </c>
      <c r="D173" s="246" t="s">
        <v>341</v>
      </c>
      <c r="E173" s="246" t="s">
        <v>342</v>
      </c>
      <c r="F173" s="246" t="s">
        <v>278</v>
      </c>
      <c r="G173" s="132" t="s">
        <v>1070</v>
      </c>
      <c r="H173" s="132" t="s">
        <v>1071</v>
      </c>
      <c r="I173" s="132">
        <v>56.589999999999996</v>
      </c>
      <c r="J173" s="101" t="s">
        <v>889</v>
      </c>
      <c r="K173" s="245" t="s">
        <v>390</v>
      </c>
      <c r="L173" s="245">
        <v>42947</v>
      </c>
      <c r="M173" s="245" t="s">
        <v>391</v>
      </c>
      <c r="N173" s="101">
        <v>0</v>
      </c>
      <c r="O173" s="101" t="s">
        <v>392</v>
      </c>
      <c r="P173" s="101">
        <v>0</v>
      </c>
      <c r="Q173" s="101">
        <v>0</v>
      </c>
      <c r="R173" s="101" t="s">
        <v>393</v>
      </c>
      <c r="S173" s="101" t="s">
        <v>818</v>
      </c>
      <c r="T173" s="101" t="s">
        <v>394</v>
      </c>
      <c r="V173" s="245">
        <v>14248</v>
      </c>
      <c r="W173" s="101" t="s">
        <v>395</v>
      </c>
      <c r="X173" s="101" t="s">
        <v>795</v>
      </c>
      <c r="Y173" s="101" t="s">
        <v>396</v>
      </c>
      <c r="Z173" s="101" t="s">
        <v>402</v>
      </c>
      <c r="AA173" s="101" t="s">
        <v>78</v>
      </c>
      <c r="AB173" s="101">
        <v>4101000279</v>
      </c>
      <c r="AC173" s="101" t="s">
        <v>398</v>
      </c>
      <c r="AD173" s="101" t="s">
        <v>403</v>
      </c>
      <c r="AE173" s="101" t="s">
        <v>6</v>
      </c>
      <c r="AF173" s="101" t="s">
        <v>400</v>
      </c>
      <c r="AI173" s="101" t="s">
        <v>760</v>
      </c>
    </row>
    <row r="174" spans="1:35">
      <c r="A174" s="246" t="s">
        <v>112</v>
      </c>
      <c r="B174" s="246" t="s">
        <v>78</v>
      </c>
      <c r="C174" s="246" t="s">
        <v>126</v>
      </c>
      <c r="D174" s="246" t="s">
        <v>341</v>
      </c>
      <c r="E174" s="246" t="s">
        <v>342</v>
      </c>
      <c r="F174" s="246" t="s">
        <v>278</v>
      </c>
      <c r="G174" s="132" t="s">
        <v>1070</v>
      </c>
      <c r="H174" s="132" t="s">
        <v>1071</v>
      </c>
      <c r="I174" s="132">
        <v>56.589999999999996</v>
      </c>
      <c r="J174" s="101" t="s">
        <v>889</v>
      </c>
      <c r="K174" s="245" t="s">
        <v>390</v>
      </c>
      <c r="L174" s="245">
        <v>42978</v>
      </c>
      <c r="M174" s="245" t="s">
        <v>391</v>
      </c>
      <c r="N174" s="101">
        <v>0</v>
      </c>
      <c r="O174" s="101" t="s">
        <v>392</v>
      </c>
      <c r="P174" s="101">
        <v>0</v>
      </c>
      <c r="Q174" s="101">
        <v>0</v>
      </c>
      <c r="R174" s="101" t="s">
        <v>393</v>
      </c>
      <c r="S174" s="101" t="s">
        <v>818</v>
      </c>
      <c r="T174" s="101" t="s">
        <v>394</v>
      </c>
      <c r="V174" s="245">
        <v>14248</v>
      </c>
      <c r="W174" s="101" t="s">
        <v>395</v>
      </c>
      <c r="X174" s="101" t="s">
        <v>795</v>
      </c>
      <c r="Y174" s="101" t="s">
        <v>396</v>
      </c>
      <c r="Z174" s="101" t="s">
        <v>402</v>
      </c>
      <c r="AA174" s="101" t="s">
        <v>78</v>
      </c>
      <c r="AB174" s="101">
        <v>4101000279</v>
      </c>
      <c r="AC174" s="101" t="s">
        <v>398</v>
      </c>
      <c r="AD174" s="101" t="s">
        <v>403</v>
      </c>
      <c r="AE174" s="101" t="s">
        <v>6</v>
      </c>
      <c r="AF174" s="101" t="s">
        <v>400</v>
      </c>
      <c r="AI174" s="101" t="s">
        <v>760</v>
      </c>
    </row>
    <row r="175" spans="1:35">
      <c r="A175" s="246" t="s">
        <v>112</v>
      </c>
      <c r="B175" s="246" t="s">
        <v>78</v>
      </c>
      <c r="C175" s="246" t="s">
        <v>126</v>
      </c>
      <c r="D175" s="246" t="s">
        <v>341</v>
      </c>
      <c r="E175" s="246" t="s">
        <v>342</v>
      </c>
      <c r="F175" s="246" t="s">
        <v>278</v>
      </c>
      <c r="G175" s="132" t="s">
        <v>1068</v>
      </c>
      <c r="H175" s="132" t="s">
        <v>1069</v>
      </c>
      <c r="I175" s="132">
        <v>54.769999999999996</v>
      </c>
      <c r="J175" s="101" t="s">
        <v>889</v>
      </c>
      <c r="K175" s="245" t="s">
        <v>390</v>
      </c>
      <c r="L175" s="245">
        <v>43007</v>
      </c>
      <c r="M175" s="245" t="s">
        <v>391</v>
      </c>
      <c r="N175" s="101">
        <v>0</v>
      </c>
      <c r="O175" s="101" t="s">
        <v>392</v>
      </c>
      <c r="P175" s="101">
        <v>0</v>
      </c>
      <c r="Q175" s="101">
        <v>0</v>
      </c>
      <c r="R175" s="101" t="s">
        <v>393</v>
      </c>
      <c r="S175" s="101" t="s">
        <v>818</v>
      </c>
      <c r="T175" s="101" t="s">
        <v>394</v>
      </c>
      <c r="V175" s="245">
        <v>14248</v>
      </c>
      <c r="W175" s="101" t="s">
        <v>395</v>
      </c>
      <c r="X175" s="101" t="s">
        <v>795</v>
      </c>
      <c r="Y175" s="101" t="s">
        <v>396</v>
      </c>
      <c r="Z175" s="101" t="s">
        <v>402</v>
      </c>
      <c r="AA175" s="101" t="s">
        <v>78</v>
      </c>
      <c r="AB175" s="101">
        <v>4101000279</v>
      </c>
      <c r="AC175" s="101" t="s">
        <v>398</v>
      </c>
      <c r="AD175" s="101" t="s">
        <v>403</v>
      </c>
      <c r="AE175" s="101" t="s">
        <v>6</v>
      </c>
      <c r="AF175" s="101" t="s">
        <v>400</v>
      </c>
      <c r="AI175" s="101" t="s">
        <v>760</v>
      </c>
    </row>
    <row r="176" spans="1:35">
      <c r="A176" s="246" t="s">
        <v>112</v>
      </c>
      <c r="B176" s="246" t="s">
        <v>78</v>
      </c>
      <c r="C176" s="246" t="s">
        <v>126</v>
      </c>
      <c r="D176" s="246" t="s">
        <v>341</v>
      </c>
      <c r="E176" s="246" t="s">
        <v>342</v>
      </c>
      <c r="F176" s="246" t="s">
        <v>278</v>
      </c>
      <c r="G176" s="132" t="s">
        <v>1070</v>
      </c>
      <c r="H176" s="132" t="s">
        <v>1071</v>
      </c>
      <c r="I176" s="132">
        <v>56.589999999999996</v>
      </c>
      <c r="J176" s="101" t="s">
        <v>889</v>
      </c>
      <c r="K176" s="245" t="s">
        <v>390</v>
      </c>
      <c r="L176" s="245">
        <v>43039</v>
      </c>
      <c r="M176" s="245" t="s">
        <v>391</v>
      </c>
      <c r="N176" s="101">
        <v>0</v>
      </c>
      <c r="O176" s="101" t="s">
        <v>392</v>
      </c>
      <c r="P176" s="101">
        <v>0</v>
      </c>
      <c r="Q176" s="101">
        <v>0</v>
      </c>
      <c r="R176" s="101" t="s">
        <v>393</v>
      </c>
      <c r="S176" s="101" t="s">
        <v>818</v>
      </c>
      <c r="T176" s="101" t="s">
        <v>394</v>
      </c>
      <c r="V176" s="245">
        <v>14248</v>
      </c>
      <c r="W176" s="101" t="s">
        <v>395</v>
      </c>
      <c r="X176" s="101" t="s">
        <v>795</v>
      </c>
      <c r="Y176" s="101" t="s">
        <v>396</v>
      </c>
      <c r="Z176" s="101" t="s">
        <v>402</v>
      </c>
      <c r="AA176" s="101" t="s">
        <v>78</v>
      </c>
      <c r="AB176" s="101">
        <v>4101000279</v>
      </c>
      <c r="AC176" s="101" t="s">
        <v>398</v>
      </c>
      <c r="AD176" s="101" t="s">
        <v>403</v>
      </c>
      <c r="AE176" s="101" t="s">
        <v>6</v>
      </c>
      <c r="AF176" s="101" t="s">
        <v>400</v>
      </c>
      <c r="AI176" s="101" t="s">
        <v>760</v>
      </c>
    </row>
    <row r="177" spans="1:35">
      <c r="A177" s="246" t="s">
        <v>113</v>
      </c>
      <c r="B177" s="246" t="s">
        <v>78</v>
      </c>
      <c r="C177" s="246" t="s">
        <v>126</v>
      </c>
      <c r="D177" s="246" t="s">
        <v>339</v>
      </c>
      <c r="E177" s="246" t="s">
        <v>340</v>
      </c>
      <c r="F177" s="246" t="s">
        <v>279</v>
      </c>
      <c r="G177" s="132" t="s">
        <v>1068</v>
      </c>
      <c r="H177" s="132" t="s">
        <v>1069</v>
      </c>
      <c r="I177" s="132">
        <v>54.769999999999996</v>
      </c>
      <c r="J177" s="101" t="s">
        <v>889</v>
      </c>
      <c r="K177" s="245" t="s">
        <v>390</v>
      </c>
      <c r="L177" s="245">
        <v>43069</v>
      </c>
      <c r="M177" s="245" t="s">
        <v>391</v>
      </c>
      <c r="N177" s="101">
        <v>0</v>
      </c>
      <c r="O177" s="101" t="s">
        <v>392</v>
      </c>
      <c r="P177" s="101">
        <v>0</v>
      </c>
      <c r="Q177" s="101">
        <v>0</v>
      </c>
      <c r="R177" s="101" t="s">
        <v>393</v>
      </c>
      <c r="S177" s="101" t="s">
        <v>818</v>
      </c>
      <c r="T177" s="101" t="s">
        <v>394</v>
      </c>
      <c r="V177" s="245">
        <v>14248</v>
      </c>
      <c r="W177" s="101" t="s">
        <v>395</v>
      </c>
      <c r="X177" s="101" t="s">
        <v>795</v>
      </c>
      <c r="Y177" s="101" t="s">
        <v>396</v>
      </c>
      <c r="Z177" s="101" t="s">
        <v>402</v>
      </c>
      <c r="AA177" s="101" t="s">
        <v>78</v>
      </c>
      <c r="AB177" s="101">
        <v>4101000279</v>
      </c>
      <c r="AC177" s="101" t="s">
        <v>398</v>
      </c>
      <c r="AD177" s="101" t="s">
        <v>403</v>
      </c>
      <c r="AE177" s="101" t="s">
        <v>6</v>
      </c>
      <c r="AF177" s="101" t="s">
        <v>400</v>
      </c>
      <c r="AI177" s="101" t="s">
        <v>760</v>
      </c>
    </row>
    <row r="178" spans="1:35">
      <c r="A178" s="246" t="s">
        <v>113</v>
      </c>
      <c r="B178" s="246" t="s">
        <v>78</v>
      </c>
      <c r="C178" s="246" t="s">
        <v>126</v>
      </c>
      <c r="D178" s="246" t="s">
        <v>339</v>
      </c>
      <c r="E178" s="246" t="s">
        <v>340</v>
      </c>
      <c r="F178" s="246" t="s">
        <v>279</v>
      </c>
      <c r="G178" s="132" t="s">
        <v>1070</v>
      </c>
      <c r="H178" s="132" t="s">
        <v>1071</v>
      </c>
      <c r="I178" s="132">
        <v>56.589999999999996</v>
      </c>
      <c r="J178" s="101" t="s">
        <v>889</v>
      </c>
      <c r="K178" s="245" t="s">
        <v>390</v>
      </c>
      <c r="L178" s="245">
        <v>43098</v>
      </c>
      <c r="M178" s="245" t="s">
        <v>391</v>
      </c>
      <c r="N178" s="101">
        <v>0</v>
      </c>
      <c r="O178" s="101" t="s">
        <v>392</v>
      </c>
      <c r="P178" s="101">
        <v>0</v>
      </c>
      <c r="Q178" s="101">
        <v>0</v>
      </c>
      <c r="R178" s="101" t="s">
        <v>393</v>
      </c>
      <c r="S178" s="101" t="s">
        <v>818</v>
      </c>
      <c r="T178" s="101" t="s">
        <v>394</v>
      </c>
      <c r="V178" s="245">
        <v>14248</v>
      </c>
      <c r="W178" s="101" t="s">
        <v>395</v>
      </c>
      <c r="X178" s="101" t="s">
        <v>795</v>
      </c>
      <c r="Y178" s="101" t="s">
        <v>396</v>
      </c>
      <c r="Z178" s="101" t="s">
        <v>402</v>
      </c>
      <c r="AA178" s="101" t="s">
        <v>78</v>
      </c>
      <c r="AB178" s="101">
        <v>4101000279</v>
      </c>
      <c r="AC178" s="101" t="s">
        <v>398</v>
      </c>
      <c r="AD178" s="101" t="s">
        <v>403</v>
      </c>
      <c r="AE178" s="101" t="s">
        <v>6</v>
      </c>
      <c r="AF178" s="101" t="s">
        <v>400</v>
      </c>
      <c r="AI178" s="101" t="s">
        <v>760</v>
      </c>
    </row>
    <row r="179" spans="1:35">
      <c r="A179" s="246" t="s">
        <v>113</v>
      </c>
      <c r="B179" s="246" t="s">
        <v>78</v>
      </c>
      <c r="C179" s="246" t="s">
        <v>126</v>
      </c>
      <c r="D179" s="246" t="s">
        <v>339</v>
      </c>
      <c r="E179" s="246" t="s">
        <v>340</v>
      </c>
      <c r="F179" s="246" t="s">
        <v>279</v>
      </c>
      <c r="G179" s="132" t="s">
        <v>1070</v>
      </c>
      <c r="H179" s="132" t="s">
        <v>1071</v>
      </c>
      <c r="I179" s="132">
        <v>56.589999999999996</v>
      </c>
      <c r="J179" s="101" t="s">
        <v>889</v>
      </c>
      <c r="K179" s="245" t="s">
        <v>390</v>
      </c>
      <c r="L179" s="245">
        <v>43131</v>
      </c>
      <c r="M179" s="245" t="s">
        <v>391</v>
      </c>
      <c r="N179" s="101">
        <v>0</v>
      </c>
      <c r="O179" s="101" t="s">
        <v>392</v>
      </c>
      <c r="P179" s="101">
        <v>0</v>
      </c>
      <c r="Q179" s="101">
        <v>0</v>
      </c>
      <c r="R179" s="101" t="s">
        <v>393</v>
      </c>
      <c r="S179" s="101" t="s">
        <v>818</v>
      </c>
      <c r="T179" s="101" t="s">
        <v>394</v>
      </c>
      <c r="V179" s="245">
        <v>14248</v>
      </c>
      <c r="W179" s="101" t="s">
        <v>395</v>
      </c>
      <c r="X179" s="101" t="s">
        <v>795</v>
      </c>
      <c r="Y179" s="101" t="s">
        <v>396</v>
      </c>
      <c r="Z179" s="101" t="s">
        <v>402</v>
      </c>
      <c r="AA179" s="101" t="s">
        <v>78</v>
      </c>
      <c r="AB179" s="101">
        <v>4101000279</v>
      </c>
      <c r="AC179" s="101" t="s">
        <v>398</v>
      </c>
      <c r="AD179" s="101" t="s">
        <v>403</v>
      </c>
      <c r="AE179" s="101" t="s">
        <v>6</v>
      </c>
      <c r="AF179" s="101" t="s">
        <v>400</v>
      </c>
      <c r="AI179" s="101" t="s">
        <v>760</v>
      </c>
    </row>
    <row r="180" spans="1:35">
      <c r="A180" s="246" t="s">
        <v>113</v>
      </c>
      <c r="B180" s="246" t="s">
        <v>78</v>
      </c>
      <c r="C180" s="246" t="s">
        <v>126</v>
      </c>
      <c r="D180" s="246" t="s">
        <v>339</v>
      </c>
      <c r="E180" s="246" t="s">
        <v>340</v>
      </c>
      <c r="F180" s="246" t="s">
        <v>279</v>
      </c>
      <c r="G180" s="132" t="s">
        <v>1072</v>
      </c>
      <c r="H180" s="132" t="s">
        <v>1073</v>
      </c>
      <c r="I180" s="132">
        <v>51.129999999999995</v>
      </c>
      <c r="J180" s="101" t="s">
        <v>889</v>
      </c>
      <c r="K180" s="245" t="s">
        <v>390</v>
      </c>
      <c r="L180" s="245">
        <v>43159</v>
      </c>
      <c r="M180" s="245" t="s">
        <v>391</v>
      </c>
      <c r="N180" s="101">
        <v>0</v>
      </c>
      <c r="O180" s="101" t="s">
        <v>392</v>
      </c>
      <c r="P180" s="101">
        <v>0</v>
      </c>
      <c r="Q180" s="101">
        <v>0</v>
      </c>
      <c r="R180" s="101" t="s">
        <v>393</v>
      </c>
      <c r="S180" s="101" t="s">
        <v>818</v>
      </c>
      <c r="T180" s="101" t="s">
        <v>394</v>
      </c>
      <c r="V180" s="245">
        <v>14248</v>
      </c>
      <c r="W180" s="101" t="s">
        <v>395</v>
      </c>
      <c r="X180" s="101" t="s">
        <v>795</v>
      </c>
      <c r="Y180" s="101" t="s">
        <v>396</v>
      </c>
      <c r="Z180" s="101" t="s">
        <v>402</v>
      </c>
      <c r="AA180" s="101" t="s">
        <v>78</v>
      </c>
      <c r="AB180" s="101">
        <v>4101000279</v>
      </c>
      <c r="AC180" s="101" t="s">
        <v>398</v>
      </c>
      <c r="AD180" s="101" t="s">
        <v>403</v>
      </c>
      <c r="AE180" s="101" t="s">
        <v>6</v>
      </c>
      <c r="AF180" s="101" t="s">
        <v>400</v>
      </c>
      <c r="AI180" s="101" t="s">
        <v>760</v>
      </c>
    </row>
    <row r="181" spans="1:35">
      <c r="A181" s="246" t="s">
        <v>113</v>
      </c>
      <c r="B181" s="246" t="s">
        <v>78</v>
      </c>
      <c r="C181" s="246" t="s">
        <v>126</v>
      </c>
      <c r="D181" s="246" t="s">
        <v>339</v>
      </c>
      <c r="E181" s="246" t="s">
        <v>340</v>
      </c>
      <c r="F181" s="246" t="s">
        <v>279</v>
      </c>
      <c r="G181" s="132" t="s">
        <v>1070</v>
      </c>
      <c r="H181" s="132" t="s">
        <v>1071</v>
      </c>
      <c r="I181" s="132">
        <v>56.589999999999996</v>
      </c>
      <c r="J181" s="101" t="s">
        <v>889</v>
      </c>
      <c r="K181" s="245" t="s">
        <v>390</v>
      </c>
      <c r="L181" s="245">
        <v>43189</v>
      </c>
      <c r="M181" s="245" t="s">
        <v>391</v>
      </c>
      <c r="N181" s="101">
        <v>0</v>
      </c>
      <c r="O181" s="101" t="s">
        <v>392</v>
      </c>
      <c r="P181" s="101">
        <v>0</v>
      </c>
      <c r="Q181" s="101">
        <v>0</v>
      </c>
      <c r="R181" s="101" t="s">
        <v>393</v>
      </c>
      <c r="S181" s="101" t="s">
        <v>818</v>
      </c>
      <c r="T181" s="101" t="s">
        <v>394</v>
      </c>
      <c r="V181" s="245">
        <v>14248</v>
      </c>
      <c r="W181" s="101" t="s">
        <v>395</v>
      </c>
      <c r="X181" s="101" t="s">
        <v>795</v>
      </c>
      <c r="Y181" s="101" t="s">
        <v>396</v>
      </c>
      <c r="Z181" s="101" t="s">
        <v>402</v>
      </c>
      <c r="AA181" s="101" t="s">
        <v>78</v>
      </c>
      <c r="AB181" s="101">
        <v>4101000279</v>
      </c>
      <c r="AC181" s="101" t="s">
        <v>398</v>
      </c>
      <c r="AD181" s="101" t="s">
        <v>403</v>
      </c>
      <c r="AE181" s="101" t="s">
        <v>6</v>
      </c>
      <c r="AF181" s="101" t="s">
        <v>400</v>
      </c>
      <c r="AI181" s="101" t="s">
        <v>760</v>
      </c>
    </row>
    <row r="182" spans="1:35">
      <c r="A182" s="246" t="s">
        <v>113</v>
      </c>
      <c r="B182" s="246" t="s">
        <v>78</v>
      </c>
      <c r="C182" s="246" t="s">
        <v>126</v>
      </c>
      <c r="D182" s="246" t="s">
        <v>339</v>
      </c>
      <c r="E182" s="246" t="s">
        <v>340</v>
      </c>
      <c r="F182" s="246" t="s">
        <v>279</v>
      </c>
      <c r="G182" s="132" t="s">
        <v>1068</v>
      </c>
      <c r="H182" s="132" t="s">
        <v>1069</v>
      </c>
      <c r="I182" s="132">
        <v>54.769999999999996</v>
      </c>
      <c r="J182" s="101" t="s">
        <v>889</v>
      </c>
      <c r="K182" s="245" t="s">
        <v>390</v>
      </c>
      <c r="L182" s="245">
        <v>43220</v>
      </c>
      <c r="M182" s="245" t="s">
        <v>391</v>
      </c>
      <c r="N182" s="101">
        <v>0</v>
      </c>
      <c r="O182" s="101" t="s">
        <v>392</v>
      </c>
      <c r="P182" s="101">
        <v>0</v>
      </c>
      <c r="Q182" s="101">
        <v>0</v>
      </c>
      <c r="R182" s="101" t="s">
        <v>393</v>
      </c>
      <c r="S182" s="101" t="s">
        <v>818</v>
      </c>
      <c r="T182" s="101" t="s">
        <v>394</v>
      </c>
      <c r="V182" s="245">
        <v>14248</v>
      </c>
      <c r="W182" s="101" t="s">
        <v>395</v>
      </c>
      <c r="X182" s="101" t="s">
        <v>795</v>
      </c>
      <c r="Y182" s="101" t="s">
        <v>396</v>
      </c>
      <c r="Z182" s="101" t="s">
        <v>402</v>
      </c>
      <c r="AA182" s="101" t="s">
        <v>78</v>
      </c>
      <c r="AB182" s="101">
        <v>4101000279</v>
      </c>
      <c r="AC182" s="101" t="s">
        <v>398</v>
      </c>
      <c r="AD182" s="101" t="s">
        <v>403</v>
      </c>
      <c r="AE182" s="101" t="s">
        <v>6</v>
      </c>
      <c r="AF182" s="101" t="s">
        <v>400</v>
      </c>
      <c r="AI182" s="101" t="s">
        <v>760</v>
      </c>
    </row>
    <row r="183" spans="1:35">
      <c r="A183" s="246" t="s">
        <v>109</v>
      </c>
      <c r="B183" s="246" t="s">
        <v>66</v>
      </c>
      <c r="C183" s="246" t="s">
        <v>126</v>
      </c>
      <c r="D183" s="246" t="s">
        <v>272</v>
      </c>
      <c r="E183" s="246"/>
      <c r="F183" s="246"/>
      <c r="G183" s="132">
        <v>-96250</v>
      </c>
      <c r="H183" s="132" t="s">
        <v>1074</v>
      </c>
      <c r="I183" s="132">
        <v>-96249.999999999985</v>
      </c>
      <c r="J183" s="101" t="s">
        <v>889</v>
      </c>
      <c r="K183" s="245" t="s">
        <v>390</v>
      </c>
      <c r="L183" s="245">
        <v>42569</v>
      </c>
      <c r="M183" s="245" t="s">
        <v>391</v>
      </c>
      <c r="N183" s="101">
        <v>0</v>
      </c>
      <c r="O183" s="101" t="s">
        <v>392</v>
      </c>
      <c r="P183" s="101">
        <v>0</v>
      </c>
      <c r="Q183" s="101">
        <v>0</v>
      </c>
      <c r="R183" s="101" t="s">
        <v>438</v>
      </c>
      <c r="S183" s="101">
        <v>184300</v>
      </c>
      <c r="T183" s="101" t="s">
        <v>394</v>
      </c>
      <c r="V183" s="245">
        <v>42569</v>
      </c>
      <c r="W183" s="101" t="s">
        <v>441</v>
      </c>
      <c r="X183" s="101" t="s">
        <v>76</v>
      </c>
      <c r="Y183" s="101" t="s">
        <v>392</v>
      </c>
      <c r="Z183" s="101" t="s">
        <v>430</v>
      </c>
      <c r="AA183" s="101" t="s">
        <v>442</v>
      </c>
      <c r="AB183" s="101">
        <v>1101000297</v>
      </c>
      <c r="AC183" s="101" t="s">
        <v>431</v>
      </c>
      <c r="AD183" s="101" t="s">
        <v>431</v>
      </c>
      <c r="AE183" s="101" t="s">
        <v>75</v>
      </c>
      <c r="AF183" s="101" t="s">
        <v>400</v>
      </c>
      <c r="AG183" s="101" t="s">
        <v>443</v>
      </c>
      <c r="AI183" s="101" t="s">
        <v>760</v>
      </c>
    </row>
    <row r="184" spans="1:35">
      <c r="A184" s="246" t="s">
        <v>107</v>
      </c>
      <c r="B184" s="246" t="s">
        <v>66</v>
      </c>
      <c r="C184" s="246" t="s">
        <v>126</v>
      </c>
      <c r="D184" s="246" t="s">
        <v>1769</v>
      </c>
      <c r="E184" s="246"/>
      <c r="F184" s="246"/>
      <c r="G184" s="132">
        <v>0</v>
      </c>
      <c r="H184" s="132">
        <v>0</v>
      </c>
      <c r="I184" s="132">
        <v>0</v>
      </c>
      <c r="J184" s="101" t="s">
        <v>889</v>
      </c>
      <c r="K184" s="245" t="s">
        <v>390</v>
      </c>
      <c r="L184" s="245">
        <v>42522</v>
      </c>
      <c r="M184" s="245" t="s">
        <v>391</v>
      </c>
      <c r="N184" s="101">
        <v>0</v>
      </c>
      <c r="O184" s="101" t="s">
        <v>392</v>
      </c>
      <c r="P184" s="101">
        <v>0</v>
      </c>
      <c r="Q184" s="101">
        <v>0</v>
      </c>
      <c r="R184" s="101" t="s">
        <v>428</v>
      </c>
      <c r="S184" s="101">
        <v>148707</v>
      </c>
      <c r="T184" s="101" t="s">
        <v>394</v>
      </c>
      <c r="V184" s="245">
        <v>42951</v>
      </c>
      <c r="W184" s="101" t="s">
        <v>424</v>
      </c>
      <c r="X184" s="101" t="s">
        <v>429</v>
      </c>
      <c r="Y184" s="101" t="s">
        <v>392</v>
      </c>
      <c r="Z184" s="101" t="s">
        <v>430</v>
      </c>
      <c r="AA184" s="101" t="s">
        <v>397</v>
      </c>
      <c r="AB184" s="101">
        <v>5101000018</v>
      </c>
      <c r="AC184" s="101" t="s">
        <v>431</v>
      </c>
      <c r="AD184" s="101" t="s">
        <v>431</v>
      </c>
      <c r="AE184" s="101" t="s">
        <v>75</v>
      </c>
      <c r="AF184" s="101" t="s">
        <v>400</v>
      </c>
      <c r="AG184" s="101" t="s">
        <v>624</v>
      </c>
      <c r="AI184" s="101" t="s">
        <v>760</v>
      </c>
    </row>
    <row r="185" spans="1:35">
      <c r="A185" s="246" t="s">
        <v>109</v>
      </c>
      <c r="B185" s="246" t="s">
        <v>66</v>
      </c>
      <c r="C185" s="246" t="s">
        <v>126</v>
      </c>
      <c r="D185" s="246" t="s">
        <v>272</v>
      </c>
      <c r="E185" s="246"/>
      <c r="F185" s="246"/>
      <c r="G185" s="132">
        <v>0</v>
      </c>
      <c r="H185" s="132">
        <v>0</v>
      </c>
      <c r="I185" s="132">
        <v>0</v>
      </c>
      <c r="J185" s="101" t="s">
        <v>889</v>
      </c>
      <c r="K185" s="245" t="s">
        <v>390</v>
      </c>
      <c r="L185" s="245">
        <v>42552</v>
      </c>
      <c r="M185" s="245" t="s">
        <v>391</v>
      </c>
      <c r="N185" s="101">
        <v>0</v>
      </c>
      <c r="O185" s="101" t="s">
        <v>392</v>
      </c>
      <c r="P185" s="101">
        <v>0</v>
      </c>
      <c r="Q185" s="101">
        <v>0</v>
      </c>
      <c r="R185" s="101" t="s">
        <v>428</v>
      </c>
      <c r="S185" s="101">
        <v>148707</v>
      </c>
      <c r="T185" s="101" t="s">
        <v>394</v>
      </c>
      <c r="V185" s="245">
        <v>42951</v>
      </c>
      <c r="W185" s="101" t="s">
        <v>424</v>
      </c>
      <c r="X185" s="101" t="s">
        <v>429</v>
      </c>
      <c r="Y185" s="101" t="s">
        <v>392</v>
      </c>
      <c r="Z185" s="101" t="s">
        <v>430</v>
      </c>
      <c r="AA185" s="101" t="s">
        <v>397</v>
      </c>
      <c r="AB185" s="101">
        <v>5101000018</v>
      </c>
      <c r="AC185" s="101" t="s">
        <v>431</v>
      </c>
      <c r="AD185" s="101" t="s">
        <v>431</v>
      </c>
      <c r="AE185" s="101" t="s">
        <v>75</v>
      </c>
      <c r="AF185" s="101" t="s">
        <v>400</v>
      </c>
      <c r="AG185" s="101" t="s">
        <v>624</v>
      </c>
      <c r="AI185" s="101" t="s">
        <v>760</v>
      </c>
    </row>
    <row r="186" spans="1:35">
      <c r="A186" s="246" t="s">
        <v>109</v>
      </c>
      <c r="B186" s="246" t="s">
        <v>66</v>
      </c>
      <c r="C186" s="246" t="s">
        <v>126</v>
      </c>
      <c r="D186" s="246" t="s">
        <v>272</v>
      </c>
      <c r="E186" s="246"/>
      <c r="F186" s="246"/>
      <c r="G186" s="132">
        <v>0</v>
      </c>
      <c r="H186" s="132">
        <v>0</v>
      </c>
      <c r="I186" s="132">
        <v>0</v>
      </c>
      <c r="J186" s="101" t="s">
        <v>889</v>
      </c>
      <c r="K186" s="245" t="s">
        <v>390</v>
      </c>
      <c r="L186" s="245">
        <v>42583</v>
      </c>
      <c r="M186" s="245" t="s">
        <v>391</v>
      </c>
      <c r="N186" s="101">
        <v>0</v>
      </c>
      <c r="O186" s="101" t="s">
        <v>392</v>
      </c>
      <c r="P186" s="101">
        <v>0</v>
      </c>
      <c r="Q186" s="101">
        <v>0</v>
      </c>
      <c r="R186" s="101" t="s">
        <v>428</v>
      </c>
      <c r="S186" s="101">
        <v>148707</v>
      </c>
      <c r="T186" s="101" t="s">
        <v>394</v>
      </c>
      <c r="V186" s="245">
        <v>42951</v>
      </c>
      <c r="W186" s="101" t="s">
        <v>424</v>
      </c>
      <c r="X186" s="101" t="s">
        <v>429</v>
      </c>
      <c r="Y186" s="101" t="s">
        <v>392</v>
      </c>
      <c r="Z186" s="101" t="s">
        <v>430</v>
      </c>
      <c r="AA186" s="101" t="s">
        <v>397</v>
      </c>
      <c r="AB186" s="101">
        <v>5101000018</v>
      </c>
      <c r="AC186" s="101" t="s">
        <v>431</v>
      </c>
      <c r="AD186" s="101" t="s">
        <v>431</v>
      </c>
      <c r="AE186" s="101" t="s">
        <v>75</v>
      </c>
      <c r="AF186" s="101" t="s">
        <v>400</v>
      </c>
      <c r="AG186" s="101" t="s">
        <v>624</v>
      </c>
      <c r="AI186" s="101" t="s">
        <v>760</v>
      </c>
    </row>
    <row r="187" spans="1:35">
      <c r="A187" s="246" t="s">
        <v>110</v>
      </c>
      <c r="B187" s="246" t="s">
        <v>66</v>
      </c>
      <c r="C187" s="246" t="s">
        <v>126</v>
      </c>
      <c r="D187" s="246" t="s">
        <v>281</v>
      </c>
      <c r="E187" s="246"/>
      <c r="F187" s="246"/>
      <c r="G187" s="132">
        <v>0</v>
      </c>
      <c r="H187" s="132">
        <v>0</v>
      </c>
      <c r="I187" s="132">
        <v>0</v>
      </c>
      <c r="J187" s="101" t="s">
        <v>889</v>
      </c>
      <c r="K187" s="245" t="s">
        <v>390</v>
      </c>
      <c r="L187" s="245">
        <v>42614</v>
      </c>
      <c r="M187" s="245" t="s">
        <v>391</v>
      </c>
      <c r="N187" s="101">
        <v>0</v>
      </c>
      <c r="O187" s="101" t="s">
        <v>392</v>
      </c>
      <c r="P187" s="101">
        <v>0</v>
      </c>
      <c r="Q187" s="101">
        <v>0</v>
      </c>
      <c r="R187" s="101" t="s">
        <v>428</v>
      </c>
      <c r="S187" s="101">
        <v>148707</v>
      </c>
      <c r="T187" s="101" t="s">
        <v>394</v>
      </c>
      <c r="V187" s="245">
        <v>42951</v>
      </c>
      <c r="W187" s="101" t="s">
        <v>424</v>
      </c>
      <c r="X187" s="101" t="s">
        <v>429</v>
      </c>
      <c r="Y187" s="101" t="s">
        <v>392</v>
      </c>
      <c r="Z187" s="101" t="s">
        <v>430</v>
      </c>
      <c r="AA187" s="101" t="s">
        <v>397</v>
      </c>
      <c r="AB187" s="101">
        <v>5101000018</v>
      </c>
      <c r="AC187" s="101" t="s">
        <v>431</v>
      </c>
      <c r="AD187" s="101" t="s">
        <v>431</v>
      </c>
      <c r="AE187" s="101" t="s">
        <v>75</v>
      </c>
      <c r="AF187" s="101" t="s">
        <v>400</v>
      </c>
      <c r="AG187" s="101" t="s">
        <v>624</v>
      </c>
      <c r="AI187" s="101" t="s">
        <v>760</v>
      </c>
    </row>
    <row r="188" spans="1:35">
      <c r="A188" s="246" t="s">
        <v>110</v>
      </c>
      <c r="B188" s="246" t="s">
        <v>66</v>
      </c>
      <c r="C188" s="246" t="s">
        <v>126</v>
      </c>
      <c r="D188" s="246" t="s">
        <v>281</v>
      </c>
      <c r="E188" s="246"/>
      <c r="F188" s="246"/>
      <c r="G188" s="132">
        <v>0</v>
      </c>
      <c r="H188" s="132">
        <v>0</v>
      </c>
      <c r="I188" s="132">
        <v>0</v>
      </c>
      <c r="J188" s="101" t="s">
        <v>889</v>
      </c>
      <c r="K188" s="245" t="s">
        <v>390</v>
      </c>
      <c r="L188" s="245">
        <v>42646</v>
      </c>
      <c r="M188" s="245" t="s">
        <v>391</v>
      </c>
      <c r="N188" s="101">
        <v>0</v>
      </c>
      <c r="O188" s="101" t="s">
        <v>392</v>
      </c>
      <c r="P188" s="101">
        <v>0</v>
      </c>
      <c r="Q188" s="101">
        <v>0</v>
      </c>
      <c r="R188" s="101" t="s">
        <v>428</v>
      </c>
      <c r="S188" s="101">
        <v>148707</v>
      </c>
      <c r="T188" s="101" t="s">
        <v>394</v>
      </c>
      <c r="V188" s="245">
        <v>42951</v>
      </c>
      <c r="W188" s="101" t="s">
        <v>424</v>
      </c>
      <c r="X188" s="101" t="s">
        <v>429</v>
      </c>
      <c r="Y188" s="101" t="s">
        <v>392</v>
      </c>
      <c r="Z188" s="101" t="s">
        <v>430</v>
      </c>
      <c r="AA188" s="101" t="s">
        <v>397</v>
      </c>
      <c r="AB188" s="101">
        <v>5101000018</v>
      </c>
      <c r="AC188" s="101" t="s">
        <v>431</v>
      </c>
      <c r="AD188" s="101" t="s">
        <v>431</v>
      </c>
      <c r="AE188" s="101" t="s">
        <v>75</v>
      </c>
      <c r="AF188" s="101" t="s">
        <v>400</v>
      </c>
      <c r="AG188" s="101" t="s">
        <v>624</v>
      </c>
      <c r="AI188" s="101" t="s">
        <v>760</v>
      </c>
    </row>
    <row r="189" spans="1:35">
      <c r="A189" s="246" t="s">
        <v>110</v>
      </c>
      <c r="B189" s="246" t="s">
        <v>66</v>
      </c>
      <c r="C189" s="246" t="s">
        <v>126</v>
      </c>
      <c r="D189" s="246" t="s">
        <v>281</v>
      </c>
      <c r="E189" s="246"/>
      <c r="F189" s="246"/>
      <c r="G189" s="132">
        <v>0</v>
      </c>
      <c r="H189" s="132">
        <v>0</v>
      </c>
      <c r="I189" s="132">
        <v>0</v>
      </c>
      <c r="J189" s="101" t="s">
        <v>889</v>
      </c>
      <c r="K189" s="245" t="s">
        <v>390</v>
      </c>
      <c r="L189" s="245">
        <v>42675</v>
      </c>
      <c r="M189" s="245" t="s">
        <v>391</v>
      </c>
      <c r="N189" s="101">
        <v>0</v>
      </c>
      <c r="O189" s="101" t="s">
        <v>392</v>
      </c>
      <c r="P189" s="101">
        <v>0</v>
      </c>
      <c r="Q189" s="101">
        <v>0</v>
      </c>
      <c r="R189" s="101" t="s">
        <v>428</v>
      </c>
      <c r="S189" s="101">
        <v>148707</v>
      </c>
      <c r="T189" s="101" t="s">
        <v>394</v>
      </c>
      <c r="V189" s="245">
        <v>42951</v>
      </c>
      <c r="W189" s="101" t="s">
        <v>424</v>
      </c>
      <c r="X189" s="101" t="s">
        <v>429</v>
      </c>
      <c r="Y189" s="101" t="s">
        <v>392</v>
      </c>
      <c r="Z189" s="101" t="s">
        <v>430</v>
      </c>
      <c r="AA189" s="101" t="s">
        <v>397</v>
      </c>
      <c r="AB189" s="101">
        <v>5101000018</v>
      </c>
      <c r="AC189" s="101" t="s">
        <v>431</v>
      </c>
      <c r="AD189" s="101" t="s">
        <v>431</v>
      </c>
      <c r="AE189" s="101" t="s">
        <v>75</v>
      </c>
      <c r="AF189" s="101" t="s">
        <v>400</v>
      </c>
      <c r="AG189" s="101" t="s">
        <v>624</v>
      </c>
      <c r="AI189" s="101" t="s">
        <v>760</v>
      </c>
    </row>
    <row r="190" spans="1:35">
      <c r="A190" s="246" t="s">
        <v>111</v>
      </c>
      <c r="B190" s="246" t="s">
        <v>66</v>
      </c>
      <c r="C190" s="246" t="s">
        <v>126</v>
      </c>
      <c r="D190" s="246" t="s">
        <v>273</v>
      </c>
      <c r="E190" s="246"/>
      <c r="F190" s="246"/>
      <c r="G190" s="132">
        <v>0</v>
      </c>
      <c r="H190" s="132">
        <v>0</v>
      </c>
      <c r="I190" s="132">
        <v>0</v>
      </c>
      <c r="J190" s="101" t="s">
        <v>889</v>
      </c>
      <c r="K190" s="245" t="s">
        <v>390</v>
      </c>
      <c r="L190" s="245">
        <v>42705</v>
      </c>
      <c r="M190" s="245" t="s">
        <v>391</v>
      </c>
      <c r="N190" s="101">
        <v>0</v>
      </c>
      <c r="O190" s="101" t="s">
        <v>392</v>
      </c>
      <c r="P190" s="101">
        <v>0</v>
      </c>
      <c r="Q190" s="101">
        <v>0</v>
      </c>
      <c r="R190" s="101" t="s">
        <v>428</v>
      </c>
      <c r="S190" s="101">
        <v>148707</v>
      </c>
      <c r="T190" s="101" t="s">
        <v>394</v>
      </c>
      <c r="V190" s="245">
        <v>42951</v>
      </c>
      <c r="W190" s="101" t="s">
        <v>424</v>
      </c>
      <c r="X190" s="101" t="s">
        <v>429</v>
      </c>
      <c r="Y190" s="101" t="s">
        <v>392</v>
      </c>
      <c r="Z190" s="101" t="s">
        <v>430</v>
      </c>
      <c r="AA190" s="101" t="s">
        <v>397</v>
      </c>
      <c r="AB190" s="101">
        <v>5101000018</v>
      </c>
      <c r="AC190" s="101" t="s">
        <v>431</v>
      </c>
      <c r="AD190" s="101" t="s">
        <v>431</v>
      </c>
      <c r="AE190" s="101" t="s">
        <v>75</v>
      </c>
      <c r="AF190" s="101" t="s">
        <v>400</v>
      </c>
      <c r="AG190" s="101" t="s">
        <v>624</v>
      </c>
      <c r="AI190" s="101" t="s">
        <v>760</v>
      </c>
    </row>
    <row r="191" spans="1:35">
      <c r="A191" s="246" t="s">
        <v>111</v>
      </c>
      <c r="B191" s="246" t="s">
        <v>66</v>
      </c>
      <c r="C191" s="246" t="s">
        <v>126</v>
      </c>
      <c r="D191" s="246" t="s">
        <v>273</v>
      </c>
      <c r="E191" s="246"/>
      <c r="F191" s="246"/>
      <c r="G191" s="132">
        <v>0</v>
      </c>
      <c r="H191" s="132">
        <v>0</v>
      </c>
      <c r="I191" s="132">
        <v>0</v>
      </c>
      <c r="J191" s="101" t="s">
        <v>889</v>
      </c>
      <c r="K191" s="245" t="s">
        <v>390</v>
      </c>
      <c r="L191" s="245">
        <v>42738</v>
      </c>
      <c r="M191" s="245" t="s">
        <v>391</v>
      </c>
      <c r="N191" s="101">
        <v>0</v>
      </c>
      <c r="O191" s="101" t="s">
        <v>392</v>
      </c>
      <c r="P191" s="101">
        <v>0</v>
      </c>
      <c r="Q191" s="101">
        <v>0</v>
      </c>
      <c r="R191" s="101" t="s">
        <v>428</v>
      </c>
      <c r="S191" s="101">
        <v>148707</v>
      </c>
      <c r="T191" s="101" t="s">
        <v>394</v>
      </c>
      <c r="V191" s="245">
        <v>42951</v>
      </c>
      <c r="W191" s="101" t="s">
        <v>424</v>
      </c>
      <c r="X191" s="101" t="s">
        <v>429</v>
      </c>
      <c r="Y191" s="101" t="s">
        <v>392</v>
      </c>
      <c r="Z191" s="101" t="s">
        <v>430</v>
      </c>
      <c r="AA191" s="101" t="s">
        <v>397</v>
      </c>
      <c r="AB191" s="101">
        <v>5101000018</v>
      </c>
      <c r="AC191" s="101" t="s">
        <v>431</v>
      </c>
      <c r="AD191" s="101" t="s">
        <v>431</v>
      </c>
      <c r="AE191" s="101" t="s">
        <v>75</v>
      </c>
      <c r="AF191" s="101" t="s">
        <v>400</v>
      </c>
      <c r="AG191" s="101" t="s">
        <v>624</v>
      </c>
      <c r="AI191" s="101" t="s">
        <v>760</v>
      </c>
    </row>
    <row r="192" spans="1:35">
      <c r="A192" s="246" t="s">
        <v>111</v>
      </c>
      <c r="B192" s="246" t="s">
        <v>66</v>
      </c>
      <c r="C192" s="246" t="s">
        <v>126</v>
      </c>
      <c r="D192" s="246" t="s">
        <v>273</v>
      </c>
      <c r="E192" s="246"/>
      <c r="F192" s="246"/>
      <c r="G192" s="132">
        <v>0</v>
      </c>
      <c r="H192" s="132">
        <v>0</v>
      </c>
      <c r="I192" s="132">
        <v>0</v>
      </c>
      <c r="J192" s="101" t="s">
        <v>889</v>
      </c>
      <c r="K192" s="245" t="s">
        <v>390</v>
      </c>
      <c r="L192" s="245">
        <v>42767</v>
      </c>
      <c r="M192" s="245" t="s">
        <v>391</v>
      </c>
      <c r="N192" s="101">
        <v>0</v>
      </c>
      <c r="O192" s="101" t="s">
        <v>392</v>
      </c>
      <c r="P192" s="101">
        <v>0</v>
      </c>
      <c r="Q192" s="101">
        <v>0</v>
      </c>
      <c r="R192" s="101" t="s">
        <v>428</v>
      </c>
      <c r="S192" s="101">
        <v>148707</v>
      </c>
      <c r="T192" s="101" t="s">
        <v>394</v>
      </c>
      <c r="V192" s="245">
        <v>42951</v>
      </c>
      <c r="W192" s="101" t="s">
        <v>424</v>
      </c>
      <c r="X192" s="101" t="s">
        <v>429</v>
      </c>
      <c r="Y192" s="101" t="s">
        <v>392</v>
      </c>
      <c r="Z192" s="101" t="s">
        <v>430</v>
      </c>
      <c r="AA192" s="101" t="s">
        <v>397</v>
      </c>
      <c r="AB192" s="101">
        <v>5101000018</v>
      </c>
      <c r="AC192" s="101" t="s">
        <v>431</v>
      </c>
      <c r="AD192" s="101" t="s">
        <v>431</v>
      </c>
      <c r="AE192" s="101" t="s">
        <v>75</v>
      </c>
      <c r="AF192" s="101" t="s">
        <v>400</v>
      </c>
      <c r="AG192" s="101" t="s">
        <v>624</v>
      </c>
      <c r="AI192" s="101" t="s">
        <v>760</v>
      </c>
    </row>
    <row r="193" spans="1:35">
      <c r="A193" s="246" t="s">
        <v>111</v>
      </c>
      <c r="B193" s="246" t="s">
        <v>66</v>
      </c>
      <c r="C193" s="246" t="s">
        <v>126</v>
      </c>
      <c r="D193" s="246" t="s">
        <v>273</v>
      </c>
      <c r="E193" s="246"/>
      <c r="F193" s="246"/>
      <c r="G193" s="132">
        <v>0</v>
      </c>
      <c r="H193" s="132">
        <v>0</v>
      </c>
      <c r="I193" s="132">
        <v>0</v>
      </c>
      <c r="J193" s="101" t="s">
        <v>889</v>
      </c>
      <c r="K193" s="245" t="s">
        <v>390</v>
      </c>
      <c r="L193" s="245">
        <v>42795</v>
      </c>
      <c r="M193" s="245" t="s">
        <v>391</v>
      </c>
      <c r="N193" s="101">
        <v>0</v>
      </c>
      <c r="O193" s="101" t="s">
        <v>392</v>
      </c>
      <c r="P193" s="101">
        <v>0</v>
      </c>
      <c r="Q193" s="101">
        <v>0</v>
      </c>
      <c r="R193" s="101" t="s">
        <v>428</v>
      </c>
      <c r="S193" s="101">
        <v>148707</v>
      </c>
      <c r="T193" s="101" t="s">
        <v>394</v>
      </c>
      <c r="V193" s="245">
        <v>42951</v>
      </c>
      <c r="W193" s="101" t="s">
        <v>424</v>
      </c>
      <c r="X193" s="101" t="s">
        <v>429</v>
      </c>
      <c r="Y193" s="101" t="s">
        <v>392</v>
      </c>
      <c r="Z193" s="101" t="s">
        <v>430</v>
      </c>
      <c r="AA193" s="101" t="s">
        <v>397</v>
      </c>
      <c r="AB193" s="101">
        <v>5101000018</v>
      </c>
      <c r="AC193" s="101" t="s">
        <v>431</v>
      </c>
      <c r="AD193" s="101" t="s">
        <v>431</v>
      </c>
      <c r="AE193" s="101" t="s">
        <v>75</v>
      </c>
      <c r="AF193" s="101" t="s">
        <v>400</v>
      </c>
      <c r="AG193" s="101" t="s">
        <v>624</v>
      </c>
      <c r="AI193" s="101" t="s">
        <v>760</v>
      </c>
    </row>
    <row r="194" spans="1:35">
      <c r="A194" s="246" t="s">
        <v>111</v>
      </c>
      <c r="B194" s="246" t="s">
        <v>66</v>
      </c>
      <c r="C194" s="246" t="s">
        <v>126</v>
      </c>
      <c r="D194" s="246" t="s">
        <v>273</v>
      </c>
      <c r="E194" s="246"/>
      <c r="F194" s="246"/>
      <c r="G194" s="132">
        <v>0</v>
      </c>
      <c r="H194" s="132">
        <v>0</v>
      </c>
      <c r="I194" s="132">
        <v>0</v>
      </c>
      <c r="J194" s="101" t="s">
        <v>889</v>
      </c>
      <c r="K194" s="245" t="s">
        <v>390</v>
      </c>
      <c r="L194" s="245">
        <v>42828</v>
      </c>
      <c r="M194" s="245" t="s">
        <v>391</v>
      </c>
      <c r="N194" s="101">
        <v>0</v>
      </c>
      <c r="O194" s="101" t="s">
        <v>392</v>
      </c>
      <c r="P194" s="101">
        <v>0</v>
      </c>
      <c r="Q194" s="101">
        <v>0</v>
      </c>
      <c r="R194" s="101" t="s">
        <v>428</v>
      </c>
      <c r="S194" s="101">
        <v>148707</v>
      </c>
      <c r="T194" s="101" t="s">
        <v>394</v>
      </c>
      <c r="V194" s="245">
        <v>42951</v>
      </c>
      <c r="W194" s="101" t="s">
        <v>424</v>
      </c>
      <c r="X194" s="101" t="s">
        <v>429</v>
      </c>
      <c r="Y194" s="101" t="s">
        <v>392</v>
      </c>
      <c r="Z194" s="101" t="s">
        <v>430</v>
      </c>
      <c r="AA194" s="101" t="s">
        <v>397</v>
      </c>
      <c r="AB194" s="101">
        <v>5101000018</v>
      </c>
      <c r="AC194" s="101" t="s">
        <v>431</v>
      </c>
      <c r="AD194" s="101" t="s">
        <v>431</v>
      </c>
      <c r="AE194" s="101" t="s">
        <v>75</v>
      </c>
      <c r="AF194" s="101" t="s">
        <v>400</v>
      </c>
      <c r="AG194" s="101" t="s">
        <v>624</v>
      </c>
      <c r="AI194" s="101" t="s">
        <v>760</v>
      </c>
    </row>
    <row r="195" spans="1:35">
      <c r="A195" s="246" t="s">
        <v>111</v>
      </c>
      <c r="B195" s="246" t="s">
        <v>66</v>
      </c>
      <c r="C195" s="246" t="s">
        <v>126</v>
      </c>
      <c r="D195" s="246" t="s">
        <v>273</v>
      </c>
      <c r="E195" s="246"/>
      <c r="F195" s="246"/>
      <c r="G195" s="132">
        <v>0</v>
      </c>
      <c r="H195" s="132">
        <v>0</v>
      </c>
      <c r="I195" s="132">
        <v>0</v>
      </c>
      <c r="J195" s="101" t="s">
        <v>889</v>
      </c>
      <c r="K195" s="245" t="s">
        <v>390</v>
      </c>
      <c r="L195" s="245">
        <v>42856</v>
      </c>
      <c r="M195" s="245" t="s">
        <v>391</v>
      </c>
      <c r="N195" s="101">
        <v>0</v>
      </c>
      <c r="O195" s="101" t="s">
        <v>392</v>
      </c>
      <c r="P195" s="101">
        <v>0</v>
      </c>
      <c r="Q195" s="101">
        <v>0</v>
      </c>
      <c r="R195" s="101" t="s">
        <v>428</v>
      </c>
      <c r="S195" s="101">
        <v>148707</v>
      </c>
      <c r="T195" s="101" t="s">
        <v>394</v>
      </c>
      <c r="V195" s="245">
        <v>42951</v>
      </c>
      <c r="W195" s="101" t="s">
        <v>424</v>
      </c>
      <c r="X195" s="101" t="s">
        <v>429</v>
      </c>
      <c r="Y195" s="101" t="s">
        <v>392</v>
      </c>
      <c r="Z195" s="101" t="s">
        <v>430</v>
      </c>
      <c r="AA195" s="101" t="s">
        <v>397</v>
      </c>
      <c r="AB195" s="101">
        <v>5101000018</v>
      </c>
      <c r="AC195" s="101" t="s">
        <v>431</v>
      </c>
      <c r="AD195" s="101" t="s">
        <v>431</v>
      </c>
      <c r="AE195" s="101" t="s">
        <v>75</v>
      </c>
      <c r="AF195" s="101" t="s">
        <v>400</v>
      </c>
      <c r="AG195" s="101" t="s">
        <v>624</v>
      </c>
      <c r="AI195" s="101" t="s">
        <v>760</v>
      </c>
    </row>
    <row r="196" spans="1:35">
      <c r="A196" s="246" t="s">
        <v>112</v>
      </c>
      <c r="B196" s="246" t="s">
        <v>66</v>
      </c>
      <c r="C196" s="246" t="s">
        <v>126</v>
      </c>
      <c r="D196" s="246" t="s">
        <v>270</v>
      </c>
      <c r="E196" s="246"/>
      <c r="F196" s="246"/>
      <c r="G196" s="132">
        <v>0</v>
      </c>
      <c r="H196" s="132">
        <v>0</v>
      </c>
      <c r="I196" s="132">
        <v>0</v>
      </c>
      <c r="J196" s="101" t="s">
        <v>889</v>
      </c>
      <c r="K196" s="245" t="s">
        <v>390</v>
      </c>
      <c r="L196" s="245">
        <v>42887</v>
      </c>
      <c r="M196" s="245" t="s">
        <v>391</v>
      </c>
      <c r="N196" s="101">
        <v>0</v>
      </c>
      <c r="O196" s="101" t="s">
        <v>392</v>
      </c>
      <c r="P196" s="101">
        <v>0</v>
      </c>
      <c r="Q196" s="101">
        <v>0</v>
      </c>
      <c r="R196" s="101" t="s">
        <v>428</v>
      </c>
      <c r="S196" s="101">
        <v>148707</v>
      </c>
      <c r="T196" s="101" t="s">
        <v>394</v>
      </c>
      <c r="V196" s="245">
        <v>42951</v>
      </c>
      <c r="W196" s="101" t="s">
        <v>424</v>
      </c>
      <c r="X196" s="101" t="s">
        <v>429</v>
      </c>
      <c r="Y196" s="101" t="s">
        <v>392</v>
      </c>
      <c r="Z196" s="101" t="s">
        <v>430</v>
      </c>
      <c r="AA196" s="101" t="s">
        <v>397</v>
      </c>
      <c r="AB196" s="101">
        <v>5101000018</v>
      </c>
      <c r="AC196" s="101" t="s">
        <v>431</v>
      </c>
      <c r="AD196" s="101" t="s">
        <v>431</v>
      </c>
      <c r="AE196" s="101" t="s">
        <v>75</v>
      </c>
      <c r="AF196" s="101" t="s">
        <v>400</v>
      </c>
      <c r="AG196" s="101" t="s">
        <v>624</v>
      </c>
      <c r="AI196" s="101" t="s">
        <v>760</v>
      </c>
    </row>
    <row r="197" spans="1:35">
      <c r="A197" s="246" t="s">
        <v>112</v>
      </c>
      <c r="B197" s="246" t="s">
        <v>66</v>
      </c>
      <c r="C197" s="246" t="s">
        <v>126</v>
      </c>
      <c r="D197" s="246" t="s">
        <v>270</v>
      </c>
      <c r="E197" s="246"/>
      <c r="F197" s="246"/>
      <c r="G197" s="132">
        <v>0</v>
      </c>
      <c r="H197" s="132">
        <v>0</v>
      </c>
      <c r="I197" s="132">
        <v>0</v>
      </c>
      <c r="J197" s="101" t="s">
        <v>889</v>
      </c>
      <c r="K197" s="245" t="s">
        <v>390</v>
      </c>
      <c r="L197" s="245">
        <v>42919</v>
      </c>
      <c r="M197" s="245" t="s">
        <v>391</v>
      </c>
      <c r="N197" s="101">
        <v>0</v>
      </c>
      <c r="O197" s="101" t="s">
        <v>392</v>
      </c>
      <c r="P197" s="101">
        <v>0</v>
      </c>
      <c r="Q197" s="101">
        <v>0</v>
      </c>
      <c r="R197" s="101" t="s">
        <v>428</v>
      </c>
      <c r="S197" s="101">
        <v>148707</v>
      </c>
      <c r="T197" s="101" t="s">
        <v>394</v>
      </c>
      <c r="V197" s="245">
        <v>42951</v>
      </c>
      <c r="W197" s="101" t="s">
        <v>424</v>
      </c>
      <c r="X197" s="101" t="s">
        <v>429</v>
      </c>
      <c r="Y197" s="101" t="s">
        <v>392</v>
      </c>
      <c r="Z197" s="101" t="s">
        <v>430</v>
      </c>
      <c r="AA197" s="101" t="s">
        <v>397</v>
      </c>
      <c r="AB197" s="101">
        <v>5101000018</v>
      </c>
      <c r="AC197" s="101" t="s">
        <v>431</v>
      </c>
      <c r="AD197" s="101" t="s">
        <v>431</v>
      </c>
      <c r="AE197" s="101" t="s">
        <v>75</v>
      </c>
      <c r="AF197" s="101" t="s">
        <v>400</v>
      </c>
      <c r="AG197" s="101" t="s">
        <v>624</v>
      </c>
      <c r="AI197" s="101" t="s">
        <v>760</v>
      </c>
    </row>
    <row r="198" spans="1:35">
      <c r="A198" s="246" t="s">
        <v>112</v>
      </c>
      <c r="B198" s="246" t="s">
        <v>66</v>
      </c>
      <c r="C198" s="246" t="s">
        <v>126</v>
      </c>
      <c r="D198" s="246" t="s">
        <v>270</v>
      </c>
      <c r="E198" s="246"/>
      <c r="F198" s="246"/>
      <c r="G198" s="132">
        <v>0</v>
      </c>
      <c r="H198" s="132">
        <v>0</v>
      </c>
      <c r="I198" s="132">
        <v>0</v>
      </c>
      <c r="J198" s="101" t="s">
        <v>889</v>
      </c>
      <c r="K198" s="245" t="s">
        <v>390</v>
      </c>
      <c r="L198" s="245">
        <v>42951</v>
      </c>
      <c r="M198" s="245" t="s">
        <v>391</v>
      </c>
      <c r="N198" s="101">
        <v>0</v>
      </c>
      <c r="O198" s="101" t="s">
        <v>392</v>
      </c>
      <c r="P198" s="101">
        <v>0</v>
      </c>
      <c r="Q198" s="101">
        <v>0</v>
      </c>
      <c r="R198" s="101" t="s">
        <v>428</v>
      </c>
      <c r="S198" s="101">
        <v>148707</v>
      </c>
      <c r="T198" s="101" t="s">
        <v>394</v>
      </c>
      <c r="V198" s="245">
        <v>42951</v>
      </c>
      <c r="W198" s="101" t="s">
        <v>424</v>
      </c>
      <c r="X198" s="101" t="s">
        <v>429</v>
      </c>
      <c r="Y198" s="101" t="s">
        <v>392</v>
      </c>
      <c r="Z198" s="101" t="s">
        <v>430</v>
      </c>
      <c r="AA198" s="101" t="s">
        <v>397</v>
      </c>
      <c r="AB198" s="101">
        <v>5101000018</v>
      </c>
      <c r="AC198" s="101" t="s">
        <v>431</v>
      </c>
      <c r="AD198" s="101" t="s">
        <v>431</v>
      </c>
      <c r="AE198" s="101" t="s">
        <v>75</v>
      </c>
      <c r="AF198" s="101" t="s">
        <v>400</v>
      </c>
      <c r="AG198" s="101" t="s">
        <v>624</v>
      </c>
      <c r="AI198" s="101" t="s">
        <v>760</v>
      </c>
    </row>
    <row r="199" spans="1:35">
      <c r="A199" s="246" t="s">
        <v>112</v>
      </c>
      <c r="B199" s="246" t="s">
        <v>66</v>
      </c>
      <c r="C199" s="246" t="s">
        <v>116</v>
      </c>
      <c r="D199" s="246" t="s">
        <v>330</v>
      </c>
      <c r="E199" s="246"/>
      <c r="F199" s="246"/>
      <c r="G199" s="132">
        <v>0</v>
      </c>
      <c r="H199" s="132">
        <v>0</v>
      </c>
      <c r="I199" s="132">
        <v>0</v>
      </c>
      <c r="J199" s="101" t="s">
        <v>889</v>
      </c>
      <c r="K199" s="245" t="s">
        <v>390</v>
      </c>
      <c r="L199" s="245">
        <v>42951</v>
      </c>
      <c r="M199" s="245" t="s">
        <v>421</v>
      </c>
      <c r="N199" s="101">
        <v>0</v>
      </c>
      <c r="O199" s="101" t="s">
        <v>392</v>
      </c>
      <c r="P199" s="101">
        <v>0</v>
      </c>
      <c r="Q199" s="101">
        <v>0</v>
      </c>
      <c r="R199" s="101" t="s">
        <v>428</v>
      </c>
      <c r="S199" s="101">
        <v>148707</v>
      </c>
      <c r="T199" s="101" t="s">
        <v>394</v>
      </c>
      <c r="V199" s="245">
        <v>42951</v>
      </c>
      <c r="W199" s="101" t="s">
        <v>424</v>
      </c>
      <c r="X199" s="101" t="s">
        <v>429</v>
      </c>
      <c r="Y199" s="101" t="s">
        <v>392</v>
      </c>
      <c r="Z199" s="101" t="s">
        <v>430</v>
      </c>
      <c r="AA199" s="101" t="s">
        <v>397</v>
      </c>
      <c r="AB199" s="101">
        <v>5101000018</v>
      </c>
      <c r="AC199" s="101" t="s">
        <v>431</v>
      </c>
      <c r="AD199" s="101" t="s">
        <v>431</v>
      </c>
      <c r="AE199" s="101" t="s">
        <v>75</v>
      </c>
      <c r="AF199" s="101" t="s">
        <v>400</v>
      </c>
      <c r="AG199" s="101" t="s">
        <v>624</v>
      </c>
      <c r="AI199" s="101" t="s">
        <v>760</v>
      </c>
    </row>
    <row r="200" spans="1:35">
      <c r="A200" s="246" t="s">
        <v>110</v>
      </c>
      <c r="B200" s="246" t="s">
        <v>66</v>
      </c>
      <c r="C200" s="246" t="s">
        <v>126</v>
      </c>
      <c r="D200" s="246" t="s">
        <v>281</v>
      </c>
      <c r="E200" s="246"/>
      <c r="F200" s="246"/>
      <c r="G200" s="132">
        <v>1100000</v>
      </c>
      <c r="H200" s="132" t="s">
        <v>1075</v>
      </c>
      <c r="I200" s="132">
        <v>1100000</v>
      </c>
      <c r="J200" s="101" t="s">
        <v>889</v>
      </c>
      <c r="K200" s="245" t="s">
        <v>390</v>
      </c>
      <c r="L200" s="245">
        <v>42597</v>
      </c>
      <c r="M200" s="245" t="s">
        <v>391</v>
      </c>
      <c r="N200" s="101">
        <v>0</v>
      </c>
      <c r="O200" s="101" t="s">
        <v>392</v>
      </c>
      <c r="P200" s="101">
        <v>0</v>
      </c>
      <c r="Q200" s="101">
        <v>0</v>
      </c>
      <c r="R200" s="101" t="s">
        <v>450</v>
      </c>
      <c r="S200" s="101">
        <v>162333</v>
      </c>
      <c r="T200" s="101" t="s">
        <v>394</v>
      </c>
      <c r="V200" s="245">
        <v>46980</v>
      </c>
      <c r="W200" s="101" t="s">
        <v>411</v>
      </c>
      <c r="X200" s="101" t="s">
        <v>77</v>
      </c>
      <c r="Y200" s="101" t="s">
        <v>392</v>
      </c>
      <c r="Z200" s="101" t="s">
        <v>430</v>
      </c>
      <c r="AA200" s="101" t="s">
        <v>451</v>
      </c>
      <c r="AB200" s="101">
        <v>1101005009</v>
      </c>
      <c r="AC200" s="101" t="s">
        <v>431</v>
      </c>
      <c r="AD200" s="101" t="s">
        <v>431</v>
      </c>
      <c r="AE200" s="101" t="s">
        <v>75</v>
      </c>
      <c r="AF200" s="101" t="s">
        <v>400</v>
      </c>
      <c r="AG200" s="101" t="s">
        <v>452</v>
      </c>
      <c r="AI200" s="101" t="s">
        <v>760</v>
      </c>
    </row>
    <row r="201" spans="1:35">
      <c r="A201" s="246" t="s">
        <v>111</v>
      </c>
      <c r="B201" s="246" t="s">
        <v>66</v>
      </c>
      <c r="C201" s="246" t="s">
        <v>126</v>
      </c>
      <c r="D201" s="246" t="s">
        <v>273</v>
      </c>
      <c r="E201" s="246"/>
      <c r="F201" s="246"/>
      <c r="G201" s="132">
        <v>1100000</v>
      </c>
      <c r="H201" s="132" t="s">
        <v>1075</v>
      </c>
      <c r="I201" s="132">
        <v>1100000</v>
      </c>
      <c r="J201" s="101" t="s">
        <v>889</v>
      </c>
      <c r="K201" s="245" t="s">
        <v>390</v>
      </c>
      <c r="L201" s="245">
        <v>42781</v>
      </c>
      <c r="M201" s="245" t="s">
        <v>391</v>
      </c>
      <c r="N201" s="101">
        <v>0</v>
      </c>
      <c r="O201" s="101" t="s">
        <v>392</v>
      </c>
      <c r="P201" s="101">
        <v>0</v>
      </c>
      <c r="Q201" s="101">
        <v>0</v>
      </c>
      <c r="R201" s="101" t="s">
        <v>450</v>
      </c>
      <c r="S201" s="101">
        <v>162333</v>
      </c>
      <c r="T201" s="101" t="s">
        <v>394</v>
      </c>
      <c r="V201" s="245">
        <v>46980</v>
      </c>
      <c r="W201" s="101" t="s">
        <v>411</v>
      </c>
      <c r="X201" s="101" t="s">
        <v>77</v>
      </c>
      <c r="Y201" s="101" t="s">
        <v>392</v>
      </c>
      <c r="Z201" s="101" t="s">
        <v>430</v>
      </c>
      <c r="AA201" s="101" t="s">
        <v>451</v>
      </c>
      <c r="AB201" s="101">
        <v>1101005009</v>
      </c>
      <c r="AC201" s="101" t="s">
        <v>431</v>
      </c>
      <c r="AD201" s="101" t="s">
        <v>431</v>
      </c>
      <c r="AE201" s="101" t="s">
        <v>75</v>
      </c>
      <c r="AF201" s="101" t="s">
        <v>400</v>
      </c>
      <c r="AG201" s="101" t="s">
        <v>452</v>
      </c>
      <c r="AI201" s="101" t="s">
        <v>760</v>
      </c>
    </row>
    <row r="202" spans="1:35">
      <c r="A202" s="246" t="s">
        <v>112</v>
      </c>
      <c r="B202" s="246" t="s">
        <v>66</v>
      </c>
      <c r="C202" s="246" t="s">
        <v>126</v>
      </c>
      <c r="D202" s="246" t="s">
        <v>270</v>
      </c>
      <c r="E202" s="246"/>
      <c r="F202" s="246"/>
      <c r="G202" s="132">
        <v>1100000</v>
      </c>
      <c r="H202" s="132" t="s">
        <v>1075</v>
      </c>
      <c r="I202" s="132">
        <v>1100000</v>
      </c>
      <c r="J202" s="101" t="s">
        <v>889</v>
      </c>
      <c r="K202" s="245" t="s">
        <v>390</v>
      </c>
      <c r="L202" s="245">
        <v>42962</v>
      </c>
      <c r="M202" s="245" t="s">
        <v>391</v>
      </c>
      <c r="N202" s="101">
        <v>0</v>
      </c>
      <c r="O202" s="101" t="s">
        <v>392</v>
      </c>
      <c r="P202" s="101">
        <v>0</v>
      </c>
      <c r="Q202" s="101">
        <v>0</v>
      </c>
      <c r="R202" s="101" t="s">
        <v>450</v>
      </c>
      <c r="S202" s="101">
        <v>162333</v>
      </c>
      <c r="T202" s="101" t="s">
        <v>394</v>
      </c>
      <c r="V202" s="245">
        <v>46980</v>
      </c>
      <c r="W202" s="101" t="s">
        <v>411</v>
      </c>
      <c r="X202" s="101" t="s">
        <v>77</v>
      </c>
      <c r="Y202" s="101" t="s">
        <v>392</v>
      </c>
      <c r="Z202" s="101" t="s">
        <v>430</v>
      </c>
      <c r="AA202" s="101" t="s">
        <v>451</v>
      </c>
      <c r="AB202" s="101">
        <v>1101005009</v>
      </c>
      <c r="AC202" s="101" t="s">
        <v>431</v>
      </c>
      <c r="AD202" s="101" t="s">
        <v>431</v>
      </c>
      <c r="AE202" s="101" t="s">
        <v>75</v>
      </c>
      <c r="AF202" s="101" t="s">
        <v>400</v>
      </c>
      <c r="AG202" s="101" t="s">
        <v>452</v>
      </c>
      <c r="AI202" s="101" t="s">
        <v>760</v>
      </c>
    </row>
    <row r="203" spans="1:35">
      <c r="A203" s="246" t="s">
        <v>113</v>
      </c>
      <c r="B203" s="246" t="s">
        <v>66</v>
      </c>
      <c r="C203" s="246" t="s">
        <v>126</v>
      </c>
      <c r="D203" s="246" t="s">
        <v>271</v>
      </c>
      <c r="E203" s="246"/>
      <c r="F203" s="246"/>
      <c r="G203" s="132">
        <v>1100000</v>
      </c>
      <c r="H203" s="132" t="s">
        <v>1075</v>
      </c>
      <c r="I203" s="132">
        <v>1100000</v>
      </c>
      <c r="J203" s="101" t="s">
        <v>889</v>
      </c>
      <c r="K203" s="245" t="s">
        <v>390</v>
      </c>
      <c r="L203" s="245">
        <v>43146</v>
      </c>
      <c r="M203" s="245" t="s">
        <v>391</v>
      </c>
      <c r="N203" s="101">
        <v>0</v>
      </c>
      <c r="O203" s="101" t="s">
        <v>392</v>
      </c>
      <c r="P203" s="101">
        <v>0</v>
      </c>
      <c r="Q203" s="101">
        <v>0</v>
      </c>
      <c r="R203" s="101" t="s">
        <v>450</v>
      </c>
      <c r="S203" s="101">
        <v>162333</v>
      </c>
      <c r="T203" s="101" t="s">
        <v>394</v>
      </c>
      <c r="V203" s="245">
        <v>46980</v>
      </c>
      <c r="W203" s="101" t="s">
        <v>411</v>
      </c>
      <c r="X203" s="101" t="s">
        <v>77</v>
      </c>
      <c r="Y203" s="101" t="s">
        <v>392</v>
      </c>
      <c r="Z203" s="101" t="s">
        <v>430</v>
      </c>
      <c r="AA203" s="101" t="s">
        <v>451</v>
      </c>
      <c r="AB203" s="101">
        <v>1101005009</v>
      </c>
      <c r="AC203" s="101" t="s">
        <v>431</v>
      </c>
      <c r="AD203" s="101" t="s">
        <v>431</v>
      </c>
      <c r="AE203" s="101" t="s">
        <v>75</v>
      </c>
      <c r="AF203" s="101" t="s">
        <v>400</v>
      </c>
      <c r="AG203" s="101" t="s">
        <v>452</v>
      </c>
      <c r="AI203" s="101" t="s">
        <v>760</v>
      </c>
    </row>
    <row r="204" spans="1:35">
      <c r="A204" s="246" t="s">
        <v>109</v>
      </c>
      <c r="B204" s="246" t="s">
        <v>78</v>
      </c>
      <c r="C204" s="246" t="s">
        <v>126</v>
      </c>
      <c r="D204" s="246" t="s">
        <v>337</v>
      </c>
      <c r="E204" s="246" t="s">
        <v>336</v>
      </c>
      <c r="F204" s="246" t="s">
        <v>275</v>
      </c>
      <c r="G204" s="132" t="s">
        <v>705</v>
      </c>
      <c r="H204" s="132" t="s">
        <v>1076</v>
      </c>
      <c r="I204" s="132">
        <v>3002.85</v>
      </c>
      <c r="J204" s="101" t="s">
        <v>889</v>
      </c>
      <c r="K204" s="245" t="s">
        <v>390</v>
      </c>
      <c r="L204" s="245">
        <v>42551</v>
      </c>
      <c r="M204" s="245" t="s">
        <v>391</v>
      </c>
      <c r="N204" s="101">
        <v>0</v>
      </c>
      <c r="O204" s="101" t="s">
        <v>392</v>
      </c>
      <c r="P204" s="101">
        <v>0</v>
      </c>
      <c r="Q204" s="101">
        <v>0</v>
      </c>
      <c r="R204" s="101" t="s">
        <v>393</v>
      </c>
      <c r="S204" s="101" t="s">
        <v>818</v>
      </c>
      <c r="T204" s="101" t="s">
        <v>394</v>
      </c>
      <c r="V204" s="245">
        <v>14248</v>
      </c>
      <c r="W204" s="101" t="s">
        <v>395</v>
      </c>
      <c r="X204" s="101" t="s">
        <v>795</v>
      </c>
      <c r="Y204" s="101" t="s">
        <v>396</v>
      </c>
      <c r="Z204" s="101" t="s">
        <v>402</v>
      </c>
      <c r="AA204" s="101" t="s">
        <v>78</v>
      </c>
      <c r="AB204" s="101">
        <v>4101000279</v>
      </c>
      <c r="AC204" s="101" t="s">
        <v>398</v>
      </c>
      <c r="AD204" s="101" t="s">
        <v>403</v>
      </c>
      <c r="AE204" s="101" t="s">
        <v>6</v>
      </c>
      <c r="AF204" s="101" t="s">
        <v>400</v>
      </c>
      <c r="AI204" s="101" t="s">
        <v>760</v>
      </c>
    </row>
    <row r="205" spans="1:35">
      <c r="A205" s="246" t="s">
        <v>109</v>
      </c>
      <c r="B205" s="246" t="s">
        <v>78</v>
      </c>
      <c r="C205" s="246" t="s">
        <v>126</v>
      </c>
      <c r="D205" s="246" t="s">
        <v>337</v>
      </c>
      <c r="E205" s="246" t="s">
        <v>336</v>
      </c>
      <c r="F205" s="246" t="s">
        <v>275</v>
      </c>
      <c r="G205" s="132" t="s">
        <v>827</v>
      </c>
      <c r="H205" s="132" t="s">
        <v>1077</v>
      </c>
      <c r="I205" s="132">
        <v>541.88</v>
      </c>
      <c r="J205" s="101" t="s">
        <v>889</v>
      </c>
      <c r="K205" s="245" t="s">
        <v>390</v>
      </c>
      <c r="L205" s="245">
        <v>42551</v>
      </c>
      <c r="M205" s="245" t="s">
        <v>391</v>
      </c>
      <c r="N205" s="101">
        <v>0</v>
      </c>
      <c r="O205" s="101" t="s">
        <v>392</v>
      </c>
      <c r="P205" s="101">
        <v>0</v>
      </c>
      <c r="Q205" s="101">
        <v>0</v>
      </c>
      <c r="R205" s="101" t="s">
        <v>393</v>
      </c>
      <c r="S205" s="101" t="s">
        <v>818</v>
      </c>
      <c r="T205" s="101" t="s">
        <v>394</v>
      </c>
      <c r="V205" s="245">
        <v>14248</v>
      </c>
      <c r="W205" s="101" t="s">
        <v>395</v>
      </c>
      <c r="X205" s="101" t="s">
        <v>795</v>
      </c>
      <c r="Y205" s="101" t="s">
        <v>396</v>
      </c>
      <c r="Z205" s="101" t="s">
        <v>402</v>
      </c>
      <c r="AA205" s="101" t="s">
        <v>78</v>
      </c>
      <c r="AB205" s="101">
        <v>4101000279</v>
      </c>
      <c r="AC205" s="101" t="s">
        <v>398</v>
      </c>
      <c r="AD205" s="101" t="s">
        <v>403</v>
      </c>
      <c r="AE205" s="101" t="s">
        <v>6</v>
      </c>
      <c r="AF205" s="101" t="s">
        <v>400</v>
      </c>
      <c r="AI205" s="101" t="s">
        <v>760</v>
      </c>
    </row>
    <row r="206" spans="1:35">
      <c r="A206" s="246" t="s">
        <v>109</v>
      </c>
      <c r="B206" s="246" t="s">
        <v>78</v>
      </c>
      <c r="C206" s="246" t="s">
        <v>126</v>
      </c>
      <c r="D206" s="246" t="s">
        <v>337</v>
      </c>
      <c r="E206" s="246" t="s">
        <v>336</v>
      </c>
      <c r="F206" s="246" t="s">
        <v>275</v>
      </c>
      <c r="G206" s="132" t="s">
        <v>817</v>
      </c>
      <c r="H206" s="132" t="s">
        <v>1078</v>
      </c>
      <c r="I206" s="132">
        <v>10110.449999999999</v>
      </c>
      <c r="J206" s="101" t="s">
        <v>889</v>
      </c>
      <c r="K206" s="245" t="s">
        <v>390</v>
      </c>
      <c r="L206" s="245">
        <v>42551</v>
      </c>
      <c r="M206" s="245" t="s">
        <v>391</v>
      </c>
      <c r="N206" s="101">
        <v>0</v>
      </c>
      <c r="O206" s="101" t="s">
        <v>392</v>
      </c>
      <c r="P206" s="101">
        <v>0</v>
      </c>
      <c r="Q206" s="101">
        <v>0</v>
      </c>
      <c r="R206" s="101" t="s">
        <v>393</v>
      </c>
      <c r="S206" s="101" t="s">
        <v>818</v>
      </c>
      <c r="T206" s="101" t="s">
        <v>394</v>
      </c>
      <c r="V206" s="245">
        <v>14248</v>
      </c>
      <c r="W206" s="101" t="s">
        <v>395</v>
      </c>
      <c r="X206" s="101" t="s">
        <v>795</v>
      </c>
      <c r="Y206" s="101" t="s">
        <v>396</v>
      </c>
      <c r="Z206" s="101" t="s">
        <v>402</v>
      </c>
      <c r="AA206" s="101" t="s">
        <v>78</v>
      </c>
      <c r="AB206" s="101">
        <v>4101000279</v>
      </c>
      <c r="AC206" s="101" t="s">
        <v>398</v>
      </c>
      <c r="AD206" s="101" t="s">
        <v>403</v>
      </c>
      <c r="AE206" s="101" t="s">
        <v>6</v>
      </c>
      <c r="AF206" s="101" t="s">
        <v>400</v>
      </c>
      <c r="AI206" s="101" t="s">
        <v>760</v>
      </c>
    </row>
    <row r="207" spans="1:35">
      <c r="A207" s="246" t="s">
        <v>109</v>
      </c>
      <c r="B207" s="246" t="s">
        <v>78</v>
      </c>
      <c r="C207" s="246" t="s">
        <v>126</v>
      </c>
      <c r="D207" s="246" t="s">
        <v>337</v>
      </c>
      <c r="E207" s="246" t="s">
        <v>336</v>
      </c>
      <c r="F207" s="246" t="s">
        <v>275</v>
      </c>
      <c r="G207" s="132" t="s">
        <v>819</v>
      </c>
      <c r="H207" s="132" t="s">
        <v>1079</v>
      </c>
      <c r="I207" s="132">
        <v>5538.579999999999</v>
      </c>
      <c r="J207" s="101" t="s">
        <v>889</v>
      </c>
      <c r="K207" s="245" t="s">
        <v>390</v>
      </c>
      <c r="L207" s="245">
        <v>42551</v>
      </c>
      <c r="M207" s="245" t="s">
        <v>391</v>
      </c>
      <c r="N207" s="101">
        <v>0</v>
      </c>
      <c r="O207" s="101" t="s">
        <v>392</v>
      </c>
      <c r="P207" s="101">
        <v>0</v>
      </c>
      <c r="Q207" s="101">
        <v>0</v>
      </c>
      <c r="R207" s="101" t="s">
        <v>393</v>
      </c>
      <c r="S207" s="101" t="s">
        <v>818</v>
      </c>
      <c r="T207" s="101" t="s">
        <v>394</v>
      </c>
      <c r="V207" s="245">
        <v>14248</v>
      </c>
      <c r="W207" s="101" t="s">
        <v>395</v>
      </c>
      <c r="X207" s="101" t="s">
        <v>795</v>
      </c>
      <c r="Y207" s="101" t="s">
        <v>396</v>
      </c>
      <c r="Z207" s="101" t="s">
        <v>402</v>
      </c>
      <c r="AA207" s="101" t="s">
        <v>78</v>
      </c>
      <c r="AB207" s="101">
        <v>4101000279</v>
      </c>
      <c r="AC207" s="101" t="s">
        <v>398</v>
      </c>
      <c r="AD207" s="101" t="s">
        <v>403</v>
      </c>
      <c r="AE207" s="101" t="s">
        <v>6</v>
      </c>
      <c r="AF207" s="101" t="s">
        <v>400</v>
      </c>
      <c r="AI207" s="101" t="s">
        <v>760</v>
      </c>
    </row>
    <row r="208" spans="1:35">
      <c r="A208" s="246" t="s">
        <v>111</v>
      </c>
      <c r="B208" s="246" t="s">
        <v>78</v>
      </c>
      <c r="C208" s="246" t="s">
        <v>126</v>
      </c>
      <c r="D208" s="246" t="s">
        <v>768</v>
      </c>
      <c r="E208" s="246" t="s">
        <v>769</v>
      </c>
      <c r="F208" s="246" t="s">
        <v>277</v>
      </c>
      <c r="G208" s="132">
        <v>14190</v>
      </c>
      <c r="H208" s="132" t="s">
        <v>1080</v>
      </c>
      <c r="I208" s="132">
        <v>14190</v>
      </c>
      <c r="J208" s="101" t="s">
        <v>889</v>
      </c>
      <c r="K208" s="245" t="s">
        <v>390</v>
      </c>
      <c r="L208" s="245">
        <v>42734</v>
      </c>
      <c r="M208" s="245" t="s">
        <v>391</v>
      </c>
      <c r="N208" s="101">
        <v>0</v>
      </c>
      <c r="O208" s="101" t="s">
        <v>392</v>
      </c>
      <c r="P208" s="101">
        <v>0</v>
      </c>
      <c r="Q208" s="101">
        <v>0</v>
      </c>
      <c r="R208" s="101" t="s">
        <v>393</v>
      </c>
      <c r="S208" s="101" t="s">
        <v>818</v>
      </c>
      <c r="T208" s="101" t="s">
        <v>394</v>
      </c>
      <c r="V208" s="245">
        <v>14248</v>
      </c>
      <c r="W208" s="101" t="s">
        <v>395</v>
      </c>
      <c r="X208" s="101" t="s">
        <v>795</v>
      </c>
      <c r="Y208" s="101" t="s">
        <v>396</v>
      </c>
      <c r="Z208" s="101" t="s">
        <v>402</v>
      </c>
      <c r="AA208" s="101" t="s">
        <v>78</v>
      </c>
      <c r="AB208" s="101">
        <v>4101000279</v>
      </c>
      <c r="AC208" s="101" t="s">
        <v>398</v>
      </c>
      <c r="AD208" s="101" t="s">
        <v>403</v>
      </c>
      <c r="AE208" s="101" t="s">
        <v>6</v>
      </c>
      <c r="AF208" s="101" t="s">
        <v>400</v>
      </c>
      <c r="AI208" s="101" t="s">
        <v>760</v>
      </c>
    </row>
    <row r="209" spans="1:35">
      <c r="A209" s="246" t="s">
        <v>112</v>
      </c>
      <c r="B209" s="246" t="s">
        <v>78</v>
      </c>
      <c r="C209" s="246" t="s">
        <v>126</v>
      </c>
      <c r="D209" s="246" t="s">
        <v>341</v>
      </c>
      <c r="E209" s="246" t="s">
        <v>342</v>
      </c>
      <c r="F209" s="246" t="s">
        <v>278</v>
      </c>
      <c r="G209" s="132">
        <v>14190</v>
      </c>
      <c r="H209" s="132" t="s">
        <v>1080</v>
      </c>
      <c r="I209" s="132">
        <v>14190</v>
      </c>
      <c r="J209" s="101" t="s">
        <v>889</v>
      </c>
      <c r="K209" s="245" t="s">
        <v>390</v>
      </c>
      <c r="L209" s="245">
        <v>42916</v>
      </c>
      <c r="M209" s="245" t="s">
        <v>391</v>
      </c>
      <c r="N209" s="101">
        <v>0</v>
      </c>
      <c r="O209" s="101" t="s">
        <v>392</v>
      </c>
      <c r="P209" s="101">
        <v>0</v>
      </c>
      <c r="Q209" s="101">
        <v>0</v>
      </c>
      <c r="R209" s="101" t="s">
        <v>393</v>
      </c>
      <c r="S209" s="101" t="s">
        <v>818</v>
      </c>
      <c r="T209" s="101" t="s">
        <v>394</v>
      </c>
      <c r="V209" s="245">
        <v>14248</v>
      </c>
      <c r="W209" s="101" t="s">
        <v>395</v>
      </c>
      <c r="X209" s="101" t="s">
        <v>795</v>
      </c>
      <c r="Y209" s="101" t="s">
        <v>396</v>
      </c>
      <c r="Z209" s="101" t="s">
        <v>402</v>
      </c>
      <c r="AA209" s="101" t="s">
        <v>78</v>
      </c>
      <c r="AB209" s="101">
        <v>4101000279</v>
      </c>
      <c r="AC209" s="101" t="s">
        <v>398</v>
      </c>
      <c r="AD209" s="101" t="s">
        <v>403</v>
      </c>
      <c r="AE209" s="101" t="s">
        <v>6</v>
      </c>
      <c r="AF209" s="101" t="s">
        <v>400</v>
      </c>
      <c r="AI209" s="101" t="s">
        <v>760</v>
      </c>
    </row>
    <row r="210" spans="1:35">
      <c r="A210" s="246" t="s">
        <v>113</v>
      </c>
      <c r="B210" s="246" t="s">
        <v>78</v>
      </c>
      <c r="C210" s="246" t="s">
        <v>126</v>
      </c>
      <c r="D210" s="246" t="s">
        <v>339</v>
      </c>
      <c r="E210" s="246" t="s">
        <v>340</v>
      </c>
      <c r="F210" s="246" t="s">
        <v>279</v>
      </c>
      <c r="G210" s="132">
        <v>14190</v>
      </c>
      <c r="H210" s="132" t="s">
        <v>1080</v>
      </c>
      <c r="I210" s="132">
        <v>14190</v>
      </c>
      <c r="J210" s="101" t="s">
        <v>889</v>
      </c>
      <c r="K210" s="245" t="s">
        <v>390</v>
      </c>
      <c r="L210" s="245">
        <v>43098</v>
      </c>
      <c r="M210" s="245" t="s">
        <v>391</v>
      </c>
      <c r="N210" s="101">
        <v>0</v>
      </c>
      <c r="O210" s="101" t="s">
        <v>392</v>
      </c>
      <c r="P210" s="101">
        <v>0</v>
      </c>
      <c r="Q210" s="101">
        <v>0</v>
      </c>
      <c r="R210" s="101" t="s">
        <v>393</v>
      </c>
      <c r="S210" s="101" t="s">
        <v>818</v>
      </c>
      <c r="T210" s="101" t="s">
        <v>394</v>
      </c>
      <c r="V210" s="245">
        <v>14248</v>
      </c>
      <c r="W210" s="101" t="s">
        <v>395</v>
      </c>
      <c r="X210" s="101" t="s">
        <v>795</v>
      </c>
      <c r="Y210" s="101" t="s">
        <v>396</v>
      </c>
      <c r="Z210" s="101" t="s">
        <v>402</v>
      </c>
      <c r="AA210" s="101" t="s">
        <v>78</v>
      </c>
      <c r="AB210" s="101">
        <v>4101000279</v>
      </c>
      <c r="AC210" s="101" t="s">
        <v>398</v>
      </c>
      <c r="AD210" s="101" t="s">
        <v>403</v>
      </c>
      <c r="AE210" s="101" t="s">
        <v>6</v>
      </c>
      <c r="AF210" s="101" t="s">
        <v>400</v>
      </c>
      <c r="AI210" s="101" t="s">
        <v>760</v>
      </c>
    </row>
    <row r="211" spans="1:35">
      <c r="A211" s="246" t="s">
        <v>109</v>
      </c>
      <c r="B211" s="246" t="s">
        <v>66</v>
      </c>
      <c r="C211" s="246" t="s">
        <v>116</v>
      </c>
      <c r="D211" s="246" t="s">
        <v>338</v>
      </c>
      <c r="E211" s="246"/>
      <c r="F211" s="246"/>
      <c r="G211" s="132">
        <v>-3500000</v>
      </c>
      <c r="H211" s="132" t="s">
        <v>1081</v>
      </c>
      <c r="I211" s="132">
        <v>-3500000</v>
      </c>
      <c r="J211" s="101" t="s">
        <v>889</v>
      </c>
      <c r="K211" s="245" t="s">
        <v>390</v>
      </c>
      <c r="L211" s="245">
        <v>42569</v>
      </c>
      <c r="M211" s="245" t="s">
        <v>421</v>
      </c>
      <c r="N211" s="101">
        <v>0</v>
      </c>
      <c r="O211" s="101" t="s">
        <v>392</v>
      </c>
      <c r="P211" s="101">
        <v>0</v>
      </c>
      <c r="Q211" s="101">
        <v>0</v>
      </c>
      <c r="R211" s="101" t="s">
        <v>438</v>
      </c>
      <c r="S211" s="101">
        <v>184300</v>
      </c>
      <c r="T211" s="101" t="s">
        <v>394</v>
      </c>
      <c r="V211" s="245">
        <v>42569</v>
      </c>
      <c r="W211" s="101" t="s">
        <v>441</v>
      </c>
      <c r="X211" s="101" t="s">
        <v>76</v>
      </c>
      <c r="Y211" s="101" t="s">
        <v>392</v>
      </c>
      <c r="Z211" s="101" t="s">
        <v>430</v>
      </c>
      <c r="AA211" s="101" t="s">
        <v>442</v>
      </c>
      <c r="AB211" s="101">
        <v>1101000297</v>
      </c>
      <c r="AC211" s="101" t="s">
        <v>431</v>
      </c>
      <c r="AD211" s="101" t="s">
        <v>431</v>
      </c>
      <c r="AE211" s="101" t="s">
        <v>75</v>
      </c>
      <c r="AF211" s="101" t="s">
        <v>400</v>
      </c>
      <c r="AG211" s="101" t="s">
        <v>443</v>
      </c>
      <c r="AI211" s="101" t="s">
        <v>760</v>
      </c>
    </row>
    <row r="212" spans="1:35">
      <c r="A212" s="246" t="s">
        <v>113</v>
      </c>
      <c r="B212" s="246" t="s">
        <v>78</v>
      </c>
      <c r="C212" s="246" t="s">
        <v>126</v>
      </c>
      <c r="D212" s="246" t="s">
        <v>339</v>
      </c>
      <c r="E212" s="246" t="s">
        <v>340</v>
      </c>
      <c r="F212" s="246" t="s">
        <v>279</v>
      </c>
      <c r="G212" s="132" t="s">
        <v>401</v>
      </c>
      <c r="H212" s="132" t="s">
        <v>1045</v>
      </c>
      <c r="I212" s="132">
        <v>169.53</v>
      </c>
      <c r="J212" s="101" t="s">
        <v>889</v>
      </c>
      <c r="K212" s="245" t="s">
        <v>390</v>
      </c>
      <c r="L212" s="245">
        <v>43098</v>
      </c>
      <c r="M212" s="245" t="s">
        <v>391</v>
      </c>
      <c r="N212" s="101">
        <v>0</v>
      </c>
      <c r="O212" s="101" t="s">
        <v>392</v>
      </c>
      <c r="P212" s="101">
        <v>0</v>
      </c>
      <c r="Q212" s="101">
        <v>0</v>
      </c>
      <c r="R212" s="101" t="s">
        <v>393</v>
      </c>
      <c r="S212" s="101" t="s">
        <v>866</v>
      </c>
      <c r="T212" s="101" t="s">
        <v>394</v>
      </c>
      <c r="V212" s="245">
        <v>46387</v>
      </c>
      <c r="W212" s="101" t="s">
        <v>395</v>
      </c>
      <c r="X212" s="101" t="s">
        <v>795</v>
      </c>
      <c r="Y212" s="101" t="s">
        <v>396</v>
      </c>
      <c r="Z212" s="101" t="s">
        <v>393</v>
      </c>
      <c r="AA212" s="101" t="s">
        <v>78</v>
      </c>
      <c r="AB212" s="101">
        <v>4101000279</v>
      </c>
      <c r="AC212" s="101" t="s">
        <v>398</v>
      </c>
      <c r="AD212" s="101" t="s">
        <v>399</v>
      </c>
      <c r="AE212" s="101" t="s">
        <v>6</v>
      </c>
      <c r="AF212" s="101" t="s">
        <v>400</v>
      </c>
      <c r="AI212" s="101" t="s">
        <v>760</v>
      </c>
    </row>
    <row r="213" spans="1:35">
      <c r="A213" s="246" t="s">
        <v>112</v>
      </c>
      <c r="B213" s="246" t="s">
        <v>66</v>
      </c>
      <c r="C213" s="246" t="s">
        <v>126</v>
      </c>
      <c r="D213" s="246" t="s">
        <v>270</v>
      </c>
      <c r="E213" s="246"/>
      <c r="F213" s="246"/>
      <c r="G213" s="132">
        <v>0</v>
      </c>
      <c r="H213" s="132">
        <v>0</v>
      </c>
      <c r="I213" s="132">
        <v>0</v>
      </c>
      <c r="J213" s="101" t="s">
        <v>889</v>
      </c>
      <c r="K213" s="245" t="s">
        <v>390</v>
      </c>
      <c r="L213" s="245">
        <v>42979</v>
      </c>
      <c r="M213" s="245" t="s">
        <v>391</v>
      </c>
      <c r="N213" s="101">
        <v>0</v>
      </c>
      <c r="O213" s="101" t="s">
        <v>392</v>
      </c>
      <c r="P213" s="101">
        <v>0</v>
      </c>
      <c r="Q213" s="101">
        <v>0</v>
      </c>
      <c r="R213" s="101" t="s">
        <v>428</v>
      </c>
      <c r="S213" s="101">
        <v>148670</v>
      </c>
      <c r="T213" s="101" t="s">
        <v>394</v>
      </c>
      <c r="V213" s="245">
        <v>43433</v>
      </c>
      <c r="W213" s="101" t="s">
        <v>424</v>
      </c>
      <c r="X213" s="101" t="s">
        <v>429</v>
      </c>
      <c r="Y213" s="101" t="s">
        <v>392</v>
      </c>
      <c r="Z213" s="101" t="s">
        <v>430</v>
      </c>
      <c r="AA213" s="101" t="s">
        <v>397</v>
      </c>
      <c r="AB213" s="101">
        <v>5101000018</v>
      </c>
      <c r="AC213" s="101" t="s">
        <v>431</v>
      </c>
      <c r="AD213" s="101" t="s">
        <v>431</v>
      </c>
      <c r="AE213" s="101" t="s">
        <v>75</v>
      </c>
      <c r="AF213" s="101" t="s">
        <v>400</v>
      </c>
      <c r="AG213" s="101" t="s">
        <v>625</v>
      </c>
      <c r="AI213" s="101" t="s">
        <v>760</v>
      </c>
    </row>
    <row r="214" spans="1:35">
      <c r="A214" s="246" t="s">
        <v>112</v>
      </c>
      <c r="B214" s="246" t="s">
        <v>66</v>
      </c>
      <c r="C214" s="246" t="s">
        <v>126</v>
      </c>
      <c r="D214" s="246" t="s">
        <v>270</v>
      </c>
      <c r="E214" s="246"/>
      <c r="F214" s="246"/>
      <c r="G214" s="132">
        <v>0</v>
      </c>
      <c r="H214" s="132">
        <v>0</v>
      </c>
      <c r="I214" s="132">
        <v>0</v>
      </c>
      <c r="J214" s="101" t="s">
        <v>889</v>
      </c>
      <c r="K214" s="245" t="s">
        <v>390</v>
      </c>
      <c r="L214" s="245">
        <v>43010</v>
      </c>
      <c r="M214" s="245" t="s">
        <v>391</v>
      </c>
      <c r="N214" s="101">
        <v>0</v>
      </c>
      <c r="O214" s="101" t="s">
        <v>392</v>
      </c>
      <c r="P214" s="101">
        <v>0</v>
      </c>
      <c r="Q214" s="101">
        <v>0</v>
      </c>
      <c r="R214" s="101" t="s">
        <v>428</v>
      </c>
      <c r="S214" s="101">
        <v>148670</v>
      </c>
      <c r="T214" s="101" t="s">
        <v>394</v>
      </c>
      <c r="V214" s="245">
        <v>43433</v>
      </c>
      <c r="W214" s="101" t="s">
        <v>424</v>
      </c>
      <c r="X214" s="101" t="s">
        <v>429</v>
      </c>
      <c r="Y214" s="101" t="s">
        <v>392</v>
      </c>
      <c r="Z214" s="101" t="s">
        <v>430</v>
      </c>
      <c r="AA214" s="101" t="s">
        <v>397</v>
      </c>
      <c r="AB214" s="101">
        <v>5101000018</v>
      </c>
      <c r="AC214" s="101" t="s">
        <v>431</v>
      </c>
      <c r="AD214" s="101" t="s">
        <v>431</v>
      </c>
      <c r="AE214" s="101" t="s">
        <v>75</v>
      </c>
      <c r="AF214" s="101" t="s">
        <v>400</v>
      </c>
      <c r="AG214" s="101" t="s">
        <v>625</v>
      </c>
      <c r="AI214" s="101" t="s">
        <v>760</v>
      </c>
    </row>
    <row r="215" spans="1:35">
      <c r="A215" s="246" t="s">
        <v>112</v>
      </c>
      <c r="B215" s="246" t="s">
        <v>66</v>
      </c>
      <c r="C215" s="246" t="s">
        <v>126</v>
      </c>
      <c r="D215" s="246" t="s">
        <v>270</v>
      </c>
      <c r="E215" s="246"/>
      <c r="F215" s="246"/>
      <c r="G215" s="132">
        <v>0</v>
      </c>
      <c r="H215" s="132">
        <v>0</v>
      </c>
      <c r="I215" s="132">
        <v>0</v>
      </c>
      <c r="J215" s="101" t="s">
        <v>889</v>
      </c>
      <c r="K215" s="245" t="s">
        <v>390</v>
      </c>
      <c r="L215" s="245">
        <v>43040</v>
      </c>
      <c r="M215" s="245" t="s">
        <v>391</v>
      </c>
      <c r="N215" s="101">
        <v>0</v>
      </c>
      <c r="O215" s="101" t="s">
        <v>392</v>
      </c>
      <c r="P215" s="101">
        <v>0</v>
      </c>
      <c r="Q215" s="101">
        <v>0</v>
      </c>
      <c r="R215" s="101" t="s">
        <v>428</v>
      </c>
      <c r="S215" s="101">
        <v>148670</v>
      </c>
      <c r="T215" s="101" t="s">
        <v>394</v>
      </c>
      <c r="V215" s="245">
        <v>43433</v>
      </c>
      <c r="W215" s="101" t="s">
        <v>424</v>
      </c>
      <c r="X215" s="101" t="s">
        <v>429</v>
      </c>
      <c r="Y215" s="101" t="s">
        <v>392</v>
      </c>
      <c r="Z215" s="101" t="s">
        <v>430</v>
      </c>
      <c r="AA215" s="101" t="s">
        <v>397</v>
      </c>
      <c r="AB215" s="101">
        <v>5101000018</v>
      </c>
      <c r="AC215" s="101" t="s">
        <v>431</v>
      </c>
      <c r="AD215" s="101" t="s">
        <v>431</v>
      </c>
      <c r="AE215" s="101" t="s">
        <v>75</v>
      </c>
      <c r="AF215" s="101" t="s">
        <v>400</v>
      </c>
      <c r="AG215" s="101" t="s">
        <v>625</v>
      </c>
      <c r="AI215" s="101" t="s">
        <v>760</v>
      </c>
    </row>
    <row r="216" spans="1:35">
      <c r="A216" s="246" t="s">
        <v>113</v>
      </c>
      <c r="B216" s="246" t="s">
        <v>66</v>
      </c>
      <c r="C216" s="246" t="s">
        <v>126</v>
      </c>
      <c r="D216" s="246" t="s">
        <v>271</v>
      </c>
      <c r="E216" s="246"/>
      <c r="F216" s="246"/>
      <c r="G216" s="132">
        <v>0</v>
      </c>
      <c r="H216" s="132">
        <v>0</v>
      </c>
      <c r="I216" s="132">
        <v>0</v>
      </c>
      <c r="J216" s="101" t="s">
        <v>889</v>
      </c>
      <c r="K216" s="245" t="s">
        <v>390</v>
      </c>
      <c r="L216" s="245">
        <v>43070</v>
      </c>
      <c r="M216" s="245" t="s">
        <v>391</v>
      </c>
      <c r="N216" s="101">
        <v>0</v>
      </c>
      <c r="O216" s="101" t="s">
        <v>392</v>
      </c>
      <c r="P216" s="101">
        <v>0</v>
      </c>
      <c r="Q216" s="101">
        <v>0</v>
      </c>
      <c r="R216" s="101" t="s">
        <v>428</v>
      </c>
      <c r="S216" s="101">
        <v>148670</v>
      </c>
      <c r="T216" s="101" t="s">
        <v>394</v>
      </c>
      <c r="V216" s="245">
        <v>43433</v>
      </c>
      <c r="W216" s="101" t="s">
        <v>424</v>
      </c>
      <c r="X216" s="101" t="s">
        <v>429</v>
      </c>
      <c r="Y216" s="101" t="s">
        <v>392</v>
      </c>
      <c r="Z216" s="101" t="s">
        <v>430</v>
      </c>
      <c r="AA216" s="101" t="s">
        <v>397</v>
      </c>
      <c r="AB216" s="101">
        <v>5101000018</v>
      </c>
      <c r="AC216" s="101" t="s">
        <v>431</v>
      </c>
      <c r="AD216" s="101" t="s">
        <v>431</v>
      </c>
      <c r="AE216" s="101" t="s">
        <v>75</v>
      </c>
      <c r="AF216" s="101" t="s">
        <v>400</v>
      </c>
      <c r="AG216" s="101" t="s">
        <v>625</v>
      </c>
      <c r="AI216" s="101" t="s">
        <v>760</v>
      </c>
    </row>
    <row r="217" spans="1:35">
      <c r="A217" s="246" t="s">
        <v>113</v>
      </c>
      <c r="B217" s="246" t="s">
        <v>66</v>
      </c>
      <c r="C217" s="246" t="s">
        <v>126</v>
      </c>
      <c r="D217" s="246" t="s">
        <v>271</v>
      </c>
      <c r="E217" s="246"/>
      <c r="F217" s="246"/>
      <c r="G217" s="132">
        <v>0</v>
      </c>
      <c r="H217" s="132">
        <v>0</v>
      </c>
      <c r="I217" s="132">
        <v>0</v>
      </c>
      <c r="J217" s="101" t="s">
        <v>889</v>
      </c>
      <c r="K217" s="245" t="s">
        <v>390</v>
      </c>
      <c r="L217" s="245">
        <v>43102</v>
      </c>
      <c r="M217" s="245" t="s">
        <v>391</v>
      </c>
      <c r="N217" s="101">
        <v>0</v>
      </c>
      <c r="O217" s="101" t="s">
        <v>392</v>
      </c>
      <c r="P217" s="101">
        <v>0</v>
      </c>
      <c r="Q217" s="101">
        <v>0</v>
      </c>
      <c r="R217" s="101" t="s">
        <v>428</v>
      </c>
      <c r="S217" s="101">
        <v>148670</v>
      </c>
      <c r="T217" s="101" t="s">
        <v>394</v>
      </c>
      <c r="V217" s="245">
        <v>43433</v>
      </c>
      <c r="W217" s="101" t="s">
        <v>424</v>
      </c>
      <c r="X217" s="101" t="s">
        <v>429</v>
      </c>
      <c r="Y217" s="101" t="s">
        <v>392</v>
      </c>
      <c r="Z217" s="101" t="s">
        <v>430</v>
      </c>
      <c r="AA217" s="101" t="s">
        <v>397</v>
      </c>
      <c r="AB217" s="101">
        <v>5101000018</v>
      </c>
      <c r="AC217" s="101" t="s">
        <v>431</v>
      </c>
      <c r="AD217" s="101" t="s">
        <v>431</v>
      </c>
      <c r="AE217" s="101" t="s">
        <v>75</v>
      </c>
      <c r="AF217" s="101" t="s">
        <v>400</v>
      </c>
      <c r="AG217" s="101" t="s">
        <v>625</v>
      </c>
      <c r="AI217" s="101" t="s">
        <v>760</v>
      </c>
    </row>
    <row r="218" spans="1:35">
      <c r="A218" s="246" t="s">
        <v>113</v>
      </c>
      <c r="B218" s="246" t="s">
        <v>66</v>
      </c>
      <c r="C218" s="246" t="s">
        <v>126</v>
      </c>
      <c r="D218" s="246" t="s">
        <v>271</v>
      </c>
      <c r="E218" s="246"/>
      <c r="F218" s="246"/>
      <c r="G218" s="132">
        <v>0</v>
      </c>
      <c r="H218" s="132">
        <v>0</v>
      </c>
      <c r="I218" s="132">
        <v>0</v>
      </c>
      <c r="J218" s="101" t="s">
        <v>889</v>
      </c>
      <c r="K218" s="245" t="s">
        <v>390</v>
      </c>
      <c r="L218" s="245">
        <v>43132</v>
      </c>
      <c r="M218" s="245" t="s">
        <v>391</v>
      </c>
      <c r="N218" s="101">
        <v>0</v>
      </c>
      <c r="O218" s="101" t="s">
        <v>392</v>
      </c>
      <c r="P218" s="101">
        <v>0</v>
      </c>
      <c r="Q218" s="101">
        <v>0</v>
      </c>
      <c r="R218" s="101" t="s">
        <v>428</v>
      </c>
      <c r="S218" s="101">
        <v>148670</v>
      </c>
      <c r="T218" s="101" t="s">
        <v>394</v>
      </c>
      <c r="V218" s="245">
        <v>43433</v>
      </c>
      <c r="W218" s="101" t="s">
        <v>424</v>
      </c>
      <c r="X218" s="101" t="s">
        <v>429</v>
      </c>
      <c r="Y218" s="101" t="s">
        <v>392</v>
      </c>
      <c r="Z218" s="101" t="s">
        <v>430</v>
      </c>
      <c r="AA218" s="101" t="s">
        <v>397</v>
      </c>
      <c r="AB218" s="101">
        <v>5101000018</v>
      </c>
      <c r="AC218" s="101" t="s">
        <v>431</v>
      </c>
      <c r="AD218" s="101" t="s">
        <v>431</v>
      </c>
      <c r="AE218" s="101" t="s">
        <v>75</v>
      </c>
      <c r="AF218" s="101" t="s">
        <v>400</v>
      </c>
      <c r="AG218" s="101" t="s">
        <v>625</v>
      </c>
      <c r="AI218" s="101" t="s">
        <v>760</v>
      </c>
    </row>
    <row r="219" spans="1:35">
      <c r="A219" s="246" t="s">
        <v>113</v>
      </c>
      <c r="B219" s="246" t="s">
        <v>66</v>
      </c>
      <c r="C219" s="246" t="s">
        <v>126</v>
      </c>
      <c r="D219" s="246" t="s">
        <v>271</v>
      </c>
      <c r="E219" s="246"/>
      <c r="F219" s="246"/>
      <c r="G219" s="132">
        <v>0</v>
      </c>
      <c r="H219" s="132">
        <v>0</v>
      </c>
      <c r="I219" s="132">
        <v>0</v>
      </c>
      <c r="J219" s="101" t="s">
        <v>889</v>
      </c>
      <c r="K219" s="245" t="s">
        <v>390</v>
      </c>
      <c r="L219" s="245">
        <v>43160</v>
      </c>
      <c r="M219" s="245" t="s">
        <v>391</v>
      </c>
      <c r="N219" s="101">
        <v>0</v>
      </c>
      <c r="O219" s="101" t="s">
        <v>392</v>
      </c>
      <c r="P219" s="101">
        <v>0</v>
      </c>
      <c r="Q219" s="101">
        <v>0</v>
      </c>
      <c r="R219" s="101" t="s">
        <v>428</v>
      </c>
      <c r="S219" s="101">
        <v>148670</v>
      </c>
      <c r="T219" s="101" t="s">
        <v>394</v>
      </c>
      <c r="V219" s="245">
        <v>43433</v>
      </c>
      <c r="W219" s="101" t="s">
        <v>424</v>
      </c>
      <c r="X219" s="101" t="s">
        <v>429</v>
      </c>
      <c r="Y219" s="101" t="s">
        <v>392</v>
      </c>
      <c r="Z219" s="101" t="s">
        <v>430</v>
      </c>
      <c r="AA219" s="101" t="s">
        <v>397</v>
      </c>
      <c r="AB219" s="101">
        <v>5101000018</v>
      </c>
      <c r="AC219" s="101" t="s">
        <v>431</v>
      </c>
      <c r="AD219" s="101" t="s">
        <v>431</v>
      </c>
      <c r="AE219" s="101" t="s">
        <v>75</v>
      </c>
      <c r="AF219" s="101" t="s">
        <v>400</v>
      </c>
      <c r="AG219" s="101" t="s">
        <v>625</v>
      </c>
      <c r="AI219" s="101" t="s">
        <v>760</v>
      </c>
    </row>
    <row r="220" spans="1:35">
      <c r="A220" s="246" t="s">
        <v>113</v>
      </c>
      <c r="B220" s="246" t="s">
        <v>66</v>
      </c>
      <c r="C220" s="246" t="s">
        <v>126</v>
      </c>
      <c r="D220" s="246" t="s">
        <v>271</v>
      </c>
      <c r="E220" s="246"/>
      <c r="F220" s="246"/>
      <c r="G220" s="132">
        <v>0</v>
      </c>
      <c r="H220" s="132">
        <v>0</v>
      </c>
      <c r="I220" s="132">
        <v>0</v>
      </c>
      <c r="J220" s="101" t="s">
        <v>889</v>
      </c>
      <c r="K220" s="245" t="s">
        <v>390</v>
      </c>
      <c r="L220" s="245">
        <v>43193</v>
      </c>
      <c r="M220" s="245" t="s">
        <v>391</v>
      </c>
      <c r="N220" s="101">
        <v>0</v>
      </c>
      <c r="O220" s="101" t="s">
        <v>392</v>
      </c>
      <c r="P220" s="101">
        <v>0</v>
      </c>
      <c r="Q220" s="101">
        <v>0</v>
      </c>
      <c r="R220" s="101" t="s">
        <v>428</v>
      </c>
      <c r="S220" s="101">
        <v>148670</v>
      </c>
      <c r="T220" s="101" t="s">
        <v>394</v>
      </c>
      <c r="V220" s="245">
        <v>43433</v>
      </c>
      <c r="W220" s="101" t="s">
        <v>424</v>
      </c>
      <c r="X220" s="101" t="s">
        <v>429</v>
      </c>
      <c r="Y220" s="101" t="s">
        <v>392</v>
      </c>
      <c r="Z220" s="101" t="s">
        <v>430</v>
      </c>
      <c r="AA220" s="101" t="s">
        <v>397</v>
      </c>
      <c r="AB220" s="101">
        <v>5101000018</v>
      </c>
      <c r="AC220" s="101" t="s">
        <v>431</v>
      </c>
      <c r="AD220" s="101" t="s">
        <v>431</v>
      </c>
      <c r="AE220" s="101" t="s">
        <v>75</v>
      </c>
      <c r="AF220" s="101" t="s">
        <v>400</v>
      </c>
      <c r="AG220" s="101" t="s">
        <v>625</v>
      </c>
      <c r="AI220" s="101" t="s">
        <v>760</v>
      </c>
    </row>
    <row r="221" spans="1:35">
      <c r="A221" s="246" t="s">
        <v>113</v>
      </c>
      <c r="B221" s="246" t="s">
        <v>66</v>
      </c>
      <c r="C221" s="246" t="s">
        <v>126</v>
      </c>
      <c r="D221" s="246" t="s">
        <v>271</v>
      </c>
      <c r="E221" s="246"/>
      <c r="F221" s="246"/>
      <c r="G221" s="132">
        <v>0</v>
      </c>
      <c r="H221" s="132">
        <v>0</v>
      </c>
      <c r="I221" s="132">
        <v>0</v>
      </c>
      <c r="J221" s="101" t="s">
        <v>889</v>
      </c>
      <c r="K221" s="245" t="s">
        <v>390</v>
      </c>
      <c r="L221" s="245">
        <v>43221</v>
      </c>
      <c r="M221" s="245" t="s">
        <v>391</v>
      </c>
      <c r="N221" s="101">
        <v>0</v>
      </c>
      <c r="O221" s="101" t="s">
        <v>392</v>
      </c>
      <c r="P221" s="101">
        <v>0</v>
      </c>
      <c r="Q221" s="101">
        <v>0</v>
      </c>
      <c r="R221" s="101" t="s">
        <v>428</v>
      </c>
      <c r="S221" s="101">
        <v>148670</v>
      </c>
      <c r="T221" s="101" t="s">
        <v>394</v>
      </c>
      <c r="V221" s="245">
        <v>43433</v>
      </c>
      <c r="W221" s="101" t="s">
        <v>424</v>
      </c>
      <c r="X221" s="101" t="s">
        <v>429</v>
      </c>
      <c r="Y221" s="101" t="s">
        <v>392</v>
      </c>
      <c r="Z221" s="101" t="s">
        <v>430</v>
      </c>
      <c r="AA221" s="101" t="s">
        <v>397</v>
      </c>
      <c r="AB221" s="101">
        <v>5101000018</v>
      </c>
      <c r="AC221" s="101" t="s">
        <v>431</v>
      </c>
      <c r="AD221" s="101" t="s">
        <v>431</v>
      </c>
      <c r="AE221" s="101" t="s">
        <v>75</v>
      </c>
      <c r="AF221" s="101" t="s">
        <v>400</v>
      </c>
      <c r="AG221" s="101" t="s">
        <v>625</v>
      </c>
      <c r="AI221" s="101" t="s">
        <v>760</v>
      </c>
    </row>
    <row r="222" spans="1:35">
      <c r="A222" s="246" t="s">
        <v>109</v>
      </c>
      <c r="B222" s="246" t="s">
        <v>66</v>
      </c>
      <c r="C222" s="246" t="s">
        <v>126</v>
      </c>
      <c r="D222" s="246" t="s">
        <v>272</v>
      </c>
      <c r="E222" s="246"/>
      <c r="F222" s="246"/>
      <c r="G222" s="132">
        <v>62500</v>
      </c>
      <c r="H222" s="132" t="s">
        <v>1082</v>
      </c>
      <c r="I222" s="132">
        <v>62500</v>
      </c>
      <c r="J222" s="101" t="s">
        <v>889</v>
      </c>
      <c r="K222" s="245" t="s">
        <v>390</v>
      </c>
      <c r="L222" s="245">
        <v>42536</v>
      </c>
      <c r="M222" s="245" t="s">
        <v>391</v>
      </c>
      <c r="N222" s="101">
        <v>0</v>
      </c>
      <c r="O222" s="101" t="s">
        <v>392</v>
      </c>
      <c r="P222" s="101">
        <v>0</v>
      </c>
      <c r="Q222" s="101">
        <v>0</v>
      </c>
      <c r="R222" s="101" t="s">
        <v>450</v>
      </c>
      <c r="S222" s="101">
        <v>193109</v>
      </c>
      <c r="T222" s="101" t="s">
        <v>394</v>
      </c>
      <c r="V222" s="245">
        <v>42536</v>
      </c>
      <c r="W222" s="101" t="s">
        <v>441</v>
      </c>
      <c r="X222" s="101" t="s">
        <v>76</v>
      </c>
      <c r="Y222" s="101" t="s">
        <v>392</v>
      </c>
      <c r="Z222" s="101" t="s">
        <v>430</v>
      </c>
      <c r="AA222" s="101" t="s">
        <v>531</v>
      </c>
      <c r="AB222" s="101">
        <v>3101053435</v>
      </c>
      <c r="AC222" s="101" t="s">
        <v>431</v>
      </c>
      <c r="AD222" s="101" t="s">
        <v>431</v>
      </c>
      <c r="AE222" s="101" t="s">
        <v>75</v>
      </c>
      <c r="AF222" s="101" t="s">
        <v>400</v>
      </c>
      <c r="AG222" s="101" t="s">
        <v>532</v>
      </c>
      <c r="AI222" s="101" t="s">
        <v>760</v>
      </c>
    </row>
    <row r="223" spans="1:35">
      <c r="A223" s="246" t="s">
        <v>109</v>
      </c>
      <c r="B223" s="246" t="s">
        <v>66</v>
      </c>
      <c r="C223" s="246" t="s">
        <v>116</v>
      </c>
      <c r="D223" s="246" t="s">
        <v>338</v>
      </c>
      <c r="E223" s="246"/>
      <c r="F223" s="246"/>
      <c r="G223" s="132">
        <v>25000000</v>
      </c>
      <c r="H223" s="132" t="s">
        <v>1083</v>
      </c>
      <c r="I223" s="132">
        <v>25000000</v>
      </c>
      <c r="J223" s="101" t="s">
        <v>889</v>
      </c>
      <c r="K223" s="245" t="s">
        <v>390</v>
      </c>
      <c r="L223" s="245">
        <v>42536</v>
      </c>
      <c r="M223" s="245" t="s">
        <v>421</v>
      </c>
      <c r="N223" s="101">
        <v>0</v>
      </c>
      <c r="O223" s="101" t="s">
        <v>392</v>
      </c>
      <c r="P223" s="101">
        <v>0</v>
      </c>
      <c r="Q223" s="101">
        <v>0</v>
      </c>
      <c r="R223" s="101" t="s">
        <v>450</v>
      </c>
      <c r="S223" s="101">
        <v>193109</v>
      </c>
      <c r="T223" s="101" t="s">
        <v>394</v>
      </c>
      <c r="V223" s="245">
        <v>42536</v>
      </c>
      <c r="W223" s="101" t="s">
        <v>441</v>
      </c>
      <c r="X223" s="101" t="s">
        <v>76</v>
      </c>
      <c r="Y223" s="101" t="s">
        <v>392</v>
      </c>
      <c r="Z223" s="101" t="s">
        <v>430</v>
      </c>
      <c r="AA223" s="101" t="s">
        <v>531</v>
      </c>
      <c r="AB223" s="101">
        <v>3101053435</v>
      </c>
      <c r="AC223" s="101" t="s">
        <v>431</v>
      </c>
      <c r="AD223" s="101" t="s">
        <v>431</v>
      </c>
      <c r="AE223" s="101" t="s">
        <v>75</v>
      </c>
      <c r="AF223" s="101" t="s">
        <v>400</v>
      </c>
      <c r="AG223" s="101" t="s">
        <v>532</v>
      </c>
      <c r="AI223" s="101" t="s">
        <v>760</v>
      </c>
    </row>
    <row r="224" spans="1:35">
      <c r="A224" s="246" t="s">
        <v>109</v>
      </c>
      <c r="B224" s="246" t="s">
        <v>66</v>
      </c>
      <c r="C224" s="246" t="s">
        <v>126</v>
      </c>
      <c r="D224" s="246" t="s">
        <v>272</v>
      </c>
      <c r="E224" s="246"/>
      <c r="F224" s="246" t="s">
        <v>275</v>
      </c>
      <c r="G224" s="132" t="s">
        <v>859</v>
      </c>
      <c r="H224" s="132" t="s">
        <v>1084</v>
      </c>
      <c r="I224" s="132">
        <v>-22099.25</v>
      </c>
      <c r="J224" s="101" t="s">
        <v>889</v>
      </c>
      <c r="K224" s="245" t="s">
        <v>390</v>
      </c>
      <c r="L224" s="245">
        <v>42552</v>
      </c>
      <c r="M224" s="245" t="s">
        <v>391</v>
      </c>
      <c r="N224" s="101">
        <v>0</v>
      </c>
      <c r="O224" s="101" t="s">
        <v>392</v>
      </c>
      <c r="P224" s="101">
        <v>0</v>
      </c>
      <c r="Q224" s="101">
        <v>0</v>
      </c>
      <c r="R224" s="101" t="s">
        <v>444</v>
      </c>
      <c r="S224" s="101" t="s">
        <v>632</v>
      </c>
      <c r="T224" s="101" t="s">
        <v>394</v>
      </c>
      <c r="U224" s="101" t="s">
        <v>31</v>
      </c>
      <c r="V224" s="245">
        <v>13971</v>
      </c>
      <c r="W224" s="101" t="s">
        <v>411</v>
      </c>
      <c r="X224" s="101" t="s">
        <v>77</v>
      </c>
      <c r="Y224" s="101" t="s">
        <v>392</v>
      </c>
      <c r="Z224" s="101" t="s">
        <v>412</v>
      </c>
      <c r="AA224" s="101" t="s">
        <v>633</v>
      </c>
      <c r="AB224" s="101">
        <v>101000527</v>
      </c>
      <c r="AC224" s="101" t="s">
        <v>414</v>
      </c>
      <c r="AD224" s="101" t="s">
        <v>79</v>
      </c>
      <c r="AE224" s="101" t="s">
        <v>6</v>
      </c>
      <c r="AF224" s="101" t="s">
        <v>400</v>
      </c>
      <c r="AI224" s="101" t="s">
        <v>190</v>
      </c>
    </row>
    <row r="225" spans="1:35">
      <c r="A225" s="246" t="s">
        <v>109</v>
      </c>
      <c r="B225" s="246" t="s">
        <v>66</v>
      </c>
      <c r="C225" s="246" t="s">
        <v>265</v>
      </c>
      <c r="D225" s="246" t="s">
        <v>291</v>
      </c>
      <c r="E225" s="246"/>
      <c r="F225" s="246" t="s">
        <v>275</v>
      </c>
      <c r="G225" s="132" t="s">
        <v>860</v>
      </c>
      <c r="H225" s="132" t="s">
        <v>1085</v>
      </c>
      <c r="I225" s="132">
        <v>-569802.14999999991</v>
      </c>
      <c r="J225" s="101" t="s">
        <v>889</v>
      </c>
      <c r="K225" s="245" t="s">
        <v>390</v>
      </c>
      <c r="L225" s="245">
        <v>42552</v>
      </c>
      <c r="M225" s="245" t="s">
        <v>421</v>
      </c>
      <c r="N225" s="101">
        <v>0</v>
      </c>
      <c r="O225" s="101" t="s">
        <v>392</v>
      </c>
      <c r="P225" s="101">
        <v>0</v>
      </c>
      <c r="Q225" s="101">
        <v>0</v>
      </c>
      <c r="R225" s="101" t="s">
        <v>444</v>
      </c>
      <c r="S225" s="101" t="s">
        <v>632</v>
      </c>
      <c r="T225" s="101" t="s">
        <v>394</v>
      </c>
      <c r="U225" s="101" t="s">
        <v>31</v>
      </c>
      <c r="V225" s="245">
        <v>13971</v>
      </c>
      <c r="W225" s="101" t="s">
        <v>411</v>
      </c>
      <c r="X225" s="101" t="s">
        <v>77</v>
      </c>
      <c r="Y225" s="101" t="s">
        <v>392</v>
      </c>
      <c r="Z225" s="101" t="s">
        <v>412</v>
      </c>
      <c r="AA225" s="101" t="s">
        <v>633</v>
      </c>
      <c r="AB225" s="101">
        <v>101000527</v>
      </c>
      <c r="AC225" s="101" t="s">
        <v>414</v>
      </c>
      <c r="AD225" s="101" t="s">
        <v>79</v>
      </c>
      <c r="AE225" s="101" t="s">
        <v>6</v>
      </c>
      <c r="AF225" s="101" t="s">
        <v>400</v>
      </c>
      <c r="AI225" s="101" t="s">
        <v>190</v>
      </c>
    </row>
    <row r="226" spans="1:35">
      <c r="A226" s="246" t="s">
        <v>111</v>
      </c>
      <c r="B226" s="246" t="s">
        <v>66</v>
      </c>
      <c r="C226" s="246" t="s">
        <v>126</v>
      </c>
      <c r="D226" s="246" t="s">
        <v>273</v>
      </c>
      <c r="E226" s="246"/>
      <c r="F226" s="246" t="s">
        <v>277</v>
      </c>
      <c r="G226" s="132" t="s">
        <v>634</v>
      </c>
      <c r="H226" s="132" t="s">
        <v>1086</v>
      </c>
      <c r="I226" s="132">
        <v>-14618.329999999998</v>
      </c>
      <c r="J226" s="101" t="s">
        <v>889</v>
      </c>
      <c r="K226" s="245" t="s">
        <v>390</v>
      </c>
      <c r="L226" s="245">
        <v>42734</v>
      </c>
      <c r="M226" s="245" t="s">
        <v>391</v>
      </c>
      <c r="N226" s="101">
        <v>0</v>
      </c>
      <c r="O226" s="101" t="s">
        <v>392</v>
      </c>
      <c r="P226" s="101">
        <v>0</v>
      </c>
      <c r="Q226" s="101">
        <v>0</v>
      </c>
      <c r="R226" s="101" t="s">
        <v>444</v>
      </c>
      <c r="S226" s="101" t="s">
        <v>632</v>
      </c>
      <c r="T226" s="101" t="s">
        <v>394</v>
      </c>
      <c r="U226" s="101" t="s">
        <v>31</v>
      </c>
      <c r="V226" s="245">
        <v>13971</v>
      </c>
      <c r="W226" s="101" t="s">
        <v>411</v>
      </c>
      <c r="X226" s="101" t="s">
        <v>77</v>
      </c>
      <c r="Y226" s="101" t="s">
        <v>392</v>
      </c>
      <c r="Z226" s="101" t="s">
        <v>412</v>
      </c>
      <c r="AA226" s="101" t="s">
        <v>633</v>
      </c>
      <c r="AB226" s="101">
        <v>101000527</v>
      </c>
      <c r="AC226" s="101" t="s">
        <v>414</v>
      </c>
      <c r="AD226" s="101" t="s">
        <v>79</v>
      </c>
      <c r="AE226" s="101" t="s">
        <v>6</v>
      </c>
      <c r="AF226" s="101" t="s">
        <v>400</v>
      </c>
      <c r="AI226" s="101" t="s">
        <v>190</v>
      </c>
    </row>
    <row r="227" spans="1:35">
      <c r="A227" s="246" t="s">
        <v>112</v>
      </c>
      <c r="B227" s="246" t="s">
        <v>66</v>
      </c>
      <c r="C227" s="246" t="s">
        <v>126</v>
      </c>
      <c r="D227" s="246" t="s">
        <v>270</v>
      </c>
      <c r="E227" s="246"/>
      <c r="F227" s="246" t="s">
        <v>278</v>
      </c>
      <c r="G227" s="132">
        <v>-14700</v>
      </c>
      <c r="H227" s="132" t="s">
        <v>1087</v>
      </c>
      <c r="I227" s="132">
        <v>-14700</v>
      </c>
      <c r="J227" s="101" t="s">
        <v>889</v>
      </c>
      <c r="K227" s="245" t="s">
        <v>390</v>
      </c>
      <c r="L227" s="245">
        <v>42916</v>
      </c>
      <c r="M227" s="245" t="s">
        <v>391</v>
      </c>
      <c r="N227" s="101">
        <v>0</v>
      </c>
      <c r="O227" s="101" t="s">
        <v>392</v>
      </c>
      <c r="P227" s="101">
        <v>0</v>
      </c>
      <c r="Q227" s="101">
        <v>0</v>
      </c>
      <c r="R227" s="101" t="s">
        <v>444</v>
      </c>
      <c r="S227" s="101" t="s">
        <v>632</v>
      </c>
      <c r="T227" s="101" t="s">
        <v>394</v>
      </c>
      <c r="U227" s="101" t="s">
        <v>31</v>
      </c>
      <c r="V227" s="245">
        <v>13971</v>
      </c>
      <c r="W227" s="101" t="s">
        <v>411</v>
      </c>
      <c r="X227" s="101" t="s">
        <v>77</v>
      </c>
      <c r="Y227" s="101" t="s">
        <v>392</v>
      </c>
      <c r="Z227" s="101" t="s">
        <v>412</v>
      </c>
      <c r="AA227" s="101" t="s">
        <v>633</v>
      </c>
      <c r="AB227" s="101">
        <v>101000527</v>
      </c>
      <c r="AC227" s="101" t="s">
        <v>414</v>
      </c>
      <c r="AD227" s="101" t="s">
        <v>79</v>
      </c>
      <c r="AE227" s="101" t="s">
        <v>6</v>
      </c>
      <c r="AF227" s="101" t="s">
        <v>400</v>
      </c>
      <c r="AI227" s="101" t="s">
        <v>190</v>
      </c>
    </row>
    <row r="228" spans="1:35">
      <c r="A228" s="246" t="s">
        <v>113</v>
      </c>
      <c r="B228" s="246" t="s">
        <v>66</v>
      </c>
      <c r="C228" s="246" t="s">
        <v>126</v>
      </c>
      <c r="D228" s="246" t="s">
        <v>271</v>
      </c>
      <c r="E228" s="246"/>
      <c r="F228" s="246" t="s">
        <v>279</v>
      </c>
      <c r="G228" s="132" t="s">
        <v>634</v>
      </c>
      <c r="H228" s="132" t="s">
        <v>1086</v>
      </c>
      <c r="I228" s="132">
        <v>-14618.329999999998</v>
      </c>
      <c r="J228" s="101" t="s">
        <v>889</v>
      </c>
      <c r="K228" s="245" t="s">
        <v>390</v>
      </c>
      <c r="L228" s="245">
        <v>43098</v>
      </c>
      <c r="M228" s="245" t="s">
        <v>391</v>
      </c>
      <c r="N228" s="101">
        <v>0</v>
      </c>
      <c r="O228" s="101" t="s">
        <v>392</v>
      </c>
      <c r="P228" s="101">
        <v>0</v>
      </c>
      <c r="Q228" s="101">
        <v>0</v>
      </c>
      <c r="R228" s="101" t="s">
        <v>444</v>
      </c>
      <c r="S228" s="101" t="s">
        <v>632</v>
      </c>
      <c r="T228" s="101" t="s">
        <v>394</v>
      </c>
      <c r="U228" s="101" t="s">
        <v>31</v>
      </c>
      <c r="V228" s="245">
        <v>13971</v>
      </c>
      <c r="W228" s="101" t="s">
        <v>411</v>
      </c>
      <c r="X228" s="101" t="s">
        <v>77</v>
      </c>
      <c r="Y228" s="101" t="s">
        <v>392</v>
      </c>
      <c r="Z228" s="101" t="s">
        <v>412</v>
      </c>
      <c r="AA228" s="101" t="s">
        <v>633</v>
      </c>
      <c r="AB228" s="101">
        <v>101000527</v>
      </c>
      <c r="AC228" s="101" t="s">
        <v>414</v>
      </c>
      <c r="AD228" s="101" t="s">
        <v>79</v>
      </c>
      <c r="AE228" s="101" t="s">
        <v>6</v>
      </c>
      <c r="AF228" s="101" t="s">
        <v>400</v>
      </c>
      <c r="AI228" s="101" t="s">
        <v>190</v>
      </c>
    </row>
    <row r="229" spans="1:35">
      <c r="A229" s="246" t="s">
        <v>107</v>
      </c>
      <c r="B229" s="246" t="s">
        <v>78</v>
      </c>
      <c r="C229" s="246" t="s">
        <v>126</v>
      </c>
      <c r="D229" s="246" t="s">
        <v>772</v>
      </c>
      <c r="E229" s="246" t="s">
        <v>773</v>
      </c>
      <c r="F229" s="246" t="s">
        <v>334</v>
      </c>
      <c r="G229" s="132" t="s">
        <v>797</v>
      </c>
      <c r="H229" s="132" t="s">
        <v>1088</v>
      </c>
      <c r="I229" s="132">
        <v>108.39</v>
      </c>
      <c r="J229" s="101" t="s">
        <v>889</v>
      </c>
      <c r="K229" s="245" t="s">
        <v>390</v>
      </c>
      <c r="L229" s="245">
        <v>42521</v>
      </c>
      <c r="M229" s="245" t="s">
        <v>391</v>
      </c>
      <c r="N229" s="101">
        <v>0</v>
      </c>
      <c r="O229" s="101" t="s">
        <v>392</v>
      </c>
      <c r="P229" s="101">
        <v>0</v>
      </c>
      <c r="Q229" s="101">
        <v>0</v>
      </c>
      <c r="R229" s="101" t="s">
        <v>393</v>
      </c>
      <c r="S229" s="101" t="s">
        <v>796</v>
      </c>
      <c r="T229" s="101" t="s">
        <v>394</v>
      </c>
      <c r="V229" s="245">
        <v>14426</v>
      </c>
      <c r="W229" s="101" t="s">
        <v>395</v>
      </c>
      <c r="X229" s="101" t="s">
        <v>795</v>
      </c>
      <c r="Y229" s="101" t="s">
        <v>396</v>
      </c>
      <c r="Z229" s="101" t="s">
        <v>402</v>
      </c>
      <c r="AA229" s="101" t="s">
        <v>78</v>
      </c>
      <c r="AB229" s="101">
        <v>4101000279</v>
      </c>
      <c r="AC229" s="101" t="s">
        <v>398</v>
      </c>
      <c r="AD229" s="101" t="s">
        <v>403</v>
      </c>
      <c r="AE229" s="101" t="s">
        <v>6</v>
      </c>
      <c r="AF229" s="101" t="s">
        <v>400</v>
      </c>
      <c r="AI229" s="101" t="s">
        <v>760</v>
      </c>
    </row>
    <row r="230" spans="1:35">
      <c r="A230" s="246" t="s">
        <v>109</v>
      </c>
      <c r="B230" s="246" t="s">
        <v>78</v>
      </c>
      <c r="C230" s="246" t="s">
        <v>126</v>
      </c>
      <c r="D230" s="246" t="s">
        <v>337</v>
      </c>
      <c r="E230" s="246" t="s">
        <v>336</v>
      </c>
      <c r="F230" s="246" t="s">
        <v>275</v>
      </c>
      <c r="G230" s="132" t="s">
        <v>1089</v>
      </c>
      <c r="H230" s="132" t="s">
        <v>1090</v>
      </c>
      <c r="I230" s="132">
        <v>95.78</v>
      </c>
      <c r="J230" s="101" t="s">
        <v>889</v>
      </c>
      <c r="K230" s="245" t="s">
        <v>390</v>
      </c>
      <c r="L230" s="245">
        <v>42551</v>
      </c>
      <c r="M230" s="245" t="s">
        <v>391</v>
      </c>
      <c r="N230" s="101">
        <v>0</v>
      </c>
      <c r="O230" s="101" t="s">
        <v>392</v>
      </c>
      <c r="P230" s="101">
        <v>0</v>
      </c>
      <c r="Q230" s="101">
        <v>0</v>
      </c>
      <c r="R230" s="101" t="s">
        <v>393</v>
      </c>
      <c r="S230" s="101" t="s">
        <v>796</v>
      </c>
      <c r="T230" s="101" t="s">
        <v>394</v>
      </c>
      <c r="V230" s="245">
        <v>14426</v>
      </c>
      <c r="W230" s="101" t="s">
        <v>395</v>
      </c>
      <c r="X230" s="101" t="s">
        <v>795</v>
      </c>
      <c r="Y230" s="101" t="s">
        <v>396</v>
      </c>
      <c r="Z230" s="101" t="s">
        <v>402</v>
      </c>
      <c r="AA230" s="101" t="s">
        <v>78</v>
      </c>
      <c r="AB230" s="101">
        <v>4101000279</v>
      </c>
      <c r="AC230" s="101" t="s">
        <v>398</v>
      </c>
      <c r="AD230" s="101" t="s">
        <v>403</v>
      </c>
      <c r="AE230" s="101" t="s">
        <v>6</v>
      </c>
      <c r="AF230" s="101" t="s">
        <v>400</v>
      </c>
      <c r="AI230" s="101" t="s">
        <v>760</v>
      </c>
    </row>
    <row r="231" spans="1:35">
      <c r="A231" s="246" t="s">
        <v>109</v>
      </c>
      <c r="B231" s="246" t="s">
        <v>78</v>
      </c>
      <c r="C231" s="246" t="s">
        <v>126</v>
      </c>
      <c r="D231" s="246" t="s">
        <v>337</v>
      </c>
      <c r="E231" s="246" t="s">
        <v>336</v>
      </c>
      <c r="F231" s="246" t="s">
        <v>275</v>
      </c>
      <c r="G231" s="132" t="s">
        <v>1091</v>
      </c>
      <c r="H231" s="132" t="s">
        <v>1092</v>
      </c>
      <c r="I231" s="132">
        <v>241.45</v>
      </c>
      <c r="J231" s="101" t="s">
        <v>889</v>
      </c>
      <c r="K231" s="245" t="s">
        <v>390</v>
      </c>
      <c r="L231" s="245">
        <v>42580</v>
      </c>
      <c r="M231" s="245" t="s">
        <v>391</v>
      </c>
      <c r="N231" s="101">
        <v>0</v>
      </c>
      <c r="O231" s="101" t="s">
        <v>392</v>
      </c>
      <c r="P231" s="101">
        <v>0</v>
      </c>
      <c r="Q231" s="101">
        <v>0</v>
      </c>
      <c r="R231" s="101" t="s">
        <v>393</v>
      </c>
      <c r="S231" s="101" t="s">
        <v>796</v>
      </c>
      <c r="T231" s="101" t="s">
        <v>394</v>
      </c>
      <c r="V231" s="245">
        <v>14426</v>
      </c>
      <c r="W231" s="101" t="s">
        <v>395</v>
      </c>
      <c r="X231" s="101" t="s">
        <v>795</v>
      </c>
      <c r="Y231" s="101" t="s">
        <v>396</v>
      </c>
      <c r="Z231" s="101" t="s">
        <v>402</v>
      </c>
      <c r="AA231" s="101" t="s">
        <v>78</v>
      </c>
      <c r="AB231" s="101">
        <v>4101000279</v>
      </c>
      <c r="AC231" s="101" t="s">
        <v>398</v>
      </c>
      <c r="AD231" s="101" t="s">
        <v>403</v>
      </c>
      <c r="AE231" s="101" t="s">
        <v>6</v>
      </c>
      <c r="AF231" s="101" t="s">
        <v>400</v>
      </c>
      <c r="AI231" s="101" t="s">
        <v>760</v>
      </c>
    </row>
    <row r="232" spans="1:35">
      <c r="A232" s="246" t="s">
        <v>110</v>
      </c>
      <c r="B232" s="246" t="s">
        <v>78</v>
      </c>
      <c r="C232" s="246" t="s">
        <v>126</v>
      </c>
      <c r="D232" s="246" t="s">
        <v>770</v>
      </c>
      <c r="E232" s="246" t="s">
        <v>771</v>
      </c>
      <c r="F232" s="246" t="s">
        <v>276</v>
      </c>
      <c r="G232" s="132" t="s">
        <v>1093</v>
      </c>
      <c r="H232" s="132" t="s">
        <v>1094</v>
      </c>
      <c r="I232" s="132">
        <v>200.35999999999999</v>
      </c>
      <c r="J232" s="101" t="s">
        <v>889</v>
      </c>
      <c r="K232" s="245" t="s">
        <v>390</v>
      </c>
      <c r="L232" s="245">
        <v>42613</v>
      </c>
      <c r="M232" s="245" t="s">
        <v>391</v>
      </c>
      <c r="N232" s="101">
        <v>0</v>
      </c>
      <c r="O232" s="101" t="s">
        <v>392</v>
      </c>
      <c r="P232" s="101">
        <v>0</v>
      </c>
      <c r="Q232" s="101">
        <v>0</v>
      </c>
      <c r="R232" s="101" t="s">
        <v>393</v>
      </c>
      <c r="S232" s="101" t="s">
        <v>796</v>
      </c>
      <c r="T232" s="101" t="s">
        <v>394</v>
      </c>
      <c r="V232" s="245">
        <v>14426</v>
      </c>
      <c r="W232" s="101" t="s">
        <v>395</v>
      </c>
      <c r="X232" s="101" t="s">
        <v>795</v>
      </c>
      <c r="Y232" s="101" t="s">
        <v>396</v>
      </c>
      <c r="Z232" s="101" t="s">
        <v>402</v>
      </c>
      <c r="AA232" s="101" t="s">
        <v>78</v>
      </c>
      <c r="AB232" s="101">
        <v>4101000279</v>
      </c>
      <c r="AC232" s="101" t="s">
        <v>398</v>
      </c>
      <c r="AD232" s="101" t="s">
        <v>403</v>
      </c>
      <c r="AE232" s="101" t="s">
        <v>6</v>
      </c>
      <c r="AF232" s="101" t="s">
        <v>400</v>
      </c>
      <c r="AI232" s="101" t="s">
        <v>760</v>
      </c>
    </row>
    <row r="233" spans="1:35">
      <c r="A233" s="246" t="s">
        <v>110</v>
      </c>
      <c r="B233" s="246" t="s">
        <v>78</v>
      </c>
      <c r="C233" s="246" t="s">
        <v>126</v>
      </c>
      <c r="D233" s="246" t="s">
        <v>770</v>
      </c>
      <c r="E233" s="246" t="s">
        <v>771</v>
      </c>
      <c r="F233" s="246" t="s">
        <v>276</v>
      </c>
      <c r="G233" s="132" t="s">
        <v>1095</v>
      </c>
      <c r="H233" s="132" t="s">
        <v>1096</v>
      </c>
      <c r="I233" s="132">
        <v>133.34</v>
      </c>
      <c r="J233" s="101" t="s">
        <v>889</v>
      </c>
      <c r="K233" s="245" t="s">
        <v>390</v>
      </c>
      <c r="L233" s="245">
        <v>42643</v>
      </c>
      <c r="M233" s="245" t="s">
        <v>391</v>
      </c>
      <c r="N233" s="101">
        <v>0</v>
      </c>
      <c r="O233" s="101" t="s">
        <v>392</v>
      </c>
      <c r="P233" s="101">
        <v>0</v>
      </c>
      <c r="Q233" s="101">
        <v>0</v>
      </c>
      <c r="R233" s="101" t="s">
        <v>393</v>
      </c>
      <c r="S233" s="101" t="s">
        <v>796</v>
      </c>
      <c r="T233" s="101" t="s">
        <v>394</v>
      </c>
      <c r="V233" s="245">
        <v>14426</v>
      </c>
      <c r="W233" s="101" t="s">
        <v>395</v>
      </c>
      <c r="X233" s="101" t="s">
        <v>795</v>
      </c>
      <c r="Y233" s="101" t="s">
        <v>396</v>
      </c>
      <c r="Z233" s="101" t="s">
        <v>402</v>
      </c>
      <c r="AA233" s="101" t="s">
        <v>78</v>
      </c>
      <c r="AB233" s="101">
        <v>4101000279</v>
      </c>
      <c r="AC233" s="101" t="s">
        <v>398</v>
      </c>
      <c r="AD233" s="101" t="s">
        <v>403</v>
      </c>
      <c r="AE233" s="101" t="s">
        <v>6</v>
      </c>
      <c r="AF233" s="101" t="s">
        <v>400</v>
      </c>
      <c r="AI233" s="101" t="s">
        <v>760</v>
      </c>
    </row>
    <row r="234" spans="1:35">
      <c r="A234" s="246" t="s">
        <v>110</v>
      </c>
      <c r="B234" s="246" t="s">
        <v>78</v>
      </c>
      <c r="C234" s="246" t="s">
        <v>126</v>
      </c>
      <c r="D234" s="246" t="s">
        <v>770</v>
      </c>
      <c r="E234" s="246" t="s">
        <v>771</v>
      </c>
      <c r="F234" s="246" t="s">
        <v>276</v>
      </c>
      <c r="G234" s="132" t="s">
        <v>1097</v>
      </c>
      <c r="H234" s="132" t="s">
        <v>1098</v>
      </c>
      <c r="I234" s="132">
        <v>137.78</v>
      </c>
      <c r="J234" s="101" t="s">
        <v>889</v>
      </c>
      <c r="K234" s="245" t="s">
        <v>390</v>
      </c>
      <c r="L234" s="245">
        <v>42674</v>
      </c>
      <c r="M234" s="245" t="s">
        <v>391</v>
      </c>
      <c r="N234" s="101">
        <v>0</v>
      </c>
      <c r="O234" s="101" t="s">
        <v>392</v>
      </c>
      <c r="P234" s="101">
        <v>0</v>
      </c>
      <c r="Q234" s="101">
        <v>0</v>
      </c>
      <c r="R234" s="101" t="s">
        <v>393</v>
      </c>
      <c r="S234" s="101" t="s">
        <v>796</v>
      </c>
      <c r="T234" s="101" t="s">
        <v>394</v>
      </c>
      <c r="V234" s="245">
        <v>14426</v>
      </c>
      <c r="W234" s="101" t="s">
        <v>395</v>
      </c>
      <c r="X234" s="101" t="s">
        <v>795</v>
      </c>
      <c r="Y234" s="101" t="s">
        <v>396</v>
      </c>
      <c r="Z234" s="101" t="s">
        <v>402</v>
      </c>
      <c r="AA234" s="101" t="s">
        <v>78</v>
      </c>
      <c r="AB234" s="101">
        <v>4101000279</v>
      </c>
      <c r="AC234" s="101" t="s">
        <v>398</v>
      </c>
      <c r="AD234" s="101" t="s">
        <v>403</v>
      </c>
      <c r="AE234" s="101" t="s">
        <v>6</v>
      </c>
      <c r="AF234" s="101" t="s">
        <v>400</v>
      </c>
      <c r="AI234" s="101" t="s">
        <v>760</v>
      </c>
    </row>
    <row r="235" spans="1:35">
      <c r="A235" s="246" t="s">
        <v>111</v>
      </c>
      <c r="B235" s="246" t="s">
        <v>78</v>
      </c>
      <c r="C235" s="246" t="s">
        <v>126</v>
      </c>
      <c r="D235" s="246" t="s">
        <v>768</v>
      </c>
      <c r="E235" s="246" t="s">
        <v>769</v>
      </c>
      <c r="F235" s="246" t="s">
        <v>277</v>
      </c>
      <c r="G235" s="132" t="s">
        <v>1099</v>
      </c>
      <c r="H235" s="132" t="s">
        <v>1100</v>
      </c>
      <c r="I235" s="132">
        <v>58.1</v>
      </c>
      <c r="J235" s="101" t="s">
        <v>889</v>
      </c>
      <c r="K235" s="245" t="s">
        <v>390</v>
      </c>
      <c r="L235" s="245">
        <v>42704</v>
      </c>
      <c r="M235" s="245" t="s">
        <v>391</v>
      </c>
      <c r="N235" s="101">
        <v>0</v>
      </c>
      <c r="O235" s="101" t="s">
        <v>392</v>
      </c>
      <c r="P235" s="101">
        <v>0</v>
      </c>
      <c r="Q235" s="101">
        <v>0</v>
      </c>
      <c r="R235" s="101" t="s">
        <v>393</v>
      </c>
      <c r="S235" s="101" t="s">
        <v>796</v>
      </c>
      <c r="T235" s="101" t="s">
        <v>394</v>
      </c>
      <c r="V235" s="245">
        <v>14426</v>
      </c>
      <c r="W235" s="101" t="s">
        <v>395</v>
      </c>
      <c r="X235" s="101" t="s">
        <v>795</v>
      </c>
      <c r="Y235" s="101" t="s">
        <v>396</v>
      </c>
      <c r="Z235" s="101" t="s">
        <v>402</v>
      </c>
      <c r="AA235" s="101" t="s">
        <v>78</v>
      </c>
      <c r="AB235" s="101">
        <v>4101000279</v>
      </c>
      <c r="AC235" s="101" t="s">
        <v>398</v>
      </c>
      <c r="AD235" s="101" t="s">
        <v>403</v>
      </c>
      <c r="AE235" s="101" t="s">
        <v>6</v>
      </c>
      <c r="AF235" s="101" t="s">
        <v>400</v>
      </c>
      <c r="AI235" s="101" t="s">
        <v>760</v>
      </c>
    </row>
    <row r="236" spans="1:35">
      <c r="A236" s="246" t="s">
        <v>111</v>
      </c>
      <c r="B236" s="246" t="s">
        <v>78</v>
      </c>
      <c r="C236" s="246" t="s">
        <v>126</v>
      </c>
      <c r="D236" s="246" t="s">
        <v>768</v>
      </c>
      <c r="E236" s="246" t="s">
        <v>769</v>
      </c>
      <c r="F236" s="246" t="s">
        <v>277</v>
      </c>
      <c r="G236" s="132" t="s">
        <v>1101</v>
      </c>
      <c r="H236" s="132" t="s">
        <v>1102</v>
      </c>
      <c r="I236" s="132">
        <v>-7.7399999999999993</v>
      </c>
      <c r="J236" s="101" t="s">
        <v>889</v>
      </c>
      <c r="K236" s="245" t="s">
        <v>390</v>
      </c>
      <c r="L236" s="245">
        <v>42734</v>
      </c>
      <c r="M236" s="245" t="s">
        <v>391</v>
      </c>
      <c r="N236" s="101">
        <v>0</v>
      </c>
      <c r="O236" s="101" t="s">
        <v>392</v>
      </c>
      <c r="P236" s="101">
        <v>0</v>
      </c>
      <c r="Q236" s="101">
        <v>0</v>
      </c>
      <c r="R236" s="101" t="s">
        <v>393</v>
      </c>
      <c r="S236" s="101" t="s">
        <v>796</v>
      </c>
      <c r="T236" s="101" t="s">
        <v>394</v>
      </c>
      <c r="V236" s="245">
        <v>14426</v>
      </c>
      <c r="W236" s="101" t="s">
        <v>395</v>
      </c>
      <c r="X236" s="101" t="s">
        <v>795</v>
      </c>
      <c r="Y236" s="101" t="s">
        <v>396</v>
      </c>
      <c r="Z236" s="101" t="s">
        <v>402</v>
      </c>
      <c r="AA236" s="101" t="s">
        <v>78</v>
      </c>
      <c r="AB236" s="101">
        <v>4101000279</v>
      </c>
      <c r="AC236" s="101" t="s">
        <v>398</v>
      </c>
      <c r="AD236" s="101" t="s">
        <v>403</v>
      </c>
      <c r="AE236" s="101" t="s">
        <v>6</v>
      </c>
      <c r="AF236" s="101" t="s">
        <v>400</v>
      </c>
      <c r="AI236" s="101" t="s">
        <v>760</v>
      </c>
    </row>
    <row r="237" spans="1:35">
      <c r="A237" s="246" t="s">
        <v>111</v>
      </c>
      <c r="B237" s="246" t="s">
        <v>78</v>
      </c>
      <c r="C237" s="246" t="s">
        <v>126</v>
      </c>
      <c r="D237" s="246" t="s">
        <v>768</v>
      </c>
      <c r="E237" s="246" t="s">
        <v>769</v>
      </c>
      <c r="F237" s="246" t="s">
        <v>277</v>
      </c>
      <c r="G237" s="132" t="s">
        <v>1103</v>
      </c>
      <c r="H237" s="132" t="s">
        <v>1104</v>
      </c>
      <c r="I237" s="132">
        <v>-1.66</v>
      </c>
      <c r="J237" s="101" t="s">
        <v>889</v>
      </c>
      <c r="K237" s="245" t="s">
        <v>390</v>
      </c>
      <c r="L237" s="245">
        <v>42766</v>
      </c>
      <c r="M237" s="245" t="s">
        <v>391</v>
      </c>
      <c r="N237" s="101">
        <v>0</v>
      </c>
      <c r="O237" s="101" t="s">
        <v>392</v>
      </c>
      <c r="P237" s="101">
        <v>0</v>
      </c>
      <c r="Q237" s="101">
        <v>0</v>
      </c>
      <c r="R237" s="101" t="s">
        <v>393</v>
      </c>
      <c r="S237" s="101" t="s">
        <v>796</v>
      </c>
      <c r="T237" s="101" t="s">
        <v>394</v>
      </c>
      <c r="V237" s="245">
        <v>14426</v>
      </c>
      <c r="W237" s="101" t="s">
        <v>395</v>
      </c>
      <c r="X237" s="101" t="s">
        <v>795</v>
      </c>
      <c r="Y237" s="101" t="s">
        <v>396</v>
      </c>
      <c r="Z237" s="101" t="s">
        <v>402</v>
      </c>
      <c r="AA237" s="101" t="s">
        <v>78</v>
      </c>
      <c r="AB237" s="101">
        <v>4101000279</v>
      </c>
      <c r="AC237" s="101" t="s">
        <v>398</v>
      </c>
      <c r="AD237" s="101" t="s">
        <v>403</v>
      </c>
      <c r="AE237" s="101" t="s">
        <v>6</v>
      </c>
      <c r="AF237" s="101" t="s">
        <v>400</v>
      </c>
      <c r="AI237" s="101" t="s">
        <v>760</v>
      </c>
    </row>
    <row r="238" spans="1:35">
      <c r="A238" s="246" t="s">
        <v>111</v>
      </c>
      <c r="B238" s="246" t="s">
        <v>78</v>
      </c>
      <c r="C238" s="246" t="s">
        <v>126</v>
      </c>
      <c r="D238" s="246" t="s">
        <v>768</v>
      </c>
      <c r="E238" s="246" t="s">
        <v>769</v>
      </c>
      <c r="F238" s="246" t="s">
        <v>277</v>
      </c>
      <c r="G238" s="132" t="s">
        <v>1105</v>
      </c>
      <c r="H238" s="132" t="s">
        <v>1106</v>
      </c>
      <c r="I238" s="132">
        <v>-17.899999999999999</v>
      </c>
      <c r="J238" s="101" t="s">
        <v>889</v>
      </c>
      <c r="K238" s="245" t="s">
        <v>390</v>
      </c>
      <c r="L238" s="245">
        <v>42794</v>
      </c>
      <c r="M238" s="245" t="s">
        <v>391</v>
      </c>
      <c r="N238" s="101">
        <v>0</v>
      </c>
      <c r="O238" s="101" t="s">
        <v>392</v>
      </c>
      <c r="P238" s="101">
        <v>0</v>
      </c>
      <c r="Q238" s="101">
        <v>0</v>
      </c>
      <c r="R238" s="101" t="s">
        <v>393</v>
      </c>
      <c r="S238" s="101" t="s">
        <v>796</v>
      </c>
      <c r="T238" s="101" t="s">
        <v>394</v>
      </c>
      <c r="V238" s="245">
        <v>14426</v>
      </c>
      <c r="W238" s="101" t="s">
        <v>395</v>
      </c>
      <c r="X238" s="101" t="s">
        <v>795</v>
      </c>
      <c r="Y238" s="101" t="s">
        <v>396</v>
      </c>
      <c r="Z238" s="101" t="s">
        <v>402</v>
      </c>
      <c r="AA238" s="101" t="s">
        <v>78</v>
      </c>
      <c r="AB238" s="101">
        <v>4101000279</v>
      </c>
      <c r="AC238" s="101" t="s">
        <v>398</v>
      </c>
      <c r="AD238" s="101" t="s">
        <v>403</v>
      </c>
      <c r="AE238" s="101" t="s">
        <v>6</v>
      </c>
      <c r="AF238" s="101" t="s">
        <v>400</v>
      </c>
      <c r="AI238" s="101" t="s">
        <v>760</v>
      </c>
    </row>
    <row r="239" spans="1:35">
      <c r="A239" s="246" t="s">
        <v>111</v>
      </c>
      <c r="B239" s="246" t="s">
        <v>78</v>
      </c>
      <c r="C239" s="246" t="s">
        <v>126</v>
      </c>
      <c r="D239" s="246" t="s">
        <v>768</v>
      </c>
      <c r="E239" s="246" t="s">
        <v>769</v>
      </c>
      <c r="F239" s="246" t="s">
        <v>277</v>
      </c>
      <c r="G239" s="132" t="s">
        <v>1107</v>
      </c>
      <c r="H239" s="132" t="s">
        <v>1108</v>
      </c>
      <c r="I239" s="132">
        <v>-35.619999999999997</v>
      </c>
      <c r="J239" s="101" t="s">
        <v>889</v>
      </c>
      <c r="K239" s="245" t="s">
        <v>390</v>
      </c>
      <c r="L239" s="245">
        <v>42825</v>
      </c>
      <c r="M239" s="245" t="s">
        <v>391</v>
      </c>
      <c r="N239" s="101">
        <v>0</v>
      </c>
      <c r="O239" s="101" t="s">
        <v>392</v>
      </c>
      <c r="P239" s="101">
        <v>0</v>
      </c>
      <c r="Q239" s="101">
        <v>0</v>
      </c>
      <c r="R239" s="101" t="s">
        <v>393</v>
      </c>
      <c r="S239" s="101" t="s">
        <v>796</v>
      </c>
      <c r="T239" s="101" t="s">
        <v>394</v>
      </c>
      <c r="V239" s="245">
        <v>14426</v>
      </c>
      <c r="W239" s="101" t="s">
        <v>395</v>
      </c>
      <c r="X239" s="101" t="s">
        <v>795</v>
      </c>
      <c r="Y239" s="101" t="s">
        <v>396</v>
      </c>
      <c r="Z239" s="101" t="s">
        <v>402</v>
      </c>
      <c r="AA239" s="101" t="s">
        <v>78</v>
      </c>
      <c r="AB239" s="101">
        <v>4101000279</v>
      </c>
      <c r="AC239" s="101" t="s">
        <v>398</v>
      </c>
      <c r="AD239" s="101" t="s">
        <v>403</v>
      </c>
      <c r="AE239" s="101" t="s">
        <v>6</v>
      </c>
      <c r="AF239" s="101" t="s">
        <v>400</v>
      </c>
      <c r="AI239" s="101" t="s">
        <v>760</v>
      </c>
    </row>
    <row r="240" spans="1:35">
      <c r="A240" s="246" t="s">
        <v>111</v>
      </c>
      <c r="B240" s="246" t="s">
        <v>78</v>
      </c>
      <c r="C240" s="246" t="s">
        <v>126</v>
      </c>
      <c r="D240" s="246" t="s">
        <v>768</v>
      </c>
      <c r="E240" s="246" t="s">
        <v>769</v>
      </c>
      <c r="F240" s="246" t="s">
        <v>277</v>
      </c>
      <c r="G240" s="132" t="s">
        <v>1109</v>
      </c>
      <c r="H240" s="132" t="s">
        <v>1110</v>
      </c>
      <c r="I240" s="132">
        <v>-32.169999999999995</v>
      </c>
      <c r="J240" s="101" t="s">
        <v>889</v>
      </c>
      <c r="K240" s="245" t="s">
        <v>390</v>
      </c>
      <c r="L240" s="245">
        <v>42853</v>
      </c>
      <c r="M240" s="245" t="s">
        <v>391</v>
      </c>
      <c r="N240" s="101">
        <v>0</v>
      </c>
      <c r="O240" s="101" t="s">
        <v>392</v>
      </c>
      <c r="P240" s="101">
        <v>0</v>
      </c>
      <c r="Q240" s="101">
        <v>0</v>
      </c>
      <c r="R240" s="101" t="s">
        <v>393</v>
      </c>
      <c r="S240" s="101" t="s">
        <v>796</v>
      </c>
      <c r="T240" s="101" t="s">
        <v>394</v>
      </c>
      <c r="V240" s="245">
        <v>14426</v>
      </c>
      <c r="W240" s="101" t="s">
        <v>395</v>
      </c>
      <c r="X240" s="101" t="s">
        <v>795</v>
      </c>
      <c r="Y240" s="101" t="s">
        <v>396</v>
      </c>
      <c r="Z240" s="101" t="s">
        <v>402</v>
      </c>
      <c r="AA240" s="101" t="s">
        <v>78</v>
      </c>
      <c r="AB240" s="101">
        <v>4101000279</v>
      </c>
      <c r="AC240" s="101" t="s">
        <v>398</v>
      </c>
      <c r="AD240" s="101" t="s">
        <v>403</v>
      </c>
      <c r="AE240" s="101" t="s">
        <v>6</v>
      </c>
      <c r="AF240" s="101" t="s">
        <v>400</v>
      </c>
      <c r="AI240" s="101" t="s">
        <v>760</v>
      </c>
    </row>
    <row r="241" spans="1:35">
      <c r="A241" s="246" t="s">
        <v>112</v>
      </c>
      <c r="B241" s="246" t="s">
        <v>78</v>
      </c>
      <c r="C241" s="246" t="s">
        <v>126</v>
      </c>
      <c r="D241" s="246" t="s">
        <v>341</v>
      </c>
      <c r="E241" s="246" t="s">
        <v>342</v>
      </c>
      <c r="F241" s="246" t="s">
        <v>278</v>
      </c>
      <c r="G241" s="132" t="s">
        <v>1111</v>
      </c>
      <c r="H241" s="132" t="s">
        <v>1112</v>
      </c>
      <c r="I241" s="132">
        <v>-58.410000000000004</v>
      </c>
      <c r="J241" s="101" t="s">
        <v>889</v>
      </c>
      <c r="K241" s="245" t="s">
        <v>390</v>
      </c>
      <c r="L241" s="245">
        <v>42886</v>
      </c>
      <c r="M241" s="245" t="s">
        <v>391</v>
      </c>
      <c r="N241" s="101">
        <v>0</v>
      </c>
      <c r="O241" s="101" t="s">
        <v>392</v>
      </c>
      <c r="P241" s="101">
        <v>0</v>
      </c>
      <c r="Q241" s="101">
        <v>0</v>
      </c>
      <c r="R241" s="101" t="s">
        <v>393</v>
      </c>
      <c r="S241" s="101" t="s">
        <v>796</v>
      </c>
      <c r="T241" s="101" t="s">
        <v>394</v>
      </c>
      <c r="V241" s="245">
        <v>14426</v>
      </c>
      <c r="W241" s="101" t="s">
        <v>395</v>
      </c>
      <c r="X241" s="101" t="s">
        <v>795</v>
      </c>
      <c r="Y241" s="101" t="s">
        <v>396</v>
      </c>
      <c r="Z241" s="101" t="s">
        <v>402</v>
      </c>
      <c r="AA241" s="101" t="s">
        <v>78</v>
      </c>
      <c r="AB241" s="101">
        <v>4101000279</v>
      </c>
      <c r="AC241" s="101" t="s">
        <v>398</v>
      </c>
      <c r="AD241" s="101" t="s">
        <v>403</v>
      </c>
      <c r="AE241" s="101" t="s">
        <v>6</v>
      </c>
      <c r="AF241" s="101" t="s">
        <v>400</v>
      </c>
      <c r="AI241" s="101" t="s">
        <v>760</v>
      </c>
    </row>
    <row r="242" spans="1:35">
      <c r="A242" s="246" t="s">
        <v>112</v>
      </c>
      <c r="B242" s="246" t="s">
        <v>78</v>
      </c>
      <c r="C242" s="246" t="s">
        <v>126</v>
      </c>
      <c r="D242" s="246" t="s">
        <v>341</v>
      </c>
      <c r="E242" s="246" t="s">
        <v>342</v>
      </c>
      <c r="F242" s="246" t="s">
        <v>278</v>
      </c>
      <c r="G242" s="132" t="s">
        <v>1113</v>
      </c>
      <c r="H242" s="132" t="s">
        <v>1114</v>
      </c>
      <c r="I242" s="132">
        <v>-66.819999999999993</v>
      </c>
      <c r="J242" s="101" t="s">
        <v>889</v>
      </c>
      <c r="K242" s="245" t="s">
        <v>390</v>
      </c>
      <c r="L242" s="245">
        <v>42916</v>
      </c>
      <c r="M242" s="245" t="s">
        <v>391</v>
      </c>
      <c r="N242" s="101">
        <v>0</v>
      </c>
      <c r="O242" s="101" t="s">
        <v>392</v>
      </c>
      <c r="P242" s="101">
        <v>0</v>
      </c>
      <c r="Q242" s="101">
        <v>0</v>
      </c>
      <c r="R242" s="101" t="s">
        <v>393</v>
      </c>
      <c r="S242" s="101" t="s">
        <v>796</v>
      </c>
      <c r="T242" s="101" t="s">
        <v>394</v>
      </c>
      <c r="V242" s="245">
        <v>14426</v>
      </c>
      <c r="W242" s="101" t="s">
        <v>395</v>
      </c>
      <c r="X242" s="101" t="s">
        <v>795</v>
      </c>
      <c r="Y242" s="101" t="s">
        <v>396</v>
      </c>
      <c r="Z242" s="101" t="s">
        <v>402</v>
      </c>
      <c r="AA242" s="101" t="s">
        <v>78</v>
      </c>
      <c r="AB242" s="101">
        <v>4101000279</v>
      </c>
      <c r="AC242" s="101" t="s">
        <v>398</v>
      </c>
      <c r="AD242" s="101" t="s">
        <v>403</v>
      </c>
      <c r="AE242" s="101" t="s">
        <v>6</v>
      </c>
      <c r="AF242" s="101" t="s">
        <v>400</v>
      </c>
      <c r="AI242" s="101" t="s">
        <v>760</v>
      </c>
    </row>
    <row r="243" spans="1:35">
      <c r="A243" s="246" t="s">
        <v>112</v>
      </c>
      <c r="B243" s="246" t="s">
        <v>78</v>
      </c>
      <c r="C243" s="246" t="s">
        <v>126</v>
      </c>
      <c r="D243" s="246" t="s">
        <v>341</v>
      </c>
      <c r="E243" s="246" t="s">
        <v>342</v>
      </c>
      <c r="F243" s="246" t="s">
        <v>278</v>
      </c>
      <c r="G243" s="132" t="s">
        <v>1115</v>
      </c>
      <c r="H243" s="132" t="s">
        <v>1116</v>
      </c>
      <c r="I243" s="132">
        <v>-69.05</v>
      </c>
      <c r="J243" s="101" t="s">
        <v>889</v>
      </c>
      <c r="K243" s="245" t="s">
        <v>390</v>
      </c>
      <c r="L243" s="245">
        <v>42947</v>
      </c>
      <c r="M243" s="245" t="s">
        <v>391</v>
      </c>
      <c r="N243" s="101">
        <v>0</v>
      </c>
      <c r="O243" s="101" t="s">
        <v>392</v>
      </c>
      <c r="P243" s="101">
        <v>0</v>
      </c>
      <c r="Q243" s="101">
        <v>0</v>
      </c>
      <c r="R243" s="101" t="s">
        <v>393</v>
      </c>
      <c r="S243" s="101" t="s">
        <v>796</v>
      </c>
      <c r="T243" s="101" t="s">
        <v>394</v>
      </c>
      <c r="V243" s="245">
        <v>14426</v>
      </c>
      <c r="W243" s="101" t="s">
        <v>395</v>
      </c>
      <c r="X243" s="101" t="s">
        <v>795</v>
      </c>
      <c r="Y243" s="101" t="s">
        <v>396</v>
      </c>
      <c r="Z243" s="101" t="s">
        <v>402</v>
      </c>
      <c r="AA243" s="101" t="s">
        <v>78</v>
      </c>
      <c r="AB243" s="101">
        <v>4101000279</v>
      </c>
      <c r="AC243" s="101" t="s">
        <v>398</v>
      </c>
      <c r="AD243" s="101" t="s">
        <v>403</v>
      </c>
      <c r="AE243" s="101" t="s">
        <v>6</v>
      </c>
      <c r="AF243" s="101" t="s">
        <v>400</v>
      </c>
      <c r="AI243" s="101" t="s">
        <v>760</v>
      </c>
    </row>
    <row r="244" spans="1:35">
      <c r="A244" s="246" t="s">
        <v>112</v>
      </c>
      <c r="B244" s="246" t="s">
        <v>78</v>
      </c>
      <c r="C244" s="246" t="s">
        <v>126</v>
      </c>
      <c r="D244" s="246" t="s">
        <v>341</v>
      </c>
      <c r="E244" s="246" t="s">
        <v>342</v>
      </c>
      <c r="F244" s="246" t="s">
        <v>278</v>
      </c>
      <c r="G244" s="132" t="s">
        <v>1115</v>
      </c>
      <c r="H244" s="132" t="s">
        <v>1116</v>
      </c>
      <c r="I244" s="132">
        <v>-69.05</v>
      </c>
      <c r="J244" s="101" t="s">
        <v>889</v>
      </c>
      <c r="K244" s="245" t="s">
        <v>390</v>
      </c>
      <c r="L244" s="245">
        <v>42978</v>
      </c>
      <c r="M244" s="245" t="s">
        <v>391</v>
      </c>
      <c r="N244" s="101">
        <v>0</v>
      </c>
      <c r="O244" s="101" t="s">
        <v>392</v>
      </c>
      <c r="P244" s="101">
        <v>0</v>
      </c>
      <c r="Q244" s="101">
        <v>0</v>
      </c>
      <c r="R244" s="101" t="s">
        <v>393</v>
      </c>
      <c r="S244" s="101" t="s">
        <v>796</v>
      </c>
      <c r="T244" s="101" t="s">
        <v>394</v>
      </c>
      <c r="V244" s="245">
        <v>14426</v>
      </c>
      <c r="W244" s="101" t="s">
        <v>395</v>
      </c>
      <c r="X244" s="101" t="s">
        <v>795</v>
      </c>
      <c r="Y244" s="101" t="s">
        <v>396</v>
      </c>
      <c r="Z244" s="101" t="s">
        <v>402</v>
      </c>
      <c r="AA244" s="101" t="s">
        <v>78</v>
      </c>
      <c r="AB244" s="101">
        <v>4101000279</v>
      </c>
      <c r="AC244" s="101" t="s">
        <v>398</v>
      </c>
      <c r="AD244" s="101" t="s">
        <v>403</v>
      </c>
      <c r="AE244" s="101" t="s">
        <v>6</v>
      </c>
      <c r="AF244" s="101" t="s">
        <v>400</v>
      </c>
      <c r="AI244" s="101" t="s">
        <v>760</v>
      </c>
    </row>
    <row r="245" spans="1:35">
      <c r="A245" s="246" t="s">
        <v>112</v>
      </c>
      <c r="B245" s="246" t="s">
        <v>78</v>
      </c>
      <c r="C245" s="246" t="s">
        <v>126</v>
      </c>
      <c r="D245" s="246" t="s">
        <v>341</v>
      </c>
      <c r="E245" s="246" t="s">
        <v>342</v>
      </c>
      <c r="F245" s="246" t="s">
        <v>278</v>
      </c>
      <c r="G245" s="132" t="s">
        <v>1117</v>
      </c>
      <c r="H245" s="132" t="s">
        <v>1118</v>
      </c>
      <c r="I245" s="132">
        <v>-64.589999999999989</v>
      </c>
      <c r="J245" s="101" t="s">
        <v>889</v>
      </c>
      <c r="K245" s="245" t="s">
        <v>390</v>
      </c>
      <c r="L245" s="245">
        <v>43007</v>
      </c>
      <c r="M245" s="245" t="s">
        <v>391</v>
      </c>
      <c r="N245" s="101">
        <v>0</v>
      </c>
      <c r="O245" s="101" t="s">
        <v>392</v>
      </c>
      <c r="P245" s="101">
        <v>0</v>
      </c>
      <c r="Q245" s="101">
        <v>0</v>
      </c>
      <c r="R245" s="101" t="s">
        <v>393</v>
      </c>
      <c r="S245" s="101" t="s">
        <v>796</v>
      </c>
      <c r="T245" s="101" t="s">
        <v>394</v>
      </c>
      <c r="V245" s="245">
        <v>14426</v>
      </c>
      <c r="W245" s="101" t="s">
        <v>395</v>
      </c>
      <c r="X245" s="101" t="s">
        <v>795</v>
      </c>
      <c r="Y245" s="101" t="s">
        <v>396</v>
      </c>
      <c r="Z245" s="101" t="s">
        <v>402</v>
      </c>
      <c r="AA245" s="101" t="s">
        <v>78</v>
      </c>
      <c r="AB245" s="101">
        <v>4101000279</v>
      </c>
      <c r="AC245" s="101" t="s">
        <v>398</v>
      </c>
      <c r="AD245" s="101" t="s">
        <v>403</v>
      </c>
      <c r="AE245" s="101" t="s">
        <v>6</v>
      </c>
      <c r="AF245" s="101" t="s">
        <v>400</v>
      </c>
      <c r="AI245" s="101" t="s">
        <v>760</v>
      </c>
    </row>
    <row r="246" spans="1:35">
      <c r="A246" s="246" t="s">
        <v>112</v>
      </c>
      <c r="B246" s="246" t="s">
        <v>78</v>
      </c>
      <c r="C246" s="246" t="s">
        <v>126</v>
      </c>
      <c r="D246" s="246" t="s">
        <v>341</v>
      </c>
      <c r="E246" s="246" t="s">
        <v>342</v>
      </c>
      <c r="F246" s="246" t="s">
        <v>278</v>
      </c>
      <c r="G246" s="132" t="s">
        <v>1119</v>
      </c>
      <c r="H246" s="132" t="s">
        <v>1120</v>
      </c>
      <c r="I246" s="132">
        <v>-71.28</v>
      </c>
      <c r="J246" s="101" t="s">
        <v>889</v>
      </c>
      <c r="K246" s="245" t="s">
        <v>390</v>
      </c>
      <c r="L246" s="245">
        <v>43039</v>
      </c>
      <c r="M246" s="245" t="s">
        <v>391</v>
      </c>
      <c r="N246" s="101">
        <v>0</v>
      </c>
      <c r="O246" s="101" t="s">
        <v>392</v>
      </c>
      <c r="P246" s="101">
        <v>0</v>
      </c>
      <c r="Q246" s="101">
        <v>0</v>
      </c>
      <c r="R246" s="101" t="s">
        <v>393</v>
      </c>
      <c r="S246" s="101" t="s">
        <v>796</v>
      </c>
      <c r="T246" s="101" t="s">
        <v>394</v>
      </c>
      <c r="V246" s="245">
        <v>14426</v>
      </c>
      <c r="W246" s="101" t="s">
        <v>395</v>
      </c>
      <c r="X246" s="101" t="s">
        <v>795</v>
      </c>
      <c r="Y246" s="101" t="s">
        <v>396</v>
      </c>
      <c r="Z246" s="101" t="s">
        <v>402</v>
      </c>
      <c r="AA246" s="101" t="s">
        <v>78</v>
      </c>
      <c r="AB246" s="101">
        <v>4101000279</v>
      </c>
      <c r="AC246" s="101" t="s">
        <v>398</v>
      </c>
      <c r="AD246" s="101" t="s">
        <v>403</v>
      </c>
      <c r="AE246" s="101" t="s">
        <v>6</v>
      </c>
      <c r="AF246" s="101" t="s">
        <v>400</v>
      </c>
      <c r="AI246" s="101" t="s">
        <v>760</v>
      </c>
    </row>
    <row r="247" spans="1:35">
      <c r="A247" s="246" t="s">
        <v>113</v>
      </c>
      <c r="B247" s="246" t="s">
        <v>78</v>
      </c>
      <c r="C247" s="246" t="s">
        <v>126</v>
      </c>
      <c r="D247" s="246" t="s">
        <v>339</v>
      </c>
      <c r="E247" s="246" t="s">
        <v>340</v>
      </c>
      <c r="F247" s="246" t="s">
        <v>279</v>
      </c>
      <c r="G247" s="132" t="s">
        <v>1113</v>
      </c>
      <c r="H247" s="132" t="s">
        <v>1114</v>
      </c>
      <c r="I247" s="132">
        <v>-66.819999999999993</v>
      </c>
      <c r="J247" s="101" t="s">
        <v>889</v>
      </c>
      <c r="K247" s="245" t="s">
        <v>390</v>
      </c>
      <c r="L247" s="245">
        <v>43069</v>
      </c>
      <c r="M247" s="245" t="s">
        <v>391</v>
      </c>
      <c r="N247" s="101">
        <v>0</v>
      </c>
      <c r="O247" s="101" t="s">
        <v>392</v>
      </c>
      <c r="P247" s="101">
        <v>0</v>
      </c>
      <c r="Q247" s="101">
        <v>0</v>
      </c>
      <c r="R247" s="101" t="s">
        <v>393</v>
      </c>
      <c r="S247" s="101" t="s">
        <v>796</v>
      </c>
      <c r="T247" s="101" t="s">
        <v>394</v>
      </c>
      <c r="V247" s="245">
        <v>14426</v>
      </c>
      <c r="W247" s="101" t="s">
        <v>395</v>
      </c>
      <c r="X247" s="101" t="s">
        <v>795</v>
      </c>
      <c r="Y247" s="101" t="s">
        <v>396</v>
      </c>
      <c r="Z247" s="101" t="s">
        <v>402</v>
      </c>
      <c r="AA247" s="101" t="s">
        <v>78</v>
      </c>
      <c r="AB247" s="101">
        <v>4101000279</v>
      </c>
      <c r="AC247" s="101" t="s">
        <v>398</v>
      </c>
      <c r="AD247" s="101" t="s">
        <v>403</v>
      </c>
      <c r="AE247" s="101" t="s">
        <v>6</v>
      </c>
      <c r="AF247" s="101" t="s">
        <v>400</v>
      </c>
      <c r="AI247" s="101" t="s">
        <v>760</v>
      </c>
    </row>
    <row r="248" spans="1:35">
      <c r="A248" s="246" t="s">
        <v>113</v>
      </c>
      <c r="B248" s="246" t="s">
        <v>78</v>
      </c>
      <c r="C248" s="246" t="s">
        <v>126</v>
      </c>
      <c r="D248" s="246" t="s">
        <v>339</v>
      </c>
      <c r="E248" s="246" t="s">
        <v>340</v>
      </c>
      <c r="F248" s="246" t="s">
        <v>279</v>
      </c>
      <c r="G248" s="132" t="s">
        <v>1117</v>
      </c>
      <c r="H248" s="132" t="s">
        <v>1118</v>
      </c>
      <c r="I248" s="132">
        <v>-64.589999999999989</v>
      </c>
      <c r="J248" s="101" t="s">
        <v>889</v>
      </c>
      <c r="K248" s="245" t="s">
        <v>390</v>
      </c>
      <c r="L248" s="245">
        <v>43098</v>
      </c>
      <c r="M248" s="245" t="s">
        <v>391</v>
      </c>
      <c r="N248" s="101">
        <v>0</v>
      </c>
      <c r="O248" s="101" t="s">
        <v>392</v>
      </c>
      <c r="P248" s="101">
        <v>0</v>
      </c>
      <c r="Q248" s="101">
        <v>0</v>
      </c>
      <c r="R248" s="101" t="s">
        <v>393</v>
      </c>
      <c r="S248" s="101" t="s">
        <v>796</v>
      </c>
      <c r="T248" s="101" t="s">
        <v>394</v>
      </c>
      <c r="V248" s="245">
        <v>14426</v>
      </c>
      <c r="W248" s="101" t="s">
        <v>395</v>
      </c>
      <c r="X248" s="101" t="s">
        <v>795</v>
      </c>
      <c r="Y248" s="101" t="s">
        <v>396</v>
      </c>
      <c r="Z248" s="101" t="s">
        <v>402</v>
      </c>
      <c r="AA248" s="101" t="s">
        <v>78</v>
      </c>
      <c r="AB248" s="101">
        <v>4101000279</v>
      </c>
      <c r="AC248" s="101" t="s">
        <v>398</v>
      </c>
      <c r="AD248" s="101" t="s">
        <v>403</v>
      </c>
      <c r="AE248" s="101" t="s">
        <v>6</v>
      </c>
      <c r="AF248" s="101" t="s">
        <v>400</v>
      </c>
      <c r="AI248" s="101" t="s">
        <v>760</v>
      </c>
    </row>
    <row r="249" spans="1:35">
      <c r="A249" s="246" t="s">
        <v>113</v>
      </c>
      <c r="B249" s="246" t="s">
        <v>78</v>
      </c>
      <c r="C249" s="246" t="s">
        <v>126</v>
      </c>
      <c r="D249" s="246" t="s">
        <v>339</v>
      </c>
      <c r="E249" s="246" t="s">
        <v>340</v>
      </c>
      <c r="F249" s="246" t="s">
        <v>279</v>
      </c>
      <c r="G249" s="132" t="s">
        <v>1121</v>
      </c>
      <c r="H249" s="132" t="s">
        <v>1122</v>
      </c>
      <c r="I249" s="132">
        <v>-73.509999999999991</v>
      </c>
      <c r="J249" s="101" t="s">
        <v>889</v>
      </c>
      <c r="K249" s="245" t="s">
        <v>390</v>
      </c>
      <c r="L249" s="245">
        <v>43131</v>
      </c>
      <c r="M249" s="245" t="s">
        <v>391</v>
      </c>
      <c r="N249" s="101">
        <v>0</v>
      </c>
      <c r="O249" s="101" t="s">
        <v>392</v>
      </c>
      <c r="P249" s="101">
        <v>0</v>
      </c>
      <c r="Q249" s="101">
        <v>0</v>
      </c>
      <c r="R249" s="101" t="s">
        <v>393</v>
      </c>
      <c r="S249" s="101" t="s">
        <v>796</v>
      </c>
      <c r="T249" s="101" t="s">
        <v>394</v>
      </c>
      <c r="V249" s="245">
        <v>14426</v>
      </c>
      <c r="W249" s="101" t="s">
        <v>395</v>
      </c>
      <c r="X249" s="101" t="s">
        <v>795</v>
      </c>
      <c r="Y249" s="101" t="s">
        <v>396</v>
      </c>
      <c r="Z249" s="101" t="s">
        <v>402</v>
      </c>
      <c r="AA249" s="101" t="s">
        <v>78</v>
      </c>
      <c r="AB249" s="101">
        <v>4101000279</v>
      </c>
      <c r="AC249" s="101" t="s">
        <v>398</v>
      </c>
      <c r="AD249" s="101" t="s">
        <v>403</v>
      </c>
      <c r="AE249" s="101" t="s">
        <v>6</v>
      </c>
      <c r="AF249" s="101" t="s">
        <v>400</v>
      </c>
      <c r="AI249" s="101" t="s">
        <v>760</v>
      </c>
    </row>
    <row r="250" spans="1:35">
      <c r="A250" s="246" t="s">
        <v>113</v>
      </c>
      <c r="B250" s="246" t="s">
        <v>78</v>
      </c>
      <c r="C250" s="246" t="s">
        <v>126</v>
      </c>
      <c r="D250" s="246" t="s">
        <v>339</v>
      </c>
      <c r="E250" s="246" t="s">
        <v>340</v>
      </c>
      <c r="F250" s="246" t="s">
        <v>279</v>
      </c>
      <c r="G250" s="132" t="s">
        <v>1123</v>
      </c>
      <c r="H250" s="132" t="s">
        <v>1124</v>
      </c>
      <c r="I250" s="132">
        <v>-62.359999999999992</v>
      </c>
      <c r="J250" s="101" t="s">
        <v>889</v>
      </c>
      <c r="K250" s="245" t="s">
        <v>390</v>
      </c>
      <c r="L250" s="245">
        <v>43159</v>
      </c>
      <c r="M250" s="245" t="s">
        <v>391</v>
      </c>
      <c r="N250" s="101">
        <v>0</v>
      </c>
      <c r="O250" s="101" t="s">
        <v>392</v>
      </c>
      <c r="P250" s="101">
        <v>0</v>
      </c>
      <c r="Q250" s="101">
        <v>0</v>
      </c>
      <c r="R250" s="101" t="s">
        <v>393</v>
      </c>
      <c r="S250" s="101" t="s">
        <v>796</v>
      </c>
      <c r="T250" s="101" t="s">
        <v>394</v>
      </c>
      <c r="V250" s="245">
        <v>14426</v>
      </c>
      <c r="W250" s="101" t="s">
        <v>395</v>
      </c>
      <c r="X250" s="101" t="s">
        <v>795</v>
      </c>
      <c r="Y250" s="101" t="s">
        <v>396</v>
      </c>
      <c r="Z250" s="101" t="s">
        <v>402</v>
      </c>
      <c r="AA250" s="101" t="s">
        <v>78</v>
      </c>
      <c r="AB250" s="101">
        <v>4101000279</v>
      </c>
      <c r="AC250" s="101" t="s">
        <v>398</v>
      </c>
      <c r="AD250" s="101" t="s">
        <v>403</v>
      </c>
      <c r="AE250" s="101" t="s">
        <v>6</v>
      </c>
      <c r="AF250" s="101" t="s">
        <v>400</v>
      </c>
      <c r="AI250" s="101" t="s">
        <v>760</v>
      </c>
    </row>
    <row r="251" spans="1:35">
      <c r="A251" s="246" t="s">
        <v>113</v>
      </c>
      <c r="B251" s="246" t="s">
        <v>78</v>
      </c>
      <c r="C251" s="246" t="s">
        <v>126</v>
      </c>
      <c r="D251" s="246" t="s">
        <v>339</v>
      </c>
      <c r="E251" s="246" t="s">
        <v>340</v>
      </c>
      <c r="F251" s="246" t="s">
        <v>279</v>
      </c>
      <c r="G251" s="132" t="s">
        <v>1113</v>
      </c>
      <c r="H251" s="132" t="s">
        <v>1114</v>
      </c>
      <c r="I251" s="132">
        <v>-66.819999999999993</v>
      </c>
      <c r="J251" s="101" t="s">
        <v>889</v>
      </c>
      <c r="K251" s="245" t="s">
        <v>390</v>
      </c>
      <c r="L251" s="245">
        <v>43189</v>
      </c>
      <c r="M251" s="245" t="s">
        <v>391</v>
      </c>
      <c r="N251" s="101">
        <v>0</v>
      </c>
      <c r="O251" s="101" t="s">
        <v>392</v>
      </c>
      <c r="P251" s="101">
        <v>0</v>
      </c>
      <c r="Q251" s="101">
        <v>0</v>
      </c>
      <c r="R251" s="101" t="s">
        <v>393</v>
      </c>
      <c r="S251" s="101" t="s">
        <v>796</v>
      </c>
      <c r="T251" s="101" t="s">
        <v>394</v>
      </c>
      <c r="V251" s="245">
        <v>14426</v>
      </c>
      <c r="W251" s="101" t="s">
        <v>395</v>
      </c>
      <c r="X251" s="101" t="s">
        <v>795</v>
      </c>
      <c r="Y251" s="101" t="s">
        <v>396</v>
      </c>
      <c r="Z251" s="101" t="s">
        <v>402</v>
      </c>
      <c r="AA251" s="101" t="s">
        <v>78</v>
      </c>
      <c r="AB251" s="101">
        <v>4101000279</v>
      </c>
      <c r="AC251" s="101" t="s">
        <v>398</v>
      </c>
      <c r="AD251" s="101" t="s">
        <v>403</v>
      </c>
      <c r="AE251" s="101" t="s">
        <v>6</v>
      </c>
      <c r="AF251" s="101" t="s">
        <v>400</v>
      </c>
      <c r="AI251" s="101" t="s">
        <v>760</v>
      </c>
    </row>
    <row r="252" spans="1:35">
      <c r="A252" s="246" t="s">
        <v>113</v>
      </c>
      <c r="B252" s="246" t="s">
        <v>78</v>
      </c>
      <c r="C252" s="246" t="s">
        <v>126</v>
      </c>
      <c r="D252" s="246" t="s">
        <v>339</v>
      </c>
      <c r="E252" s="246" t="s">
        <v>340</v>
      </c>
      <c r="F252" s="246" t="s">
        <v>279</v>
      </c>
      <c r="G252" s="132" t="s">
        <v>1115</v>
      </c>
      <c r="H252" s="132" t="s">
        <v>1116</v>
      </c>
      <c r="I252" s="132">
        <v>-69.05</v>
      </c>
      <c r="J252" s="101" t="s">
        <v>889</v>
      </c>
      <c r="K252" s="245" t="s">
        <v>390</v>
      </c>
      <c r="L252" s="245">
        <v>43220</v>
      </c>
      <c r="M252" s="245" t="s">
        <v>391</v>
      </c>
      <c r="N252" s="101">
        <v>0</v>
      </c>
      <c r="O252" s="101" t="s">
        <v>392</v>
      </c>
      <c r="P252" s="101">
        <v>0</v>
      </c>
      <c r="Q252" s="101">
        <v>0</v>
      </c>
      <c r="R252" s="101" t="s">
        <v>393</v>
      </c>
      <c r="S252" s="101" t="s">
        <v>796</v>
      </c>
      <c r="T252" s="101" t="s">
        <v>394</v>
      </c>
      <c r="V252" s="245">
        <v>14426</v>
      </c>
      <c r="W252" s="101" t="s">
        <v>395</v>
      </c>
      <c r="X252" s="101" t="s">
        <v>795</v>
      </c>
      <c r="Y252" s="101" t="s">
        <v>396</v>
      </c>
      <c r="Z252" s="101" t="s">
        <v>402</v>
      </c>
      <c r="AA252" s="101" t="s">
        <v>78</v>
      </c>
      <c r="AB252" s="101">
        <v>4101000279</v>
      </c>
      <c r="AC252" s="101" t="s">
        <v>398</v>
      </c>
      <c r="AD252" s="101" t="s">
        <v>403</v>
      </c>
      <c r="AE252" s="101" t="s">
        <v>6</v>
      </c>
      <c r="AF252" s="101" t="s">
        <v>400</v>
      </c>
      <c r="AI252" s="101" t="s">
        <v>760</v>
      </c>
    </row>
    <row r="253" spans="1:35">
      <c r="A253" s="246" t="s">
        <v>109</v>
      </c>
      <c r="B253" s="246" t="s">
        <v>78</v>
      </c>
      <c r="C253" s="246" t="s">
        <v>126</v>
      </c>
      <c r="D253" s="246" t="s">
        <v>337</v>
      </c>
      <c r="E253" s="246" t="s">
        <v>336</v>
      </c>
      <c r="F253" s="246" t="s">
        <v>275</v>
      </c>
      <c r="G253" s="132" t="s">
        <v>558</v>
      </c>
      <c r="H253" s="132" t="s">
        <v>1125</v>
      </c>
      <c r="I253" s="132">
        <v>1323.1599999999999</v>
      </c>
      <c r="J253" s="101" t="s">
        <v>889</v>
      </c>
      <c r="K253" s="245" t="s">
        <v>390</v>
      </c>
      <c r="L253" s="245">
        <v>42551</v>
      </c>
      <c r="M253" s="245" t="s">
        <v>391</v>
      </c>
      <c r="N253" s="101">
        <v>0</v>
      </c>
      <c r="O253" s="101" t="s">
        <v>392</v>
      </c>
      <c r="P253" s="101">
        <v>0</v>
      </c>
      <c r="Q253" s="101">
        <v>0</v>
      </c>
      <c r="R253" s="101" t="s">
        <v>393</v>
      </c>
      <c r="S253" s="101" t="s">
        <v>796</v>
      </c>
      <c r="T253" s="101" t="s">
        <v>394</v>
      </c>
      <c r="V253" s="245">
        <v>14426</v>
      </c>
      <c r="W253" s="101" t="s">
        <v>395</v>
      </c>
      <c r="X253" s="101" t="s">
        <v>795</v>
      </c>
      <c r="Y253" s="101" t="s">
        <v>396</v>
      </c>
      <c r="Z253" s="101" t="s">
        <v>402</v>
      </c>
      <c r="AA253" s="101" t="s">
        <v>78</v>
      </c>
      <c r="AB253" s="101">
        <v>4101000279</v>
      </c>
      <c r="AC253" s="101" t="s">
        <v>398</v>
      </c>
      <c r="AD253" s="101" t="s">
        <v>403</v>
      </c>
      <c r="AE253" s="101" t="s">
        <v>6</v>
      </c>
      <c r="AF253" s="101" t="s">
        <v>400</v>
      </c>
      <c r="AI253" s="101" t="s">
        <v>760</v>
      </c>
    </row>
    <row r="254" spans="1:35">
      <c r="A254" s="246" t="s">
        <v>109</v>
      </c>
      <c r="B254" s="246" t="s">
        <v>78</v>
      </c>
      <c r="C254" s="246" t="s">
        <v>126</v>
      </c>
      <c r="D254" s="246" t="s">
        <v>337</v>
      </c>
      <c r="E254" s="246" t="s">
        <v>336</v>
      </c>
      <c r="F254" s="246" t="s">
        <v>275</v>
      </c>
      <c r="G254" s="132" t="s">
        <v>798</v>
      </c>
      <c r="H254" s="132" t="s">
        <v>1126</v>
      </c>
      <c r="I254" s="132">
        <v>277.94</v>
      </c>
      <c r="J254" s="101" t="s">
        <v>889</v>
      </c>
      <c r="K254" s="245" t="s">
        <v>390</v>
      </c>
      <c r="L254" s="245">
        <v>42551</v>
      </c>
      <c r="M254" s="245" t="s">
        <v>391</v>
      </c>
      <c r="N254" s="101">
        <v>0</v>
      </c>
      <c r="O254" s="101" t="s">
        <v>392</v>
      </c>
      <c r="P254" s="101">
        <v>0</v>
      </c>
      <c r="Q254" s="101">
        <v>0</v>
      </c>
      <c r="R254" s="101" t="s">
        <v>393</v>
      </c>
      <c r="S254" s="101" t="s">
        <v>796</v>
      </c>
      <c r="T254" s="101" t="s">
        <v>394</v>
      </c>
      <c r="V254" s="245">
        <v>14426</v>
      </c>
      <c r="W254" s="101" t="s">
        <v>395</v>
      </c>
      <c r="X254" s="101" t="s">
        <v>795</v>
      </c>
      <c r="Y254" s="101" t="s">
        <v>396</v>
      </c>
      <c r="Z254" s="101" t="s">
        <v>402</v>
      </c>
      <c r="AA254" s="101" t="s">
        <v>78</v>
      </c>
      <c r="AB254" s="101">
        <v>4101000279</v>
      </c>
      <c r="AC254" s="101" t="s">
        <v>398</v>
      </c>
      <c r="AD254" s="101" t="s">
        <v>403</v>
      </c>
      <c r="AE254" s="101" t="s">
        <v>6</v>
      </c>
      <c r="AF254" s="101" t="s">
        <v>400</v>
      </c>
      <c r="AI254" s="101" t="s">
        <v>760</v>
      </c>
    </row>
    <row r="255" spans="1:35">
      <c r="A255" s="246" t="s">
        <v>109</v>
      </c>
      <c r="B255" s="246" t="s">
        <v>78</v>
      </c>
      <c r="C255" s="246" t="s">
        <v>126</v>
      </c>
      <c r="D255" s="246" t="s">
        <v>337</v>
      </c>
      <c r="E255" s="246" t="s">
        <v>336</v>
      </c>
      <c r="F255" s="246" t="s">
        <v>275</v>
      </c>
      <c r="G255" s="132" t="s">
        <v>799</v>
      </c>
      <c r="H255" s="132" t="s">
        <v>1127</v>
      </c>
      <c r="I255" s="132">
        <v>5190.57</v>
      </c>
      <c r="J255" s="101" t="s">
        <v>889</v>
      </c>
      <c r="K255" s="245" t="s">
        <v>390</v>
      </c>
      <c r="L255" s="245">
        <v>42551</v>
      </c>
      <c r="M255" s="245" t="s">
        <v>391</v>
      </c>
      <c r="N255" s="101">
        <v>0</v>
      </c>
      <c r="O255" s="101" t="s">
        <v>392</v>
      </c>
      <c r="P255" s="101">
        <v>0</v>
      </c>
      <c r="Q255" s="101">
        <v>0</v>
      </c>
      <c r="R255" s="101" t="s">
        <v>393</v>
      </c>
      <c r="S255" s="101" t="s">
        <v>796</v>
      </c>
      <c r="T255" s="101" t="s">
        <v>394</v>
      </c>
      <c r="V255" s="245">
        <v>14426</v>
      </c>
      <c r="W255" s="101" t="s">
        <v>395</v>
      </c>
      <c r="X255" s="101" t="s">
        <v>795</v>
      </c>
      <c r="Y255" s="101" t="s">
        <v>396</v>
      </c>
      <c r="Z255" s="101" t="s">
        <v>402</v>
      </c>
      <c r="AA255" s="101" t="s">
        <v>78</v>
      </c>
      <c r="AB255" s="101">
        <v>4101000279</v>
      </c>
      <c r="AC255" s="101" t="s">
        <v>398</v>
      </c>
      <c r="AD255" s="101" t="s">
        <v>403</v>
      </c>
      <c r="AE255" s="101" t="s">
        <v>6</v>
      </c>
      <c r="AF255" s="101" t="s">
        <v>400</v>
      </c>
      <c r="AI255" s="101" t="s">
        <v>760</v>
      </c>
    </row>
    <row r="256" spans="1:35">
      <c r="A256" s="246" t="s">
        <v>109</v>
      </c>
      <c r="B256" s="246" t="s">
        <v>78</v>
      </c>
      <c r="C256" s="246" t="s">
        <v>126</v>
      </c>
      <c r="D256" s="246" t="s">
        <v>337</v>
      </c>
      <c r="E256" s="246" t="s">
        <v>336</v>
      </c>
      <c r="F256" s="246" t="s">
        <v>275</v>
      </c>
      <c r="G256" s="132" t="s">
        <v>800</v>
      </c>
      <c r="H256" s="132" t="s">
        <v>1128</v>
      </c>
      <c r="I256" s="132">
        <v>2441.56</v>
      </c>
      <c r="J256" s="101" t="s">
        <v>889</v>
      </c>
      <c r="K256" s="245" t="s">
        <v>390</v>
      </c>
      <c r="L256" s="245">
        <v>42551</v>
      </c>
      <c r="M256" s="245" t="s">
        <v>391</v>
      </c>
      <c r="N256" s="101">
        <v>0</v>
      </c>
      <c r="O256" s="101" t="s">
        <v>392</v>
      </c>
      <c r="P256" s="101">
        <v>0</v>
      </c>
      <c r="Q256" s="101">
        <v>0</v>
      </c>
      <c r="R256" s="101" t="s">
        <v>393</v>
      </c>
      <c r="S256" s="101" t="s">
        <v>796</v>
      </c>
      <c r="T256" s="101" t="s">
        <v>394</v>
      </c>
      <c r="V256" s="245">
        <v>14426</v>
      </c>
      <c r="W256" s="101" t="s">
        <v>395</v>
      </c>
      <c r="X256" s="101" t="s">
        <v>795</v>
      </c>
      <c r="Y256" s="101" t="s">
        <v>396</v>
      </c>
      <c r="Z256" s="101" t="s">
        <v>402</v>
      </c>
      <c r="AA256" s="101" t="s">
        <v>78</v>
      </c>
      <c r="AB256" s="101">
        <v>4101000279</v>
      </c>
      <c r="AC256" s="101" t="s">
        <v>398</v>
      </c>
      <c r="AD256" s="101" t="s">
        <v>403</v>
      </c>
      <c r="AE256" s="101" t="s">
        <v>6</v>
      </c>
      <c r="AF256" s="101" t="s">
        <v>400</v>
      </c>
      <c r="AI256" s="101" t="s">
        <v>760</v>
      </c>
    </row>
    <row r="257" spans="1:35">
      <c r="A257" s="246" t="s">
        <v>111</v>
      </c>
      <c r="B257" s="246" t="s">
        <v>78</v>
      </c>
      <c r="C257" s="246" t="s">
        <v>126</v>
      </c>
      <c r="D257" s="246" t="s">
        <v>768</v>
      </c>
      <c r="E257" s="246" t="s">
        <v>769</v>
      </c>
      <c r="F257" s="246" t="s">
        <v>277</v>
      </c>
      <c r="G257" s="132">
        <v>41400</v>
      </c>
      <c r="H257" s="132" t="s">
        <v>1129</v>
      </c>
      <c r="I257" s="132">
        <v>41400</v>
      </c>
      <c r="J257" s="101" t="s">
        <v>889</v>
      </c>
      <c r="K257" s="245" t="s">
        <v>390</v>
      </c>
      <c r="L257" s="245">
        <v>42734</v>
      </c>
      <c r="M257" s="245" t="s">
        <v>391</v>
      </c>
      <c r="N257" s="101">
        <v>0</v>
      </c>
      <c r="O257" s="101" t="s">
        <v>392</v>
      </c>
      <c r="P257" s="101">
        <v>0</v>
      </c>
      <c r="Q257" s="101">
        <v>0</v>
      </c>
      <c r="R257" s="101" t="s">
        <v>393</v>
      </c>
      <c r="S257" s="101" t="s">
        <v>796</v>
      </c>
      <c r="T257" s="101" t="s">
        <v>394</v>
      </c>
      <c r="V257" s="245">
        <v>14426</v>
      </c>
      <c r="W257" s="101" t="s">
        <v>395</v>
      </c>
      <c r="X257" s="101" t="s">
        <v>795</v>
      </c>
      <c r="Y257" s="101" t="s">
        <v>396</v>
      </c>
      <c r="Z257" s="101" t="s">
        <v>402</v>
      </c>
      <c r="AA257" s="101" t="s">
        <v>78</v>
      </c>
      <c r="AB257" s="101">
        <v>4101000279</v>
      </c>
      <c r="AC257" s="101" t="s">
        <v>398</v>
      </c>
      <c r="AD257" s="101" t="s">
        <v>403</v>
      </c>
      <c r="AE257" s="101" t="s">
        <v>6</v>
      </c>
      <c r="AF257" s="101" t="s">
        <v>400</v>
      </c>
      <c r="AI257" s="101" t="s">
        <v>760</v>
      </c>
    </row>
    <row r="258" spans="1:35">
      <c r="A258" s="246" t="s">
        <v>112</v>
      </c>
      <c r="B258" s="246" t="s">
        <v>78</v>
      </c>
      <c r="C258" s="246" t="s">
        <v>126</v>
      </c>
      <c r="D258" s="246" t="s">
        <v>341</v>
      </c>
      <c r="E258" s="246" t="s">
        <v>342</v>
      </c>
      <c r="F258" s="246" t="s">
        <v>278</v>
      </c>
      <c r="G258" s="132">
        <v>8280</v>
      </c>
      <c r="H258" s="132" t="s">
        <v>1130</v>
      </c>
      <c r="I258" s="132">
        <v>8280</v>
      </c>
      <c r="J258" s="101" t="s">
        <v>889</v>
      </c>
      <c r="K258" s="245" t="s">
        <v>390</v>
      </c>
      <c r="L258" s="245">
        <v>42916</v>
      </c>
      <c r="M258" s="245" t="s">
        <v>391</v>
      </c>
      <c r="N258" s="101">
        <v>0</v>
      </c>
      <c r="O258" s="101" t="s">
        <v>392</v>
      </c>
      <c r="P258" s="101">
        <v>0</v>
      </c>
      <c r="Q258" s="101">
        <v>0</v>
      </c>
      <c r="R258" s="101" t="s">
        <v>393</v>
      </c>
      <c r="S258" s="101" t="s">
        <v>796</v>
      </c>
      <c r="T258" s="101" t="s">
        <v>394</v>
      </c>
      <c r="V258" s="245">
        <v>14426</v>
      </c>
      <c r="W258" s="101" t="s">
        <v>395</v>
      </c>
      <c r="X258" s="101" t="s">
        <v>795</v>
      </c>
      <c r="Y258" s="101" t="s">
        <v>396</v>
      </c>
      <c r="Z258" s="101" t="s">
        <v>402</v>
      </c>
      <c r="AA258" s="101" t="s">
        <v>78</v>
      </c>
      <c r="AB258" s="101">
        <v>4101000279</v>
      </c>
      <c r="AC258" s="101" t="s">
        <v>398</v>
      </c>
      <c r="AD258" s="101" t="s">
        <v>403</v>
      </c>
      <c r="AE258" s="101" t="s">
        <v>6</v>
      </c>
      <c r="AF258" s="101" t="s">
        <v>400</v>
      </c>
      <c r="AI258" s="101" t="s">
        <v>760</v>
      </c>
    </row>
    <row r="259" spans="1:35">
      <c r="A259" s="246" t="s">
        <v>113</v>
      </c>
      <c r="B259" s="246" t="s">
        <v>78</v>
      </c>
      <c r="C259" s="246" t="s">
        <v>126</v>
      </c>
      <c r="D259" s="246" t="s">
        <v>339</v>
      </c>
      <c r="E259" s="246" t="s">
        <v>340</v>
      </c>
      <c r="F259" s="246" t="s">
        <v>279</v>
      </c>
      <c r="G259" s="132">
        <v>8234</v>
      </c>
      <c r="H259" s="132" t="s">
        <v>1131</v>
      </c>
      <c r="I259" s="132">
        <v>8234</v>
      </c>
      <c r="J259" s="101" t="s">
        <v>889</v>
      </c>
      <c r="K259" s="245" t="s">
        <v>390</v>
      </c>
      <c r="L259" s="245">
        <v>43098</v>
      </c>
      <c r="M259" s="245" t="s">
        <v>391</v>
      </c>
      <c r="N259" s="101">
        <v>0</v>
      </c>
      <c r="O259" s="101" t="s">
        <v>392</v>
      </c>
      <c r="P259" s="101">
        <v>0</v>
      </c>
      <c r="Q259" s="101">
        <v>0</v>
      </c>
      <c r="R259" s="101" t="s">
        <v>393</v>
      </c>
      <c r="S259" s="101" t="s">
        <v>796</v>
      </c>
      <c r="T259" s="101" t="s">
        <v>394</v>
      </c>
      <c r="V259" s="245">
        <v>14426</v>
      </c>
      <c r="W259" s="101" t="s">
        <v>395</v>
      </c>
      <c r="X259" s="101" t="s">
        <v>795</v>
      </c>
      <c r="Y259" s="101" t="s">
        <v>396</v>
      </c>
      <c r="Z259" s="101" t="s">
        <v>402</v>
      </c>
      <c r="AA259" s="101" t="s">
        <v>78</v>
      </c>
      <c r="AB259" s="101">
        <v>4101000279</v>
      </c>
      <c r="AC259" s="101" t="s">
        <v>398</v>
      </c>
      <c r="AD259" s="101" t="s">
        <v>403</v>
      </c>
      <c r="AE259" s="101" t="s">
        <v>6</v>
      </c>
      <c r="AF259" s="101" t="s">
        <v>400</v>
      </c>
      <c r="AI259" s="101" t="s">
        <v>760</v>
      </c>
    </row>
    <row r="260" spans="1:35">
      <c r="A260" s="246" t="s">
        <v>107</v>
      </c>
      <c r="B260" s="246" t="s">
        <v>66</v>
      </c>
      <c r="C260" s="246" t="s">
        <v>126</v>
      </c>
      <c r="D260" s="246" t="s">
        <v>1769</v>
      </c>
      <c r="E260" s="246"/>
      <c r="F260" s="246"/>
      <c r="G260" s="132">
        <v>0</v>
      </c>
      <c r="H260" s="132">
        <v>0</v>
      </c>
      <c r="I260" s="132">
        <v>0</v>
      </c>
      <c r="J260" s="101" t="s">
        <v>889</v>
      </c>
      <c r="K260" s="245" t="s">
        <v>390</v>
      </c>
      <c r="L260" s="245">
        <v>42522</v>
      </c>
      <c r="M260" s="245" t="s">
        <v>391</v>
      </c>
      <c r="N260" s="101">
        <v>0</v>
      </c>
      <c r="O260" s="101" t="s">
        <v>392</v>
      </c>
      <c r="P260" s="101">
        <v>0</v>
      </c>
      <c r="Q260" s="101">
        <v>0</v>
      </c>
      <c r="R260" s="101" t="s">
        <v>428</v>
      </c>
      <c r="S260" s="101">
        <v>148706</v>
      </c>
      <c r="T260" s="101" t="s">
        <v>394</v>
      </c>
      <c r="V260" s="245">
        <v>42932</v>
      </c>
      <c r="W260" s="101" t="s">
        <v>424</v>
      </c>
      <c r="X260" s="101" t="s">
        <v>429</v>
      </c>
      <c r="Y260" s="101" t="s">
        <v>392</v>
      </c>
      <c r="Z260" s="101" t="s">
        <v>430</v>
      </c>
      <c r="AA260" s="101" t="s">
        <v>397</v>
      </c>
      <c r="AB260" s="101">
        <v>5101000018</v>
      </c>
      <c r="AC260" s="101" t="s">
        <v>431</v>
      </c>
      <c r="AD260" s="101" t="s">
        <v>431</v>
      </c>
      <c r="AE260" s="101" t="s">
        <v>75</v>
      </c>
      <c r="AF260" s="101" t="s">
        <v>400</v>
      </c>
      <c r="AG260" s="101" t="s">
        <v>432</v>
      </c>
      <c r="AI260" s="101" t="s">
        <v>760</v>
      </c>
    </row>
    <row r="261" spans="1:35">
      <c r="A261" s="246" t="s">
        <v>109</v>
      </c>
      <c r="B261" s="246" t="s">
        <v>66</v>
      </c>
      <c r="C261" s="246" t="s">
        <v>126</v>
      </c>
      <c r="D261" s="246" t="s">
        <v>272</v>
      </c>
      <c r="E261" s="246"/>
      <c r="F261" s="246"/>
      <c r="G261" s="132">
        <v>0</v>
      </c>
      <c r="H261" s="132">
        <v>0</v>
      </c>
      <c r="I261" s="132">
        <v>0</v>
      </c>
      <c r="J261" s="101" t="s">
        <v>889</v>
      </c>
      <c r="K261" s="245" t="s">
        <v>390</v>
      </c>
      <c r="L261" s="245">
        <v>42552</v>
      </c>
      <c r="M261" s="245" t="s">
        <v>391</v>
      </c>
      <c r="N261" s="101">
        <v>0</v>
      </c>
      <c r="O261" s="101" t="s">
        <v>392</v>
      </c>
      <c r="P261" s="101">
        <v>0</v>
      </c>
      <c r="Q261" s="101">
        <v>0</v>
      </c>
      <c r="R261" s="101" t="s">
        <v>428</v>
      </c>
      <c r="S261" s="101">
        <v>148706</v>
      </c>
      <c r="T261" s="101" t="s">
        <v>394</v>
      </c>
      <c r="V261" s="245">
        <v>42932</v>
      </c>
      <c r="W261" s="101" t="s">
        <v>424</v>
      </c>
      <c r="X261" s="101" t="s">
        <v>429</v>
      </c>
      <c r="Y261" s="101" t="s">
        <v>392</v>
      </c>
      <c r="Z261" s="101" t="s">
        <v>430</v>
      </c>
      <c r="AA261" s="101" t="s">
        <v>397</v>
      </c>
      <c r="AB261" s="101">
        <v>5101000018</v>
      </c>
      <c r="AC261" s="101" t="s">
        <v>431</v>
      </c>
      <c r="AD261" s="101" t="s">
        <v>431</v>
      </c>
      <c r="AE261" s="101" t="s">
        <v>75</v>
      </c>
      <c r="AF261" s="101" t="s">
        <v>400</v>
      </c>
      <c r="AG261" s="101" t="s">
        <v>432</v>
      </c>
      <c r="AI261" s="101" t="s">
        <v>760</v>
      </c>
    </row>
    <row r="262" spans="1:35">
      <c r="A262" s="246" t="s">
        <v>109</v>
      </c>
      <c r="B262" s="246" t="s">
        <v>66</v>
      </c>
      <c r="C262" s="246" t="s">
        <v>126</v>
      </c>
      <c r="D262" s="246" t="s">
        <v>272</v>
      </c>
      <c r="E262" s="246"/>
      <c r="F262" s="246"/>
      <c r="G262" s="132">
        <v>0</v>
      </c>
      <c r="H262" s="132">
        <v>0</v>
      </c>
      <c r="I262" s="132">
        <v>0</v>
      </c>
      <c r="J262" s="101" t="s">
        <v>889</v>
      </c>
      <c r="K262" s="245" t="s">
        <v>390</v>
      </c>
      <c r="L262" s="245">
        <v>42583</v>
      </c>
      <c r="M262" s="245" t="s">
        <v>391</v>
      </c>
      <c r="N262" s="101">
        <v>0</v>
      </c>
      <c r="O262" s="101" t="s">
        <v>392</v>
      </c>
      <c r="P262" s="101">
        <v>0</v>
      </c>
      <c r="Q262" s="101">
        <v>0</v>
      </c>
      <c r="R262" s="101" t="s">
        <v>428</v>
      </c>
      <c r="S262" s="101">
        <v>148706</v>
      </c>
      <c r="T262" s="101" t="s">
        <v>394</v>
      </c>
      <c r="V262" s="245">
        <v>42932</v>
      </c>
      <c r="W262" s="101" t="s">
        <v>424</v>
      </c>
      <c r="X262" s="101" t="s">
        <v>429</v>
      </c>
      <c r="Y262" s="101" t="s">
        <v>392</v>
      </c>
      <c r="Z262" s="101" t="s">
        <v>430</v>
      </c>
      <c r="AA262" s="101" t="s">
        <v>397</v>
      </c>
      <c r="AB262" s="101">
        <v>5101000018</v>
      </c>
      <c r="AC262" s="101" t="s">
        <v>431</v>
      </c>
      <c r="AD262" s="101" t="s">
        <v>431</v>
      </c>
      <c r="AE262" s="101" t="s">
        <v>75</v>
      </c>
      <c r="AF262" s="101" t="s">
        <v>400</v>
      </c>
      <c r="AG262" s="101" t="s">
        <v>432</v>
      </c>
      <c r="AI262" s="101" t="s">
        <v>760</v>
      </c>
    </row>
    <row r="263" spans="1:35">
      <c r="A263" s="246" t="s">
        <v>110</v>
      </c>
      <c r="B263" s="246" t="s">
        <v>66</v>
      </c>
      <c r="C263" s="246" t="s">
        <v>126</v>
      </c>
      <c r="D263" s="246" t="s">
        <v>281</v>
      </c>
      <c r="E263" s="246"/>
      <c r="F263" s="246"/>
      <c r="G263" s="132">
        <v>0</v>
      </c>
      <c r="H263" s="132">
        <v>0</v>
      </c>
      <c r="I263" s="132">
        <v>0</v>
      </c>
      <c r="J263" s="101" t="s">
        <v>889</v>
      </c>
      <c r="K263" s="245" t="s">
        <v>390</v>
      </c>
      <c r="L263" s="245">
        <v>42614</v>
      </c>
      <c r="M263" s="245" t="s">
        <v>391</v>
      </c>
      <c r="N263" s="101">
        <v>0</v>
      </c>
      <c r="O263" s="101" t="s">
        <v>392</v>
      </c>
      <c r="P263" s="101">
        <v>0</v>
      </c>
      <c r="Q263" s="101">
        <v>0</v>
      </c>
      <c r="R263" s="101" t="s">
        <v>428</v>
      </c>
      <c r="S263" s="101">
        <v>148706</v>
      </c>
      <c r="T263" s="101" t="s">
        <v>394</v>
      </c>
      <c r="V263" s="245">
        <v>42932</v>
      </c>
      <c r="W263" s="101" t="s">
        <v>424</v>
      </c>
      <c r="X263" s="101" t="s">
        <v>429</v>
      </c>
      <c r="Y263" s="101" t="s">
        <v>392</v>
      </c>
      <c r="Z263" s="101" t="s">
        <v>430</v>
      </c>
      <c r="AA263" s="101" t="s">
        <v>397</v>
      </c>
      <c r="AB263" s="101">
        <v>5101000018</v>
      </c>
      <c r="AC263" s="101" t="s">
        <v>431</v>
      </c>
      <c r="AD263" s="101" t="s">
        <v>431</v>
      </c>
      <c r="AE263" s="101" t="s">
        <v>75</v>
      </c>
      <c r="AF263" s="101" t="s">
        <v>400</v>
      </c>
      <c r="AG263" s="101" t="s">
        <v>432</v>
      </c>
      <c r="AI263" s="101" t="s">
        <v>760</v>
      </c>
    </row>
    <row r="264" spans="1:35">
      <c r="A264" s="246" t="s">
        <v>110</v>
      </c>
      <c r="B264" s="246" t="s">
        <v>66</v>
      </c>
      <c r="C264" s="246" t="s">
        <v>126</v>
      </c>
      <c r="D264" s="246" t="s">
        <v>281</v>
      </c>
      <c r="E264" s="246"/>
      <c r="F264" s="246"/>
      <c r="G264" s="132">
        <v>0</v>
      </c>
      <c r="H264" s="132">
        <v>0</v>
      </c>
      <c r="I264" s="132">
        <v>0</v>
      </c>
      <c r="J264" s="101" t="s">
        <v>889</v>
      </c>
      <c r="K264" s="245" t="s">
        <v>390</v>
      </c>
      <c r="L264" s="245">
        <v>42646</v>
      </c>
      <c r="M264" s="245" t="s">
        <v>391</v>
      </c>
      <c r="N264" s="101">
        <v>0</v>
      </c>
      <c r="O264" s="101" t="s">
        <v>392</v>
      </c>
      <c r="P264" s="101">
        <v>0</v>
      </c>
      <c r="Q264" s="101">
        <v>0</v>
      </c>
      <c r="R264" s="101" t="s">
        <v>428</v>
      </c>
      <c r="S264" s="101">
        <v>148706</v>
      </c>
      <c r="T264" s="101" t="s">
        <v>394</v>
      </c>
      <c r="V264" s="245">
        <v>42932</v>
      </c>
      <c r="W264" s="101" t="s">
        <v>424</v>
      </c>
      <c r="X264" s="101" t="s">
        <v>429</v>
      </c>
      <c r="Y264" s="101" t="s">
        <v>392</v>
      </c>
      <c r="Z264" s="101" t="s">
        <v>430</v>
      </c>
      <c r="AA264" s="101" t="s">
        <v>397</v>
      </c>
      <c r="AB264" s="101">
        <v>5101000018</v>
      </c>
      <c r="AC264" s="101" t="s">
        <v>431</v>
      </c>
      <c r="AD264" s="101" t="s">
        <v>431</v>
      </c>
      <c r="AE264" s="101" t="s">
        <v>75</v>
      </c>
      <c r="AF264" s="101" t="s">
        <v>400</v>
      </c>
      <c r="AG264" s="101" t="s">
        <v>432</v>
      </c>
      <c r="AI264" s="101" t="s">
        <v>760</v>
      </c>
    </row>
    <row r="265" spans="1:35">
      <c r="A265" s="246" t="s">
        <v>110</v>
      </c>
      <c r="B265" s="246" t="s">
        <v>66</v>
      </c>
      <c r="C265" s="246" t="s">
        <v>126</v>
      </c>
      <c r="D265" s="246" t="s">
        <v>281</v>
      </c>
      <c r="E265" s="246"/>
      <c r="F265" s="246"/>
      <c r="G265" s="132">
        <v>0</v>
      </c>
      <c r="H265" s="132">
        <v>0</v>
      </c>
      <c r="I265" s="132">
        <v>0</v>
      </c>
      <c r="J265" s="101" t="s">
        <v>889</v>
      </c>
      <c r="K265" s="245" t="s">
        <v>390</v>
      </c>
      <c r="L265" s="245">
        <v>42675</v>
      </c>
      <c r="M265" s="245" t="s">
        <v>391</v>
      </c>
      <c r="N265" s="101">
        <v>0</v>
      </c>
      <c r="O265" s="101" t="s">
        <v>392</v>
      </c>
      <c r="P265" s="101">
        <v>0</v>
      </c>
      <c r="Q265" s="101">
        <v>0</v>
      </c>
      <c r="R265" s="101" t="s">
        <v>428</v>
      </c>
      <c r="S265" s="101">
        <v>148706</v>
      </c>
      <c r="T265" s="101" t="s">
        <v>394</v>
      </c>
      <c r="V265" s="245">
        <v>42932</v>
      </c>
      <c r="W265" s="101" t="s">
        <v>424</v>
      </c>
      <c r="X265" s="101" t="s">
        <v>429</v>
      </c>
      <c r="Y265" s="101" t="s">
        <v>392</v>
      </c>
      <c r="Z265" s="101" t="s">
        <v>430</v>
      </c>
      <c r="AA265" s="101" t="s">
        <v>397</v>
      </c>
      <c r="AB265" s="101">
        <v>5101000018</v>
      </c>
      <c r="AC265" s="101" t="s">
        <v>431</v>
      </c>
      <c r="AD265" s="101" t="s">
        <v>431</v>
      </c>
      <c r="AE265" s="101" t="s">
        <v>75</v>
      </c>
      <c r="AF265" s="101" t="s">
        <v>400</v>
      </c>
      <c r="AG265" s="101" t="s">
        <v>432</v>
      </c>
      <c r="AI265" s="101" t="s">
        <v>760</v>
      </c>
    </row>
    <row r="266" spans="1:35">
      <c r="A266" s="246" t="s">
        <v>111</v>
      </c>
      <c r="B266" s="246" t="s">
        <v>66</v>
      </c>
      <c r="C266" s="246" t="s">
        <v>126</v>
      </c>
      <c r="D266" s="246" t="s">
        <v>273</v>
      </c>
      <c r="E266" s="246"/>
      <c r="F266" s="246"/>
      <c r="G266" s="132">
        <v>0</v>
      </c>
      <c r="H266" s="132">
        <v>0</v>
      </c>
      <c r="I266" s="132">
        <v>0</v>
      </c>
      <c r="J266" s="101" t="s">
        <v>889</v>
      </c>
      <c r="K266" s="245" t="s">
        <v>390</v>
      </c>
      <c r="L266" s="245">
        <v>42705</v>
      </c>
      <c r="M266" s="245" t="s">
        <v>391</v>
      </c>
      <c r="N266" s="101">
        <v>0</v>
      </c>
      <c r="O266" s="101" t="s">
        <v>392</v>
      </c>
      <c r="P266" s="101">
        <v>0</v>
      </c>
      <c r="Q266" s="101">
        <v>0</v>
      </c>
      <c r="R266" s="101" t="s">
        <v>428</v>
      </c>
      <c r="S266" s="101">
        <v>148706</v>
      </c>
      <c r="T266" s="101" t="s">
        <v>394</v>
      </c>
      <c r="V266" s="245">
        <v>42932</v>
      </c>
      <c r="W266" s="101" t="s">
        <v>424</v>
      </c>
      <c r="X266" s="101" t="s">
        <v>429</v>
      </c>
      <c r="Y266" s="101" t="s">
        <v>392</v>
      </c>
      <c r="Z266" s="101" t="s">
        <v>430</v>
      </c>
      <c r="AA266" s="101" t="s">
        <v>397</v>
      </c>
      <c r="AB266" s="101">
        <v>5101000018</v>
      </c>
      <c r="AC266" s="101" t="s">
        <v>431</v>
      </c>
      <c r="AD266" s="101" t="s">
        <v>431</v>
      </c>
      <c r="AE266" s="101" t="s">
        <v>75</v>
      </c>
      <c r="AF266" s="101" t="s">
        <v>400</v>
      </c>
      <c r="AG266" s="101" t="s">
        <v>432</v>
      </c>
      <c r="AI266" s="101" t="s">
        <v>760</v>
      </c>
    </row>
    <row r="267" spans="1:35">
      <c r="A267" s="246" t="s">
        <v>111</v>
      </c>
      <c r="B267" s="246" t="s">
        <v>66</v>
      </c>
      <c r="C267" s="246" t="s">
        <v>126</v>
      </c>
      <c r="D267" s="246" t="s">
        <v>273</v>
      </c>
      <c r="E267" s="246"/>
      <c r="F267" s="246"/>
      <c r="G267" s="132">
        <v>0</v>
      </c>
      <c r="H267" s="132">
        <v>0</v>
      </c>
      <c r="I267" s="132">
        <v>0</v>
      </c>
      <c r="J267" s="101" t="s">
        <v>889</v>
      </c>
      <c r="K267" s="245" t="s">
        <v>390</v>
      </c>
      <c r="L267" s="245">
        <v>42738</v>
      </c>
      <c r="M267" s="245" t="s">
        <v>391</v>
      </c>
      <c r="N267" s="101">
        <v>0</v>
      </c>
      <c r="O267" s="101" t="s">
        <v>392</v>
      </c>
      <c r="P267" s="101">
        <v>0</v>
      </c>
      <c r="Q267" s="101">
        <v>0</v>
      </c>
      <c r="R267" s="101" t="s">
        <v>428</v>
      </c>
      <c r="S267" s="101">
        <v>148706</v>
      </c>
      <c r="T267" s="101" t="s">
        <v>394</v>
      </c>
      <c r="V267" s="245">
        <v>42932</v>
      </c>
      <c r="W267" s="101" t="s">
        <v>424</v>
      </c>
      <c r="X267" s="101" t="s">
        <v>429</v>
      </c>
      <c r="Y267" s="101" t="s">
        <v>392</v>
      </c>
      <c r="Z267" s="101" t="s">
        <v>430</v>
      </c>
      <c r="AA267" s="101" t="s">
        <v>397</v>
      </c>
      <c r="AB267" s="101">
        <v>5101000018</v>
      </c>
      <c r="AC267" s="101" t="s">
        <v>431</v>
      </c>
      <c r="AD267" s="101" t="s">
        <v>431</v>
      </c>
      <c r="AE267" s="101" t="s">
        <v>75</v>
      </c>
      <c r="AF267" s="101" t="s">
        <v>400</v>
      </c>
      <c r="AG267" s="101" t="s">
        <v>432</v>
      </c>
      <c r="AI267" s="101" t="s">
        <v>760</v>
      </c>
    </row>
    <row r="268" spans="1:35">
      <c r="A268" s="246" t="s">
        <v>111</v>
      </c>
      <c r="B268" s="246" t="s">
        <v>66</v>
      </c>
      <c r="C268" s="246" t="s">
        <v>126</v>
      </c>
      <c r="D268" s="246" t="s">
        <v>273</v>
      </c>
      <c r="E268" s="246"/>
      <c r="F268" s="246"/>
      <c r="G268" s="132">
        <v>0</v>
      </c>
      <c r="H268" s="132">
        <v>0</v>
      </c>
      <c r="I268" s="132">
        <v>0</v>
      </c>
      <c r="J268" s="101" t="s">
        <v>889</v>
      </c>
      <c r="K268" s="245" t="s">
        <v>390</v>
      </c>
      <c r="L268" s="245">
        <v>42767</v>
      </c>
      <c r="M268" s="245" t="s">
        <v>391</v>
      </c>
      <c r="N268" s="101">
        <v>0</v>
      </c>
      <c r="O268" s="101" t="s">
        <v>392</v>
      </c>
      <c r="P268" s="101">
        <v>0</v>
      </c>
      <c r="Q268" s="101">
        <v>0</v>
      </c>
      <c r="R268" s="101" t="s">
        <v>428</v>
      </c>
      <c r="S268" s="101">
        <v>148706</v>
      </c>
      <c r="T268" s="101" t="s">
        <v>394</v>
      </c>
      <c r="V268" s="245">
        <v>42932</v>
      </c>
      <c r="W268" s="101" t="s">
        <v>424</v>
      </c>
      <c r="X268" s="101" t="s">
        <v>429</v>
      </c>
      <c r="Y268" s="101" t="s">
        <v>392</v>
      </c>
      <c r="Z268" s="101" t="s">
        <v>430</v>
      </c>
      <c r="AA268" s="101" t="s">
        <v>397</v>
      </c>
      <c r="AB268" s="101">
        <v>5101000018</v>
      </c>
      <c r="AC268" s="101" t="s">
        <v>431</v>
      </c>
      <c r="AD268" s="101" t="s">
        <v>431</v>
      </c>
      <c r="AE268" s="101" t="s">
        <v>75</v>
      </c>
      <c r="AF268" s="101" t="s">
        <v>400</v>
      </c>
      <c r="AG268" s="101" t="s">
        <v>432</v>
      </c>
      <c r="AI268" s="101" t="s">
        <v>760</v>
      </c>
    </row>
    <row r="269" spans="1:35">
      <c r="A269" s="246" t="s">
        <v>111</v>
      </c>
      <c r="B269" s="246" t="s">
        <v>66</v>
      </c>
      <c r="C269" s="246" t="s">
        <v>126</v>
      </c>
      <c r="D269" s="246" t="s">
        <v>273</v>
      </c>
      <c r="E269" s="246"/>
      <c r="F269" s="246"/>
      <c r="G269" s="132">
        <v>0</v>
      </c>
      <c r="H269" s="132">
        <v>0</v>
      </c>
      <c r="I269" s="132">
        <v>0</v>
      </c>
      <c r="J269" s="101" t="s">
        <v>889</v>
      </c>
      <c r="K269" s="245" t="s">
        <v>390</v>
      </c>
      <c r="L269" s="245">
        <v>42795</v>
      </c>
      <c r="M269" s="245" t="s">
        <v>391</v>
      </c>
      <c r="N269" s="101">
        <v>0</v>
      </c>
      <c r="O269" s="101" t="s">
        <v>392</v>
      </c>
      <c r="P269" s="101">
        <v>0</v>
      </c>
      <c r="Q269" s="101">
        <v>0</v>
      </c>
      <c r="R269" s="101" t="s">
        <v>428</v>
      </c>
      <c r="S269" s="101">
        <v>148706</v>
      </c>
      <c r="T269" s="101" t="s">
        <v>394</v>
      </c>
      <c r="V269" s="245">
        <v>42932</v>
      </c>
      <c r="W269" s="101" t="s">
        <v>424</v>
      </c>
      <c r="X269" s="101" t="s">
        <v>429</v>
      </c>
      <c r="Y269" s="101" t="s">
        <v>392</v>
      </c>
      <c r="Z269" s="101" t="s">
        <v>430</v>
      </c>
      <c r="AA269" s="101" t="s">
        <v>397</v>
      </c>
      <c r="AB269" s="101">
        <v>5101000018</v>
      </c>
      <c r="AC269" s="101" t="s">
        <v>431</v>
      </c>
      <c r="AD269" s="101" t="s">
        <v>431</v>
      </c>
      <c r="AE269" s="101" t="s">
        <v>75</v>
      </c>
      <c r="AF269" s="101" t="s">
        <v>400</v>
      </c>
      <c r="AG269" s="101" t="s">
        <v>432</v>
      </c>
      <c r="AI269" s="101" t="s">
        <v>760</v>
      </c>
    </row>
    <row r="270" spans="1:35">
      <c r="A270" s="246" t="s">
        <v>111</v>
      </c>
      <c r="B270" s="246" t="s">
        <v>66</v>
      </c>
      <c r="C270" s="246" t="s">
        <v>126</v>
      </c>
      <c r="D270" s="246" t="s">
        <v>273</v>
      </c>
      <c r="E270" s="246"/>
      <c r="F270" s="246"/>
      <c r="G270" s="132">
        <v>0</v>
      </c>
      <c r="H270" s="132">
        <v>0</v>
      </c>
      <c r="I270" s="132">
        <v>0</v>
      </c>
      <c r="J270" s="101" t="s">
        <v>889</v>
      </c>
      <c r="K270" s="245" t="s">
        <v>390</v>
      </c>
      <c r="L270" s="245">
        <v>42828</v>
      </c>
      <c r="M270" s="245" t="s">
        <v>391</v>
      </c>
      <c r="N270" s="101">
        <v>0</v>
      </c>
      <c r="O270" s="101" t="s">
        <v>392</v>
      </c>
      <c r="P270" s="101">
        <v>0</v>
      </c>
      <c r="Q270" s="101">
        <v>0</v>
      </c>
      <c r="R270" s="101" t="s">
        <v>428</v>
      </c>
      <c r="S270" s="101">
        <v>148706</v>
      </c>
      <c r="T270" s="101" t="s">
        <v>394</v>
      </c>
      <c r="V270" s="245">
        <v>42932</v>
      </c>
      <c r="W270" s="101" t="s">
        <v>424</v>
      </c>
      <c r="X270" s="101" t="s">
        <v>429</v>
      </c>
      <c r="Y270" s="101" t="s">
        <v>392</v>
      </c>
      <c r="Z270" s="101" t="s">
        <v>430</v>
      </c>
      <c r="AA270" s="101" t="s">
        <v>397</v>
      </c>
      <c r="AB270" s="101">
        <v>5101000018</v>
      </c>
      <c r="AC270" s="101" t="s">
        <v>431</v>
      </c>
      <c r="AD270" s="101" t="s">
        <v>431</v>
      </c>
      <c r="AE270" s="101" t="s">
        <v>75</v>
      </c>
      <c r="AF270" s="101" t="s">
        <v>400</v>
      </c>
      <c r="AG270" s="101" t="s">
        <v>432</v>
      </c>
      <c r="AI270" s="101" t="s">
        <v>760</v>
      </c>
    </row>
    <row r="271" spans="1:35">
      <c r="A271" s="246" t="s">
        <v>111</v>
      </c>
      <c r="B271" s="246" t="s">
        <v>66</v>
      </c>
      <c r="C271" s="246" t="s">
        <v>126</v>
      </c>
      <c r="D271" s="246" t="s">
        <v>273</v>
      </c>
      <c r="E271" s="246"/>
      <c r="F271" s="246"/>
      <c r="G271" s="132">
        <v>0</v>
      </c>
      <c r="H271" s="132">
        <v>0</v>
      </c>
      <c r="I271" s="132">
        <v>0</v>
      </c>
      <c r="J271" s="101" t="s">
        <v>889</v>
      </c>
      <c r="K271" s="245" t="s">
        <v>390</v>
      </c>
      <c r="L271" s="245">
        <v>42856</v>
      </c>
      <c r="M271" s="245" t="s">
        <v>391</v>
      </c>
      <c r="N271" s="101">
        <v>0</v>
      </c>
      <c r="O271" s="101" t="s">
        <v>392</v>
      </c>
      <c r="P271" s="101">
        <v>0</v>
      </c>
      <c r="Q271" s="101">
        <v>0</v>
      </c>
      <c r="R271" s="101" t="s">
        <v>428</v>
      </c>
      <c r="S271" s="101">
        <v>148706</v>
      </c>
      <c r="T271" s="101" t="s">
        <v>394</v>
      </c>
      <c r="V271" s="245">
        <v>42932</v>
      </c>
      <c r="W271" s="101" t="s">
        <v>424</v>
      </c>
      <c r="X271" s="101" t="s">
        <v>429</v>
      </c>
      <c r="Y271" s="101" t="s">
        <v>392</v>
      </c>
      <c r="Z271" s="101" t="s">
        <v>430</v>
      </c>
      <c r="AA271" s="101" t="s">
        <v>397</v>
      </c>
      <c r="AB271" s="101">
        <v>5101000018</v>
      </c>
      <c r="AC271" s="101" t="s">
        <v>431</v>
      </c>
      <c r="AD271" s="101" t="s">
        <v>431</v>
      </c>
      <c r="AE271" s="101" t="s">
        <v>75</v>
      </c>
      <c r="AF271" s="101" t="s">
        <v>400</v>
      </c>
      <c r="AG271" s="101" t="s">
        <v>432</v>
      </c>
      <c r="AI271" s="101" t="s">
        <v>760</v>
      </c>
    </row>
    <row r="272" spans="1:35">
      <c r="A272" s="246" t="s">
        <v>112</v>
      </c>
      <c r="B272" s="246" t="s">
        <v>66</v>
      </c>
      <c r="C272" s="246" t="s">
        <v>126</v>
      </c>
      <c r="D272" s="246" t="s">
        <v>270</v>
      </c>
      <c r="E272" s="246"/>
      <c r="F272" s="246"/>
      <c r="G272" s="132">
        <v>0</v>
      </c>
      <c r="H272" s="132">
        <v>0</v>
      </c>
      <c r="I272" s="132">
        <v>0</v>
      </c>
      <c r="J272" s="101" t="s">
        <v>889</v>
      </c>
      <c r="K272" s="245" t="s">
        <v>390</v>
      </c>
      <c r="L272" s="245">
        <v>42887</v>
      </c>
      <c r="M272" s="245" t="s">
        <v>391</v>
      </c>
      <c r="N272" s="101">
        <v>0</v>
      </c>
      <c r="O272" s="101" t="s">
        <v>392</v>
      </c>
      <c r="P272" s="101">
        <v>0</v>
      </c>
      <c r="Q272" s="101">
        <v>0</v>
      </c>
      <c r="R272" s="101" t="s">
        <v>428</v>
      </c>
      <c r="S272" s="101">
        <v>148706</v>
      </c>
      <c r="T272" s="101" t="s">
        <v>394</v>
      </c>
      <c r="V272" s="245">
        <v>42932</v>
      </c>
      <c r="W272" s="101" t="s">
        <v>424</v>
      </c>
      <c r="X272" s="101" t="s">
        <v>429</v>
      </c>
      <c r="Y272" s="101" t="s">
        <v>392</v>
      </c>
      <c r="Z272" s="101" t="s">
        <v>430</v>
      </c>
      <c r="AA272" s="101" t="s">
        <v>397</v>
      </c>
      <c r="AB272" s="101">
        <v>5101000018</v>
      </c>
      <c r="AC272" s="101" t="s">
        <v>431</v>
      </c>
      <c r="AD272" s="101" t="s">
        <v>431</v>
      </c>
      <c r="AE272" s="101" t="s">
        <v>75</v>
      </c>
      <c r="AF272" s="101" t="s">
        <v>400</v>
      </c>
      <c r="AG272" s="101" t="s">
        <v>432</v>
      </c>
      <c r="AI272" s="101" t="s">
        <v>760</v>
      </c>
    </row>
    <row r="273" spans="1:35">
      <c r="A273" s="246" t="s">
        <v>112</v>
      </c>
      <c r="B273" s="246" t="s">
        <v>66</v>
      </c>
      <c r="C273" s="246" t="s">
        <v>126</v>
      </c>
      <c r="D273" s="246" t="s">
        <v>270</v>
      </c>
      <c r="E273" s="246"/>
      <c r="F273" s="246"/>
      <c r="G273" s="132">
        <v>0</v>
      </c>
      <c r="H273" s="132">
        <v>0</v>
      </c>
      <c r="I273" s="132">
        <v>0</v>
      </c>
      <c r="J273" s="101" t="s">
        <v>889</v>
      </c>
      <c r="K273" s="245" t="s">
        <v>390</v>
      </c>
      <c r="L273" s="245">
        <v>42933</v>
      </c>
      <c r="M273" s="245" t="s">
        <v>391</v>
      </c>
      <c r="N273" s="101">
        <v>0</v>
      </c>
      <c r="O273" s="101" t="s">
        <v>392</v>
      </c>
      <c r="P273" s="101">
        <v>0</v>
      </c>
      <c r="Q273" s="101">
        <v>0</v>
      </c>
      <c r="R273" s="101" t="s">
        <v>428</v>
      </c>
      <c r="S273" s="101">
        <v>148706</v>
      </c>
      <c r="T273" s="101" t="s">
        <v>394</v>
      </c>
      <c r="V273" s="245">
        <v>42932</v>
      </c>
      <c r="W273" s="101" t="s">
        <v>424</v>
      </c>
      <c r="X273" s="101" t="s">
        <v>429</v>
      </c>
      <c r="Y273" s="101" t="s">
        <v>392</v>
      </c>
      <c r="Z273" s="101" t="s">
        <v>430</v>
      </c>
      <c r="AA273" s="101" t="s">
        <v>397</v>
      </c>
      <c r="AB273" s="101">
        <v>5101000018</v>
      </c>
      <c r="AC273" s="101" t="s">
        <v>431</v>
      </c>
      <c r="AD273" s="101" t="s">
        <v>431</v>
      </c>
      <c r="AE273" s="101" t="s">
        <v>75</v>
      </c>
      <c r="AF273" s="101" t="s">
        <v>400</v>
      </c>
      <c r="AG273" s="101" t="s">
        <v>432</v>
      </c>
      <c r="AI273" s="101" t="s">
        <v>760</v>
      </c>
    </row>
    <row r="274" spans="1:35">
      <c r="A274" s="246" t="s">
        <v>112</v>
      </c>
      <c r="B274" s="246" t="s">
        <v>66</v>
      </c>
      <c r="C274" s="246" t="s">
        <v>116</v>
      </c>
      <c r="D274" s="246" t="s">
        <v>330</v>
      </c>
      <c r="E274" s="246"/>
      <c r="F274" s="246"/>
      <c r="G274" s="132">
        <v>0</v>
      </c>
      <c r="H274" s="132">
        <v>0</v>
      </c>
      <c r="I274" s="132">
        <v>0</v>
      </c>
      <c r="J274" s="101" t="s">
        <v>889</v>
      </c>
      <c r="K274" s="245" t="s">
        <v>390</v>
      </c>
      <c r="L274" s="245">
        <v>42933</v>
      </c>
      <c r="M274" s="245" t="s">
        <v>421</v>
      </c>
      <c r="N274" s="101">
        <v>0</v>
      </c>
      <c r="O274" s="101" t="s">
        <v>392</v>
      </c>
      <c r="P274" s="101">
        <v>0</v>
      </c>
      <c r="Q274" s="101">
        <v>0</v>
      </c>
      <c r="R274" s="101" t="s">
        <v>428</v>
      </c>
      <c r="S274" s="101">
        <v>148706</v>
      </c>
      <c r="T274" s="101" t="s">
        <v>394</v>
      </c>
      <c r="V274" s="245">
        <v>42932</v>
      </c>
      <c r="W274" s="101" t="s">
        <v>424</v>
      </c>
      <c r="X274" s="101" t="s">
        <v>429</v>
      </c>
      <c r="Y274" s="101" t="s">
        <v>392</v>
      </c>
      <c r="Z274" s="101" t="s">
        <v>430</v>
      </c>
      <c r="AA274" s="101" t="s">
        <v>397</v>
      </c>
      <c r="AB274" s="101">
        <v>5101000018</v>
      </c>
      <c r="AC274" s="101" t="s">
        <v>431</v>
      </c>
      <c r="AD274" s="101" t="s">
        <v>431</v>
      </c>
      <c r="AE274" s="101" t="s">
        <v>75</v>
      </c>
      <c r="AF274" s="101" t="s">
        <v>400</v>
      </c>
      <c r="AG274" s="101" t="s">
        <v>432</v>
      </c>
      <c r="AI274" s="101" t="s">
        <v>760</v>
      </c>
    </row>
    <row r="275" spans="1:35">
      <c r="A275" s="246" t="s">
        <v>109</v>
      </c>
      <c r="B275" s="246" t="s">
        <v>66</v>
      </c>
      <c r="C275" s="246" t="s">
        <v>126</v>
      </c>
      <c r="D275" s="246" t="s">
        <v>272</v>
      </c>
      <c r="E275" s="246"/>
      <c r="F275" s="246"/>
      <c r="G275" s="132">
        <v>25000</v>
      </c>
      <c r="H275" s="132" t="s">
        <v>1132</v>
      </c>
      <c r="I275" s="132">
        <v>25000</v>
      </c>
      <c r="J275" s="101" t="s">
        <v>889</v>
      </c>
      <c r="K275" s="245" t="s">
        <v>390</v>
      </c>
      <c r="L275" s="245">
        <v>42536</v>
      </c>
      <c r="M275" s="245" t="s">
        <v>391</v>
      </c>
      <c r="N275" s="101">
        <v>0</v>
      </c>
      <c r="O275" s="101" t="s">
        <v>392</v>
      </c>
      <c r="P275" s="101">
        <v>0</v>
      </c>
      <c r="Q275" s="101">
        <v>0</v>
      </c>
      <c r="R275" s="101" t="s">
        <v>450</v>
      </c>
      <c r="S275" s="101">
        <v>193068</v>
      </c>
      <c r="T275" s="101" t="s">
        <v>394</v>
      </c>
      <c r="V275" s="245">
        <v>42536</v>
      </c>
      <c r="W275" s="101" t="s">
        <v>441</v>
      </c>
      <c r="X275" s="101" t="s">
        <v>76</v>
      </c>
      <c r="Y275" s="101" t="s">
        <v>392</v>
      </c>
      <c r="Z275" s="101" t="s">
        <v>430</v>
      </c>
      <c r="AA275" s="101" t="s">
        <v>531</v>
      </c>
      <c r="AB275" s="101">
        <v>3101053435</v>
      </c>
      <c r="AC275" s="101" t="s">
        <v>431</v>
      </c>
      <c r="AD275" s="101" t="s">
        <v>431</v>
      </c>
      <c r="AE275" s="101" t="s">
        <v>75</v>
      </c>
      <c r="AF275" s="101" t="s">
        <v>400</v>
      </c>
      <c r="AG275" s="101" t="s">
        <v>532</v>
      </c>
      <c r="AI275" s="101" t="s">
        <v>760</v>
      </c>
    </row>
    <row r="276" spans="1:35">
      <c r="A276" s="246" t="s">
        <v>109</v>
      </c>
      <c r="B276" s="246" t="s">
        <v>66</v>
      </c>
      <c r="C276" s="246" t="s">
        <v>116</v>
      </c>
      <c r="D276" s="246" t="s">
        <v>338</v>
      </c>
      <c r="E276" s="246"/>
      <c r="F276" s="246"/>
      <c r="G276" s="132">
        <v>10000000</v>
      </c>
      <c r="H276" s="132" t="s">
        <v>1133</v>
      </c>
      <c r="I276" s="132">
        <v>9999999.9999999981</v>
      </c>
      <c r="J276" s="101" t="s">
        <v>889</v>
      </c>
      <c r="K276" s="245" t="s">
        <v>390</v>
      </c>
      <c r="L276" s="245">
        <v>42536</v>
      </c>
      <c r="M276" s="245" t="s">
        <v>421</v>
      </c>
      <c r="N276" s="101">
        <v>0</v>
      </c>
      <c r="O276" s="101" t="s">
        <v>392</v>
      </c>
      <c r="P276" s="101">
        <v>0</v>
      </c>
      <c r="Q276" s="101">
        <v>0</v>
      </c>
      <c r="R276" s="101" t="s">
        <v>450</v>
      </c>
      <c r="S276" s="101">
        <v>193068</v>
      </c>
      <c r="T276" s="101" t="s">
        <v>394</v>
      </c>
      <c r="V276" s="245">
        <v>42536</v>
      </c>
      <c r="W276" s="101" t="s">
        <v>441</v>
      </c>
      <c r="X276" s="101" t="s">
        <v>76</v>
      </c>
      <c r="Y276" s="101" t="s">
        <v>392</v>
      </c>
      <c r="Z276" s="101" t="s">
        <v>430</v>
      </c>
      <c r="AA276" s="101" t="s">
        <v>531</v>
      </c>
      <c r="AB276" s="101">
        <v>3101053435</v>
      </c>
      <c r="AC276" s="101" t="s">
        <v>431</v>
      </c>
      <c r="AD276" s="101" t="s">
        <v>431</v>
      </c>
      <c r="AE276" s="101" t="s">
        <v>75</v>
      </c>
      <c r="AF276" s="101" t="s">
        <v>400</v>
      </c>
      <c r="AG276" s="101" t="s">
        <v>532</v>
      </c>
      <c r="AI276" s="101" t="s">
        <v>760</v>
      </c>
    </row>
    <row r="277" spans="1:35">
      <c r="A277" s="246" t="s">
        <v>107</v>
      </c>
      <c r="B277" s="246" t="s">
        <v>66</v>
      </c>
      <c r="C277" s="246" t="s">
        <v>126</v>
      </c>
      <c r="D277" s="246" t="s">
        <v>1769</v>
      </c>
      <c r="E277" s="246"/>
      <c r="F277" s="246"/>
      <c r="G277" s="132" t="s">
        <v>601</v>
      </c>
      <c r="H277" s="132" t="s">
        <v>1134</v>
      </c>
      <c r="I277" s="132">
        <v>-54233.88</v>
      </c>
      <c r="J277" s="101" t="s">
        <v>889</v>
      </c>
      <c r="K277" s="245" t="s">
        <v>390</v>
      </c>
      <c r="L277" s="245">
        <v>42521</v>
      </c>
      <c r="M277" s="245" t="s">
        <v>391</v>
      </c>
      <c r="N277" s="101">
        <v>0</v>
      </c>
      <c r="O277" s="101" t="s">
        <v>392</v>
      </c>
      <c r="P277" s="101">
        <v>0</v>
      </c>
      <c r="Q277" s="101">
        <v>0</v>
      </c>
      <c r="R277" s="101" t="s">
        <v>422</v>
      </c>
      <c r="S277" s="101" t="s">
        <v>600</v>
      </c>
      <c r="T277" s="101" t="s">
        <v>394</v>
      </c>
      <c r="U277" s="101" t="s">
        <v>88</v>
      </c>
      <c r="V277" s="245">
        <v>46371</v>
      </c>
      <c r="W277" s="101" t="s">
        <v>445</v>
      </c>
      <c r="X277" s="101" t="s">
        <v>76</v>
      </c>
      <c r="Y277" s="101" t="s">
        <v>392</v>
      </c>
      <c r="Z277" s="101" t="s">
        <v>412</v>
      </c>
      <c r="AA277" s="101" t="s">
        <v>478</v>
      </c>
      <c r="AB277" s="101">
        <v>3101053970</v>
      </c>
      <c r="AC277" s="101" t="s">
        <v>414</v>
      </c>
      <c r="AD277" s="101" t="s">
        <v>79</v>
      </c>
      <c r="AE277" s="101" t="s">
        <v>75</v>
      </c>
      <c r="AF277" s="101" t="s">
        <v>400</v>
      </c>
      <c r="AI277" s="101" t="s">
        <v>172</v>
      </c>
    </row>
    <row r="278" spans="1:35">
      <c r="A278" s="246" t="s">
        <v>107</v>
      </c>
      <c r="B278" s="246" t="s">
        <v>66</v>
      </c>
      <c r="C278" s="246" t="s">
        <v>264</v>
      </c>
      <c r="D278" s="246" t="s">
        <v>1775</v>
      </c>
      <c r="E278" s="246"/>
      <c r="F278" s="246"/>
      <c r="G278" s="132" t="s">
        <v>602</v>
      </c>
      <c r="H278" s="132" t="s">
        <v>1135</v>
      </c>
      <c r="I278" s="132">
        <v>1736494.11</v>
      </c>
      <c r="J278" s="101" t="s">
        <v>889</v>
      </c>
      <c r="K278" s="245" t="s">
        <v>390</v>
      </c>
      <c r="L278" s="245">
        <v>42521</v>
      </c>
      <c r="M278" s="245" t="s">
        <v>421</v>
      </c>
      <c r="N278" s="101">
        <v>0</v>
      </c>
      <c r="O278" s="101" t="s">
        <v>392</v>
      </c>
      <c r="P278" s="101">
        <v>0</v>
      </c>
      <c r="Q278" s="101">
        <v>0</v>
      </c>
      <c r="R278" s="101" t="s">
        <v>410</v>
      </c>
      <c r="S278" s="101" t="s">
        <v>600</v>
      </c>
      <c r="T278" s="101" t="s">
        <v>394</v>
      </c>
      <c r="U278" s="101" t="s">
        <v>88</v>
      </c>
      <c r="V278" s="245">
        <v>46371</v>
      </c>
      <c r="W278" s="101" t="s">
        <v>445</v>
      </c>
      <c r="X278" s="101" t="s">
        <v>76</v>
      </c>
      <c r="Y278" s="101" t="s">
        <v>392</v>
      </c>
      <c r="Z278" s="101" t="s">
        <v>412</v>
      </c>
      <c r="AA278" s="101" t="s">
        <v>478</v>
      </c>
      <c r="AB278" s="101">
        <v>3101053970</v>
      </c>
      <c r="AC278" s="101" t="s">
        <v>414</v>
      </c>
      <c r="AD278" s="101" t="s">
        <v>79</v>
      </c>
      <c r="AE278" s="101" t="s">
        <v>75</v>
      </c>
      <c r="AF278" s="101" t="s">
        <v>400</v>
      </c>
      <c r="AI278" s="101" t="s">
        <v>172</v>
      </c>
    </row>
    <row r="279" spans="1:35">
      <c r="A279" s="246" t="s">
        <v>109</v>
      </c>
      <c r="B279" s="246" t="s">
        <v>66</v>
      </c>
      <c r="C279" s="246" t="s">
        <v>126</v>
      </c>
      <c r="D279" s="246" t="s">
        <v>272</v>
      </c>
      <c r="E279" s="246"/>
      <c r="F279" s="246"/>
      <c r="G279" s="132" t="s">
        <v>603</v>
      </c>
      <c r="H279" s="132" t="s">
        <v>1136</v>
      </c>
      <c r="I279" s="132">
        <v>-59218.299999999996</v>
      </c>
      <c r="J279" s="101" t="s">
        <v>889</v>
      </c>
      <c r="K279" s="245" t="s">
        <v>390</v>
      </c>
      <c r="L279" s="245">
        <v>42551</v>
      </c>
      <c r="M279" s="245" t="s">
        <v>391</v>
      </c>
      <c r="N279" s="101">
        <v>0</v>
      </c>
      <c r="O279" s="101" t="s">
        <v>392</v>
      </c>
      <c r="P279" s="101">
        <v>0</v>
      </c>
      <c r="Q279" s="101">
        <v>0</v>
      </c>
      <c r="R279" s="101" t="s">
        <v>422</v>
      </c>
      <c r="S279" s="101" t="s">
        <v>600</v>
      </c>
      <c r="T279" s="101" t="s">
        <v>394</v>
      </c>
      <c r="U279" s="101" t="s">
        <v>88</v>
      </c>
      <c r="V279" s="245">
        <v>46371</v>
      </c>
      <c r="W279" s="101" t="s">
        <v>445</v>
      </c>
      <c r="X279" s="101" t="s">
        <v>76</v>
      </c>
      <c r="Y279" s="101" t="s">
        <v>392</v>
      </c>
      <c r="Z279" s="101" t="s">
        <v>412</v>
      </c>
      <c r="AA279" s="101" t="s">
        <v>478</v>
      </c>
      <c r="AB279" s="101">
        <v>3101053970</v>
      </c>
      <c r="AC279" s="101" t="s">
        <v>414</v>
      </c>
      <c r="AD279" s="101" t="s">
        <v>79</v>
      </c>
      <c r="AE279" s="101" t="s">
        <v>75</v>
      </c>
      <c r="AF279" s="101" t="s">
        <v>400</v>
      </c>
      <c r="AI279" s="101" t="s">
        <v>172</v>
      </c>
    </row>
    <row r="280" spans="1:35">
      <c r="A280" s="246" t="s">
        <v>109</v>
      </c>
      <c r="B280" s="246" t="s">
        <v>66</v>
      </c>
      <c r="C280" s="246" t="s">
        <v>264</v>
      </c>
      <c r="D280" s="246" t="s">
        <v>288</v>
      </c>
      <c r="E280" s="246"/>
      <c r="F280" s="246"/>
      <c r="G280" s="132" t="s">
        <v>604</v>
      </c>
      <c r="H280" s="132" t="s">
        <v>1137</v>
      </c>
      <c r="I280" s="132">
        <v>1478225.86</v>
      </c>
      <c r="J280" s="101" t="s">
        <v>889</v>
      </c>
      <c r="K280" s="245" t="s">
        <v>390</v>
      </c>
      <c r="L280" s="245">
        <v>42551</v>
      </c>
      <c r="M280" s="245" t="s">
        <v>421</v>
      </c>
      <c r="N280" s="101">
        <v>0</v>
      </c>
      <c r="O280" s="101" t="s">
        <v>392</v>
      </c>
      <c r="P280" s="101">
        <v>0</v>
      </c>
      <c r="Q280" s="101">
        <v>0</v>
      </c>
      <c r="R280" s="101" t="s">
        <v>410</v>
      </c>
      <c r="S280" s="101" t="s">
        <v>600</v>
      </c>
      <c r="T280" s="101" t="s">
        <v>394</v>
      </c>
      <c r="U280" s="101" t="s">
        <v>88</v>
      </c>
      <c r="V280" s="245">
        <v>46371</v>
      </c>
      <c r="W280" s="101" t="s">
        <v>445</v>
      </c>
      <c r="X280" s="101" t="s">
        <v>76</v>
      </c>
      <c r="Y280" s="101" t="s">
        <v>392</v>
      </c>
      <c r="Z280" s="101" t="s">
        <v>412</v>
      </c>
      <c r="AA280" s="101" t="s">
        <v>478</v>
      </c>
      <c r="AB280" s="101">
        <v>3101053970</v>
      </c>
      <c r="AC280" s="101" t="s">
        <v>414</v>
      </c>
      <c r="AD280" s="101" t="s">
        <v>79</v>
      </c>
      <c r="AE280" s="101" t="s">
        <v>75</v>
      </c>
      <c r="AF280" s="101" t="s">
        <v>400</v>
      </c>
      <c r="AI280" s="101" t="s">
        <v>172</v>
      </c>
    </row>
    <row r="281" spans="1:35">
      <c r="A281" s="246" t="s">
        <v>109</v>
      </c>
      <c r="B281" s="246" t="s">
        <v>66</v>
      </c>
      <c r="C281" s="246" t="s">
        <v>264</v>
      </c>
      <c r="D281" s="246" t="s">
        <v>288</v>
      </c>
      <c r="E281" s="246"/>
      <c r="F281" s="246"/>
      <c r="G281" s="132" t="s">
        <v>605</v>
      </c>
      <c r="H281" s="132" t="s">
        <v>1138</v>
      </c>
      <c r="I281" s="132">
        <v>1468053.51</v>
      </c>
      <c r="J281" s="101" t="s">
        <v>889</v>
      </c>
      <c r="K281" s="245" t="s">
        <v>390</v>
      </c>
      <c r="L281" s="245">
        <v>42580</v>
      </c>
      <c r="M281" s="245" t="s">
        <v>421</v>
      </c>
      <c r="N281" s="101">
        <v>0</v>
      </c>
      <c r="O281" s="101" t="s">
        <v>392</v>
      </c>
      <c r="P281" s="101">
        <v>0</v>
      </c>
      <c r="Q281" s="101">
        <v>0</v>
      </c>
      <c r="R281" s="101" t="s">
        <v>410</v>
      </c>
      <c r="S281" s="101" t="s">
        <v>600</v>
      </c>
      <c r="T281" s="101" t="s">
        <v>394</v>
      </c>
      <c r="U281" s="101" t="s">
        <v>88</v>
      </c>
      <c r="V281" s="245">
        <v>46371</v>
      </c>
      <c r="W281" s="101" t="s">
        <v>445</v>
      </c>
      <c r="X281" s="101" t="s">
        <v>76</v>
      </c>
      <c r="Y281" s="101" t="s">
        <v>392</v>
      </c>
      <c r="Z281" s="101" t="s">
        <v>412</v>
      </c>
      <c r="AA281" s="101" t="s">
        <v>478</v>
      </c>
      <c r="AB281" s="101">
        <v>3101053970</v>
      </c>
      <c r="AC281" s="101" t="s">
        <v>414</v>
      </c>
      <c r="AD281" s="101" t="s">
        <v>79</v>
      </c>
      <c r="AE281" s="101" t="s">
        <v>75</v>
      </c>
      <c r="AF281" s="101" t="s">
        <v>400</v>
      </c>
      <c r="AI281" s="101" t="s">
        <v>172</v>
      </c>
    </row>
    <row r="282" spans="1:35">
      <c r="A282" s="246" t="s">
        <v>109</v>
      </c>
      <c r="B282" s="246" t="s">
        <v>66</v>
      </c>
      <c r="C282" s="246" t="s">
        <v>126</v>
      </c>
      <c r="D282" s="246" t="s">
        <v>272</v>
      </c>
      <c r="E282" s="246"/>
      <c r="F282" s="246"/>
      <c r="G282" s="132" t="s">
        <v>606</v>
      </c>
      <c r="H282" s="132" t="s">
        <v>1139</v>
      </c>
      <c r="I282" s="132">
        <v>-67495.209999999992</v>
      </c>
      <c r="J282" s="101" t="s">
        <v>889</v>
      </c>
      <c r="K282" s="245" t="s">
        <v>390</v>
      </c>
      <c r="L282" s="245">
        <v>42580</v>
      </c>
      <c r="M282" s="245" t="s">
        <v>391</v>
      </c>
      <c r="N282" s="101">
        <v>0</v>
      </c>
      <c r="O282" s="101" t="s">
        <v>392</v>
      </c>
      <c r="P282" s="101">
        <v>0</v>
      </c>
      <c r="Q282" s="101">
        <v>0</v>
      </c>
      <c r="R282" s="101" t="s">
        <v>422</v>
      </c>
      <c r="S282" s="101" t="s">
        <v>600</v>
      </c>
      <c r="T282" s="101" t="s">
        <v>394</v>
      </c>
      <c r="U282" s="101" t="s">
        <v>88</v>
      </c>
      <c r="V282" s="245">
        <v>46371</v>
      </c>
      <c r="W282" s="101" t="s">
        <v>445</v>
      </c>
      <c r="X282" s="101" t="s">
        <v>76</v>
      </c>
      <c r="Y282" s="101" t="s">
        <v>392</v>
      </c>
      <c r="Z282" s="101" t="s">
        <v>412</v>
      </c>
      <c r="AA282" s="101" t="s">
        <v>478</v>
      </c>
      <c r="AB282" s="101">
        <v>3101053970</v>
      </c>
      <c r="AC282" s="101" t="s">
        <v>414</v>
      </c>
      <c r="AD282" s="101" t="s">
        <v>79</v>
      </c>
      <c r="AE282" s="101" t="s">
        <v>75</v>
      </c>
      <c r="AF282" s="101" t="s">
        <v>400</v>
      </c>
      <c r="AI282" s="101" t="s">
        <v>172</v>
      </c>
    </row>
    <row r="283" spans="1:35">
      <c r="A283" s="246" t="s">
        <v>110</v>
      </c>
      <c r="B283" s="246" t="s">
        <v>66</v>
      </c>
      <c r="C283" s="246" t="s">
        <v>126</v>
      </c>
      <c r="D283" s="246" t="s">
        <v>281</v>
      </c>
      <c r="E283" s="246"/>
      <c r="F283" s="246"/>
      <c r="G283" s="132" t="s">
        <v>607</v>
      </c>
      <c r="H283" s="132" t="s">
        <v>1140</v>
      </c>
      <c r="I283" s="132">
        <v>-72998.37</v>
      </c>
      <c r="J283" s="101" t="s">
        <v>889</v>
      </c>
      <c r="K283" s="245" t="s">
        <v>390</v>
      </c>
      <c r="L283" s="245">
        <v>42613</v>
      </c>
      <c r="M283" s="245" t="s">
        <v>391</v>
      </c>
      <c r="N283" s="101">
        <v>0</v>
      </c>
      <c r="O283" s="101" t="s">
        <v>392</v>
      </c>
      <c r="P283" s="101">
        <v>0</v>
      </c>
      <c r="Q283" s="101">
        <v>0</v>
      </c>
      <c r="R283" s="101" t="s">
        <v>422</v>
      </c>
      <c r="S283" s="101" t="s">
        <v>600</v>
      </c>
      <c r="T283" s="101" t="s">
        <v>394</v>
      </c>
      <c r="U283" s="101" t="s">
        <v>88</v>
      </c>
      <c r="V283" s="245">
        <v>46371</v>
      </c>
      <c r="W283" s="101" t="s">
        <v>445</v>
      </c>
      <c r="X283" s="101" t="s">
        <v>76</v>
      </c>
      <c r="Y283" s="101" t="s">
        <v>392</v>
      </c>
      <c r="Z283" s="101" t="s">
        <v>412</v>
      </c>
      <c r="AA283" s="101" t="s">
        <v>478</v>
      </c>
      <c r="AB283" s="101">
        <v>3101053970</v>
      </c>
      <c r="AC283" s="101" t="s">
        <v>414</v>
      </c>
      <c r="AD283" s="101" t="s">
        <v>79</v>
      </c>
      <c r="AE283" s="101" t="s">
        <v>75</v>
      </c>
      <c r="AF283" s="101" t="s">
        <v>400</v>
      </c>
      <c r="AI283" s="101" t="s">
        <v>172</v>
      </c>
    </row>
    <row r="284" spans="1:35">
      <c r="A284" s="246" t="s">
        <v>110</v>
      </c>
      <c r="B284" s="246" t="s">
        <v>66</v>
      </c>
      <c r="C284" s="246" t="s">
        <v>264</v>
      </c>
      <c r="D284" s="246" t="s">
        <v>289</v>
      </c>
      <c r="E284" s="246"/>
      <c r="F284" s="246"/>
      <c r="G284" s="132" t="s">
        <v>608</v>
      </c>
      <c r="H284" s="132" t="s">
        <v>1141</v>
      </c>
      <c r="I284" s="132">
        <v>1578406.68</v>
      </c>
      <c r="J284" s="101" t="s">
        <v>889</v>
      </c>
      <c r="K284" s="245" t="s">
        <v>390</v>
      </c>
      <c r="L284" s="245">
        <v>42613</v>
      </c>
      <c r="M284" s="245" t="s">
        <v>421</v>
      </c>
      <c r="N284" s="101">
        <v>0</v>
      </c>
      <c r="O284" s="101" t="s">
        <v>392</v>
      </c>
      <c r="P284" s="101">
        <v>0</v>
      </c>
      <c r="Q284" s="101">
        <v>0</v>
      </c>
      <c r="R284" s="101" t="s">
        <v>410</v>
      </c>
      <c r="S284" s="101" t="s">
        <v>600</v>
      </c>
      <c r="T284" s="101" t="s">
        <v>394</v>
      </c>
      <c r="U284" s="101" t="s">
        <v>88</v>
      </c>
      <c r="V284" s="245">
        <v>46371</v>
      </c>
      <c r="W284" s="101" t="s">
        <v>445</v>
      </c>
      <c r="X284" s="101" t="s">
        <v>76</v>
      </c>
      <c r="Y284" s="101" t="s">
        <v>392</v>
      </c>
      <c r="Z284" s="101" t="s">
        <v>412</v>
      </c>
      <c r="AA284" s="101" t="s">
        <v>478</v>
      </c>
      <c r="AB284" s="101">
        <v>3101053970</v>
      </c>
      <c r="AC284" s="101" t="s">
        <v>414</v>
      </c>
      <c r="AD284" s="101" t="s">
        <v>79</v>
      </c>
      <c r="AE284" s="101" t="s">
        <v>75</v>
      </c>
      <c r="AF284" s="101" t="s">
        <v>400</v>
      </c>
      <c r="AI284" s="101" t="s">
        <v>172</v>
      </c>
    </row>
    <row r="285" spans="1:35">
      <c r="A285" s="246" t="s">
        <v>110</v>
      </c>
      <c r="B285" s="246" t="s">
        <v>66</v>
      </c>
      <c r="C285" s="246" t="s">
        <v>126</v>
      </c>
      <c r="D285" s="246" t="s">
        <v>281</v>
      </c>
      <c r="E285" s="246"/>
      <c r="F285" s="246"/>
      <c r="G285" s="132" t="s">
        <v>609</v>
      </c>
      <c r="H285" s="132" t="s">
        <v>1142</v>
      </c>
      <c r="I285" s="132">
        <v>-76764.439999999988</v>
      </c>
      <c r="J285" s="101" t="s">
        <v>889</v>
      </c>
      <c r="K285" s="245" t="s">
        <v>390</v>
      </c>
      <c r="L285" s="245">
        <v>42643</v>
      </c>
      <c r="M285" s="245" t="s">
        <v>391</v>
      </c>
      <c r="N285" s="101">
        <v>0</v>
      </c>
      <c r="O285" s="101" t="s">
        <v>392</v>
      </c>
      <c r="P285" s="101">
        <v>0</v>
      </c>
      <c r="Q285" s="101">
        <v>0</v>
      </c>
      <c r="R285" s="101" t="s">
        <v>422</v>
      </c>
      <c r="S285" s="101" t="s">
        <v>600</v>
      </c>
      <c r="T285" s="101" t="s">
        <v>394</v>
      </c>
      <c r="U285" s="101" t="s">
        <v>88</v>
      </c>
      <c r="V285" s="245">
        <v>46371</v>
      </c>
      <c r="W285" s="101" t="s">
        <v>445</v>
      </c>
      <c r="X285" s="101" t="s">
        <v>76</v>
      </c>
      <c r="Y285" s="101" t="s">
        <v>392</v>
      </c>
      <c r="Z285" s="101" t="s">
        <v>412</v>
      </c>
      <c r="AA285" s="101" t="s">
        <v>478</v>
      </c>
      <c r="AB285" s="101">
        <v>3101053970</v>
      </c>
      <c r="AC285" s="101" t="s">
        <v>414</v>
      </c>
      <c r="AD285" s="101" t="s">
        <v>79</v>
      </c>
      <c r="AE285" s="101" t="s">
        <v>75</v>
      </c>
      <c r="AF285" s="101" t="s">
        <v>400</v>
      </c>
      <c r="AI285" s="101" t="s">
        <v>172</v>
      </c>
    </row>
    <row r="286" spans="1:35">
      <c r="A286" s="246" t="s">
        <v>110</v>
      </c>
      <c r="B286" s="246" t="s">
        <v>66</v>
      </c>
      <c r="C286" s="246" t="s">
        <v>264</v>
      </c>
      <c r="D286" s="246" t="s">
        <v>289</v>
      </c>
      <c r="E286" s="246"/>
      <c r="F286" s="246"/>
      <c r="G286" s="132" t="s">
        <v>610</v>
      </c>
      <c r="H286" s="132" t="s">
        <v>1143</v>
      </c>
      <c r="I286" s="132">
        <v>1713544.35</v>
      </c>
      <c r="J286" s="101" t="s">
        <v>889</v>
      </c>
      <c r="K286" s="245" t="s">
        <v>390</v>
      </c>
      <c r="L286" s="245">
        <v>42643</v>
      </c>
      <c r="M286" s="245" t="s">
        <v>421</v>
      </c>
      <c r="N286" s="101">
        <v>0</v>
      </c>
      <c r="O286" s="101" t="s">
        <v>392</v>
      </c>
      <c r="P286" s="101">
        <v>0</v>
      </c>
      <c r="Q286" s="101">
        <v>0</v>
      </c>
      <c r="R286" s="101" t="s">
        <v>410</v>
      </c>
      <c r="S286" s="101" t="s">
        <v>600</v>
      </c>
      <c r="T286" s="101" t="s">
        <v>394</v>
      </c>
      <c r="U286" s="101" t="s">
        <v>88</v>
      </c>
      <c r="V286" s="245">
        <v>46371</v>
      </c>
      <c r="W286" s="101" t="s">
        <v>445</v>
      </c>
      <c r="X286" s="101" t="s">
        <v>76</v>
      </c>
      <c r="Y286" s="101" t="s">
        <v>392</v>
      </c>
      <c r="Z286" s="101" t="s">
        <v>412</v>
      </c>
      <c r="AA286" s="101" t="s">
        <v>478</v>
      </c>
      <c r="AB286" s="101">
        <v>3101053970</v>
      </c>
      <c r="AC286" s="101" t="s">
        <v>414</v>
      </c>
      <c r="AD286" s="101" t="s">
        <v>79</v>
      </c>
      <c r="AE286" s="101" t="s">
        <v>75</v>
      </c>
      <c r="AF286" s="101" t="s">
        <v>400</v>
      </c>
      <c r="AI286" s="101" t="s">
        <v>172</v>
      </c>
    </row>
    <row r="287" spans="1:35">
      <c r="A287" s="246" t="s">
        <v>110</v>
      </c>
      <c r="B287" s="246" t="s">
        <v>66</v>
      </c>
      <c r="C287" s="246" t="s">
        <v>126</v>
      </c>
      <c r="D287" s="246" t="s">
        <v>281</v>
      </c>
      <c r="E287" s="246"/>
      <c r="F287" s="246"/>
      <c r="G287" s="132" t="s">
        <v>649</v>
      </c>
      <c r="H287" s="132" t="s">
        <v>1144</v>
      </c>
      <c r="I287" s="132">
        <v>-86189.65</v>
      </c>
      <c r="J287" s="101" t="s">
        <v>889</v>
      </c>
      <c r="K287" s="245" t="s">
        <v>390</v>
      </c>
      <c r="L287" s="245">
        <v>42674</v>
      </c>
      <c r="M287" s="245" t="s">
        <v>391</v>
      </c>
      <c r="N287" s="101">
        <v>0</v>
      </c>
      <c r="O287" s="101" t="s">
        <v>392</v>
      </c>
      <c r="P287" s="101">
        <v>0</v>
      </c>
      <c r="Q287" s="101">
        <v>0</v>
      </c>
      <c r="R287" s="101" t="s">
        <v>422</v>
      </c>
      <c r="S287" s="101" t="s">
        <v>600</v>
      </c>
      <c r="T287" s="101" t="s">
        <v>394</v>
      </c>
      <c r="U287" s="101" t="s">
        <v>88</v>
      </c>
      <c r="V287" s="245">
        <v>46371</v>
      </c>
      <c r="W287" s="101" t="s">
        <v>445</v>
      </c>
      <c r="X287" s="101" t="s">
        <v>76</v>
      </c>
      <c r="Y287" s="101" t="s">
        <v>392</v>
      </c>
      <c r="Z287" s="101" t="s">
        <v>412</v>
      </c>
      <c r="AA287" s="101" t="s">
        <v>478</v>
      </c>
      <c r="AB287" s="101">
        <v>3101053970</v>
      </c>
      <c r="AC287" s="101" t="s">
        <v>414</v>
      </c>
      <c r="AD287" s="101" t="s">
        <v>79</v>
      </c>
      <c r="AE287" s="101" t="s">
        <v>75</v>
      </c>
      <c r="AF287" s="101" t="s">
        <v>400</v>
      </c>
      <c r="AI287" s="101" t="s">
        <v>172</v>
      </c>
    </row>
    <row r="288" spans="1:35">
      <c r="A288" s="246" t="s">
        <v>110</v>
      </c>
      <c r="B288" s="246" t="s">
        <v>66</v>
      </c>
      <c r="C288" s="246" t="s">
        <v>264</v>
      </c>
      <c r="D288" s="246" t="s">
        <v>289</v>
      </c>
      <c r="E288" s="246"/>
      <c r="F288" s="246"/>
      <c r="G288" s="132" t="s">
        <v>650</v>
      </c>
      <c r="H288" s="132" t="s">
        <v>1145</v>
      </c>
      <c r="I288" s="132">
        <v>1694771.8399999999</v>
      </c>
      <c r="J288" s="101" t="s">
        <v>889</v>
      </c>
      <c r="K288" s="245" t="s">
        <v>390</v>
      </c>
      <c r="L288" s="245">
        <v>42674</v>
      </c>
      <c r="M288" s="245" t="s">
        <v>421</v>
      </c>
      <c r="N288" s="101">
        <v>0</v>
      </c>
      <c r="O288" s="101" t="s">
        <v>392</v>
      </c>
      <c r="P288" s="101">
        <v>0</v>
      </c>
      <c r="Q288" s="101">
        <v>0</v>
      </c>
      <c r="R288" s="101" t="s">
        <v>410</v>
      </c>
      <c r="S288" s="101" t="s">
        <v>600</v>
      </c>
      <c r="T288" s="101" t="s">
        <v>394</v>
      </c>
      <c r="U288" s="101" t="s">
        <v>88</v>
      </c>
      <c r="V288" s="245">
        <v>46371</v>
      </c>
      <c r="W288" s="101" t="s">
        <v>445</v>
      </c>
      <c r="X288" s="101" t="s">
        <v>76</v>
      </c>
      <c r="Y288" s="101" t="s">
        <v>392</v>
      </c>
      <c r="Z288" s="101" t="s">
        <v>412</v>
      </c>
      <c r="AA288" s="101" t="s">
        <v>478</v>
      </c>
      <c r="AB288" s="101">
        <v>3101053970</v>
      </c>
      <c r="AC288" s="101" t="s">
        <v>414</v>
      </c>
      <c r="AD288" s="101" t="s">
        <v>79</v>
      </c>
      <c r="AE288" s="101" t="s">
        <v>75</v>
      </c>
      <c r="AF288" s="101" t="s">
        <v>400</v>
      </c>
      <c r="AI288" s="101" t="s">
        <v>172</v>
      </c>
    </row>
    <row r="289" spans="1:35">
      <c r="A289" s="246" t="s">
        <v>111</v>
      </c>
      <c r="B289" s="246" t="s">
        <v>66</v>
      </c>
      <c r="C289" s="246" t="s">
        <v>126</v>
      </c>
      <c r="D289" s="246" t="s">
        <v>273</v>
      </c>
      <c r="E289" s="246"/>
      <c r="F289" s="246"/>
      <c r="G289" s="132" t="s">
        <v>651</v>
      </c>
      <c r="H289" s="132" t="s">
        <v>1146</v>
      </c>
      <c r="I289" s="132">
        <v>-89981.440000000002</v>
      </c>
      <c r="J289" s="101" t="s">
        <v>889</v>
      </c>
      <c r="K289" s="245" t="s">
        <v>390</v>
      </c>
      <c r="L289" s="245">
        <v>42704</v>
      </c>
      <c r="M289" s="245" t="s">
        <v>391</v>
      </c>
      <c r="N289" s="101">
        <v>0</v>
      </c>
      <c r="O289" s="101" t="s">
        <v>392</v>
      </c>
      <c r="P289" s="101">
        <v>0</v>
      </c>
      <c r="Q289" s="101">
        <v>0</v>
      </c>
      <c r="R289" s="101" t="s">
        <v>422</v>
      </c>
      <c r="S289" s="101" t="s">
        <v>600</v>
      </c>
      <c r="T289" s="101" t="s">
        <v>394</v>
      </c>
      <c r="U289" s="101" t="s">
        <v>88</v>
      </c>
      <c r="V289" s="245">
        <v>46371</v>
      </c>
      <c r="W289" s="101" t="s">
        <v>445</v>
      </c>
      <c r="X289" s="101" t="s">
        <v>76</v>
      </c>
      <c r="Y289" s="101" t="s">
        <v>392</v>
      </c>
      <c r="Z289" s="101" t="s">
        <v>412</v>
      </c>
      <c r="AA289" s="101" t="s">
        <v>478</v>
      </c>
      <c r="AB289" s="101">
        <v>3101053970</v>
      </c>
      <c r="AC289" s="101" t="s">
        <v>414</v>
      </c>
      <c r="AD289" s="101" t="s">
        <v>79</v>
      </c>
      <c r="AE289" s="101" t="s">
        <v>75</v>
      </c>
      <c r="AF289" s="101" t="s">
        <v>400</v>
      </c>
      <c r="AI289" s="101" t="s">
        <v>172</v>
      </c>
    </row>
    <row r="290" spans="1:35">
      <c r="A290" s="246" t="s">
        <v>111</v>
      </c>
      <c r="B290" s="246" t="s">
        <v>66</v>
      </c>
      <c r="C290" s="246" t="s">
        <v>264</v>
      </c>
      <c r="D290" s="246" t="s">
        <v>284</v>
      </c>
      <c r="E290" s="246"/>
      <c r="F290" s="246"/>
      <c r="G290" s="132" t="s">
        <v>652</v>
      </c>
      <c r="H290" s="132" t="s">
        <v>1147</v>
      </c>
      <c r="I290" s="132">
        <v>1796160.89</v>
      </c>
      <c r="J290" s="101" t="s">
        <v>889</v>
      </c>
      <c r="K290" s="245" t="s">
        <v>390</v>
      </c>
      <c r="L290" s="245">
        <v>42704</v>
      </c>
      <c r="M290" s="245" t="s">
        <v>421</v>
      </c>
      <c r="N290" s="101">
        <v>0</v>
      </c>
      <c r="O290" s="101" t="s">
        <v>392</v>
      </c>
      <c r="P290" s="101">
        <v>0</v>
      </c>
      <c r="Q290" s="101">
        <v>0</v>
      </c>
      <c r="R290" s="101" t="s">
        <v>410</v>
      </c>
      <c r="S290" s="101" t="s">
        <v>600</v>
      </c>
      <c r="T290" s="101" t="s">
        <v>394</v>
      </c>
      <c r="U290" s="101" t="s">
        <v>88</v>
      </c>
      <c r="V290" s="245">
        <v>46371</v>
      </c>
      <c r="W290" s="101" t="s">
        <v>445</v>
      </c>
      <c r="X290" s="101" t="s">
        <v>76</v>
      </c>
      <c r="Y290" s="101" t="s">
        <v>392</v>
      </c>
      <c r="Z290" s="101" t="s">
        <v>412</v>
      </c>
      <c r="AA290" s="101" t="s">
        <v>478</v>
      </c>
      <c r="AB290" s="101">
        <v>3101053970</v>
      </c>
      <c r="AC290" s="101" t="s">
        <v>414</v>
      </c>
      <c r="AD290" s="101" t="s">
        <v>79</v>
      </c>
      <c r="AE290" s="101" t="s">
        <v>75</v>
      </c>
      <c r="AF290" s="101" t="s">
        <v>400</v>
      </c>
      <c r="AI290" s="101" t="s">
        <v>172</v>
      </c>
    </row>
    <row r="291" spans="1:35">
      <c r="A291" s="246" t="s">
        <v>111</v>
      </c>
      <c r="B291" s="246" t="s">
        <v>66</v>
      </c>
      <c r="C291" s="246" t="s">
        <v>264</v>
      </c>
      <c r="D291" s="246" t="s">
        <v>284</v>
      </c>
      <c r="E291" s="246"/>
      <c r="F291" s="246"/>
      <c r="G291" s="132">
        <v>-25000000</v>
      </c>
      <c r="H291" s="132" t="s">
        <v>1148</v>
      </c>
      <c r="I291" s="132">
        <v>-25000000</v>
      </c>
      <c r="J291" s="101" t="s">
        <v>889</v>
      </c>
      <c r="K291" s="245" t="s">
        <v>390</v>
      </c>
      <c r="L291" s="245">
        <v>42718</v>
      </c>
      <c r="M291" s="245" t="s">
        <v>421</v>
      </c>
      <c r="N291" s="101">
        <v>0</v>
      </c>
      <c r="O291" s="101" t="s">
        <v>392</v>
      </c>
      <c r="P291" s="101">
        <v>0</v>
      </c>
      <c r="Q291" s="101">
        <v>0</v>
      </c>
      <c r="R291" s="101" t="s">
        <v>422</v>
      </c>
      <c r="S291" s="101" t="s">
        <v>600</v>
      </c>
      <c r="T291" s="101" t="s">
        <v>394</v>
      </c>
      <c r="U291" s="101" t="s">
        <v>88</v>
      </c>
      <c r="V291" s="245">
        <v>46371</v>
      </c>
      <c r="W291" s="101" t="s">
        <v>445</v>
      </c>
      <c r="X291" s="101" t="s">
        <v>76</v>
      </c>
      <c r="Y291" s="101" t="s">
        <v>392</v>
      </c>
      <c r="Z291" s="101" t="s">
        <v>412</v>
      </c>
      <c r="AA291" s="101" t="s">
        <v>478</v>
      </c>
      <c r="AB291" s="101">
        <v>3101053970</v>
      </c>
      <c r="AC291" s="101" t="s">
        <v>414</v>
      </c>
      <c r="AD291" s="101" t="s">
        <v>79</v>
      </c>
      <c r="AE291" s="101" t="s">
        <v>75</v>
      </c>
      <c r="AF291" s="101" t="s">
        <v>400</v>
      </c>
      <c r="AI291" s="101" t="s">
        <v>172</v>
      </c>
    </row>
    <row r="292" spans="1:35">
      <c r="A292" s="246" t="s">
        <v>111</v>
      </c>
      <c r="B292" s="246" t="s">
        <v>66</v>
      </c>
      <c r="C292" s="246" t="s">
        <v>264</v>
      </c>
      <c r="D292" s="246" t="s">
        <v>284</v>
      </c>
      <c r="E292" s="246"/>
      <c r="F292" s="246"/>
      <c r="G292" s="132" t="s">
        <v>653</v>
      </c>
      <c r="H292" s="132" t="s">
        <v>1149</v>
      </c>
      <c r="I292" s="132">
        <v>2765156.81</v>
      </c>
      <c r="J292" s="101" t="s">
        <v>889</v>
      </c>
      <c r="K292" s="245" t="s">
        <v>390</v>
      </c>
      <c r="L292" s="245">
        <v>42734</v>
      </c>
      <c r="M292" s="245" t="s">
        <v>421</v>
      </c>
      <c r="N292" s="101">
        <v>0</v>
      </c>
      <c r="O292" s="101" t="s">
        <v>392</v>
      </c>
      <c r="P292" s="101">
        <v>0</v>
      </c>
      <c r="Q292" s="101">
        <v>0</v>
      </c>
      <c r="R292" s="101" t="s">
        <v>410</v>
      </c>
      <c r="S292" s="101" t="s">
        <v>600</v>
      </c>
      <c r="T292" s="101" t="s">
        <v>394</v>
      </c>
      <c r="U292" s="101" t="s">
        <v>88</v>
      </c>
      <c r="V292" s="245">
        <v>46371</v>
      </c>
      <c r="W292" s="101" t="s">
        <v>445</v>
      </c>
      <c r="X292" s="101" t="s">
        <v>76</v>
      </c>
      <c r="Y292" s="101" t="s">
        <v>392</v>
      </c>
      <c r="Z292" s="101" t="s">
        <v>412</v>
      </c>
      <c r="AA292" s="101" t="s">
        <v>478</v>
      </c>
      <c r="AB292" s="101">
        <v>3101053970</v>
      </c>
      <c r="AC292" s="101" t="s">
        <v>414</v>
      </c>
      <c r="AD292" s="101" t="s">
        <v>79</v>
      </c>
      <c r="AE292" s="101" t="s">
        <v>75</v>
      </c>
      <c r="AF292" s="101" t="s">
        <v>400</v>
      </c>
      <c r="AI292" s="101" t="s">
        <v>172</v>
      </c>
    </row>
    <row r="293" spans="1:35">
      <c r="A293" s="246" t="s">
        <v>111</v>
      </c>
      <c r="B293" s="246" t="s">
        <v>66</v>
      </c>
      <c r="C293" s="246" t="s">
        <v>126</v>
      </c>
      <c r="D293" s="246" t="s">
        <v>273</v>
      </c>
      <c r="E293" s="246"/>
      <c r="F293" s="246"/>
      <c r="G293" s="132" t="s">
        <v>654</v>
      </c>
      <c r="H293" s="132" t="s">
        <v>1150</v>
      </c>
      <c r="I293" s="132">
        <v>-45599.229999999996</v>
      </c>
      <c r="J293" s="101" t="s">
        <v>889</v>
      </c>
      <c r="K293" s="245" t="s">
        <v>390</v>
      </c>
      <c r="L293" s="245">
        <v>42734</v>
      </c>
      <c r="M293" s="245" t="s">
        <v>391</v>
      </c>
      <c r="N293" s="101">
        <v>0</v>
      </c>
      <c r="O293" s="101" t="s">
        <v>392</v>
      </c>
      <c r="P293" s="101">
        <v>0</v>
      </c>
      <c r="Q293" s="101">
        <v>0</v>
      </c>
      <c r="R293" s="101" t="s">
        <v>422</v>
      </c>
      <c r="S293" s="101" t="s">
        <v>600</v>
      </c>
      <c r="T293" s="101" t="s">
        <v>394</v>
      </c>
      <c r="U293" s="101" t="s">
        <v>88</v>
      </c>
      <c r="V293" s="245">
        <v>46371</v>
      </c>
      <c r="W293" s="101" t="s">
        <v>445</v>
      </c>
      <c r="X293" s="101" t="s">
        <v>76</v>
      </c>
      <c r="Y293" s="101" t="s">
        <v>392</v>
      </c>
      <c r="Z293" s="101" t="s">
        <v>412</v>
      </c>
      <c r="AA293" s="101" t="s">
        <v>478</v>
      </c>
      <c r="AB293" s="101">
        <v>3101053970</v>
      </c>
      <c r="AC293" s="101" t="s">
        <v>414</v>
      </c>
      <c r="AD293" s="101" t="s">
        <v>79</v>
      </c>
      <c r="AE293" s="101" t="s">
        <v>75</v>
      </c>
      <c r="AF293" s="101" t="s">
        <v>400</v>
      </c>
      <c r="AI293" s="101" t="s">
        <v>172</v>
      </c>
    </row>
    <row r="294" spans="1:35">
      <c r="A294" s="246" t="s">
        <v>111</v>
      </c>
      <c r="B294" s="246" t="s">
        <v>66</v>
      </c>
      <c r="C294" s="246" t="s">
        <v>126</v>
      </c>
      <c r="D294" s="246" t="s">
        <v>273</v>
      </c>
      <c r="E294" s="246"/>
      <c r="F294" s="246"/>
      <c r="G294" s="132" t="s">
        <v>655</v>
      </c>
      <c r="H294" s="132" t="s">
        <v>1151</v>
      </c>
      <c r="I294" s="132">
        <v>-11109.73</v>
      </c>
      <c r="J294" s="101" t="s">
        <v>889</v>
      </c>
      <c r="K294" s="245" t="s">
        <v>390</v>
      </c>
      <c r="L294" s="245">
        <v>42766</v>
      </c>
      <c r="M294" s="245" t="s">
        <v>391</v>
      </c>
      <c r="N294" s="101">
        <v>0</v>
      </c>
      <c r="O294" s="101" t="s">
        <v>392</v>
      </c>
      <c r="P294" s="101">
        <v>0</v>
      </c>
      <c r="Q294" s="101">
        <v>0</v>
      </c>
      <c r="R294" s="101" t="s">
        <v>422</v>
      </c>
      <c r="S294" s="101" t="s">
        <v>600</v>
      </c>
      <c r="T294" s="101" t="s">
        <v>394</v>
      </c>
      <c r="U294" s="101" t="s">
        <v>88</v>
      </c>
      <c r="V294" s="245">
        <v>46371</v>
      </c>
      <c r="W294" s="101" t="s">
        <v>445</v>
      </c>
      <c r="X294" s="101" t="s">
        <v>76</v>
      </c>
      <c r="Y294" s="101" t="s">
        <v>392</v>
      </c>
      <c r="Z294" s="101" t="s">
        <v>412</v>
      </c>
      <c r="AA294" s="101" t="s">
        <v>478</v>
      </c>
      <c r="AB294" s="101">
        <v>3101053970</v>
      </c>
      <c r="AC294" s="101" t="s">
        <v>414</v>
      </c>
      <c r="AD294" s="101" t="s">
        <v>79</v>
      </c>
      <c r="AE294" s="101" t="s">
        <v>75</v>
      </c>
      <c r="AF294" s="101" t="s">
        <v>400</v>
      </c>
      <c r="AI294" s="101" t="s">
        <v>172</v>
      </c>
    </row>
    <row r="295" spans="1:35">
      <c r="A295" s="246" t="s">
        <v>111</v>
      </c>
      <c r="B295" s="246" t="s">
        <v>66</v>
      </c>
      <c r="C295" s="246" t="s">
        <v>264</v>
      </c>
      <c r="D295" s="246" t="s">
        <v>284</v>
      </c>
      <c r="E295" s="246"/>
      <c r="F295" s="246"/>
      <c r="G295" s="132" t="s">
        <v>656</v>
      </c>
      <c r="H295" s="132" t="s">
        <v>1152</v>
      </c>
      <c r="I295" s="132">
        <v>3370203.3699999996</v>
      </c>
      <c r="J295" s="101" t="s">
        <v>889</v>
      </c>
      <c r="K295" s="245" t="s">
        <v>390</v>
      </c>
      <c r="L295" s="245">
        <v>42766</v>
      </c>
      <c r="M295" s="245" t="s">
        <v>421</v>
      </c>
      <c r="N295" s="101">
        <v>0</v>
      </c>
      <c r="O295" s="101" t="s">
        <v>392</v>
      </c>
      <c r="P295" s="101">
        <v>0</v>
      </c>
      <c r="Q295" s="101">
        <v>0</v>
      </c>
      <c r="R295" s="101" t="s">
        <v>410</v>
      </c>
      <c r="S295" s="101" t="s">
        <v>600</v>
      </c>
      <c r="T295" s="101" t="s">
        <v>394</v>
      </c>
      <c r="U295" s="101" t="s">
        <v>88</v>
      </c>
      <c r="V295" s="245">
        <v>46371</v>
      </c>
      <c r="W295" s="101" t="s">
        <v>445</v>
      </c>
      <c r="X295" s="101" t="s">
        <v>76</v>
      </c>
      <c r="Y295" s="101" t="s">
        <v>392</v>
      </c>
      <c r="Z295" s="101" t="s">
        <v>412</v>
      </c>
      <c r="AA295" s="101" t="s">
        <v>478</v>
      </c>
      <c r="AB295" s="101">
        <v>3101053970</v>
      </c>
      <c r="AC295" s="101" t="s">
        <v>414</v>
      </c>
      <c r="AD295" s="101" t="s">
        <v>79</v>
      </c>
      <c r="AE295" s="101" t="s">
        <v>75</v>
      </c>
      <c r="AF295" s="101" t="s">
        <v>400</v>
      </c>
      <c r="AI295" s="101" t="s">
        <v>172</v>
      </c>
    </row>
    <row r="296" spans="1:35">
      <c r="A296" s="246" t="s">
        <v>111</v>
      </c>
      <c r="B296" s="246" t="s">
        <v>66</v>
      </c>
      <c r="C296" s="246" t="s">
        <v>126</v>
      </c>
      <c r="D296" s="246" t="s">
        <v>273</v>
      </c>
      <c r="E296" s="246"/>
      <c r="F296" s="246"/>
      <c r="G296" s="132" t="s">
        <v>657</v>
      </c>
      <c r="H296" s="132" t="s">
        <v>1153</v>
      </c>
      <c r="I296" s="132">
        <v>-22266.82</v>
      </c>
      <c r="J296" s="101" t="s">
        <v>889</v>
      </c>
      <c r="K296" s="245" t="s">
        <v>390</v>
      </c>
      <c r="L296" s="245">
        <v>42794</v>
      </c>
      <c r="M296" s="245" t="s">
        <v>391</v>
      </c>
      <c r="N296" s="101">
        <v>0</v>
      </c>
      <c r="O296" s="101" t="s">
        <v>392</v>
      </c>
      <c r="P296" s="101">
        <v>0</v>
      </c>
      <c r="Q296" s="101">
        <v>0</v>
      </c>
      <c r="R296" s="101" t="s">
        <v>422</v>
      </c>
      <c r="S296" s="101" t="s">
        <v>600</v>
      </c>
      <c r="T296" s="101" t="s">
        <v>394</v>
      </c>
      <c r="U296" s="101" t="s">
        <v>88</v>
      </c>
      <c r="V296" s="245">
        <v>46371</v>
      </c>
      <c r="W296" s="101" t="s">
        <v>445</v>
      </c>
      <c r="X296" s="101" t="s">
        <v>76</v>
      </c>
      <c r="Y296" s="101" t="s">
        <v>392</v>
      </c>
      <c r="Z296" s="101" t="s">
        <v>412</v>
      </c>
      <c r="AA296" s="101" t="s">
        <v>478</v>
      </c>
      <c r="AB296" s="101">
        <v>3101053970</v>
      </c>
      <c r="AC296" s="101" t="s">
        <v>414</v>
      </c>
      <c r="AD296" s="101" t="s">
        <v>79</v>
      </c>
      <c r="AE296" s="101" t="s">
        <v>75</v>
      </c>
      <c r="AF296" s="101" t="s">
        <v>400</v>
      </c>
      <c r="AI296" s="101" t="s">
        <v>172</v>
      </c>
    </row>
    <row r="297" spans="1:35">
      <c r="A297" s="246" t="s">
        <v>111</v>
      </c>
      <c r="B297" s="246" t="s">
        <v>66</v>
      </c>
      <c r="C297" s="246" t="s">
        <v>264</v>
      </c>
      <c r="D297" s="246" t="s">
        <v>284</v>
      </c>
      <c r="E297" s="246"/>
      <c r="F297" s="246"/>
      <c r="G297" s="132" t="s">
        <v>658</v>
      </c>
      <c r="H297" s="132" t="s">
        <v>1154</v>
      </c>
      <c r="I297" s="132">
        <v>3577744.0599999996</v>
      </c>
      <c r="J297" s="101" t="s">
        <v>889</v>
      </c>
      <c r="K297" s="245" t="s">
        <v>390</v>
      </c>
      <c r="L297" s="245">
        <v>42794</v>
      </c>
      <c r="M297" s="245" t="s">
        <v>421</v>
      </c>
      <c r="N297" s="101">
        <v>0</v>
      </c>
      <c r="O297" s="101" t="s">
        <v>392</v>
      </c>
      <c r="P297" s="101">
        <v>0</v>
      </c>
      <c r="Q297" s="101">
        <v>0</v>
      </c>
      <c r="R297" s="101" t="s">
        <v>410</v>
      </c>
      <c r="S297" s="101" t="s">
        <v>600</v>
      </c>
      <c r="T297" s="101" t="s">
        <v>394</v>
      </c>
      <c r="U297" s="101" t="s">
        <v>88</v>
      </c>
      <c r="V297" s="245">
        <v>46371</v>
      </c>
      <c r="W297" s="101" t="s">
        <v>445</v>
      </c>
      <c r="X297" s="101" t="s">
        <v>76</v>
      </c>
      <c r="Y297" s="101" t="s">
        <v>392</v>
      </c>
      <c r="Z297" s="101" t="s">
        <v>412</v>
      </c>
      <c r="AA297" s="101" t="s">
        <v>478</v>
      </c>
      <c r="AB297" s="101">
        <v>3101053970</v>
      </c>
      <c r="AC297" s="101" t="s">
        <v>414</v>
      </c>
      <c r="AD297" s="101" t="s">
        <v>79</v>
      </c>
      <c r="AE297" s="101" t="s">
        <v>75</v>
      </c>
      <c r="AF297" s="101" t="s">
        <v>400</v>
      </c>
      <c r="AI297" s="101" t="s">
        <v>172</v>
      </c>
    </row>
    <row r="298" spans="1:35">
      <c r="A298" s="246" t="s">
        <v>111</v>
      </c>
      <c r="B298" s="246" t="s">
        <v>66</v>
      </c>
      <c r="C298" s="246" t="s">
        <v>126</v>
      </c>
      <c r="D298" s="246" t="s">
        <v>273</v>
      </c>
      <c r="E298" s="246"/>
      <c r="F298" s="246"/>
      <c r="G298" s="132" t="s">
        <v>659</v>
      </c>
      <c r="H298" s="132" t="s">
        <v>1155</v>
      </c>
      <c r="I298" s="132">
        <v>-39028.32</v>
      </c>
      <c r="J298" s="101" t="s">
        <v>889</v>
      </c>
      <c r="K298" s="245" t="s">
        <v>390</v>
      </c>
      <c r="L298" s="245">
        <v>42825</v>
      </c>
      <c r="M298" s="245" t="s">
        <v>391</v>
      </c>
      <c r="N298" s="101">
        <v>0</v>
      </c>
      <c r="O298" s="101" t="s">
        <v>392</v>
      </c>
      <c r="P298" s="101">
        <v>0</v>
      </c>
      <c r="Q298" s="101">
        <v>0</v>
      </c>
      <c r="R298" s="101" t="s">
        <v>422</v>
      </c>
      <c r="S298" s="101" t="s">
        <v>600</v>
      </c>
      <c r="T298" s="101" t="s">
        <v>394</v>
      </c>
      <c r="U298" s="101" t="s">
        <v>88</v>
      </c>
      <c r="V298" s="245">
        <v>46371</v>
      </c>
      <c r="W298" s="101" t="s">
        <v>445</v>
      </c>
      <c r="X298" s="101" t="s">
        <v>76</v>
      </c>
      <c r="Y298" s="101" t="s">
        <v>392</v>
      </c>
      <c r="Z298" s="101" t="s">
        <v>412</v>
      </c>
      <c r="AA298" s="101" t="s">
        <v>478</v>
      </c>
      <c r="AB298" s="101">
        <v>3101053970</v>
      </c>
      <c r="AC298" s="101" t="s">
        <v>414</v>
      </c>
      <c r="AD298" s="101" t="s">
        <v>79</v>
      </c>
      <c r="AE298" s="101" t="s">
        <v>75</v>
      </c>
      <c r="AF298" s="101" t="s">
        <v>400</v>
      </c>
      <c r="AI298" s="101" t="s">
        <v>172</v>
      </c>
    </row>
    <row r="299" spans="1:35">
      <c r="A299" s="246" t="s">
        <v>111</v>
      </c>
      <c r="B299" s="246" t="s">
        <v>66</v>
      </c>
      <c r="C299" s="246" t="s">
        <v>264</v>
      </c>
      <c r="D299" s="246" t="s">
        <v>284</v>
      </c>
      <c r="E299" s="246"/>
      <c r="F299" s="246"/>
      <c r="G299" s="132" t="s">
        <v>660</v>
      </c>
      <c r="H299" s="132" t="s">
        <v>1156</v>
      </c>
      <c r="I299" s="132">
        <v>3048014.81</v>
      </c>
      <c r="J299" s="101" t="s">
        <v>889</v>
      </c>
      <c r="K299" s="245" t="s">
        <v>390</v>
      </c>
      <c r="L299" s="245">
        <v>42825</v>
      </c>
      <c r="M299" s="245" t="s">
        <v>421</v>
      </c>
      <c r="N299" s="101">
        <v>0</v>
      </c>
      <c r="O299" s="101" t="s">
        <v>392</v>
      </c>
      <c r="P299" s="101">
        <v>0</v>
      </c>
      <c r="Q299" s="101">
        <v>0</v>
      </c>
      <c r="R299" s="101" t="s">
        <v>410</v>
      </c>
      <c r="S299" s="101" t="s">
        <v>600</v>
      </c>
      <c r="T299" s="101" t="s">
        <v>394</v>
      </c>
      <c r="U299" s="101" t="s">
        <v>88</v>
      </c>
      <c r="V299" s="245">
        <v>46371</v>
      </c>
      <c r="W299" s="101" t="s">
        <v>445</v>
      </c>
      <c r="X299" s="101" t="s">
        <v>76</v>
      </c>
      <c r="Y299" s="101" t="s">
        <v>392</v>
      </c>
      <c r="Z299" s="101" t="s">
        <v>412</v>
      </c>
      <c r="AA299" s="101" t="s">
        <v>478</v>
      </c>
      <c r="AB299" s="101">
        <v>3101053970</v>
      </c>
      <c r="AC299" s="101" t="s">
        <v>414</v>
      </c>
      <c r="AD299" s="101" t="s">
        <v>79</v>
      </c>
      <c r="AE299" s="101" t="s">
        <v>75</v>
      </c>
      <c r="AF299" s="101" t="s">
        <v>400</v>
      </c>
      <c r="AI299" s="101" t="s">
        <v>172</v>
      </c>
    </row>
    <row r="300" spans="1:35">
      <c r="A300" s="246" t="s">
        <v>111</v>
      </c>
      <c r="B300" s="246" t="s">
        <v>66</v>
      </c>
      <c r="C300" s="246" t="s">
        <v>264</v>
      </c>
      <c r="D300" s="246" t="s">
        <v>284</v>
      </c>
      <c r="E300" s="246"/>
      <c r="F300" s="246"/>
      <c r="G300" s="132" t="s">
        <v>661</v>
      </c>
      <c r="H300" s="132" t="s">
        <v>1157</v>
      </c>
      <c r="I300" s="132">
        <v>3174993.9299999997</v>
      </c>
      <c r="J300" s="101" t="s">
        <v>889</v>
      </c>
      <c r="K300" s="245" t="s">
        <v>390</v>
      </c>
      <c r="L300" s="245">
        <v>42853</v>
      </c>
      <c r="M300" s="245" t="s">
        <v>421</v>
      </c>
      <c r="N300" s="101">
        <v>0</v>
      </c>
      <c r="O300" s="101" t="s">
        <v>392</v>
      </c>
      <c r="P300" s="101">
        <v>0</v>
      </c>
      <c r="Q300" s="101">
        <v>0</v>
      </c>
      <c r="R300" s="101" t="s">
        <v>410</v>
      </c>
      <c r="S300" s="101" t="s">
        <v>600</v>
      </c>
      <c r="T300" s="101" t="s">
        <v>394</v>
      </c>
      <c r="U300" s="101" t="s">
        <v>88</v>
      </c>
      <c r="V300" s="245">
        <v>46371</v>
      </c>
      <c r="W300" s="101" t="s">
        <v>445</v>
      </c>
      <c r="X300" s="101" t="s">
        <v>76</v>
      </c>
      <c r="Y300" s="101" t="s">
        <v>392</v>
      </c>
      <c r="Z300" s="101" t="s">
        <v>412</v>
      </c>
      <c r="AA300" s="101" t="s">
        <v>478</v>
      </c>
      <c r="AB300" s="101">
        <v>3101053970</v>
      </c>
      <c r="AC300" s="101" t="s">
        <v>414</v>
      </c>
      <c r="AD300" s="101" t="s">
        <v>79</v>
      </c>
      <c r="AE300" s="101" t="s">
        <v>75</v>
      </c>
      <c r="AF300" s="101" t="s">
        <v>400</v>
      </c>
      <c r="AI300" s="101" t="s">
        <v>172</v>
      </c>
    </row>
    <row r="301" spans="1:35">
      <c r="A301" s="246" t="s">
        <v>107</v>
      </c>
      <c r="B301" s="246" t="s">
        <v>66</v>
      </c>
      <c r="C301" s="246" t="s">
        <v>126</v>
      </c>
      <c r="D301" s="246" t="s">
        <v>1769</v>
      </c>
      <c r="E301" s="246"/>
      <c r="F301" s="246"/>
      <c r="G301" s="132">
        <v>0</v>
      </c>
      <c r="H301" s="132">
        <v>0</v>
      </c>
      <c r="I301" s="132">
        <v>0</v>
      </c>
      <c r="J301" s="101" t="s">
        <v>889</v>
      </c>
      <c r="K301" s="245" t="s">
        <v>390</v>
      </c>
      <c r="L301" s="245">
        <v>42522</v>
      </c>
      <c r="M301" s="245" t="s">
        <v>391</v>
      </c>
      <c r="N301" s="101">
        <v>0</v>
      </c>
      <c r="O301" s="101" t="s">
        <v>392</v>
      </c>
      <c r="P301" s="101">
        <v>0</v>
      </c>
      <c r="Q301" s="101">
        <v>0</v>
      </c>
      <c r="R301" s="101" t="s">
        <v>428</v>
      </c>
      <c r="S301" s="101">
        <v>148670</v>
      </c>
      <c r="T301" s="101" t="s">
        <v>394</v>
      </c>
      <c r="V301" s="245">
        <v>43433</v>
      </c>
      <c r="W301" s="101" t="s">
        <v>424</v>
      </c>
      <c r="X301" s="101" t="s">
        <v>429</v>
      </c>
      <c r="Y301" s="101" t="s">
        <v>392</v>
      </c>
      <c r="Z301" s="101" t="s">
        <v>430</v>
      </c>
      <c r="AA301" s="101" t="s">
        <v>397</v>
      </c>
      <c r="AB301" s="101">
        <v>5101000018</v>
      </c>
      <c r="AC301" s="101" t="s">
        <v>431</v>
      </c>
      <c r="AD301" s="101" t="s">
        <v>431</v>
      </c>
      <c r="AE301" s="101" t="s">
        <v>75</v>
      </c>
      <c r="AF301" s="101" t="s">
        <v>400</v>
      </c>
      <c r="AG301" s="101" t="s">
        <v>625</v>
      </c>
      <c r="AI301" s="101" t="s">
        <v>760</v>
      </c>
    </row>
    <row r="302" spans="1:35">
      <c r="A302" s="246" t="s">
        <v>109</v>
      </c>
      <c r="B302" s="246" t="s">
        <v>66</v>
      </c>
      <c r="C302" s="246" t="s">
        <v>126</v>
      </c>
      <c r="D302" s="246" t="s">
        <v>272</v>
      </c>
      <c r="E302" s="246"/>
      <c r="F302" s="246"/>
      <c r="G302" s="132">
        <v>0</v>
      </c>
      <c r="H302" s="132">
        <v>0</v>
      </c>
      <c r="I302" s="132">
        <v>0</v>
      </c>
      <c r="J302" s="101" t="s">
        <v>889</v>
      </c>
      <c r="K302" s="245" t="s">
        <v>390</v>
      </c>
      <c r="L302" s="245">
        <v>42552</v>
      </c>
      <c r="M302" s="245" t="s">
        <v>391</v>
      </c>
      <c r="N302" s="101">
        <v>0</v>
      </c>
      <c r="O302" s="101" t="s">
        <v>392</v>
      </c>
      <c r="P302" s="101">
        <v>0</v>
      </c>
      <c r="Q302" s="101">
        <v>0</v>
      </c>
      <c r="R302" s="101" t="s">
        <v>428</v>
      </c>
      <c r="S302" s="101">
        <v>148670</v>
      </c>
      <c r="T302" s="101" t="s">
        <v>394</v>
      </c>
      <c r="V302" s="245">
        <v>43433</v>
      </c>
      <c r="W302" s="101" t="s">
        <v>424</v>
      </c>
      <c r="X302" s="101" t="s">
        <v>429</v>
      </c>
      <c r="Y302" s="101" t="s">
        <v>392</v>
      </c>
      <c r="Z302" s="101" t="s">
        <v>430</v>
      </c>
      <c r="AA302" s="101" t="s">
        <v>397</v>
      </c>
      <c r="AB302" s="101">
        <v>5101000018</v>
      </c>
      <c r="AC302" s="101" t="s">
        <v>431</v>
      </c>
      <c r="AD302" s="101" t="s">
        <v>431</v>
      </c>
      <c r="AE302" s="101" t="s">
        <v>75</v>
      </c>
      <c r="AF302" s="101" t="s">
        <v>400</v>
      </c>
      <c r="AG302" s="101" t="s">
        <v>625</v>
      </c>
      <c r="AI302" s="101" t="s">
        <v>760</v>
      </c>
    </row>
    <row r="303" spans="1:35">
      <c r="A303" s="246" t="s">
        <v>109</v>
      </c>
      <c r="B303" s="246" t="s">
        <v>66</v>
      </c>
      <c r="C303" s="246" t="s">
        <v>126</v>
      </c>
      <c r="D303" s="246" t="s">
        <v>272</v>
      </c>
      <c r="E303" s="246"/>
      <c r="F303" s="246"/>
      <c r="G303" s="132">
        <v>0</v>
      </c>
      <c r="H303" s="132">
        <v>0</v>
      </c>
      <c r="I303" s="132">
        <v>0</v>
      </c>
      <c r="J303" s="101" t="s">
        <v>889</v>
      </c>
      <c r="K303" s="245" t="s">
        <v>390</v>
      </c>
      <c r="L303" s="245">
        <v>42583</v>
      </c>
      <c r="M303" s="245" t="s">
        <v>391</v>
      </c>
      <c r="N303" s="101">
        <v>0</v>
      </c>
      <c r="O303" s="101" t="s">
        <v>392</v>
      </c>
      <c r="P303" s="101">
        <v>0</v>
      </c>
      <c r="Q303" s="101">
        <v>0</v>
      </c>
      <c r="R303" s="101" t="s">
        <v>428</v>
      </c>
      <c r="S303" s="101">
        <v>148670</v>
      </c>
      <c r="T303" s="101" t="s">
        <v>394</v>
      </c>
      <c r="V303" s="245">
        <v>43433</v>
      </c>
      <c r="W303" s="101" t="s">
        <v>424</v>
      </c>
      <c r="X303" s="101" t="s">
        <v>429</v>
      </c>
      <c r="Y303" s="101" t="s">
        <v>392</v>
      </c>
      <c r="Z303" s="101" t="s">
        <v>430</v>
      </c>
      <c r="AA303" s="101" t="s">
        <v>397</v>
      </c>
      <c r="AB303" s="101">
        <v>5101000018</v>
      </c>
      <c r="AC303" s="101" t="s">
        <v>431</v>
      </c>
      <c r="AD303" s="101" t="s">
        <v>431</v>
      </c>
      <c r="AE303" s="101" t="s">
        <v>75</v>
      </c>
      <c r="AF303" s="101" t="s">
        <v>400</v>
      </c>
      <c r="AG303" s="101" t="s">
        <v>625</v>
      </c>
      <c r="AI303" s="101" t="s">
        <v>760</v>
      </c>
    </row>
    <row r="304" spans="1:35">
      <c r="A304" s="246" t="s">
        <v>110</v>
      </c>
      <c r="B304" s="246" t="s">
        <v>66</v>
      </c>
      <c r="C304" s="246" t="s">
        <v>126</v>
      </c>
      <c r="D304" s="246" t="s">
        <v>281</v>
      </c>
      <c r="E304" s="246"/>
      <c r="F304" s="246"/>
      <c r="G304" s="132">
        <v>0</v>
      </c>
      <c r="H304" s="132">
        <v>0</v>
      </c>
      <c r="I304" s="132">
        <v>0</v>
      </c>
      <c r="J304" s="101" t="s">
        <v>889</v>
      </c>
      <c r="K304" s="245" t="s">
        <v>390</v>
      </c>
      <c r="L304" s="245">
        <v>42614</v>
      </c>
      <c r="M304" s="245" t="s">
        <v>391</v>
      </c>
      <c r="N304" s="101">
        <v>0</v>
      </c>
      <c r="O304" s="101" t="s">
        <v>392</v>
      </c>
      <c r="P304" s="101">
        <v>0</v>
      </c>
      <c r="Q304" s="101">
        <v>0</v>
      </c>
      <c r="R304" s="101" t="s">
        <v>428</v>
      </c>
      <c r="S304" s="101">
        <v>148670</v>
      </c>
      <c r="T304" s="101" t="s">
        <v>394</v>
      </c>
      <c r="V304" s="245">
        <v>43433</v>
      </c>
      <c r="W304" s="101" t="s">
        <v>424</v>
      </c>
      <c r="X304" s="101" t="s">
        <v>429</v>
      </c>
      <c r="Y304" s="101" t="s">
        <v>392</v>
      </c>
      <c r="Z304" s="101" t="s">
        <v>430</v>
      </c>
      <c r="AA304" s="101" t="s">
        <v>397</v>
      </c>
      <c r="AB304" s="101">
        <v>5101000018</v>
      </c>
      <c r="AC304" s="101" t="s">
        <v>431</v>
      </c>
      <c r="AD304" s="101" t="s">
        <v>431</v>
      </c>
      <c r="AE304" s="101" t="s">
        <v>75</v>
      </c>
      <c r="AF304" s="101" t="s">
        <v>400</v>
      </c>
      <c r="AG304" s="101" t="s">
        <v>625</v>
      </c>
      <c r="AI304" s="101" t="s">
        <v>760</v>
      </c>
    </row>
    <row r="305" spans="1:35">
      <c r="A305" s="246" t="s">
        <v>110</v>
      </c>
      <c r="B305" s="246" t="s">
        <v>66</v>
      </c>
      <c r="C305" s="246" t="s">
        <v>126</v>
      </c>
      <c r="D305" s="246" t="s">
        <v>281</v>
      </c>
      <c r="E305" s="246"/>
      <c r="F305" s="246"/>
      <c r="G305" s="132">
        <v>0</v>
      </c>
      <c r="H305" s="132">
        <v>0</v>
      </c>
      <c r="I305" s="132">
        <v>0</v>
      </c>
      <c r="J305" s="101" t="s">
        <v>889</v>
      </c>
      <c r="K305" s="245" t="s">
        <v>390</v>
      </c>
      <c r="L305" s="245">
        <v>42646</v>
      </c>
      <c r="M305" s="245" t="s">
        <v>391</v>
      </c>
      <c r="N305" s="101">
        <v>0</v>
      </c>
      <c r="O305" s="101" t="s">
        <v>392</v>
      </c>
      <c r="P305" s="101">
        <v>0</v>
      </c>
      <c r="Q305" s="101">
        <v>0</v>
      </c>
      <c r="R305" s="101" t="s">
        <v>428</v>
      </c>
      <c r="S305" s="101">
        <v>148670</v>
      </c>
      <c r="T305" s="101" t="s">
        <v>394</v>
      </c>
      <c r="V305" s="245">
        <v>43433</v>
      </c>
      <c r="W305" s="101" t="s">
        <v>424</v>
      </c>
      <c r="X305" s="101" t="s">
        <v>429</v>
      </c>
      <c r="Y305" s="101" t="s">
        <v>392</v>
      </c>
      <c r="Z305" s="101" t="s">
        <v>430</v>
      </c>
      <c r="AA305" s="101" t="s">
        <v>397</v>
      </c>
      <c r="AB305" s="101">
        <v>5101000018</v>
      </c>
      <c r="AC305" s="101" t="s">
        <v>431</v>
      </c>
      <c r="AD305" s="101" t="s">
        <v>431</v>
      </c>
      <c r="AE305" s="101" t="s">
        <v>75</v>
      </c>
      <c r="AF305" s="101" t="s">
        <v>400</v>
      </c>
      <c r="AG305" s="101" t="s">
        <v>625</v>
      </c>
      <c r="AI305" s="101" t="s">
        <v>760</v>
      </c>
    </row>
    <row r="306" spans="1:35">
      <c r="A306" s="246" t="s">
        <v>110</v>
      </c>
      <c r="B306" s="246" t="s">
        <v>66</v>
      </c>
      <c r="C306" s="246" t="s">
        <v>126</v>
      </c>
      <c r="D306" s="246" t="s">
        <v>281</v>
      </c>
      <c r="E306" s="246"/>
      <c r="F306" s="246"/>
      <c r="G306" s="132">
        <v>0</v>
      </c>
      <c r="H306" s="132">
        <v>0</v>
      </c>
      <c r="I306" s="132">
        <v>0</v>
      </c>
      <c r="J306" s="101" t="s">
        <v>889</v>
      </c>
      <c r="K306" s="245" t="s">
        <v>390</v>
      </c>
      <c r="L306" s="245">
        <v>42675</v>
      </c>
      <c r="M306" s="245" t="s">
        <v>391</v>
      </c>
      <c r="N306" s="101">
        <v>0</v>
      </c>
      <c r="O306" s="101" t="s">
        <v>392</v>
      </c>
      <c r="P306" s="101">
        <v>0</v>
      </c>
      <c r="Q306" s="101">
        <v>0</v>
      </c>
      <c r="R306" s="101" t="s">
        <v>428</v>
      </c>
      <c r="S306" s="101">
        <v>148670</v>
      </c>
      <c r="T306" s="101" t="s">
        <v>394</v>
      </c>
      <c r="V306" s="245">
        <v>43433</v>
      </c>
      <c r="W306" s="101" t="s">
        <v>424</v>
      </c>
      <c r="X306" s="101" t="s">
        <v>429</v>
      </c>
      <c r="Y306" s="101" t="s">
        <v>392</v>
      </c>
      <c r="Z306" s="101" t="s">
        <v>430</v>
      </c>
      <c r="AA306" s="101" t="s">
        <v>397</v>
      </c>
      <c r="AB306" s="101">
        <v>5101000018</v>
      </c>
      <c r="AC306" s="101" t="s">
        <v>431</v>
      </c>
      <c r="AD306" s="101" t="s">
        <v>431</v>
      </c>
      <c r="AE306" s="101" t="s">
        <v>75</v>
      </c>
      <c r="AF306" s="101" t="s">
        <v>400</v>
      </c>
      <c r="AG306" s="101" t="s">
        <v>625</v>
      </c>
      <c r="AI306" s="101" t="s">
        <v>760</v>
      </c>
    </row>
    <row r="307" spans="1:35">
      <c r="A307" s="246" t="s">
        <v>111</v>
      </c>
      <c r="B307" s="246" t="s">
        <v>66</v>
      </c>
      <c r="C307" s="246" t="s">
        <v>126</v>
      </c>
      <c r="D307" s="246" t="s">
        <v>273</v>
      </c>
      <c r="E307" s="246"/>
      <c r="F307" s="246"/>
      <c r="G307" s="132">
        <v>0</v>
      </c>
      <c r="H307" s="132">
        <v>0</v>
      </c>
      <c r="I307" s="132">
        <v>0</v>
      </c>
      <c r="J307" s="101" t="s">
        <v>889</v>
      </c>
      <c r="K307" s="245" t="s">
        <v>390</v>
      </c>
      <c r="L307" s="245">
        <v>42705</v>
      </c>
      <c r="M307" s="245" t="s">
        <v>391</v>
      </c>
      <c r="N307" s="101">
        <v>0</v>
      </c>
      <c r="O307" s="101" t="s">
        <v>392</v>
      </c>
      <c r="P307" s="101">
        <v>0</v>
      </c>
      <c r="Q307" s="101">
        <v>0</v>
      </c>
      <c r="R307" s="101" t="s">
        <v>428</v>
      </c>
      <c r="S307" s="101">
        <v>148670</v>
      </c>
      <c r="T307" s="101" t="s">
        <v>394</v>
      </c>
      <c r="V307" s="245">
        <v>43433</v>
      </c>
      <c r="W307" s="101" t="s">
        <v>424</v>
      </c>
      <c r="X307" s="101" t="s">
        <v>429</v>
      </c>
      <c r="Y307" s="101" t="s">
        <v>392</v>
      </c>
      <c r="Z307" s="101" t="s">
        <v>430</v>
      </c>
      <c r="AA307" s="101" t="s">
        <v>397</v>
      </c>
      <c r="AB307" s="101">
        <v>5101000018</v>
      </c>
      <c r="AC307" s="101" t="s">
        <v>431</v>
      </c>
      <c r="AD307" s="101" t="s">
        <v>431</v>
      </c>
      <c r="AE307" s="101" t="s">
        <v>75</v>
      </c>
      <c r="AF307" s="101" t="s">
        <v>400</v>
      </c>
      <c r="AG307" s="101" t="s">
        <v>625</v>
      </c>
      <c r="AI307" s="101" t="s">
        <v>760</v>
      </c>
    </row>
    <row r="308" spans="1:35">
      <c r="A308" s="246" t="s">
        <v>111</v>
      </c>
      <c r="B308" s="246" t="s">
        <v>66</v>
      </c>
      <c r="C308" s="246" t="s">
        <v>126</v>
      </c>
      <c r="D308" s="246" t="s">
        <v>273</v>
      </c>
      <c r="E308" s="246"/>
      <c r="F308" s="246"/>
      <c r="G308" s="132">
        <v>0</v>
      </c>
      <c r="H308" s="132">
        <v>0</v>
      </c>
      <c r="I308" s="132">
        <v>0</v>
      </c>
      <c r="J308" s="101" t="s">
        <v>889</v>
      </c>
      <c r="K308" s="245" t="s">
        <v>390</v>
      </c>
      <c r="L308" s="245">
        <v>42738</v>
      </c>
      <c r="M308" s="245" t="s">
        <v>391</v>
      </c>
      <c r="N308" s="101">
        <v>0</v>
      </c>
      <c r="O308" s="101" t="s">
        <v>392</v>
      </c>
      <c r="P308" s="101">
        <v>0</v>
      </c>
      <c r="Q308" s="101">
        <v>0</v>
      </c>
      <c r="R308" s="101" t="s">
        <v>428</v>
      </c>
      <c r="S308" s="101">
        <v>148670</v>
      </c>
      <c r="T308" s="101" t="s">
        <v>394</v>
      </c>
      <c r="V308" s="245">
        <v>43433</v>
      </c>
      <c r="W308" s="101" t="s">
        <v>424</v>
      </c>
      <c r="X308" s="101" t="s">
        <v>429</v>
      </c>
      <c r="Y308" s="101" t="s">
        <v>392</v>
      </c>
      <c r="Z308" s="101" t="s">
        <v>430</v>
      </c>
      <c r="AA308" s="101" t="s">
        <v>397</v>
      </c>
      <c r="AB308" s="101">
        <v>5101000018</v>
      </c>
      <c r="AC308" s="101" t="s">
        <v>431</v>
      </c>
      <c r="AD308" s="101" t="s">
        <v>431</v>
      </c>
      <c r="AE308" s="101" t="s">
        <v>75</v>
      </c>
      <c r="AF308" s="101" t="s">
        <v>400</v>
      </c>
      <c r="AG308" s="101" t="s">
        <v>625</v>
      </c>
      <c r="AI308" s="101" t="s">
        <v>760</v>
      </c>
    </row>
    <row r="309" spans="1:35">
      <c r="A309" s="246" t="s">
        <v>111</v>
      </c>
      <c r="B309" s="246" t="s">
        <v>66</v>
      </c>
      <c r="C309" s="246" t="s">
        <v>126</v>
      </c>
      <c r="D309" s="246" t="s">
        <v>273</v>
      </c>
      <c r="E309" s="246"/>
      <c r="F309" s="246"/>
      <c r="G309" s="132">
        <v>0</v>
      </c>
      <c r="H309" s="132">
        <v>0</v>
      </c>
      <c r="I309" s="132">
        <v>0</v>
      </c>
      <c r="J309" s="101" t="s">
        <v>889</v>
      </c>
      <c r="K309" s="245" t="s">
        <v>390</v>
      </c>
      <c r="L309" s="245">
        <v>42767</v>
      </c>
      <c r="M309" s="245" t="s">
        <v>391</v>
      </c>
      <c r="N309" s="101">
        <v>0</v>
      </c>
      <c r="O309" s="101" t="s">
        <v>392</v>
      </c>
      <c r="P309" s="101">
        <v>0</v>
      </c>
      <c r="Q309" s="101">
        <v>0</v>
      </c>
      <c r="R309" s="101" t="s">
        <v>428</v>
      </c>
      <c r="S309" s="101">
        <v>148670</v>
      </c>
      <c r="T309" s="101" t="s">
        <v>394</v>
      </c>
      <c r="V309" s="245">
        <v>43433</v>
      </c>
      <c r="W309" s="101" t="s">
        <v>424</v>
      </c>
      <c r="X309" s="101" t="s">
        <v>429</v>
      </c>
      <c r="Y309" s="101" t="s">
        <v>392</v>
      </c>
      <c r="Z309" s="101" t="s">
        <v>430</v>
      </c>
      <c r="AA309" s="101" t="s">
        <v>397</v>
      </c>
      <c r="AB309" s="101">
        <v>5101000018</v>
      </c>
      <c r="AC309" s="101" t="s">
        <v>431</v>
      </c>
      <c r="AD309" s="101" t="s">
        <v>431</v>
      </c>
      <c r="AE309" s="101" t="s">
        <v>75</v>
      </c>
      <c r="AF309" s="101" t="s">
        <v>400</v>
      </c>
      <c r="AG309" s="101" t="s">
        <v>625</v>
      </c>
      <c r="AI309" s="101" t="s">
        <v>760</v>
      </c>
    </row>
    <row r="310" spans="1:35">
      <c r="A310" s="246" t="s">
        <v>111</v>
      </c>
      <c r="B310" s="246" t="s">
        <v>66</v>
      </c>
      <c r="C310" s="246" t="s">
        <v>126</v>
      </c>
      <c r="D310" s="246" t="s">
        <v>273</v>
      </c>
      <c r="E310" s="246"/>
      <c r="F310" s="246"/>
      <c r="G310" s="132">
        <v>0</v>
      </c>
      <c r="H310" s="132">
        <v>0</v>
      </c>
      <c r="I310" s="132">
        <v>0</v>
      </c>
      <c r="J310" s="101" t="s">
        <v>889</v>
      </c>
      <c r="K310" s="245" t="s">
        <v>390</v>
      </c>
      <c r="L310" s="245">
        <v>42795</v>
      </c>
      <c r="M310" s="245" t="s">
        <v>391</v>
      </c>
      <c r="N310" s="101">
        <v>0</v>
      </c>
      <c r="O310" s="101" t="s">
        <v>392</v>
      </c>
      <c r="P310" s="101">
        <v>0</v>
      </c>
      <c r="Q310" s="101">
        <v>0</v>
      </c>
      <c r="R310" s="101" t="s">
        <v>428</v>
      </c>
      <c r="S310" s="101">
        <v>148670</v>
      </c>
      <c r="T310" s="101" t="s">
        <v>394</v>
      </c>
      <c r="V310" s="245">
        <v>43433</v>
      </c>
      <c r="W310" s="101" t="s">
        <v>424</v>
      </c>
      <c r="X310" s="101" t="s">
        <v>429</v>
      </c>
      <c r="Y310" s="101" t="s">
        <v>392</v>
      </c>
      <c r="Z310" s="101" t="s">
        <v>430</v>
      </c>
      <c r="AA310" s="101" t="s">
        <v>397</v>
      </c>
      <c r="AB310" s="101">
        <v>5101000018</v>
      </c>
      <c r="AC310" s="101" t="s">
        <v>431</v>
      </c>
      <c r="AD310" s="101" t="s">
        <v>431</v>
      </c>
      <c r="AE310" s="101" t="s">
        <v>75</v>
      </c>
      <c r="AF310" s="101" t="s">
        <v>400</v>
      </c>
      <c r="AG310" s="101" t="s">
        <v>625</v>
      </c>
      <c r="AI310" s="101" t="s">
        <v>760</v>
      </c>
    </row>
    <row r="311" spans="1:35">
      <c r="A311" s="246" t="s">
        <v>111</v>
      </c>
      <c r="B311" s="246" t="s">
        <v>66</v>
      </c>
      <c r="C311" s="246" t="s">
        <v>126</v>
      </c>
      <c r="D311" s="246" t="s">
        <v>273</v>
      </c>
      <c r="E311" s="246"/>
      <c r="F311" s="246"/>
      <c r="G311" s="132">
        <v>0</v>
      </c>
      <c r="H311" s="132">
        <v>0</v>
      </c>
      <c r="I311" s="132">
        <v>0</v>
      </c>
      <c r="J311" s="101" t="s">
        <v>889</v>
      </c>
      <c r="K311" s="245" t="s">
        <v>390</v>
      </c>
      <c r="L311" s="245">
        <v>42828</v>
      </c>
      <c r="M311" s="245" t="s">
        <v>391</v>
      </c>
      <c r="N311" s="101">
        <v>0</v>
      </c>
      <c r="O311" s="101" t="s">
        <v>392</v>
      </c>
      <c r="P311" s="101">
        <v>0</v>
      </c>
      <c r="Q311" s="101">
        <v>0</v>
      </c>
      <c r="R311" s="101" t="s">
        <v>428</v>
      </c>
      <c r="S311" s="101">
        <v>148670</v>
      </c>
      <c r="T311" s="101" t="s">
        <v>394</v>
      </c>
      <c r="V311" s="245">
        <v>43433</v>
      </c>
      <c r="W311" s="101" t="s">
        <v>424</v>
      </c>
      <c r="X311" s="101" t="s">
        <v>429</v>
      </c>
      <c r="Y311" s="101" t="s">
        <v>392</v>
      </c>
      <c r="Z311" s="101" t="s">
        <v>430</v>
      </c>
      <c r="AA311" s="101" t="s">
        <v>397</v>
      </c>
      <c r="AB311" s="101">
        <v>5101000018</v>
      </c>
      <c r="AC311" s="101" t="s">
        <v>431</v>
      </c>
      <c r="AD311" s="101" t="s">
        <v>431</v>
      </c>
      <c r="AE311" s="101" t="s">
        <v>75</v>
      </c>
      <c r="AF311" s="101" t="s">
        <v>400</v>
      </c>
      <c r="AG311" s="101" t="s">
        <v>625</v>
      </c>
      <c r="AI311" s="101" t="s">
        <v>760</v>
      </c>
    </row>
    <row r="312" spans="1:35">
      <c r="A312" s="246" t="s">
        <v>111</v>
      </c>
      <c r="B312" s="246" t="s">
        <v>66</v>
      </c>
      <c r="C312" s="246" t="s">
        <v>126</v>
      </c>
      <c r="D312" s="246" t="s">
        <v>273</v>
      </c>
      <c r="E312" s="246"/>
      <c r="F312" s="246"/>
      <c r="G312" s="132">
        <v>0</v>
      </c>
      <c r="H312" s="132">
        <v>0</v>
      </c>
      <c r="I312" s="132">
        <v>0</v>
      </c>
      <c r="J312" s="101" t="s">
        <v>889</v>
      </c>
      <c r="K312" s="245" t="s">
        <v>390</v>
      </c>
      <c r="L312" s="245">
        <v>42857</v>
      </c>
      <c r="M312" s="245" t="s">
        <v>391</v>
      </c>
      <c r="N312" s="101">
        <v>0</v>
      </c>
      <c r="O312" s="101" t="s">
        <v>392</v>
      </c>
      <c r="P312" s="101">
        <v>0</v>
      </c>
      <c r="Q312" s="101">
        <v>0</v>
      </c>
      <c r="R312" s="101" t="s">
        <v>428</v>
      </c>
      <c r="S312" s="101">
        <v>148670</v>
      </c>
      <c r="T312" s="101" t="s">
        <v>394</v>
      </c>
      <c r="V312" s="245">
        <v>43433</v>
      </c>
      <c r="W312" s="101" t="s">
        <v>424</v>
      </c>
      <c r="X312" s="101" t="s">
        <v>429</v>
      </c>
      <c r="Y312" s="101" t="s">
        <v>392</v>
      </c>
      <c r="Z312" s="101" t="s">
        <v>430</v>
      </c>
      <c r="AA312" s="101" t="s">
        <v>397</v>
      </c>
      <c r="AB312" s="101">
        <v>5101000018</v>
      </c>
      <c r="AC312" s="101" t="s">
        <v>431</v>
      </c>
      <c r="AD312" s="101" t="s">
        <v>431</v>
      </c>
      <c r="AE312" s="101" t="s">
        <v>75</v>
      </c>
      <c r="AF312" s="101" t="s">
        <v>400</v>
      </c>
      <c r="AG312" s="101" t="s">
        <v>625</v>
      </c>
      <c r="AI312" s="101" t="s">
        <v>760</v>
      </c>
    </row>
    <row r="313" spans="1:35">
      <c r="A313" s="246" t="s">
        <v>112</v>
      </c>
      <c r="B313" s="246" t="s">
        <v>66</v>
      </c>
      <c r="C313" s="246" t="s">
        <v>126</v>
      </c>
      <c r="D313" s="246" t="s">
        <v>270</v>
      </c>
      <c r="E313" s="246"/>
      <c r="F313" s="246"/>
      <c r="G313" s="132">
        <v>0</v>
      </c>
      <c r="H313" s="132">
        <v>0</v>
      </c>
      <c r="I313" s="132">
        <v>0</v>
      </c>
      <c r="J313" s="101" t="s">
        <v>889</v>
      </c>
      <c r="K313" s="245" t="s">
        <v>390</v>
      </c>
      <c r="L313" s="245">
        <v>42887</v>
      </c>
      <c r="M313" s="245" t="s">
        <v>391</v>
      </c>
      <c r="N313" s="101">
        <v>0</v>
      </c>
      <c r="O313" s="101" t="s">
        <v>392</v>
      </c>
      <c r="P313" s="101">
        <v>0</v>
      </c>
      <c r="Q313" s="101">
        <v>0</v>
      </c>
      <c r="R313" s="101" t="s">
        <v>428</v>
      </c>
      <c r="S313" s="101">
        <v>148670</v>
      </c>
      <c r="T313" s="101" t="s">
        <v>394</v>
      </c>
      <c r="V313" s="245">
        <v>43433</v>
      </c>
      <c r="W313" s="101" t="s">
        <v>424</v>
      </c>
      <c r="X313" s="101" t="s">
        <v>429</v>
      </c>
      <c r="Y313" s="101" t="s">
        <v>392</v>
      </c>
      <c r="Z313" s="101" t="s">
        <v>430</v>
      </c>
      <c r="AA313" s="101" t="s">
        <v>397</v>
      </c>
      <c r="AB313" s="101">
        <v>5101000018</v>
      </c>
      <c r="AC313" s="101" t="s">
        <v>431</v>
      </c>
      <c r="AD313" s="101" t="s">
        <v>431</v>
      </c>
      <c r="AE313" s="101" t="s">
        <v>75</v>
      </c>
      <c r="AF313" s="101" t="s">
        <v>400</v>
      </c>
      <c r="AG313" s="101" t="s">
        <v>625</v>
      </c>
      <c r="AI313" s="101" t="s">
        <v>760</v>
      </c>
    </row>
    <row r="314" spans="1:35">
      <c r="A314" s="246" t="s">
        <v>112</v>
      </c>
      <c r="B314" s="246" t="s">
        <v>66</v>
      </c>
      <c r="C314" s="246" t="s">
        <v>126</v>
      </c>
      <c r="D314" s="246" t="s">
        <v>270</v>
      </c>
      <c r="E314" s="246"/>
      <c r="F314" s="246"/>
      <c r="G314" s="132">
        <v>0</v>
      </c>
      <c r="H314" s="132">
        <v>0</v>
      </c>
      <c r="I314" s="132">
        <v>0</v>
      </c>
      <c r="J314" s="101" t="s">
        <v>889</v>
      </c>
      <c r="K314" s="245" t="s">
        <v>390</v>
      </c>
      <c r="L314" s="245">
        <v>42919</v>
      </c>
      <c r="M314" s="245" t="s">
        <v>391</v>
      </c>
      <c r="N314" s="101">
        <v>0</v>
      </c>
      <c r="O314" s="101" t="s">
        <v>392</v>
      </c>
      <c r="P314" s="101">
        <v>0</v>
      </c>
      <c r="Q314" s="101">
        <v>0</v>
      </c>
      <c r="R314" s="101" t="s">
        <v>428</v>
      </c>
      <c r="S314" s="101">
        <v>148670</v>
      </c>
      <c r="T314" s="101" t="s">
        <v>394</v>
      </c>
      <c r="V314" s="245">
        <v>43433</v>
      </c>
      <c r="W314" s="101" t="s">
        <v>424</v>
      </c>
      <c r="X314" s="101" t="s">
        <v>429</v>
      </c>
      <c r="Y314" s="101" t="s">
        <v>392</v>
      </c>
      <c r="Z314" s="101" t="s">
        <v>430</v>
      </c>
      <c r="AA314" s="101" t="s">
        <v>397</v>
      </c>
      <c r="AB314" s="101">
        <v>5101000018</v>
      </c>
      <c r="AC314" s="101" t="s">
        <v>431</v>
      </c>
      <c r="AD314" s="101" t="s">
        <v>431</v>
      </c>
      <c r="AE314" s="101" t="s">
        <v>75</v>
      </c>
      <c r="AF314" s="101" t="s">
        <v>400</v>
      </c>
      <c r="AG314" s="101" t="s">
        <v>625</v>
      </c>
      <c r="AI314" s="101" t="s">
        <v>760</v>
      </c>
    </row>
    <row r="315" spans="1:35">
      <c r="A315" s="246" t="s">
        <v>112</v>
      </c>
      <c r="B315" s="246" t="s">
        <v>66</v>
      </c>
      <c r="C315" s="246" t="s">
        <v>126</v>
      </c>
      <c r="D315" s="246" t="s">
        <v>270</v>
      </c>
      <c r="E315" s="246"/>
      <c r="F315" s="246"/>
      <c r="G315" s="132">
        <v>0</v>
      </c>
      <c r="H315" s="132">
        <v>0</v>
      </c>
      <c r="I315" s="132">
        <v>0</v>
      </c>
      <c r="J315" s="101" t="s">
        <v>889</v>
      </c>
      <c r="K315" s="245" t="s">
        <v>390</v>
      </c>
      <c r="L315" s="245">
        <v>42948</v>
      </c>
      <c r="M315" s="245" t="s">
        <v>391</v>
      </c>
      <c r="N315" s="101">
        <v>0</v>
      </c>
      <c r="O315" s="101" t="s">
        <v>392</v>
      </c>
      <c r="P315" s="101">
        <v>0</v>
      </c>
      <c r="Q315" s="101">
        <v>0</v>
      </c>
      <c r="R315" s="101" t="s">
        <v>428</v>
      </c>
      <c r="S315" s="101">
        <v>148670</v>
      </c>
      <c r="T315" s="101" t="s">
        <v>394</v>
      </c>
      <c r="V315" s="245">
        <v>43433</v>
      </c>
      <c r="W315" s="101" t="s">
        <v>424</v>
      </c>
      <c r="X315" s="101" t="s">
        <v>429</v>
      </c>
      <c r="Y315" s="101" t="s">
        <v>392</v>
      </c>
      <c r="Z315" s="101" t="s">
        <v>430</v>
      </c>
      <c r="AA315" s="101" t="s">
        <v>397</v>
      </c>
      <c r="AB315" s="101">
        <v>5101000018</v>
      </c>
      <c r="AC315" s="101" t="s">
        <v>431</v>
      </c>
      <c r="AD315" s="101" t="s">
        <v>431</v>
      </c>
      <c r="AE315" s="101" t="s">
        <v>75</v>
      </c>
      <c r="AF315" s="101" t="s">
        <v>400</v>
      </c>
      <c r="AG315" s="101" t="s">
        <v>625</v>
      </c>
      <c r="AI315" s="101" t="s">
        <v>760</v>
      </c>
    </row>
    <row r="316" spans="1:35">
      <c r="A316" s="246" t="s">
        <v>109</v>
      </c>
      <c r="B316" s="246" t="s">
        <v>78</v>
      </c>
      <c r="C316" s="246" t="s">
        <v>126</v>
      </c>
      <c r="D316" s="246" t="s">
        <v>337</v>
      </c>
      <c r="E316" s="246" t="s">
        <v>336</v>
      </c>
      <c r="F316" s="246"/>
      <c r="G316" s="132" t="s">
        <v>533</v>
      </c>
      <c r="H316" s="132" t="s">
        <v>1158</v>
      </c>
      <c r="I316" s="132">
        <v>-4805.1699999999992</v>
      </c>
      <c r="J316" s="101" t="s">
        <v>889</v>
      </c>
      <c r="K316" s="245" t="s">
        <v>390</v>
      </c>
      <c r="L316" s="245">
        <v>42552</v>
      </c>
      <c r="M316" s="245" t="s">
        <v>391</v>
      </c>
      <c r="N316" s="101">
        <v>0</v>
      </c>
      <c r="O316" s="101" t="s">
        <v>392</v>
      </c>
      <c r="P316" s="101">
        <v>0</v>
      </c>
      <c r="Q316" s="101">
        <v>0</v>
      </c>
      <c r="R316" s="101" t="s">
        <v>393</v>
      </c>
      <c r="S316" s="101" t="s">
        <v>534</v>
      </c>
      <c r="T316" s="101" t="s">
        <v>394</v>
      </c>
      <c r="V316" s="245">
        <v>13697</v>
      </c>
      <c r="W316" s="101" t="s">
        <v>535</v>
      </c>
      <c r="X316" s="101" t="s">
        <v>362</v>
      </c>
      <c r="Y316" s="101" t="s">
        <v>471</v>
      </c>
      <c r="Z316" s="101" t="s">
        <v>402</v>
      </c>
      <c r="AA316" s="101" t="s">
        <v>78</v>
      </c>
      <c r="AB316" s="101">
        <v>4101000279</v>
      </c>
      <c r="AC316" s="101" t="s">
        <v>398</v>
      </c>
      <c r="AD316" s="101" t="s">
        <v>403</v>
      </c>
      <c r="AE316" s="101" t="s">
        <v>75</v>
      </c>
      <c r="AF316" s="101" t="s">
        <v>400</v>
      </c>
      <c r="AI316" s="101" t="s">
        <v>760</v>
      </c>
    </row>
    <row r="317" spans="1:35">
      <c r="A317" s="246" t="s">
        <v>110</v>
      </c>
      <c r="B317" s="246" t="s">
        <v>78</v>
      </c>
      <c r="C317" s="246" t="s">
        <v>126</v>
      </c>
      <c r="D317" s="246" t="s">
        <v>770</v>
      </c>
      <c r="E317" s="246" t="s">
        <v>771</v>
      </c>
      <c r="F317" s="246"/>
      <c r="G317" s="132" t="s">
        <v>1159</v>
      </c>
      <c r="H317" s="132" t="s">
        <v>1160</v>
      </c>
      <c r="I317" s="132">
        <v>-6481.54</v>
      </c>
      <c r="J317" s="101" t="s">
        <v>889</v>
      </c>
      <c r="K317" s="245" t="s">
        <v>390</v>
      </c>
      <c r="L317" s="245">
        <v>42646</v>
      </c>
      <c r="M317" s="245" t="s">
        <v>391</v>
      </c>
      <c r="N317" s="101">
        <v>0</v>
      </c>
      <c r="O317" s="101" t="s">
        <v>392</v>
      </c>
      <c r="P317" s="101">
        <v>0</v>
      </c>
      <c r="Q317" s="101">
        <v>0</v>
      </c>
      <c r="R317" s="101" t="s">
        <v>393</v>
      </c>
      <c r="S317" s="101" t="s">
        <v>534</v>
      </c>
      <c r="T317" s="101" t="s">
        <v>394</v>
      </c>
      <c r="V317" s="245">
        <v>13697</v>
      </c>
      <c r="W317" s="101" t="s">
        <v>535</v>
      </c>
      <c r="X317" s="101" t="s">
        <v>362</v>
      </c>
      <c r="Y317" s="101" t="s">
        <v>471</v>
      </c>
      <c r="Z317" s="101" t="s">
        <v>402</v>
      </c>
      <c r="AA317" s="101" t="s">
        <v>78</v>
      </c>
      <c r="AB317" s="101">
        <v>4101000279</v>
      </c>
      <c r="AC317" s="101" t="s">
        <v>398</v>
      </c>
      <c r="AD317" s="101" t="s">
        <v>403</v>
      </c>
      <c r="AE317" s="101" t="s">
        <v>75</v>
      </c>
      <c r="AF317" s="101" t="s">
        <v>400</v>
      </c>
      <c r="AI317" s="101" t="s">
        <v>760</v>
      </c>
    </row>
    <row r="318" spans="1:35">
      <c r="A318" s="246" t="s">
        <v>111</v>
      </c>
      <c r="B318" s="246" t="s">
        <v>78</v>
      </c>
      <c r="C318" s="246" t="s">
        <v>126</v>
      </c>
      <c r="D318" s="246" t="s">
        <v>768</v>
      </c>
      <c r="E318" s="246" t="s">
        <v>769</v>
      </c>
      <c r="F318" s="246"/>
      <c r="G318" s="132" t="s">
        <v>1161</v>
      </c>
      <c r="H318" s="132" t="s">
        <v>1162</v>
      </c>
      <c r="I318" s="132">
        <v>-6375.39</v>
      </c>
      <c r="J318" s="101" t="s">
        <v>889</v>
      </c>
      <c r="K318" s="245" t="s">
        <v>390</v>
      </c>
      <c r="L318" s="245">
        <v>42738</v>
      </c>
      <c r="M318" s="245" t="s">
        <v>391</v>
      </c>
      <c r="N318" s="101">
        <v>0</v>
      </c>
      <c r="O318" s="101" t="s">
        <v>392</v>
      </c>
      <c r="P318" s="101">
        <v>0</v>
      </c>
      <c r="Q318" s="101">
        <v>0</v>
      </c>
      <c r="R318" s="101" t="s">
        <v>393</v>
      </c>
      <c r="S318" s="101" t="s">
        <v>534</v>
      </c>
      <c r="T318" s="101" t="s">
        <v>394</v>
      </c>
      <c r="V318" s="245">
        <v>13697</v>
      </c>
      <c r="W318" s="101" t="s">
        <v>535</v>
      </c>
      <c r="X318" s="101" t="s">
        <v>362</v>
      </c>
      <c r="Y318" s="101" t="s">
        <v>471</v>
      </c>
      <c r="Z318" s="101" t="s">
        <v>402</v>
      </c>
      <c r="AA318" s="101" t="s">
        <v>78</v>
      </c>
      <c r="AB318" s="101">
        <v>4101000279</v>
      </c>
      <c r="AC318" s="101" t="s">
        <v>398</v>
      </c>
      <c r="AD318" s="101" t="s">
        <v>403</v>
      </c>
      <c r="AE318" s="101" t="s">
        <v>75</v>
      </c>
      <c r="AF318" s="101" t="s">
        <v>400</v>
      </c>
      <c r="AI318" s="101" t="s">
        <v>760</v>
      </c>
    </row>
    <row r="319" spans="1:35">
      <c r="A319" s="246" t="s">
        <v>111</v>
      </c>
      <c r="B319" s="246" t="s">
        <v>78</v>
      </c>
      <c r="C319" s="246" t="s">
        <v>126</v>
      </c>
      <c r="D319" s="246" t="s">
        <v>768</v>
      </c>
      <c r="E319" s="246" t="s">
        <v>769</v>
      </c>
      <c r="F319" s="246"/>
      <c r="G319" s="132" t="s">
        <v>1163</v>
      </c>
      <c r="H319" s="132" t="s">
        <v>1164</v>
      </c>
      <c r="I319" s="132">
        <v>-6730.2599999999993</v>
      </c>
      <c r="J319" s="101" t="s">
        <v>889</v>
      </c>
      <c r="K319" s="245" t="s">
        <v>390</v>
      </c>
      <c r="L319" s="245">
        <v>42828</v>
      </c>
      <c r="M319" s="245" t="s">
        <v>391</v>
      </c>
      <c r="N319" s="101">
        <v>0</v>
      </c>
      <c r="O319" s="101" t="s">
        <v>392</v>
      </c>
      <c r="P319" s="101">
        <v>0</v>
      </c>
      <c r="Q319" s="101">
        <v>0</v>
      </c>
      <c r="R319" s="101" t="s">
        <v>393</v>
      </c>
      <c r="S319" s="101" t="s">
        <v>534</v>
      </c>
      <c r="T319" s="101" t="s">
        <v>394</v>
      </c>
      <c r="V319" s="245">
        <v>13697</v>
      </c>
      <c r="W319" s="101" t="s">
        <v>535</v>
      </c>
      <c r="X319" s="101" t="s">
        <v>362</v>
      </c>
      <c r="Y319" s="101" t="s">
        <v>471</v>
      </c>
      <c r="Z319" s="101" t="s">
        <v>402</v>
      </c>
      <c r="AA319" s="101" t="s">
        <v>78</v>
      </c>
      <c r="AB319" s="101">
        <v>4101000279</v>
      </c>
      <c r="AC319" s="101" t="s">
        <v>398</v>
      </c>
      <c r="AD319" s="101" t="s">
        <v>403</v>
      </c>
      <c r="AE319" s="101" t="s">
        <v>75</v>
      </c>
      <c r="AF319" s="101" t="s">
        <v>400</v>
      </c>
      <c r="AI319" s="101" t="s">
        <v>760</v>
      </c>
    </row>
    <row r="320" spans="1:35">
      <c r="A320" s="246" t="s">
        <v>112</v>
      </c>
      <c r="B320" s="246" t="s">
        <v>78</v>
      </c>
      <c r="C320" s="246" t="s">
        <v>126</v>
      </c>
      <c r="D320" s="246" t="s">
        <v>341</v>
      </c>
      <c r="E320" s="246" t="s">
        <v>342</v>
      </c>
      <c r="F320" s="246"/>
      <c r="G320" s="132" t="s">
        <v>1165</v>
      </c>
      <c r="H320" s="132" t="s">
        <v>1166</v>
      </c>
      <c r="I320" s="132">
        <v>-7943.66</v>
      </c>
      <c r="J320" s="101" t="s">
        <v>889</v>
      </c>
      <c r="K320" s="245" t="s">
        <v>390</v>
      </c>
      <c r="L320" s="245">
        <v>42919</v>
      </c>
      <c r="M320" s="245" t="s">
        <v>391</v>
      </c>
      <c r="N320" s="101">
        <v>0</v>
      </c>
      <c r="O320" s="101" t="s">
        <v>392</v>
      </c>
      <c r="P320" s="101">
        <v>0</v>
      </c>
      <c r="Q320" s="101">
        <v>0</v>
      </c>
      <c r="R320" s="101" t="s">
        <v>393</v>
      </c>
      <c r="S320" s="101" t="s">
        <v>534</v>
      </c>
      <c r="T320" s="101" t="s">
        <v>394</v>
      </c>
      <c r="V320" s="245">
        <v>13697</v>
      </c>
      <c r="W320" s="101" t="s">
        <v>535</v>
      </c>
      <c r="X320" s="101" t="s">
        <v>362</v>
      </c>
      <c r="Y320" s="101" t="s">
        <v>471</v>
      </c>
      <c r="Z320" s="101" t="s">
        <v>402</v>
      </c>
      <c r="AA320" s="101" t="s">
        <v>78</v>
      </c>
      <c r="AB320" s="101">
        <v>4101000279</v>
      </c>
      <c r="AC320" s="101" t="s">
        <v>398</v>
      </c>
      <c r="AD320" s="101" t="s">
        <v>403</v>
      </c>
      <c r="AE320" s="101" t="s">
        <v>75</v>
      </c>
      <c r="AF320" s="101" t="s">
        <v>400</v>
      </c>
      <c r="AI320" s="101" t="s">
        <v>760</v>
      </c>
    </row>
    <row r="321" spans="1:35">
      <c r="A321" s="246" t="s">
        <v>112</v>
      </c>
      <c r="B321" s="246" t="s">
        <v>78</v>
      </c>
      <c r="C321" s="246" t="s">
        <v>126</v>
      </c>
      <c r="D321" s="246" t="s">
        <v>341</v>
      </c>
      <c r="E321" s="246" t="s">
        <v>342</v>
      </c>
      <c r="F321" s="246"/>
      <c r="G321" s="132" t="s">
        <v>1167</v>
      </c>
      <c r="H321" s="132" t="s">
        <v>1168</v>
      </c>
      <c r="I321" s="132">
        <v>-8739.32</v>
      </c>
      <c r="J321" s="101" t="s">
        <v>889</v>
      </c>
      <c r="K321" s="245" t="s">
        <v>390</v>
      </c>
      <c r="L321" s="245">
        <v>43010</v>
      </c>
      <c r="M321" s="245" t="s">
        <v>391</v>
      </c>
      <c r="N321" s="101">
        <v>0</v>
      </c>
      <c r="O321" s="101" t="s">
        <v>392</v>
      </c>
      <c r="P321" s="101">
        <v>0</v>
      </c>
      <c r="Q321" s="101">
        <v>0</v>
      </c>
      <c r="R321" s="101" t="s">
        <v>393</v>
      </c>
      <c r="S321" s="101" t="s">
        <v>534</v>
      </c>
      <c r="T321" s="101" t="s">
        <v>394</v>
      </c>
      <c r="V321" s="245">
        <v>13697</v>
      </c>
      <c r="W321" s="101" t="s">
        <v>535</v>
      </c>
      <c r="X321" s="101" t="s">
        <v>362</v>
      </c>
      <c r="Y321" s="101" t="s">
        <v>471</v>
      </c>
      <c r="Z321" s="101" t="s">
        <v>402</v>
      </c>
      <c r="AA321" s="101" t="s">
        <v>78</v>
      </c>
      <c r="AB321" s="101">
        <v>4101000279</v>
      </c>
      <c r="AC321" s="101" t="s">
        <v>398</v>
      </c>
      <c r="AD321" s="101" t="s">
        <v>403</v>
      </c>
      <c r="AE321" s="101" t="s">
        <v>75</v>
      </c>
      <c r="AF321" s="101" t="s">
        <v>400</v>
      </c>
      <c r="AI321" s="101" t="s">
        <v>760</v>
      </c>
    </row>
    <row r="322" spans="1:35">
      <c r="A322" s="246" t="s">
        <v>113</v>
      </c>
      <c r="B322" s="246" t="s">
        <v>78</v>
      </c>
      <c r="C322" s="246" t="s">
        <v>126</v>
      </c>
      <c r="D322" s="246" t="s">
        <v>339</v>
      </c>
      <c r="E322" s="246" t="s">
        <v>340</v>
      </c>
      <c r="F322" s="246"/>
      <c r="G322" s="132" t="s">
        <v>1169</v>
      </c>
      <c r="H322" s="132" t="s">
        <v>1170</v>
      </c>
      <c r="I322" s="132">
        <v>-8835.51</v>
      </c>
      <c r="J322" s="101" t="s">
        <v>889</v>
      </c>
      <c r="K322" s="245" t="s">
        <v>390</v>
      </c>
      <c r="L322" s="245">
        <v>43102</v>
      </c>
      <c r="M322" s="245" t="s">
        <v>391</v>
      </c>
      <c r="N322" s="101">
        <v>0</v>
      </c>
      <c r="O322" s="101" t="s">
        <v>392</v>
      </c>
      <c r="P322" s="101">
        <v>0</v>
      </c>
      <c r="Q322" s="101">
        <v>0</v>
      </c>
      <c r="R322" s="101" t="s">
        <v>393</v>
      </c>
      <c r="S322" s="101" t="s">
        <v>534</v>
      </c>
      <c r="T322" s="101" t="s">
        <v>394</v>
      </c>
      <c r="V322" s="245">
        <v>13697</v>
      </c>
      <c r="W322" s="101" t="s">
        <v>535</v>
      </c>
      <c r="X322" s="101" t="s">
        <v>362</v>
      </c>
      <c r="Y322" s="101" t="s">
        <v>471</v>
      </c>
      <c r="Z322" s="101" t="s">
        <v>402</v>
      </c>
      <c r="AA322" s="101" t="s">
        <v>78</v>
      </c>
      <c r="AB322" s="101">
        <v>4101000279</v>
      </c>
      <c r="AC322" s="101" t="s">
        <v>398</v>
      </c>
      <c r="AD322" s="101" t="s">
        <v>403</v>
      </c>
      <c r="AE322" s="101" t="s">
        <v>75</v>
      </c>
      <c r="AF322" s="101" t="s">
        <v>400</v>
      </c>
      <c r="AI322" s="101" t="s">
        <v>760</v>
      </c>
    </row>
    <row r="323" spans="1:35">
      <c r="A323" s="246" t="s">
        <v>113</v>
      </c>
      <c r="B323" s="246" t="s">
        <v>78</v>
      </c>
      <c r="C323" s="246" t="s">
        <v>126</v>
      </c>
      <c r="D323" s="246" t="s">
        <v>339</v>
      </c>
      <c r="E323" s="246" t="s">
        <v>340</v>
      </c>
      <c r="F323" s="246"/>
      <c r="G323" s="132" t="s">
        <v>1171</v>
      </c>
      <c r="H323" s="132" t="s">
        <v>1172</v>
      </c>
      <c r="I323" s="132">
        <v>-8643.1299999999992</v>
      </c>
      <c r="J323" s="101" t="s">
        <v>889</v>
      </c>
      <c r="K323" s="245" t="s">
        <v>390</v>
      </c>
      <c r="L323" s="245">
        <v>43192</v>
      </c>
      <c r="M323" s="245" t="s">
        <v>391</v>
      </c>
      <c r="N323" s="101">
        <v>0</v>
      </c>
      <c r="O323" s="101" t="s">
        <v>392</v>
      </c>
      <c r="P323" s="101">
        <v>0</v>
      </c>
      <c r="Q323" s="101">
        <v>0</v>
      </c>
      <c r="R323" s="101" t="s">
        <v>393</v>
      </c>
      <c r="S323" s="101" t="s">
        <v>534</v>
      </c>
      <c r="T323" s="101" t="s">
        <v>394</v>
      </c>
      <c r="V323" s="245">
        <v>13697</v>
      </c>
      <c r="W323" s="101" t="s">
        <v>535</v>
      </c>
      <c r="X323" s="101" t="s">
        <v>362</v>
      </c>
      <c r="Y323" s="101" t="s">
        <v>471</v>
      </c>
      <c r="Z323" s="101" t="s">
        <v>402</v>
      </c>
      <c r="AA323" s="101" t="s">
        <v>78</v>
      </c>
      <c r="AB323" s="101">
        <v>4101000279</v>
      </c>
      <c r="AC323" s="101" t="s">
        <v>398</v>
      </c>
      <c r="AD323" s="101" t="s">
        <v>403</v>
      </c>
      <c r="AE323" s="101" t="s">
        <v>75</v>
      </c>
      <c r="AF323" s="101" t="s">
        <v>400</v>
      </c>
      <c r="AI323" s="101" t="s">
        <v>760</v>
      </c>
    </row>
    <row r="324" spans="1:35">
      <c r="A324" s="246" t="s">
        <v>109</v>
      </c>
      <c r="B324" s="246" t="s">
        <v>78</v>
      </c>
      <c r="C324" s="246" t="s">
        <v>126</v>
      </c>
      <c r="D324" s="246" t="s">
        <v>337</v>
      </c>
      <c r="E324" s="246" t="s">
        <v>336</v>
      </c>
      <c r="F324" s="246"/>
      <c r="G324" s="132" t="s">
        <v>536</v>
      </c>
      <c r="H324" s="132" t="s">
        <v>1173</v>
      </c>
      <c r="I324" s="132">
        <v>114313.98</v>
      </c>
      <c r="J324" s="101" t="s">
        <v>889</v>
      </c>
      <c r="K324" s="245" t="s">
        <v>390</v>
      </c>
      <c r="L324" s="245">
        <v>42552</v>
      </c>
      <c r="M324" s="245" t="s">
        <v>391</v>
      </c>
      <c r="N324" s="101">
        <v>0</v>
      </c>
      <c r="O324" s="101" t="s">
        <v>392</v>
      </c>
      <c r="P324" s="101">
        <v>0</v>
      </c>
      <c r="Q324" s="101">
        <v>0</v>
      </c>
      <c r="R324" s="101" t="s">
        <v>393</v>
      </c>
      <c r="S324" s="101" t="s">
        <v>534</v>
      </c>
      <c r="T324" s="101" t="s">
        <v>394</v>
      </c>
      <c r="V324" s="245">
        <v>13697</v>
      </c>
      <c r="W324" s="101" t="s">
        <v>535</v>
      </c>
      <c r="X324" s="101" t="s">
        <v>362</v>
      </c>
      <c r="Y324" s="101" t="s">
        <v>471</v>
      </c>
      <c r="Z324" s="101" t="s">
        <v>402</v>
      </c>
      <c r="AA324" s="101" t="s">
        <v>78</v>
      </c>
      <c r="AB324" s="101">
        <v>4101000279</v>
      </c>
      <c r="AC324" s="101" t="s">
        <v>398</v>
      </c>
      <c r="AD324" s="101" t="s">
        <v>403</v>
      </c>
      <c r="AE324" s="101" t="s">
        <v>75</v>
      </c>
      <c r="AF324" s="101" t="s">
        <v>400</v>
      </c>
      <c r="AI324" s="101" t="s">
        <v>760</v>
      </c>
    </row>
    <row r="325" spans="1:35">
      <c r="A325" s="246" t="s">
        <v>111</v>
      </c>
      <c r="B325" s="246" t="s">
        <v>78</v>
      </c>
      <c r="C325" s="246" t="s">
        <v>126</v>
      </c>
      <c r="D325" s="246" t="s">
        <v>768</v>
      </c>
      <c r="E325" s="246" t="s">
        <v>769</v>
      </c>
      <c r="F325" s="246"/>
      <c r="G325" s="132" t="s">
        <v>536</v>
      </c>
      <c r="H325" s="132" t="s">
        <v>1173</v>
      </c>
      <c r="I325" s="132">
        <v>114313.98</v>
      </c>
      <c r="J325" s="101" t="s">
        <v>889</v>
      </c>
      <c r="K325" s="245" t="s">
        <v>390</v>
      </c>
      <c r="L325" s="245">
        <v>42738</v>
      </c>
      <c r="M325" s="245" t="s">
        <v>391</v>
      </c>
      <c r="N325" s="101">
        <v>0</v>
      </c>
      <c r="O325" s="101" t="s">
        <v>392</v>
      </c>
      <c r="P325" s="101">
        <v>0</v>
      </c>
      <c r="Q325" s="101">
        <v>0</v>
      </c>
      <c r="R325" s="101" t="s">
        <v>393</v>
      </c>
      <c r="S325" s="101" t="s">
        <v>534</v>
      </c>
      <c r="T325" s="101" t="s">
        <v>394</v>
      </c>
      <c r="V325" s="245">
        <v>13697</v>
      </c>
      <c r="W325" s="101" t="s">
        <v>535</v>
      </c>
      <c r="X325" s="101" t="s">
        <v>362</v>
      </c>
      <c r="Y325" s="101" t="s">
        <v>471</v>
      </c>
      <c r="Z325" s="101" t="s">
        <v>402</v>
      </c>
      <c r="AA325" s="101" t="s">
        <v>78</v>
      </c>
      <c r="AB325" s="101">
        <v>4101000279</v>
      </c>
      <c r="AC325" s="101" t="s">
        <v>398</v>
      </c>
      <c r="AD325" s="101" t="s">
        <v>403</v>
      </c>
      <c r="AE325" s="101" t="s">
        <v>75</v>
      </c>
      <c r="AF325" s="101" t="s">
        <v>400</v>
      </c>
      <c r="AI325" s="101" t="s">
        <v>760</v>
      </c>
    </row>
    <row r="326" spans="1:35">
      <c r="A326" s="246" t="s">
        <v>112</v>
      </c>
      <c r="B326" s="246" t="s">
        <v>78</v>
      </c>
      <c r="C326" s="246" t="s">
        <v>126</v>
      </c>
      <c r="D326" s="246" t="s">
        <v>341</v>
      </c>
      <c r="E326" s="246" t="s">
        <v>342</v>
      </c>
      <c r="F326" s="246"/>
      <c r="G326" s="132" t="s">
        <v>536</v>
      </c>
      <c r="H326" s="132" t="s">
        <v>1173</v>
      </c>
      <c r="I326" s="132">
        <v>114313.98</v>
      </c>
      <c r="J326" s="101" t="s">
        <v>889</v>
      </c>
      <c r="K326" s="245" t="s">
        <v>390</v>
      </c>
      <c r="L326" s="245">
        <v>42919</v>
      </c>
      <c r="M326" s="245" t="s">
        <v>391</v>
      </c>
      <c r="N326" s="101">
        <v>0</v>
      </c>
      <c r="O326" s="101" t="s">
        <v>392</v>
      </c>
      <c r="P326" s="101">
        <v>0</v>
      </c>
      <c r="Q326" s="101">
        <v>0</v>
      </c>
      <c r="R326" s="101" t="s">
        <v>393</v>
      </c>
      <c r="S326" s="101" t="s">
        <v>534</v>
      </c>
      <c r="T326" s="101" t="s">
        <v>394</v>
      </c>
      <c r="V326" s="245">
        <v>13697</v>
      </c>
      <c r="W326" s="101" t="s">
        <v>535</v>
      </c>
      <c r="X326" s="101" t="s">
        <v>362</v>
      </c>
      <c r="Y326" s="101" t="s">
        <v>471</v>
      </c>
      <c r="Z326" s="101" t="s">
        <v>402</v>
      </c>
      <c r="AA326" s="101" t="s">
        <v>78</v>
      </c>
      <c r="AB326" s="101">
        <v>4101000279</v>
      </c>
      <c r="AC326" s="101" t="s">
        <v>398</v>
      </c>
      <c r="AD326" s="101" t="s">
        <v>403</v>
      </c>
      <c r="AE326" s="101" t="s">
        <v>75</v>
      </c>
      <c r="AF326" s="101" t="s">
        <v>400</v>
      </c>
      <c r="AI326" s="101" t="s">
        <v>760</v>
      </c>
    </row>
    <row r="327" spans="1:35">
      <c r="A327" s="246" t="s">
        <v>113</v>
      </c>
      <c r="B327" s="246" t="s">
        <v>78</v>
      </c>
      <c r="C327" s="246" t="s">
        <v>126</v>
      </c>
      <c r="D327" s="246" t="s">
        <v>339</v>
      </c>
      <c r="E327" s="246" t="s">
        <v>340</v>
      </c>
      <c r="F327" s="246"/>
      <c r="G327" s="132" t="s">
        <v>536</v>
      </c>
      <c r="H327" s="132" t="s">
        <v>1173</v>
      </c>
      <c r="I327" s="132">
        <v>114313.98</v>
      </c>
      <c r="J327" s="101" t="s">
        <v>889</v>
      </c>
      <c r="K327" s="245" t="s">
        <v>390</v>
      </c>
      <c r="L327" s="245">
        <v>43102</v>
      </c>
      <c r="M327" s="245" t="s">
        <v>391</v>
      </c>
      <c r="N327" s="101">
        <v>0</v>
      </c>
      <c r="O327" s="101" t="s">
        <v>392</v>
      </c>
      <c r="P327" s="101">
        <v>0</v>
      </c>
      <c r="Q327" s="101">
        <v>0</v>
      </c>
      <c r="R327" s="101" t="s">
        <v>393</v>
      </c>
      <c r="S327" s="101" t="s">
        <v>534</v>
      </c>
      <c r="T327" s="101" t="s">
        <v>394</v>
      </c>
      <c r="V327" s="245">
        <v>13697</v>
      </c>
      <c r="W327" s="101" t="s">
        <v>535</v>
      </c>
      <c r="X327" s="101" t="s">
        <v>362</v>
      </c>
      <c r="Y327" s="101" t="s">
        <v>471</v>
      </c>
      <c r="Z327" s="101" t="s">
        <v>402</v>
      </c>
      <c r="AA327" s="101" t="s">
        <v>78</v>
      </c>
      <c r="AB327" s="101">
        <v>4101000279</v>
      </c>
      <c r="AC327" s="101" t="s">
        <v>398</v>
      </c>
      <c r="AD327" s="101" t="s">
        <v>403</v>
      </c>
      <c r="AE327" s="101" t="s">
        <v>75</v>
      </c>
      <c r="AF327" s="101" t="s">
        <v>400</v>
      </c>
      <c r="AI327" s="101" t="s">
        <v>760</v>
      </c>
    </row>
    <row r="328" spans="1:35">
      <c r="A328" s="246" t="s">
        <v>113</v>
      </c>
      <c r="B328" s="246" t="s">
        <v>78</v>
      </c>
      <c r="C328" s="246" t="s">
        <v>126</v>
      </c>
      <c r="D328" s="246" t="s">
        <v>339</v>
      </c>
      <c r="E328" s="246" t="s">
        <v>340</v>
      </c>
      <c r="F328" s="246" t="s">
        <v>279</v>
      </c>
      <c r="G328" s="132" t="s">
        <v>1041</v>
      </c>
      <c r="H328" s="132" t="s">
        <v>1042</v>
      </c>
      <c r="I328" s="132">
        <v>-25.71</v>
      </c>
      <c r="J328" s="101" t="s">
        <v>889</v>
      </c>
      <c r="K328" s="245" t="s">
        <v>390</v>
      </c>
      <c r="L328" s="245">
        <v>43098</v>
      </c>
      <c r="M328" s="245" t="s">
        <v>391</v>
      </c>
      <c r="N328" s="101">
        <v>0</v>
      </c>
      <c r="O328" s="101" t="s">
        <v>392</v>
      </c>
      <c r="P328" s="101">
        <v>0</v>
      </c>
      <c r="Q328" s="101">
        <v>0</v>
      </c>
      <c r="R328" s="101" t="s">
        <v>393</v>
      </c>
      <c r="S328" s="101" t="s">
        <v>866</v>
      </c>
      <c r="T328" s="101" t="s">
        <v>394</v>
      </c>
      <c r="V328" s="245">
        <v>46387</v>
      </c>
      <c r="W328" s="101" t="s">
        <v>395</v>
      </c>
      <c r="X328" s="101" t="s">
        <v>795</v>
      </c>
      <c r="Y328" s="101" t="s">
        <v>396</v>
      </c>
      <c r="Z328" s="101" t="s">
        <v>393</v>
      </c>
      <c r="AA328" s="101" t="s">
        <v>78</v>
      </c>
      <c r="AB328" s="101">
        <v>4101000279</v>
      </c>
      <c r="AC328" s="101" t="s">
        <v>398</v>
      </c>
      <c r="AD328" s="101" t="s">
        <v>399</v>
      </c>
      <c r="AE328" s="101" t="s">
        <v>6</v>
      </c>
      <c r="AF328" s="101" t="s">
        <v>400</v>
      </c>
      <c r="AI328" s="101" t="s">
        <v>760</v>
      </c>
    </row>
    <row r="329" spans="1:35">
      <c r="A329" s="246" t="s">
        <v>113</v>
      </c>
      <c r="B329" s="246" t="s">
        <v>78</v>
      </c>
      <c r="C329" s="246" t="s">
        <v>126</v>
      </c>
      <c r="D329" s="246" t="s">
        <v>339</v>
      </c>
      <c r="E329" s="246" t="s">
        <v>340</v>
      </c>
      <c r="F329" s="246" t="s">
        <v>279</v>
      </c>
      <c r="G329" s="132" t="s">
        <v>1043</v>
      </c>
      <c r="H329" s="132" t="s">
        <v>1044</v>
      </c>
      <c r="I329" s="132">
        <v>-2317.27</v>
      </c>
      <c r="J329" s="101" t="s">
        <v>889</v>
      </c>
      <c r="K329" s="245" t="s">
        <v>390</v>
      </c>
      <c r="L329" s="245">
        <v>43188</v>
      </c>
      <c r="M329" s="245" t="s">
        <v>391</v>
      </c>
      <c r="N329" s="101">
        <v>0</v>
      </c>
      <c r="O329" s="101" t="s">
        <v>392</v>
      </c>
      <c r="P329" s="101">
        <v>0</v>
      </c>
      <c r="Q329" s="101">
        <v>0</v>
      </c>
      <c r="R329" s="101" t="s">
        <v>393</v>
      </c>
      <c r="S329" s="101" t="s">
        <v>866</v>
      </c>
      <c r="T329" s="101" t="s">
        <v>394</v>
      </c>
      <c r="V329" s="245">
        <v>46387</v>
      </c>
      <c r="W329" s="101" t="s">
        <v>395</v>
      </c>
      <c r="X329" s="101" t="s">
        <v>795</v>
      </c>
      <c r="Y329" s="101" t="s">
        <v>396</v>
      </c>
      <c r="Z329" s="101" t="s">
        <v>393</v>
      </c>
      <c r="AA329" s="101" t="s">
        <v>78</v>
      </c>
      <c r="AB329" s="101">
        <v>4101000279</v>
      </c>
      <c r="AC329" s="101" t="s">
        <v>398</v>
      </c>
      <c r="AD329" s="101" t="s">
        <v>399</v>
      </c>
      <c r="AE329" s="101" t="s">
        <v>6</v>
      </c>
      <c r="AF329" s="101" t="s">
        <v>400</v>
      </c>
      <c r="AI329" s="101" t="s">
        <v>760</v>
      </c>
    </row>
    <row r="330" spans="1:35">
      <c r="A330" s="246" t="s">
        <v>107</v>
      </c>
      <c r="B330" s="246" t="s">
        <v>66</v>
      </c>
      <c r="C330" s="246" t="s">
        <v>126</v>
      </c>
      <c r="D330" s="246" t="s">
        <v>1769</v>
      </c>
      <c r="E330" s="246"/>
      <c r="F330" s="246"/>
      <c r="G330" s="132" t="s">
        <v>721</v>
      </c>
      <c r="H330" s="132" t="s">
        <v>1174</v>
      </c>
      <c r="I330" s="132">
        <v>-63631.040000000001</v>
      </c>
      <c r="J330" s="101" t="s">
        <v>889</v>
      </c>
      <c r="K330" s="245" t="s">
        <v>390</v>
      </c>
      <c r="L330" s="245">
        <v>42522</v>
      </c>
      <c r="M330" s="245" t="s">
        <v>391</v>
      </c>
      <c r="N330" s="101">
        <v>0</v>
      </c>
      <c r="O330" s="101" t="s">
        <v>392</v>
      </c>
      <c r="P330" s="101">
        <v>0</v>
      </c>
      <c r="Q330" s="101">
        <v>0</v>
      </c>
      <c r="R330" s="101" t="s">
        <v>444</v>
      </c>
      <c r="S330" s="101" t="s">
        <v>722</v>
      </c>
      <c r="T330" s="101" t="s">
        <v>394</v>
      </c>
      <c r="U330" s="101" t="s">
        <v>86</v>
      </c>
      <c r="V330" s="245">
        <v>17319</v>
      </c>
      <c r="W330" s="101" t="s">
        <v>445</v>
      </c>
      <c r="X330" s="101" t="s">
        <v>76</v>
      </c>
      <c r="Y330" s="101" t="s">
        <v>392</v>
      </c>
      <c r="Z330" s="101" t="s">
        <v>412</v>
      </c>
      <c r="AA330" s="101" t="s">
        <v>723</v>
      </c>
      <c r="AB330" s="101">
        <v>101002516</v>
      </c>
      <c r="AC330" s="101" t="s">
        <v>414</v>
      </c>
      <c r="AD330" s="101" t="s">
        <v>79</v>
      </c>
      <c r="AE330" s="101" t="s">
        <v>75</v>
      </c>
      <c r="AF330" s="101" t="s">
        <v>400</v>
      </c>
      <c r="AI330" s="101" t="s">
        <v>172</v>
      </c>
    </row>
    <row r="331" spans="1:35">
      <c r="A331" s="246" t="s">
        <v>111</v>
      </c>
      <c r="B331" s="246" t="s">
        <v>66</v>
      </c>
      <c r="C331" s="246" t="s">
        <v>126</v>
      </c>
      <c r="D331" s="246" t="s">
        <v>273</v>
      </c>
      <c r="E331" s="246"/>
      <c r="F331" s="246"/>
      <c r="G331" s="132" t="s">
        <v>721</v>
      </c>
      <c r="H331" s="132" t="s">
        <v>1174</v>
      </c>
      <c r="I331" s="132">
        <v>-63631.040000000001</v>
      </c>
      <c r="J331" s="101" t="s">
        <v>889</v>
      </c>
      <c r="K331" s="245" t="s">
        <v>390</v>
      </c>
      <c r="L331" s="245">
        <v>42705</v>
      </c>
      <c r="M331" s="245" t="s">
        <v>391</v>
      </c>
      <c r="N331" s="101">
        <v>0</v>
      </c>
      <c r="O331" s="101" t="s">
        <v>392</v>
      </c>
      <c r="P331" s="101">
        <v>0</v>
      </c>
      <c r="Q331" s="101">
        <v>0</v>
      </c>
      <c r="R331" s="101" t="s">
        <v>444</v>
      </c>
      <c r="S331" s="101" t="s">
        <v>722</v>
      </c>
      <c r="T331" s="101" t="s">
        <v>394</v>
      </c>
      <c r="U331" s="101" t="s">
        <v>86</v>
      </c>
      <c r="V331" s="245">
        <v>17319</v>
      </c>
      <c r="W331" s="101" t="s">
        <v>445</v>
      </c>
      <c r="X331" s="101" t="s">
        <v>76</v>
      </c>
      <c r="Y331" s="101" t="s">
        <v>392</v>
      </c>
      <c r="Z331" s="101" t="s">
        <v>412</v>
      </c>
      <c r="AA331" s="101" t="s">
        <v>723</v>
      </c>
      <c r="AB331" s="101">
        <v>101002516</v>
      </c>
      <c r="AC331" s="101" t="s">
        <v>414</v>
      </c>
      <c r="AD331" s="101" t="s">
        <v>79</v>
      </c>
      <c r="AE331" s="101" t="s">
        <v>75</v>
      </c>
      <c r="AF331" s="101" t="s">
        <v>400</v>
      </c>
      <c r="AI331" s="101" t="s">
        <v>172</v>
      </c>
    </row>
    <row r="332" spans="1:35">
      <c r="A332" s="246" t="s">
        <v>112</v>
      </c>
      <c r="B332" s="246" t="s">
        <v>66</v>
      </c>
      <c r="C332" s="246" t="s">
        <v>126</v>
      </c>
      <c r="D332" s="246" t="s">
        <v>270</v>
      </c>
      <c r="E332" s="246"/>
      <c r="F332" s="246"/>
      <c r="G332" s="132" t="s">
        <v>721</v>
      </c>
      <c r="H332" s="132" t="s">
        <v>1174</v>
      </c>
      <c r="I332" s="132">
        <v>-63631.040000000001</v>
      </c>
      <c r="J332" s="101" t="s">
        <v>889</v>
      </c>
      <c r="K332" s="245" t="s">
        <v>390</v>
      </c>
      <c r="L332" s="245">
        <v>42887</v>
      </c>
      <c r="M332" s="245" t="s">
        <v>391</v>
      </c>
      <c r="N332" s="101">
        <v>0</v>
      </c>
      <c r="O332" s="101" t="s">
        <v>392</v>
      </c>
      <c r="P332" s="101">
        <v>0</v>
      </c>
      <c r="Q332" s="101">
        <v>0</v>
      </c>
      <c r="R332" s="101" t="s">
        <v>444</v>
      </c>
      <c r="S332" s="101" t="s">
        <v>722</v>
      </c>
      <c r="T332" s="101" t="s">
        <v>394</v>
      </c>
      <c r="U332" s="101" t="s">
        <v>86</v>
      </c>
      <c r="V332" s="245">
        <v>17319</v>
      </c>
      <c r="W332" s="101" t="s">
        <v>445</v>
      </c>
      <c r="X332" s="101" t="s">
        <v>76</v>
      </c>
      <c r="Y332" s="101" t="s">
        <v>392</v>
      </c>
      <c r="Z332" s="101" t="s">
        <v>412</v>
      </c>
      <c r="AA332" s="101" t="s">
        <v>723</v>
      </c>
      <c r="AB332" s="101">
        <v>101002516</v>
      </c>
      <c r="AC332" s="101" t="s">
        <v>414</v>
      </c>
      <c r="AD332" s="101" t="s">
        <v>79</v>
      </c>
      <c r="AE332" s="101" t="s">
        <v>75</v>
      </c>
      <c r="AF332" s="101" t="s">
        <v>400</v>
      </c>
      <c r="AI332" s="101" t="s">
        <v>172</v>
      </c>
    </row>
    <row r="333" spans="1:35">
      <c r="A333" s="246" t="s">
        <v>113</v>
      </c>
      <c r="B333" s="246" t="s">
        <v>66</v>
      </c>
      <c r="C333" s="246" t="s">
        <v>126</v>
      </c>
      <c r="D333" s="246" t="s">
        <v>271</v>
      </c>
      <c r="E333" s="246"/>
      <c r="F333" s="246"/>
      <c r="G333" s="132" t="s">
        <v>721</v>
      </c>
      <c r="H333" s="132" t="s">
        <v>1174</v>
      </c>
      <c r="I333" s="132">
        <v>-63631.040000000001</v>
      </c>
      <c r="J333" s="101" t="s">
        <v>889</v>
      </c>
      <c r="K333" s="245" t="s">
        <v>390</v>
      </c>
      <c r="L333" s="245">
        <v>43070</v>
      </c>
      <c r="M333" s="245" t="s">
        <v>391</v>
      </c>
      <c r="N333" s="101">
        <v>0</v>
      </c>
      <c r="O333" s="101" t="s">
        <v>392</v>
      </c>
      <c r="P333" s="101">
        <v>0</v>
      </c>
      <c r="Q333" s="101">
        <v>0</v>
      </c>
      <c r="R333" s="101" t="s">
        <v>444</v>
      </c>
      <c r="S333" s="101" t="s">
        <v>722</v>
      </c>
      <c r="T333" s="101" t="s">
        <v>394</v>
      </c>
      <c r="U333" s="101" t="s">
        <v>86</v>
      </c>
      <c r="V333" s="245">
        <v>17319</v>
      </c>
      <c r="W333" s="101" t="s">
        <v>445</v>
      </c>
      <c r="X333" s="101" t="s">
        <v>76</v>
      </c>
      <c r="Y333" s="101" t="s">
        <v>392</v>
      </c>
      <c r="Z333" s="101" t="s">
        <v>412</v>
      </c>
      <c r="AA333" s="101" t="s">
        <v>723</v>
      </c>
      <c r="AB333" s="101">
        <v>101002516</v>
      </c>
      <c r="AC333" s="101" t="s">
        <v>414</v>
      </c>
      <c r="AD333" s="101" t="s">
        <v>79</v>
      </c>
      <c r="AE333" s="101" t="s">
        <v>75</v>
      </c>
      <c r="AF333" s="101" t="s">
        <v>400</v>
      </c>
      <c r="AI333" s="101" t="s">
        <v>172</v>
      </c>
    </row>
    <row r="334" spans="1:35">
      <c r="A334" s="246" t="s">
        <v>107</v>
      </c>
      <c r="B334" s="246" t="s">
        <v>66</v>
      </c>
      <c r="C334" s="246" t="s">
        <v>126</v>
      </c>
      <c r="D334" s="246" t="s">
        <v>1769</v>
      </c>
      <c r="E334" s="246"/>
      <c r="F334" s="246"/>
      <c r="G334" s="132">
        <v>0</v>
      </c>
      <c r="H334" s="132">
        <v>0</v>
      </c>
      <c r="I334" s="132">
        <v>0</v>
      </c>
      <c r="J334" s="101" t="s">
        <v>889</v>
      </c>
      <c r="K334" s="245" t="s">
        <v>390</v>
      </c>
      <c r="L334" s="245">
        <v>42522</v>
      </c>
      <c r="M334" s="245" t="s">
        <v>391</v>
      </c>
      <c r="N334" s="101">
        <v>0</v>
      </c>
      <c r="O334" s="101" t="s">
        <v>392</v>
      </c>
      <c r="P334" s="101">
        <v>0</v>
      </c>
      <c r="Q334" s="101">
        <v>0</v>
      </c>
      <c r="R334" s="101" t="s">
        <v>428</v>
      </c>
      <c r="S334" s="101">
        <v>148669</v>
      </c>
      <c r="T334" s="101" t="s">
        <v>394</v>
      </c>
      <c r="V334" s="245">
        <v>43433</v>
      </c>
      <c r="W334" s="101" t="s">
        <v>424</v>
      </c>
      <c r="X334" s="101" t="s">
        <v>429</v>
      </c>
      <c r="Y334" s="101" t="s">
        <v>392</v>
      </c>
      <c r="Z334" s="101" t="s">
        <v>430</v>
      </c>
      <c r="AA334" s="101" t="s">
        <v>397</v>
      </c>
      <c r="AB334" s="101">
        <v>5101000018</v>
      </c>
      <c r="AC334" s="101" t="s">
        <v>431</v>
      </c>
      <c r="AD334" s="101" t="s">
        <v>431</v>
      </c>
      <c r="AE334" s="101" t="s">
        <v>75</v>
      </c>
      <c r="AF334" s="101" t="s">
        <v>400</v>
      </c>
      <c r="AG334" s="101" t="s">
        <v>704</v>
      </c>
      <c r="AI334" s="101" t="s">
        <v>760</v>
      </c>
    </row>
    <row r="335" spans="1:35">
      <c r="A335" s="246" t="s">
        <v>109</v>
      </c>
      <c r="B335" s="246" t="s">
        <v>66</v>
      </c>
      <c r="C335" s="246" t="s">
        <v>126</v>
      </c>
      <c r="D335" s="246" t="s">
        <v>272</v>
      </c>
      <c r="E335" s="246"/>
      <c r="F335" s="246"/>
      <c r="G335" s="132">
        <v>0</v>
      </c>
      <c r="H335" s="132">
        <v>0</v>
      </c>
      <c r="I335" s="132">
        <v>0</v>
      </c>
      <c r="J335" s="101" t="s">
        <v>889</v>
      </c>
      <c r="K335" s="245" t="s">
        <v>390</v>
      </c>
      <c r="L335" s="245">
        <v>42552</v>
      </c>
      <c r="M335" s="245" t="s">
        <v>391</v>
      </c>
      <c r="N335" s="101">
        <v>0</v>
      </c>
      <c r="O335" s="101" t="s">
        <v>392</v>
      </c>
      <c r="P335" s="101">
        <v>0</v>
      </c>
      <c r="Q335" s="101">
        <v>0</v>
      </c>
      <c r="R335" s="101" t="s">
        <v>428</v>
      </c>
      <c r="S335" s="101">
        <v>148669</v>
      </c>
      <c r="T335" s="101" t="s">
        <v>394</v>
      </c>
      <c r="V335" s="245">
        <v>43433</v>
      </c>
      <c r="W335" s="101" t="s">
        <v>424</v>
      </c>
      <c r="X335" s="101" t="s">
        <v>429</v>
      </c>
      <c r="Y335" s="101" t="s">
        <v>392</v>
      </c>
      <c r="Z335" s="101" t="s">
        <v>430</v>
      </c>
      <c r="AA335" s="101" t="s">
        <v>397</v>
      </c>
      <c r="AB335" s="101">
        <v>5101000018</v>
      </c>
      <c r="AC335" s="101" t="s">
        <v>431</v>
      </c>
      <c r="AD335" s="101" t="s">
        <v>431</v>
      </c>
      <c r="AE335" s="101" t="s">
        <v>75</v>
      </c>
      <c r="AF335" s="101" t="s">
        <v>400</v>
      </c>
      <c r="AG335" s="101" t="s">
        <v>704</v>
      </c>
      <c r="AI335" s="101" t="s">
        <v>760</v>
      </c>
    </row>
    <row r="336" spans="1:35">
      <c r="A336" s="246" t="s">
        <v>109</v>
      </c>
      <c r="B336" s="246" t="s">
        <v>66</v>
      </c>
      <c r="C336" s="246" t="s">
        <v>126</v>
      </c>
      <c r="D336" s="246" t="s">
        <v>272</v>
      </c>
      <c r="E336" s="246"/>
      <c r="F336" s="246"/>
      <c r="G336" s="132">
        <v>0</v>
      </c>
      <c r="H336" s="132">
        <v>0</v>
      </c>
      <c r="I336" s="132">
        <v>0</v>
      </c>
      <c r="J336" s="101" t="s">
        <v>889</v>
      </c>
      <c r="K336" s="245" t="s">
        <v>390</v>
      </c>
      <c r="L336" s="245">
        <v>42583</v>
      </c>
      <c r="M336" s="245" t="s">
        <v>391</v>
      </c>
      <c r="N336" s="101">
        <v>0</v>
      </c>
      <c r="O336" s="101" t="s">
        <v>392</v>
      </c>
      <c r="P336" s="101">
        <v>0</v>
      </c>
      <c r="Q336" s="101">
        <v>0</v>
      </c>
      <c r="R336" s="101" t="s">
        <v>428</v>
      </c>
      <c r="S336" s="101">
        <v>148669</v>
      </c>
      <c r="T336" s="101" t="s">
        <v>394</v>
      </c>
      <c r="V336" s="245">
        <v>43433</v>
      </c>
      <c r="W336" s="101" t="s">
        <v>424</v>
      </c>
      <c r="X336" s="101" t="s">
        <v>429</v>
      </c>
      <c r="Y336" s="101" t="s">
        <v>392</v>
      </c>
      <c r="Z336" s="101" t="s">
        <v>430</v>
      </c>
      <c r="AA336" s="101" t="s">
        <v>397</v>
      </c>
      <c r="AB336" s="101">
        <v>5101000018</v>
      </c>
      <c r="AC336" s="101" t="s">
        <v>431</v>
      </c>
      <c r="AD336" s="101" t="s">
        <v>431</v>
      </c>
      <c r="AE336" s="101" t="s">
        <v>75</v>
      </c>
      <c r="AF336" s="101" t="s">
        <v>400</v>
      </c>
      <c r="AG336" s="101" t="s">
        <v>704</v>
      </c>
      <c r="AI336" s="101" t="s">
        <v>760</v>
      </c>
    </row>
    <row r="337" spans="1:35">
      <c r="A337" s="246" t="s">
        <v>110</v>
      </c>
      <c r="B337" s="246" t="s">
        <v>66</v>
      </c>
      <c r="C337" s="246" t="s">
        <v>126</v>
      </c>
      <c r="D337" s="246" t="s">
        <v>281</v>
      </c>
      <c r="E337" s="246"/>
      <c r="F337" s="246"/>
      <c r="G337" s="132">
        <v>0</v>
      </c>
      <c r="H337" s="132">
        <v>0</v>
      </c>
      <c r="I337" s="132">
        <v>0</v>
      </c>
      <c r="J337" s="101" t="s">
        <v>889</v>
      </c>
      <c r="K337" s="245" t="s">
        <v>390</v>
      </c>
      <c r="L337" s="245">
        <v>42614</v>
      </c>
      <c r="M337" s="245" t="s">
        <v>391</v>
      </c>
      <c r="N337" s="101">
        <v>0</v>
      </c>
      <c r="O337" s="101" t="s">
        <v>392</v>
      </c>
      <c r="P337" s="101">
        <v>0</v>
      </c>
      <c r="Q337" s="101">
        <v>0</v>
      </c>
      <c r="R337" s="101" t="s">
        <v>428</v>
      </c>
      <c r="S337" s="101">
        <v>148669</v>
      </c>
      <c r="T337" s="101" t="s">
        <v>394</v>
      </c>
      <c r="V337" s="245">
        <v>43433</v>
      </c>
      <c r="W337" s="101" t="s">
        <v>424</v>
      </c>
      <c r="X337" s="101" t="s">
        <v>429</v>
      </c>
      <c r="Y337" s="101" t="s">
        <v>392</v>
      </c>
      <c r="Z337" s="101" t="s">
        <v>430</v>
      </c>
      <c r="AA337" s="101" t="s">
        <v>397</v>
      </c>
      <c r="AB337" s="101">
        <v>5101000018</v>
      </c>
      <c r="AC337" s="101" t="s">
        <v>431</v>
      </c>
      <c r="AD337" s="101" t="s">
        <v>431</v>
      </c>
      <c r="AE337" s="101" t="s">
        <v>75</v>
      </c>
      <c r="AF337" s="101" t="s">
        <v>400</v>
      </c>
      <c r="AG337" s="101" t="s">
        <v>704</v>
      </c>
      <c r="AI337" s="101" t="s">
        <v>760</v>
      </c>
    </row>
    <row r="338" spans="1:35">
      <c r="A338" s="246" t="s">
        <v>110</v>
      </c>
      <c r="B338" s="246" t="s">
        <v>66</v>
      </c>
      <c r="C338" s="246" t="s">
        <v>126</v>
      </c>
      <c r="D338" s="246" t="s">
        <v>281</v>
      </c>
      <c r="E338" s="246"/>
      <c r="F338" s="246"/>
      <c r="G338" s="132">
        <v>0</v>
      </c>
      <c r="H338" s="132">
        <v>0</v>
      </c>
      <c r="I338" s="132">
        <v>0</v>
      </c>
      <c r="J338" s="101" t="s">
        <v>889</v>
      </c>
      <c r="K338" s="245" t="s">
        <v>390</v>
      </c>
      <c r="L338" s="245">
        <v>42646</v>
      </c>
      <c r="M338" s="245" t="s">
        <v>391</v>
      </c>
      <c r="N338" s="101">
        <v>0</v>
      </c>
      <c r="O338" s="101" t="s">
        <v>392</v>
      </c>
      <c r="P338" s="101">
        <v>0</v>
      </c>
      <c r="Q338" s="101">
        <v>0</v>
      </c>
      <c r="R338" s="101" t="s">
        <v>428</v>
      </c>
      <c r="S338" s="101">
        <v>148669</v>
      </c>
      <c r="T338" s="101" t="s">
        <v>394</v>
      </c>
      <c r="V338" s="245">
        <v>43433</v>
      </c>
      <c r="W338" s="101" t="s">
        <v>424</v>
      </c>
      <c r="X338" s="101" t="s">
        <v>429</v>
      </c>
      <c r="Y338" s="101" t="s">
        <v>392</v>
      </c>
      <c r="Z338" s="101" t="s">
        <v>430</v>
      </c>
      <c r="AA338" s="101" t="s">
        <v>397</v>
      </c>
      <c r="AB338" s="101">
        <v>5101000018</v>
      </c>
      <c r="AC338" s="101" t="s">
        <v>431</v>
      </c>
      <c r="AD338" s="101" t="s">
        <v>431</v>
      </c>
      <c r="AE338" s="101" t="s">
        <v>75</v>
      </c>
      <c r="AF338" s="101" t="s">
        <v>400</v>
      </c>
      <c r="AG338" s="101" t="s">
        <v>704</v>
      </c>
      <c r="AI338" s="101" t="s">
        <v>760</v>
      </c>
    </row>
    <row r="339" spans="1:35">
      <c r="A339" s="246" t="s">
        <v>110</v>
      </c>
      <c r="B339" s="246" t="s">
        <v>66</v>
      </c>
      <c r="C339" s="246" t="s">
        <v>126</v>
      </c>
      <c r="D339" s="246" t="s">
        <v>281</v>
      </c>
      <c r="E339" s="246"/>
      <c r="F339" s="246"/>
      <c r="G339" s="132">
        <v>0</v>
      </c>
      <c r="H339" s="132">
        <v>0</v>
      </c>
      <c r="I339" s="132">
        <v>0</v>
      </c>
      <c r="J339" s="101" t="s">
        <v>889</v>
      </c>
      <c r="K339" s="245" t="s">
        <v>390</v>
      </c>
      <c r="L339" s="245">
        <v>42675</v>
      </c>
      <c r="M339" s="245" t="s">
        <v>391</v>
      </c>
      <c r="N339" s="101">
        <v>0</v>
      </c>
      <c r="O339" s="101" t="s">
        <v>392</v>
      </c>
      <c r="P339" s="101">
        <v>0</v>
      </c>
      <c r="Q339" s="101">
        <v>0</v>
      </c>
      <c r="R339" s="101" t="s">
        <v>428</v>
      </c>
      <c r="S339" s="101">
        <v>148669</v>
      </c>
      <c r="T339" s="101" t="s">
        <v>394</v>
      </c>
      <c r="V339" s="245">
        <v>43433</v>
      </c>
      <c r="W339" s="101" t="s">
        <v>424</v>
      </c>
      <c r="X339" s="101" t="s">
        <v>429</v>
      </c>
      <c r="Y339" s="101" t="s">
        <v>392</v>
      </c>
      <c r="Z339" s="101" t="s">
        <v>430</v>
      </c>
      <c r="AA339" s="101" t="s">
        <v>397</v>
      </c>
      <c r="AB339" s="101">
        <v>5101000018</v>
      </c>
      <c r="AC339" s="101" t="s">
        <v>431</v>
      </c>
      <c r="AD339" s="101" t="s">
        <v>431</v>
      </c>
      <c r="AE339" s="101" t="s">
        <v>75</v>
      </c>
      <c r="AF339" s="101" t="s">
        <v>400</v>
      </c>
      <c r="AG339" s="101" t="s">
        <v>704</v>
      </c>
      <c r="AI339" s="101" t="s">
        <v>760</v>
      </c>
    </row>
    <row r="340" spans="1:35">
      <c r="A340" s="246" t="s">
        <v>111</v>
      </c>
      <c r="B340" s="246" t="s">
        <v>66</v>
      </c>
      <c r="C340" s="246" t="s">
        <v>126</v>
      </c>
      <c r="D340" s="246" t="s">
        <v>273</v>
      </c>
      <c r="E340" s="246"/>
      <c r="F340" s="246"/>
      <c r="G340" s="132">
        <v>0</v>
      </c>
      <c r="H340" s="132">
        <v>0</v>
      </c>
      <c r="I340" s="132">
        <v>0</v>
      </c>
      <c r="J340" s="101" t="s">
        <v>889</v>
      </c>
      <c r="K340" s="245" t="s">
        <v>390</v>
      </c>
      <c r="L340" s="245">
        <v>42705</v>
      </c>
      <c r="M340" s="245" t="s">
        <v>391</v>
      </c>
      <c r="N340" s="101">
        <v>0</v>
      </c>
      <c r="O340" s="101" t="s">
        <v>392</v>
      </c>
      <c r="P340" s="101">
        <v>0</v>
      </c>
      <c r="Q340" s="101">
        <v>0</v>
      </c>
      <c r="R340" s="101" t="s">
        <v>428</v>
      </c>
      <c r="S340" s="101">
        <v>148669</v>
      </c>
      <c r="T340" s="101" t="s">
        <v>394</v>
      </c>
      <c r="V340" s="245">
        <v>43433</v>
      </c>
      <c r="W340" s="101" t="s">
        <v>424</v>
      </c>
      <c r="X340" s="101" t="s">
        <v>429</v>
      </c>
      <c r="Y340" s="101" t="s">
        <v>392</v>
      </c>
      <c r="Z340" s="101" t="s">
        <v>430</v>
      </c>
      <c r="AA340" s="101" t="s">
        <v>397</v>
      </c>
      <c r="AB340" s="101">
        <v>5101000018</v>
      </c>
      <c r="AC340" s="101" t="s">
        <v>431</v>
      </c>
      <c r="AD340" s="101" t="s">
        <v>431</v>
      </c>
      <c r="AE340" s="101" t="s">
        <v>75</v>
      </c>
      <c r="AF340" s="101" t="s">
        <v>400</v>
      </c>
      <c r="AG340" s="101" t="s">
        <v>704</v>
      </c>
      <c r="AI340" s="101" t="s">
        <v>760</v>
      </c>
    </row>
    <row r="341" spans="1:35">
      <c r="A341" s="246" t="s">
        <v>110</v>
      </c>
      <c r="B341" s="246" t="s">
        <v>66</v>
      </c>
      <c r="C341" s="246" t="s">
        <v>264</v>
      </c>
      <c r="D341" s="246" t="s">
        <v>289</v>
      </c>
      <c r="E341" s="246"/>
      <c r="F341" s="246"/>
      <c r="G341" s="132" t="s">
        <v>487</v>
      </c>
      <c r="H341" s="132" t="s">
        <v>1175</v>
      </c>
      <c r="I341" s="132">
        <v>7426564.8600000003</v>
      </c>
      <c r="J341" s="101" t="s">
        <v>889</v>
      </c>
      <c r="K341" s="245" t="s">
        <v>390</v>
      </c>
      <c r="L341" s="245">
        <v>42613</v>
      </c>
      <c r="M341" s="245" t="s">
        <v>421</v>
      </c>
      <c r="N341" s="101">
        <v>0</v>
      </c>
      <c r="O341" s="101" t="s">
        <v>392</v>
      </c>
      <c r="P341" s="101">
        <v>0</v>
      </c>
      <c r="Q341" s="101">
        <v>0</v>
      </c>
      <c r="R341" s="101" t="s">
        <v>410</v>
      </c>
      <c r="S341" s="101" t="s">
        <v>477</v>
      </c>
      <c r="T341" s="101" t="s">
        <v>394</v>
      </c>
      <c r="U341" s="101" t="s">
        <v>81</v>
      </c>
      <c r="V341" s="245">
        <v>46371</v>
      </c>
      <c r="W341" s="101" t="s">
        <v>445</v>
      </c>
      <c r="X341" s="101" t="s">
        <v>76</v>
      </c>
      <c r="Y341" s="101" t="s">
        <v>392</v>
      </c>
      <c r="Z341" s="101" t="s">
        <v>412</v>
      </c>
      <c r="AA341" s="101" t="s">
        <v>478</v>
      </c>
      <c r="AB341" s="101">
        <v>3101053970</v>
      </c>
      <c r="AC341" s="101" t="s">
        <v>414</v>
      </c>
      <c r="AD341" s="101" t="s">
        <v>79</v>
      </c>
      <c r="AE341" s="101" t="s">
        <v>75</v>
      </c>
      <c r="AF341" s="101" t="s">
        <v>400</v>
      </c>
      <c r="AI341" s="101" t="s">
        <v>172</v>
      </c>
    </row>
    <row r="342" spans="1:35">
      <c r="A342" s="246" t="s">
        <v>110</v>
      </c>
      <c r="B342" s="246" t="s">
        <v>66</v>
      </c>
      <c r="C342" s="246" t="s">
        <v>264</v>
      </c>
      <c r="D342" s="246" t="s">
        <v>289</v>
      </c>
      <c r="E342" s="246"/>
      <c r="F342" s="246"/>
      <c r="G342" s="132" t="s">
        <v>488</v>
      </c>
      <c r="H342" s="132" t="s">
        <v>1176</v>
      </c>
      <c r="I342" s="132">
        <v>-1756615.1300000001</v>
      </c>
      <c r="J342" s="101" t="s">
        <v>889</v>
      </c>
      <c r="K342" s="245" t="s">
        <v>390</v>
      </c>
      <c r="L342" s="245">
        <v>42627</v>
      </c>
      <c r="M342" s="245" t="s">
        <v>421</v>
      </c>
      <c r="N342" s="101">
        <v>0</v>
      </c>
      <c r="O342" s="101" t="s">
        <v>392</v>
      </c>
      <c r="P342" s="101">
        <v>0</v>
      </c>
      <c r="Q342" s="101">
        <v>0</v>
      </c>
      <c r="R342" s="101" t="s">
        <v>422</v>
      </c>
      <c r="S342" s="101" t="s">
        <v>477</v>
      </c>
      <c r="T342" s="101" t="s">
        <v>394</v>
      </c>
      <c r="U342" s="101" t="s">
        <v>81</v>
      </c>
      <c r="V342" s="245">
        <v>46371</v>
      </c>
      <c r="W342" s="101" t="s">
        <v>445</v>
      </c>
      <c r="X342" s="101" t="s">
        <v>76</v>
      </c>
      <c r="Y342" s="101" t="s">
        <v>392</v>
      </c>
      <c r="Z342" s="101" t="s">
        <v>412</v>
      </c>
      <c r="AA342" s="101" t="s">
        <v>478</v>
      </c>
      <c r="AB342" s="101">
        <v>3101053970</v>
      </c>
      <c r="AC342" s="101" t="s">
        <v>414</v>
      </c>
      <c r="AD342" s="101" t="s">
        <v>79</v>
      </c>
      <c r="AE342" s="101" t="s">
        <v>75</v>
      </c>
      <c r="AF342" s="101" t="s">
        <v>400</v>
      </c>
      <c r="AI342" s="101" t="s">
        <v>172</v>
      </c>
    </row>
    <row r="343" spans="1:35">
      <c r="A343" s="246" t="s">
        <v>110</v>
      </c>
      <c r="B343" s="246" t="s">
        <v>66</v>
      </c>
      <c r="C343" s="246" t="s">
        <v>126</v>
      </c>
      <c r="D343" s="246" t="s">
        <v>281</v>
      </c>
      <c r="E343" s="246"/>
      <c r="F343" s="246"/>
      <c r="G343" s="132" t="s">
        <v>489</v>
      </c>
      <c r="H343" s="132" t="s">
        <v>1177</v>
      </c>
      <c r="I343" s="132">
        <v>-77588.78</v>
      </c>
      <c r="J343" s="101" t="s">
        <v>889</v>
      </c>
      <c r="K343" s="245" t="s">
        <v>390</v>
      </c>
      <c r="L343" s="245">
        <v>42643</v>
      </c>
      <c r="M343" s="245" t="s">
        <v>391</v>
      </c>
      <c r="N343" s="101">
        <v>0</v>
      </c>
      <c r="O343" s="101" t="s">
        <v>392</v>
      </c>
      <c r="P343" s="101">
        <v>0</v>
      </c>
      <c r="Q343" s="101">
        <v>0</v>
      </c>
      <c r="R343" s="101" t="s">
        <v>422</v>
      </c>
      <c r="S343" s="101" t="s">
        <v>477</v>
      </c>
      <c r="T343" s="101" t="s">
        <v>394</v>
      </c>
      <c r="U343" s="101" t="s">
        <v>81</v>
      </c>
      <c r="V343" s="245">
        <v>46371</v>
      </c>
      <c r="W343" s="101" t="s">
        <v>445</v>
      </c>
      <c r="X343" s="101" t="s">
        <v>76</v>
      </c>
      <c r="Y343" s="101" t="s">
        <v>392</v>
      </c>
      <c r="Z343" s="101" t="s">
        <v>412</v>
      </c>
      <c r="AA343" s="101" t="s">
        <v>478</v>
      </c>
      <c r="AB343" s="101">
        <v>3101053970</v>
      </c>
      <c r="AC343" s="101" t="s">
        <v>414</v>
      </c>
      <c r="AD343" s="101" t="s">
        <v>79</v>
      </c>
      <c r="AE343" s="101" t="s">
        <v>75</v>
      </c>
      <c r="AF343" s="101" t="s">
        <v>400</v>
      </c>
      <c r="AI343" s="101" t="s">
        <v>172</v>
      </c>
    </row>
    <row r="344" spans="1:35">
      <c r="A344" s="246" t="s">
        <v>110</v>
      </c>
      <c r="B344" s="246" t="s">
        <v>66</v>
      </c>
      <c r="C344" s="246" t="s">
        <v>264</v>
      </c>
      <c r="D344" s="246" t="s">
        <v>289</v>
      </c>
      <c r="E344" s="246"/>
      <c r="F344" s="246"/>
      <c r="G344" s="132" t="s">
        <v>490</v>
      </c>
      <c r="H344" s="132" t="s">
        <v>1178</v>
      </c>
      <c r="I344" s="132">
        <v>7539625.5899999999</v>
      </c>
      <c r="J344" s="101" t="s">
        <v>889</v>
      </c>
      <c r="K344" s="245" t="s">
        <v>390</v>
      </c>
      <c r="L344" s="245">
        <v>42643</v>
      </c>
      <c r="M344" s="245" t="s">
        <v>421</v>
      </c>
      <c r="N344" s="101">
        <v>0</v>
      </c>
      <c r="O344" s="101" t="s">
        <v>392</v>
      </c>
      <c r="P344" s="101">
        <v>0</v>
      </c>
      <c r="Q344" s="101">
        <v>0</v>
      </c>
      <c r="R344" s="101" t="s">
        <v>410</v>
      </c>
      <c r="S344" s="101" t="s">
        <v>477</v>
      </c>
      <c r="T344" s="101" t="s">
        <v>394</v>
      </c>
      <c r="U344" s="101" t="s">
        <v>81</v>
      </c>
      <c r="V344" s="245">
        <v>46371</v>
      </c>
      <c r="W344" s="101" t="s">
        <v>445</v>
      </c>
      <c r="X344" s="101" t="s">
        <v>76</v>
      </c>
      <c r="Y344" s="101" t="s">
        <v>392</v>
      </c>
      <c r="Z344" s="101" t="s">
        <v>412</v>
      </c>
      <c r="AA344" s="101" t="s">
        <v>478</v>
      </c>
      <c r="AB344" s="101">
        <v>3101053970</v>
      </c>
      <c r="AC344" s="101" t="s">
        <v>414</v>
      </c>
      <c r="AD344" s="101" t="s">
        <v>79</v>
      </c>
      <c r="AE344" s="101" t="s">
        <v>75</v>
      </c>
      <c r="AF344" s="101" t="s">
        <v>400</v>
      </c>
      <c r="AI344" s="101" t="s">
        <v>172</v>
      </c>
    </row>
    <row r="345" spans="1:35">
      <c r="A345" s="246" t="s">
        <v>110</v>
      </c>
      <c r="B345" s="246" t="s">
        <v>66</v>
      </c>
      <c r="C345" s="246" t="s">
        <v>126</v>
      </c>
      <c r="D345" s="246" t="s">
        <v>281</v>
      </c>
      <c r="E345" s="246"/>
      <c r="F345" s="246"/>
      <c r="G345" s="132" t="s">
        <v>491</v>
      </c>
      <c r="H345" s="132" t="s">
        <v>1179</v>
      </c>
      <c r="I345" s="132">
        <v>-106647.15</v>
      </c>
      <c r="J345" s="101" t="s">
        <v>889</v>
      </c>
      <c r="K345" s="245" t="s">
        <v>390</v>
      </c>
      <c r="L345" s="245">
        <v>42674</v>
      </c>
      <c r="M345" s="245" t="s">
        <v>391</v>
      </c>
      <c r="N345" s="101">
        <v>0</v>
      </c>
      <c r="O345" s="101" t="s">
        <v>392</v>
      </c>
      <c r="P345" s="101">
        <v>0</v>
      </c>
      <c r="Q345" s="101">
        <v>0</v>
      </c>
      <c r="R345" s="101" t="s">
        <v>422</v>
      </c>
      <c r="S345" s="101" t="s">
        <v>477</v>
      </c>
      <c r="T345" s="101" t="s">
        <v>394</v>
      </c>
      <c r="U345" s="101" t="s">
        <v>81</v>
      </c>
      <c r="V345" s="245">
        <v>46371</v>
      </c>
      <c r="W345" s="101" t="s">
        <v>445</v>
      </c>
      <c r="X345" s="101" t="s">
        <v>76</v>
      </c>
      <c r="Y345" s="101" t="s">
        <v>392</v>
      </c>
      <c r="Z345" s="101" t="s">
        <v>412</v>
      </c>
      <c r="AA345" s="101" t="s">
        <v>478</v>
      </c>
      <c r="AB345" s="101">
        <v>3101053970</v>
      </c>
      <c r="AC345" s="101" t="s">
        <v>414</v>
      </c>
      <c r="AD345" s="101" t="s">
        <v>79</v>
      </c>
      <c r="AE345" s="101" t="s">
        <v>75</v>
      </c>
      <c r="AF345" s="101" t="s">
        <v>400</v>
      </c>
      <c r="AI345" s="101" t="s">
        <v>172</v>
      </c>
    </row>
    <row r="346" spans="1:35">
      <c r="A346" s="246" t="s">
        <v>110</v>
      </c>
      <c r="B346" s="246" t="s">
        <v>66</v>
      </c>
      <c r="C346" s="246" t="s">
        <v>264</v>
      </c>
      <c r="D346" s="246" t="s">
        <v>289</v>
      </c>
      <c r="E346" s="246"/>
      <c r="F346" s="246"/>
      <c r="G346" s="132" t="s">
        <v>492</v>
      </c>
      <c r="H346" s="132" t="s">
        <v>1180</v>
      </c>
      <c r="I346" s="132">
        <v>7457026.2199999997</v>
      </c>
      <c r="J346" s="101" t="s">
        <v>889</v>
      </c>
      <c r="K346" s="245" t="s">
        <v>390</v>
      </c>
      <c r="L346" s="245">
        <v>42674</v>
      </c>
      <c r="M346" s="245" t="s">
        <v>421</v>
      </c>
      <c r="N346" s="101">
        <v>0</v>
      </c>
      <c r="O346" s="101" t="s">
        <v>392</v>
      </c>
      <c r="P346" s="101">
        <v>0</v>
      </c>
      <c r="Q346" s="101">
        <v>0</v>
      </c>
      <c r="R346" s="101" t="s">
        <v>410</v>
      </c>
      <c r="S346" s="101" t="s">
        <v>477</v>
      </c>
      <c r="T346" s="101" t="s">
        <v>394</v>
      </c>
      <c r="U346" s="101" t="s">
        <v>81</v>
      </c>
      <c r="V346" s="245">
        <v>46371</v>
      </c>
      <c r="W346" s="101" t="s">
        <v>445</v>
      </c>
      <c r="X346" s="101" t="s">
        <v>76</v>
      </c>
      <c r="Y346" s="101" t="s">
        <v>392</v>
      </c>
      <c r="Z346" s="101" t="s">
        <v>412</v>
      </c>
      <c r="AA346" s="101" t="s">
        <v>478</v>
      </c>
      <c r="AB346" s="101">
        <v>3101053970</v>
      </c>
      <c r="AC346" s="101" t="s">
        <v>414</v>
      </c>
      <c r="AD346" s="101" t="s">
        <v>79</v>
      </c>
      <c r="AE346" s="101" t="s">
        <v>75</v>
      </c>
      <c r="AF346" s="101" t="s">
        <v>400</v>
      </c>
      <c r="AI346" s="101" t="s">
        <v>172</v>
      </c>
    </row>
    <row r="347" spans="1:35">
      <c r="A347" s="246" t="s">
        <v>111</v>
      </c>
      <c r="B347" s="246" t="s">
        <v>66</v>
      </c>
      <c r="C347" s="246" t="s">
        <v>126</v>
      </c>
      <c r="D347" s="246" t="s">
        <v>273</v>
      </c>
      <c r="E347" s="246"/>
      <c r="F347" s="246"/>
      <c r="G347" s="132" t="s">
        <v>493</v>
      </c>
      <c r="H347" s="132" t="s">
        <v>1181</v>
      </c>
      <c r="I347" s="132">
        <v>-131635.29999999999</v>
      </c>
      <c r="J347" s="101" t="s">
        <v>889</v>
      </c>
      <c r="K347" s="245" t="s">
        <v>390</v>
      </c>
      <c r="L347" s="245">
        <v>42704</v>
      </c>
      <c r="M347" s="245" t="s">
        <v>391</v>
      </c>
      <c r="N347" s="101">
        <v>0</v>
      </c>
      <c r="O347" s="101" t="s">
        <v>392</v>
      </c>
      <c r="P347" s="101">
        <v>0</v>
      </c>
      <c r="Q347" s="101">
        <v>0</v>
      </c>
      <c r="R347" s="101" t="s">
        <v>422</v>
      </c>
      <c r="S347" s="101" t="s">
        <v>477</v>
      </c>
      <c r="T347" s="101" t="s">
        <v>394</v>
      </c>
      <c r="U347" s="101" t="s">
        <v>81</v>
      </c>
      <c r="V347" s="245">
        <v>46371</v>
      </c>
      <c r="W347" s="101" t="s">
        <v>445</v>
      </c>
      <c r="X347" s="101" t="s">
        <v>76</v>
      </c>
      <c r="Y347" s="101" t="s">
        <v>392</v>
      </c>
      <c r="Z347" s="101" t="s">
        <v>412</v>
      </c>
      <c r="AA347" s="101" t="s">
        <v>478</v>
      </c>
      <c r="AB347" s="101">
        <v>3101053970</v>
      </c>
      <c r="AC347" s="101" t="s">
        <v>414</v>
      </c>
      <c r="AD347" s="101" t="s">
        <v>79</v>
      </c>
      <c r="AE347" s="101" t="s">
        <v>75</v>
      </c>
      <c r="AF347" s="101" t="s">
        <v>400</v>
      </c>
      <c r="AI347" s="101" t="s">
        <v>172</v>
      </c>
    </row>
    <row r="348" spans="1:35">
      <c r="A348" s="246" t="s">
        <v>111</v>
      </c>
      <c r="B348" s="246" t="s">
        <v>66</v>
      </c>
      <c r="C348" s="246" t="s">
        <v>264</v>
      </c>
      <c r="D348" s="246" t="s">
        <v>284</v>
      </c>
      <c r="E348" s="246"/>
      <c r="F348" s="246"/>
      <c r="G348" s="132" t="s">
        <v>494</v>
      </c>
      <c r="H348" s="132" t="s">
        <v>1182</v>
      </c>
      <c r="I348" s="132">
        <v>7903139.8399999999</v>
      </c>
      <c r="J348" s="101" t="s">
        <v>889</v>
      </c>
      <c r="K348" s="245" t="s">
        <v>390</v>
      </c>
      <c r="L348" s="245">
        <v>42704</v>
      </c>
      <c r="M348" s="245" t="s">
        <v>421</v>
      </c>
      <c r="N348" s="101">
        <v>0</v>
      </c>
      <c r="O348" s="101" t="s">
        <v>392</v>
      </c>
      <c r="P348" s="101">
        <v>0</v>
      </c>
      <c r="Q348" s="101">
        <v>0</v>
      </c>
      <c r="R348" s="101" t="s">
        <v>410</v>
      </c>
      <c r="S348" s="101" t="s">
        <v>477</v>
      </c>
      <c r="T348" s="101" t="s">
        <v>394</v>
      </c>
      <c r="U348" s="101" t="s">
        <v>81</v>
      </c>
      <c r="V348" s="245">
        <v>46371</v>
      </c>
      <c r="W348" s="101" t="s">
        <v>445</v>
      </c>
      <c r="X348" s="101" t="s">
        <v>76</v>
      </c>
      <c r="Y348" s="101" t="s">
        <v>392</v>
      </c>
      <c r="Z348" s="101" t="s">
        <v>412</v>
      </c>
      <c r="AA348" s="101" t="s">
        <v>478</v>
      </c>
      <c r="AB348" s="101">
        <v>3101053970</v>
      </c>
      <c r="AC348" s="101" t="s">
        <v>414</v>
      </c>
      <c r="AD348" s="101" t="s">
        <v>79</v>
      </c>
      <c r="AE348" s="101" t="s">
        <v>75</v>
      </c>
      <c r="AF348" s="101" t="s">
        <v>400</v>
      </c>
      <c r="AI348" s="101" t="s">
        <v>172</v>
      </c>
    </row>
    <row r="349" spans="1:35">
      <c r="A349" s="246" t="s">
        <v>111</v>
      </c>
      <c r="B349" s="246" t="s">
        <v>66</v>
      </c>
      <c r="C349" s="246" t="s">
        <v>264</v>
      </c>
      <c r="D349" s="246" t="s">
        <v>284</v>
      </c>
      <c r="E349" s="246"/>
      <c r="F349" s="246"/>
      <c r="G349" s="132" t="s">
        <v>495</v>
      </c>
      <c r="H349" s="132" t="s">
        <v>1183</v>
      </c>
      <c r="I349" s="132">
        <v>-42432287.109999992</v>
      </c>
      <c r="J349" s="101" t="s">
        <v>889</v>
      </c>
      <c r="K349" s="245" t="s">
        <v>390</v>
      </c>
      <c r="L349" s="245">
        <v>42718</v>
      </c>
      <c r="M349" s="245" t="s">
        <v>421</v>
      </c>
      <c r="N349" s="101">
        <v>0</v>
      </c>
      <c r="O349" s="101" t="s">
        <v>392</v>
      </c>
      <c r="P349" s="101">
        <v>0</v>
      </c>
      <c r="Q349" s="101">
        <v>0</v>
      </c>
      <c r="R349" s="101" t="s">
        <v>422</v>
      </c>
      <c r="S349" s="101" t="s">
        <v>477</v>
      </c>
      <c r="T349" s="101" t="s">
        <v>394</v>
      </c>
      <c r="U349" s="101" t="s">
        <v>81</v>
      </c>
      <c r="V349" s="245">
        <v>46371</v>
      </c>
      <c r="W349" s="101" t="s">
        <v>445</v>
      </c>
      <c r="X349" s="101" t="s">
        <v>76</v>
      </c>
      <c r="Y349" s="101" t="s">
        <v>392</v>
      </c>
      <c r="Z349" s="101" t="s">
        <v>412</v>
      </c>
      <c r="AA349" s="101" t="s">
        <v>478</v>
      </c>
      <c r="AB349" s="101">
        <v>3101053970</v>
      </c>
      <c r="AC349" s="101" t="s">
        <v>414</v>
      </c>
      <c r="AD349" s="101" t="s">
        <v>79</v>
      </c>
      <c r="AE349" s="101" t="s">
        <v>75</v>
      </c>
      <c r="AF349" s="101" t="s">
        <v>400</v>
      </c>
      <c r="AI349" s="101" t="s">
        <v>172</v>
      </c>
    </row>
    <row r="350" spans="1:35">
      <c r="A350" s="246" t="s">
        <v>111</v>
      </c>
      <c r="B350" s="246" t="s">
        <v>66</v>
      </c>
      <c r="C350" s="246" t="s">
        <v>264</v>
      </c>
      <c r="D350" s="246" t="s">
        <v>284</v>
      </c>
      <c r="E350" s="246"/>
      <c r="F350" s="246"/>
      <c r="G350" s="132" t="s">
        <v>496</v>
      </c>
      <c r="H350" s="132" t="s">
        <v>1184</v>
      </c>
      <c r="I350" s="132">
        <v>6223607.1499999994</v>
      </c>
      <c r="J350" s="101" t="s">
        <v>889</v>
      </c>
      <c r="K350" s="245" t="s">
        <v>390</v>
      </c>
      <c r="L350" s="245">
        <v>42734</v>
      </c>
      <c r="M350" s="245" t="s">
        <v>421</v>
      </c>
      <c r="N350" s="101">
        <v>0</v>
      </c>
      <c r="O350" s="101" t="s">
        <v>392</v>
      </c>
      <c r="P350" s="101">
        <v>0</v>
      </c>
      <c r="Q350" s="101">
        <v>0</v>
      </c>
      <c r="R350" s="101" t="s">
        <v>410</v>
      </c>
      <c r="S350" s="101" t="s">
        <v>477</v>
      </c>
      <c r="T350" s="101" t="s">
        <v>394</v>
      </c>
      <c r="U350" s="101" t="s">
        <v>81</v>
      </c>
      <c r="V350" s="245">
        <v>46371</v>
      </c>
      <c r="W350" s="101" t="s">
        <v>445</v>
      </c>
      <c r="X350" s="101" t="s">
        <v>76</v>
      </c>
      <c r="Y350" s="101" t="s">
        <v>392</v>
      </c>
      <c r="Z350" s="101" t="s">
        <v>412</v>
      </c>
      <c r="AA350" s="101" t="s">
        <v>478</v>
      </c>
      <c r="AB350" s="101">
        <v>3101053970</v>
      </c>
      <c r="AC350" s="101" t="s">
        <v>414</v>
      </c>
      <c r="AD350" s="101" t="s">
        <v>79</v>
      </c>
      <c r="AE350" s="101" t="s">
        <v>75</v>
      </c>
      <c r="AF350" s="101" t="s">
        <v>400</v>
      </c>
      <c r="AI350" s="101" t="s">
        <v>172</v>
      </c>
    </row>
    <row r="351" spans="1:35">
      <c r="A351" s="246" t="s">
        <v>111</v>
      </c>
      <c r="B351" s="246" t="s">
        <v>66</v>
      </c>
      <c r="C351" s="246" t="s">
        <v>126</v>
      </c>
      <c r="D351" s="246" t="s">
        <v>273</v>
      </c>
      <c r="E351" s="246"/>
      <c r="F351" s="246"/>
      <c r="G351" s="132" t="s">
        <v>497</v>
      </c>
      <c r="H351" s="132" t="s">
        <v>1185</v>
      </c>
      <c r="I351" s="132">
        <v>-76280.92</v>
      </c>
      <c r="J351" s="101" t="s">
        <v>889</v>
      </c>
      <c r="K351" s="245" t="s">
        <v>390</v>
      </c>
      <c r="L351" s="245">
        <v>42734</v>
      </c>
      <c r="M351" s="245" t="s">
        <v>391</v>
      </c>
      <c r="N351" s="101">
        <v>0</v>
      </c>
      <c r="O351" s="101" t="s">
        <v>392</v>
      </c>
      <c r="P351" s="101">
        <v>0</v>
      </c>
      <c r="Q351" s="101">
        <v>0</v>
      </c>
      <c r="R351" s="101" t="s">
        <v>422</v>
      </c>
      <c r="S351" s="101" t="s">
        <v>477</v>
      </c>
      <c r="T351" s="101" t="s">
        <v>394</v>
      </c>
      <c r="U351" s="101" t="s">
        <v>81</v>
      </c>
      <c r="V351" s="245">
        <v>46371</v>
      </c>
      <c r="W351" s="101" t="s">
        <v>445</v>
      </c>
      <c r="X351" s="101" t="s">
        <v>76</v>
      </c>
      <c r="Y351" s="101" t="s">
        <v>392</v>
      </c>
      <c r="Z351" s="101" t="s">
        <v>412</v>
      </c>
      <c r="AA351" s="101" t="s">
        <v>478</v>
      </c>
      <c r="AB351" s="101">
        <v>3101053970</v>
      </c>
      <c r="AC351" s="101" t="s">
        <v>414</v>
      </c>
      <c r="AD351" s="101" t="s">
        <v>79</v>
      </c>
      <c r="AE351" s="101" t="s">
        <v>75</v>
      </c>
      <c r="AF351" s="101" t="s">
        <v>400</v>
      </c>
      <c r="AI351" s="101" t="s">
        <v>172</v>
      </c>
    </row>
    <row r="352" spans="1:35">
      <c r="A352" s="246" t="s">
        <v>111</v>
      </c>
      <c r="B352" s="246" t="s">
        <v>66</v>
      </c>
      <c r="C352" s="246" t="s">
        <v>126</v>
      </c>
      <c r="D352" s="246" t="s">
        <v>273</v>
      </c>
      <c r="E352" s="246"/>
      <c r="F352" s="246"/>
      <c r="G352" s="132" t="s">
        <v>498</v>
      </c>
      <c r="H352" s="132" t="s">
        <v>1186</v>
      </c>
      <c r="I352" s="132">
        <v>-24582.11</v>
      </c>
      <c r="J352" s="101" t="s">
        <v>889</v>
      </c>
      <c r="K352" s="245" t="s">
        <v>390</v>
      </c>
      <c r="L352" s="245">
        <v>42766</v>
      </c>
      <c r="M352" s="245" t="s">
        <v>391</v>
      </c>
      <c r="N352" s="101">
        <v>0</v>
      </c>
      <c r="O352" s="101" t="s">
        <v>392</v>
      </c>
      <c r="P352" s="101">
        <v>0</v>
      </c>
      <c r="Q352" s="101">
        <v>0</v>
      </c>
      <c r="R352" s="101" t="s">
        <v>422</v>
      </c>
      <c r="S352" s="101" t="s">
        <v>477</v>
      </c>
      <c r="T352" s="101" t="s">
        <v>394</v>
      </c>
      <c r="U352" s="101" t="s">
        <v>81</v>
      </c>
      <c r="V352" s="245">
        <v>46371</v>
      </c>
      <c r="W352" s="101" t="s">
        <v>445</v>
      </c>
      <c r="X352" s="101" t="s">
        <v>76</v>
      </c>
      <c r="Y352" s="101" t="s">
        <v>392</v>
      </c>
      <c r="Z352" s="101" t="s">
        <v>412</v>
      </c>
      <c r="AA352" s="101" t="s">
        <v>478</v>
      </c>
      <c r="AB352" s="101">
        <v>3101053970</v>
      </c>
      <c r="AC352" s="101" t="s">
        <v>414</v>
      </c>
      <c r="AD352" s="101" t="s">
        <v>79</v>
      </c>
      <c r="AE352" s="101" t="s">
        <v>75</v>
      </c>
      <c r="AF352" s="101" t="s">
        <v>400</v>
      </c>
      <c r="AI352" s="101" t="s">
        <v>172</v>
      </c>
    </row>
    <row r="353" spans="1:35">
      <c r="A353" s="246" t="s">
        <v>111</v>
      </c>
      <c r="B353" s="246" t="s">
        <v>66</v>
      </c>
      <c r="C353" s="246" t="s">
        <v>264</v>
      </c>
      <c r="D353" s="246" t="s">
        <v>284</v>
      </c>
      <c r="E353" s="246"/>
      <c r="F353" s="246"/>
      <c r="G353" s="132" t="s">
        <v>499</v>
      </c>
      <c r="H353" s="132" t="s">
        <v>1187</v>
      </c>
      <c r="I353" s="132">
        <v>7585400.5199999996</v>
      </c>
      <c r="J353" s="101" t="s">
        <v>889</v>
      </c>
      <c r="K353" s="245" t="s">
        <v>390</v>
      </c>
      <c r="L353" s="245">
        <v>42766</v>
      </c>
      <c r="M353" s="245" t="s">
        <v>421</v>
      </c>
      <c r="N353" s="101">
        <v>0</v>
      </c>
      <c r="O353" s="101" t="s">
        <v>392</v>
      </c>
      <c r="P353" s="101">
        <v>0</v>
      </c>
      <c r="Q353" s="101">
        <v>0</v>
      </c>
      <c r="R353" s="101" t="s">
        <v>410</v>
      </c>
      <c r="S353" s="101" t="s">
        <v>477</v>
      </c>
      <c r="T353" s="101" t="s">
        <v>394</v>
      </c>
      <c r="U353" s="101" t="s">
        <v>81</v>
      </c>
      <c r="V353" s="245">
        <v>46371</v>
      </c>
      <c r="W353" s="101" t="s">
        <v>445</v>
      </c>
      <c r="X353" s="101" t="s">
        <v>76</v>
      </c>
      <c r="Y353" s="101" t="s">
        <v>392</v>
      </c>
      <c r="Z353" s="101" t="s">
        <v>412</v>
      </c>
      <c r="AA353" s="101" t="s">
        <v>478</v>
      </c>
      <c r="AB353" s="101">
        <v>3101053970</v>
      </c>
      <c r="AC353" s="101" t="s">
        <v>414</v>
      </c>
      <c r="AD353" s="101" t="s">
        <v>79</v>
      </c>
      <c r="AE353" s="101" t="s">
        <v>75</v>
      </c>
      <c r="AF353" s="101" t="s">
        <v>400</v>
      </c>
      <c r="AI353" s="101" t="s">
        <v>172</v>
      </c>
    </row>
    <row r="354" spans="1:35">
      <c r="A354" s="246" t="s">
        <v>111</v>
      </c>
      <c r="B354" s="246" t="s">
        <v>66</v>
      </c>
      <c r="C354" s="246" t="s">
        <v>126</v>
      </c>
      <c r="D354" s="246" t="s">
        <v>273</v>
      </c>
      <c r="E354" s="246"/>
      <c r="F354" s="246"/>
      <c r="G354" s="132" t="s">
        <v>500</v>
      </c>
      <c r="H354" s="132" t="s">
        <v>1188</v>
      </c>
      <c r="I354" s="132">
        <v>-49269.02</v>
      </c>
      <c r="J354" s="101" t="s">
        <v>889</v>
      </c>
      <c r="K354" s="245" t="s">
        <v>390</v>
      </c>
      <c r="L354" s="245">
        <v>42794</v>
      </c>
      <c r="M354" s="245" t="s">
        <v>391</v>
      </c>
      <c r="N354" s="101">
        <v>0</v>
      </c>
      <c r="O354" s="101" t="s">
        <v>392</v>
      </c>
      <c r="P354" s="101">
        <v>0</v>
      </c>
      <c r="Q354" s="101">
        <v>0</v>
      </c>
      <c r="R354" s="101" t="s">
        <v>422</v>
      </c>
      <c r="S354" s="101" t="s">
        <v>477</v>
      </c>
      <c r="T354" s="101" t="s">
        <v>394</v>
      </c>
      <c r="U354" s="101" t="s">
        <v>81</v>
      </c>
      <c r="V354" s="245">
        <v>46371</v>
      </c>
      <c r="W354" s="101" t="s">
        <v>445</v>
      </c>
      <c r="X354" s="101" t="s">
        <v>76</v>
      </c>
      <c r="Y354" s="101" t="s">
        <v>392</v>
      </c>
      <c r="Z354" s="101" t="s">
        <v>412</v>
      </c>
      <c r="AA354" s="101" t="s">
        <v>478</v>
      </c>
      <c r="AB354" s="101">
        <v>3101053970</v>
      </c>
      <c r="AC354" s="101" t="s">
        <v>414</v>
      </c>
      <c r="AD354" s="101" t="s">
        <v>79</v>
      </c>
      <c r="AE354" s="101" t="s">
        <v>75</v>
      </c>
      <c r="AF354" s="101" t="s">
        <v>400</v>
      </c>
      <c r="AI354" s="101" t="s">
        <v>172</v>
      </c>
    </row>
    <row r="355" spans="1:35">
      <c r="A355" s="246" t="s">
        <v>111</v>
      </c>
      <c r="B355" s="246" t="s">
        <v>66</v>
      </c>
      <c r="C355" s="246" t="s">
        <v>264</v>
      </c>
      <c r="D355" s="246" t="s">
        <v>284</v>
      </c>
      <c r="E355" s="246"/>
      <c r="F355" s="246"/>
      <c r="G355" s="132" t="s">
        <v>501</v>
      </c>
      <c r="H355" s="132" t="s">
        <v>1189</v>
      </c>
      <c r="I355" s="132">
        <v>8051645.8700000001</v>
      </c>
      <c r="J355" s="101" t="s">
        <v>889</v>
      </c>
      <c r="K355" s="245" t="s">
        <v>390</v>
      </c>
      <c r="L355" s="245">
        <v>42794</v>
      </c>
      <c r="M355" s="245" t="s">
        <v>421</v>
      </c>
      <c r="N355" s="101">
        <v>0</v>
      </c>
      <c r="O355" s="101" t="s">
        <v>392</v>
      </c>
      <c r="P355" s="101">
        <v>0</v>
      </c>
      <c r="Q355" s="101">
        <v>0</v>
      </c>
      <c r="R355" s="101" t="s">
        <v>410</v>
      </c>
      <c r="S355" s="101" t="s">
        <v>477</v>
      </c>
      <c r="T355" s="101" t="s">
        <v>394</v>
      </c>
      <c r="U355" s="101" t="s">
        <v>81</v>
      </c>
      <c r="V355" s="245">
        <v>46371</v>
      </c>
      <c r="W355" s="101" t="s">
        <v>445</v>
      </c>
      <c r="X355" s="101" t="s">
        <v>76</v>
      </c>
      <c r="Y355" s="101" t="s">
        <v>392</v>
      </c>
      <c r="Z355" s="101" t="s">
        <v>412</v>
      </c>
      <c r="AA355" s="101" t="s">
        <v>478</v>
      </c>
      <c r="AB355" s="101">
        <v>3101053970</v>
      </c>
      <c r="AC355" s="101" t="s">
        <v>414</v>
      </c>
      <c r="AD355" s="101" t="s">
        <v>79</v>
      </c>
      <c r="AE355" s="101" t="s">
        <v>75</v>
      </c>
      <c r="AF355" s="101" t="s">
        <v>400</v>
      </c>
      <c r="AI355" s="101" t="s">
        <v>172</v>
      </c>
    </row>
    <row r="356" spans="1:35">
      <c r="A356" s="246" t="s">
        <v>111</v>
      </c>
      <c r="B356" s="246" t="s">
        <v>66</v>
      </c>
      <c r="C356" s="246" t="s">
        <v>264</v>
      </c>
      <c r="D356" s="246" t="s">
        <v>284</v>
      </c>
      <c r="E356" s="246"/>
      <c r="F356" s="246"/>
      <c r="G356" s="132" t="s">
        <v>502</v>
      </c>
      <c r="H356" s="132" t="s">
        <v>1190</v>
      </c>
      <c r="I356" s="132">
        <v>-1688027.8499999999</v>
      </c>
      <c r="J356" s="101" t="s">
        <v>889</v>
      </c>
      <c r="K356" s="245" t="s">
        <v>390</v>
      </c>
      <c r="L356" s="245">
        <v>42808</v>
      </c>
      <c r="M356" s="245" t="s">
        <v>421</v>
      </c>
      <c r="N356" s="101">
        <v>0</v>
      </c>
      <c r="O356" s="101" t="s">
        <v>392</v>
      </c>
      <c r="P356" s="101">
        <v>0</v>
      </c>
      <c r="Q356" s="101">
        <v>0</v>
      </c>
      <c r="R356" s="101" t="s">
        <v>422</v>
      </c>
      <c r="S356" s="101" t="s">
        <v>477</v>
      </c>
      <c r="T356" s="101" t="s">
        <v>394</v>
      </c>
      <c r="U356" s="101" t="s">
        <v>81</v>
      </c>
      <c r="V356" s="245">
        <v>46371</v>
      </c>
      <c r="W356" s="101" t="s">
        <v>445</v>
      </c>
      <c r="X356" s="101" t="s">
        <v>76</v>
      </c>
      <c r="Y356" s="101" t="s">
        <v>392</v>
      </c>
      <c r="Z356" s="101" t="s">
        <v>412</v>
      </c>
      <c r="AA356" s="101" t="s">
        <v>478</v>
      </c>
      <c r="AB356" s="101">
        <v>3101053970</v>
      </c>
      <c r="AC356" s="101" t="s">
        <v>414</v>
      </c>
      <c r="AD356" s="101" t="s">
        <v>79</v>
      </c>
      <c r="AE356" s="101" t="s">
        <v>75</v>
      </c>
      <c r="AF356" s="101" t="s">
        <v>400</v>
      </c>
      <c r="AI356" s="101" t="s">
        <v>172</v>
      </c>
    </row>
    <row r="357" spans="1:35">
      <c r="A357" s="246" t="s">
        <v>111</v>
      </c>
      <c r="B357" s="246" t="s">
        <v>66</v>
      </c>
      <c r="C357" s="246" t="s">
        <v>126</v>
      </c>
      <c r="D357" s="246" t="s">
        <v>273</v>
      </c>
      <c r="E357" s="246"/>
      <c r="F357" s="246"/>
      <c r="G357" s="132" t="s">
        <v>503</v>
      </c>
      <c r="H357" s="132" t="s">
        <v>1191</v>
      </c>
      <c r="I357" s="132">
        <v>-82696.539999999994</v>
      </c>
      <c r="J357" s="101" t="s">
        <v>889</v>
      </c>
      <c r="K357" s="245" t="s">
        <v>390</v>
      </c>
      <c r="L357" s="245">
        <v>42825</v>
      </c>
      <c r="M357" s="245" t="s">
        <v>391</v>
      </c>
      <c r="N357" s="101">
        <v>0</v>
      </c>
      <c r="O357" s="101" t="s">
        <v>392</v>
      </c>
      <c r="P357" s="101">
        <v>0</v>
      </c>
      <c r="Q357" s="101">
        <v>0</v>
      </c>
      <c r="R357" s="101" t="s">
        <v>422</v>
      </c>
      <c r="S357" s="101" t="s">
        <v>477</v>
      </c>
      <c r="T357" s="101" t="s">
        <v>394</v>
      </c>
      <c r="U357" s="101" t="s">
        <v>81</v>
      </c>
      <c r="V357" s="245">
        <v>46371</v>
      </c>
      <c r="W357" s="101" t="s">
        <v>445</v>
      </c>
      <c r="X357" s="101" t="s">
        <v>76</v>
      </c>
      <c r="Y357" s="101" t="s">
        <v>392</v>
      </c>
      <c r="Z357" s="101" t="s">
        <v>412</v>
      </c>
      <c r="AA357" s="101" t="s">
        <v>478</v>
      </c>
      <c r="AB357" s="101">
        <v>3101053970</v>
      </c>
      <c r="AC357" s="101" t="s">
        <v>414</v>
      </c>
      <c r="AD357" s="101" t="s">
        <v>79</v>
      </c>
      <c r="AE357" s="101" t="s">
        <v>75</v>
      </c>
      <c r="AF357" s="101" t="s">
        <v>400</v>
      </c>
      <c r="AI357" s="101" t="s">
        <v>172</v>
      </c>
    </row>
    <row r="358" spans="1:35">
      <c r="A358" s="246" t="s">
        <v>111</v>
      </c>
      <c r="B358" s="246" t="s">
        <v>66</v>
      </c>
      <c r="C358" s="246" t="s">
        <v>264</v>
      </c>
      <c r="D358" s="246" t="s">
        <v>284</v>
      </c>
      <c r="E358" s="246"/>
      <c r="F358" s="246"/>
      <c r="G358" s="132" t="s">
        <v>504</v>
      </c>
      <c r="H358" s="132" t="s">
        <v>1192</v>
      </c>
      <c r="I358" s="132">
        <v>7280725.2499999991</v>
      </c>
      <c r="J358" s="101" t="s">
        <v>889</v>
      </c>
      <c r="K358" s="245" t="s">
        <v>390</v>
      </c>
      <c r="L358" s="245">
        <v>42825</v>
      </c>
      <c r="M358" s="245" t="s">
        <v>421</v>
      </c>
      <c r="N358" s="101">
        <v>0</v>
      </c>
      <c r="O358" s="101" t="s">
        <v>392</v>
      </c>
      <c r="P358" s="101">
        <v>0</v>
      </c>
      <c r="Q358" s="101">
        <v>0</v>
      </c>
      <c r="R358" s="101" t="s">
        <v>410</v>
      </c>
      <c r="S358" s="101" t="s">
        <v>477</v>
      </c>
      <c r="T358" s="101" t="s">
        <v>394</v>
      </c>
      <c r="U358" s="101" t="s">
        <v>81</v>
      </c>
      <c r="V358" s="245">
        <v>46371</v>
      </c>
      <c r="W358" s="101" t="s">
        <v>445</v>
      </c>
      <c r="X358" s="101" t="s">
        <v>76</v>
      </c>
      <c r="Y358" s="101" t="s">
        <v>392</v>
      </c>
      <c r="Z358" s="101" t="s">
        <v>412</v>
      </c>
      <c r="AA358" s="101" t="s">
        <v>478</v>
      </c>
      <c r="AB358" s="101">
        <v>3101053970</v>
      </c>
      <c r="AC358" s="101" t="s">
        <v>414</v>
      </c>
      <c r="AD358" s="101" t="s">
        <v>79</v>
      </c>
      <c r="AE358" s="101" t="s">
        <v>75</v>
      </c>
      <c r="AF358" s="101" t="s">
        <v>400</v>
      </c>
      <c r="AI358" s="101" t="s">
        <v>172</v>
      </c>
    </row>
    <row r="359" spans="1:35">
      <c r="A359" s="246" t="s">
        <v>111</v>
      </c>
      <c r="B359" s="246" t="s">
        <v>66</v>
      </c>
      <c r="C359" s="246" t="s">
        <v>264</v>
      </c>
      <c r="D359" s="246" t="s">
        <v>284</v>
      </c>
      <c r="E359" s="246"/>
      <c r="F359" s="246"/>
      <c r="G359" s="132" t="s">
        <v>505</v>
      </c>
      <c r="H359" s="132" t="s">
        <v>1193</v>
      </c>
      <c r="I359" s="132">
        <v>7584037.4399999995</v>
      </c>
      <c r="J359" s="101" t="s">
        <v>889</v>
      </c>
      <c r="K359" s="245" t="s">
        <v>390</v>
      </c>
      <c r="L359" s="245">
        <v>42853</v>
      </c>
      <c r="M359" s="245" t="s">
        <v>421</v>
      </c>
      <c r="N359" s="101">
        <v>0</v>
      </c>
      <c r="O359" s="101" t="s">
        <v>392</v>
      </c>
      <c r="P359" s="101">
        <v>0</v>
      </c>
      <c r="Q359" s="101">
        <v>0</v>
      </c>
      <c r="R359" s="101" t="s">
        <v>410</v>
      </c>
      <c r="S359" s="101" t="s">
        <v>477</v>
      </c>
      <c r="T359" s="101" t="s">
        <v>394</v>
      </c>
      <c r="U359" s="101" t="s">
        <v>81</v>
      </c>
      <c r="V359" s="245">
        <v>46371</v>
      </c>
      <c r="W359" s="101" t="s">
        <v>445</v>
      </c>
      <c r="X359" s="101" t="s">
        <v>76</v>
      </c>
      <c r="Y359" s="101" t="s">
        <v>392</v>
      </c>
      <c r="Z359" s="101" t="s">
        <v>412</v>
      </c>
      <c r="AA359" s="101" t="s">
        <v>478</v>
      </c>
      <c r="AB359" s="101">
        <v>3101053970</v>
      </c>
      <c r="AC359" s="101" t="s">
        <v>414</v>
      </c>
      <c r="AD359" s="101" t="s">
        <v>79</v>
      </c>
      <c r="AE359" s="101" t="s">
        <v>75</v>
      </c>
      <c r="AF359" s="101" t="s">
        <v>400</v>
      </c>
      <c r="AI359" s="101" t="s">
        <v>172</v>
      </c>
    </row>
    <row r="360" spans="1:35">
      <c r="A360" s="246" t="s">
        <v>111</v>
      </c>
      <c r="B360" s="246" t="s">
        <v>66</v>
      </c>
      <c r="C360" s="246" t="s">
        <v>126</v>
      </c>
      <c r="D360" s="246" t="s">
        <v>273</v>
      </c>
      <c r="E360" s="246"/>
      <c r="F360" s="246"/>
      <c r="G360" s="132" t="s">
        <v>506</v>
      </c>
      <c r="H360" s="132" t="s">
        <v>1194</v>
      </c>
      <c r="I360" s="132">
        <v>-106879.79999999999</v>
      </c>
      <c r="J360" s="101" t="s">
        <v>889</v>
      </c>
      <c r="K360" s="245" t="s">
        <v>390</v>
      </c>
      <c r="L360" s="245">
        <v>42853</v>
      </c>
      <c r="M360" s="245" t="s">
        <v>391</v>
      </c>
      <c r="N360" s="101">
        <v>0</v>
      </c>
      <c r="O360" s="101" t="s">
        <v>392</v>
      </c>
      <c r="P360" s="101">
        <v>0</v>
      </c>
      <c r="Q360" s="101">
        <v>0</v>
      </c>
      <c r="R360" s="101" t="s">
        <v>422</v>
      </c>
      <c r="S360" s="101" t="s">
        <v>477</v>
      </c>
      <c r="T360" s="101" t="s">
        <v>394</v>
      </c>
      <c r="U360" s="101" t="s">
        <v>81</v>
      </c>
      <c r="V360" s="245">
        <v>46371</v>
      </c>
      <c r="W360" s="101" t="s">
        <v>445</v>
      </c>
      <c r="X360" s="101" t="s">
        <v>76</v>
      </c>
      <c r="Y360" s="101" t="s">
        <v>392</v>
      </c>
      <c r="Z360" s="101" t="s">
        <v>412</v>
      </c>
      <c r="AA360" s="101" t="s">
        <v>478</v>
      </c>
      <c r="AB360" s="101">
        <v>3101053970</v>
      </c>
      <c r="AC360" s="101" t="s">
        <v>414</v>
      </c>
      <c r="AD360" s="101" t="s">
        <v>79</v>
      </c>
      <c r="AE360" s="101" t="s">
        <v>75</v>
      </c>
      <c r="AF360" s="101" t="s">
        <v>400</v>
      </c>
      <c r="AI360" s="101" t="s">
        <v>172</v>
      </c>
    </row>
    <row r="361" spans="1:35">
      <c r="A361" s="246" t="s">
        <v>112</v>
      </c>
      <c r="B361" s="246" t="s">
        <v>66</v>
      </c>
      <c r="C361" s="246" t="s">
        <v>126</v>
      </c>
      <c r="D361" s="246" t="s">
        <v>270</v>
      </c>
      <c r="E361" s="246"/>
      <c r="F361" s="246"/>
      <c r="G361" s="132" t="s">
        <v>507</v>
      </c>
      <c r="H361" s="132" t="s">
        <v>1195</v>
      </c>
      <c r="I361" s="132">
        <v>-138403.44999999998</v>
      </c>
      <c r="J361" s="101" t="s">
        <v>889</v>
      </c>
      <c r="K361" s="245" t="s">
        <v>390</v>
      </c>
      <c r="L361" s="245">
        <v>42886</v>
      </c>
      <c r="M361" s="245" t="s">
        <v>391</v>
      </c>
      <c r="N361" s="101">
        <v>0</v>
      </c>
      <c r="O361" s="101" t="s">
        <v>392</v>
      </c>
      <c r="P361" s="101">
        <v>0</v>
      </c>
      <c r="Q361" s="101">
        <v>0</v>
      </c>
      <c r="R361" s="101" t="s">
        <v>422</v>
      </c>
      <c r="S361" s="101" t="s">
        <v>477</v>
      </c>
      <c r="T361" s="101" t="s">
        <v>394</v>
      </c>
      <c r="U361" s="101" t="s">
        <v>81</v>
      </c>
      <c r="V361" s="245">
        <v>46371</v>
      </c>
      <c r="W361" s="101" t="s">
        <v>445</v>
      </c>
      <c r="X361" s="101" t="s">
        <v>76</v>
      </c>
      <c r="Y361" s="101" t="s">
        <v>392</v>
      </c>
      <c r="Z361" s="101" t="s">
        <v>412</v>
      </c>
      <c r="AA361" s="101" t="s">
        <v>478</v>
      </c>
      <c r="AB361" s="101">
        <v>3101053970</v>
      </c>
      <c r="AC361" s="101" t="s">
        <v>414</v>
      </c>
      <c r="AD361" s="101" t="s">
        <v>79</v>
      </c>
      <c r="AE361" s="101" t="s">
        <v>75</v>
      </c>
      <c r="AF361" s="101" t="s">
        <v>400</v>
      </c>
      <c r="AI361" s="101" t="s">
        <v>172</v>
      </c>
    </row>
    <row r="362" spans="1:35">
      <c r="A362" s="246" t="s">
        <v>112</v>
      </c>
      <c r="B362" s="246" t="s">
        <v>66</v>
      </c>
      <c r="C362" s="246" t="s">
        <v>264</v>
      </c>
      <c r="D362" s="246" t="s">
        <v>290</v>
      </c>
      <c r="E362" s="246"/>
      <c r="F362" s="246"/>
      <c r="G362" s="132" t="s">
        <v>508</v>
      </c>
      <c r="H362" s="132" t="s">
        <v>1196</v>
      </c>
      <c r="I362" s="132">
        <v>4979339.08</v>
      </c>
      <c r="J362" s="101" t="s">
        <v>889</v>
      </c>
      <c r="K362" s="245" t="s">
        <v>390</v>
      </c>
      <c r="L362" s="245">
        <v>42886</v>
      </c>
      <c r="M362" s="245" t="s">
        <v>421</v>
      </c>
      <c r="N362" s="101">
        <v>0</v>
      </c>
      <c r="O362" s="101" t="s">
        <v>392</v>
      </c>
      <c r="P362" s="101">
        <v>0</v>
      </c>
      <c r="Q362" s="101">
        <v>0</v>
      </c>
      <c r="R362" s="101" t="s">
        <v>410</v>
      </c>
      <c r="S362" s="101" t="s">
        <v>477</v>
      </c>
      <c r="T362" s="101" t="s">
        <v>394</v>
      </c>
      <c r="U362" s="101" t="s">
        <v>81</v>
      </c>
      <c r="V362" s="245">
        <v>46371</v>
      </c>
      <c r="W362" s="101" t="s">
        <v>445</v>
      </c>
      <c r="X362" s="101" t="s">
        <v>76</v>
      </c>
      <c r="Y362" s="101" t="s">
        <v>392</v>
      </c>
      <c r="Z362" s="101" t="s">
        <v>412</v>
      </c>
      <c r="AA362" s="101" t="s">
        <v>478</v>
      </c>
      <c r="AB362" s="101">
        <v>3101053970</v>
      </c>
      <c r="AC362" s="101" t="s">
        <v>414</v>
      </c>
      <c r="AD362" s="101" t="s">
        <v>79</v>
      </c>
      <c r="AE362" s="101" t="s">
        <v>75</v>
      </c>
      <c r="AF362" s="101" t="s">
        <v>400</v>
      </c>
      <c r="AI362" s="101" t="s">
        <v>172</v>
      </c>
    </row>
    <row r="363" spans="1:35">
      <c r="A363" s="246" t="s">
        <v>112</v>
      </c>
      <c r="B363" s="246" t="s">
        <v>66</v>
      </c>
      <c r="C363" s="246" t="s">
        <v>264</v>
      </c>
      <c r="D363" s="246" t="s">
        <v>290</v>
      </c>
      <c r="E363" s="246"/>
      <c r="F363" s="246"/>
      <c r="G363" s="132" t="s">
        <v>509</v>
      </c>
      <c r="H363" s="132" t="s">
        <v>1197</v>
      </c>
      <c r="I363" s="132">
        <v>-40016727.460000001</v>
      </c>
      <c r="J363" s="101" t="s">
        <v>889</v>
      </c>
      <c r="K363" s="245" t="s">
        <v>390</v>
      </c>
      <c r="L363" s="245">
        <v>42900</v>
      </c>
      <c r="M363" s="245" t="s">
        <v>421</v>
      </c>
      <c r="N363" s="101">
        <v>0</v>
      </c>
      <c r="O363" s="101" t="s">
        <v>392</v>
      </c>
      <c r="P363" s="101">
        <v>0</v>
      </c>
      <c r="Q363" s="101">
        <v>0</v>
      </c>
      <c r="R363" s="101" t="s">
        <v>422</v>
      </c>
      <c r="S363" s="101" t="s">
        <v>477</v>
      </c>
      <c r="T363" s="101" t="s">
        <v>394</v>
      </c>
      <c r="U363" s="101" t="s">
        <v>81</v>
      </c>
      <c r="V363" s="245">
        <v>46371</v>
      </c>
      <c r="W363" s="101" t="s">
        <v>445</v>
      </c>
      <c r="X363" s="101" t="s">
        <v>76</v>
      </c>
      <c r="Y363" s="101" t="s">
        <v>392</v>
      </c>
      <c r="Z363" s="101" t="s">
        <v>412</v>
      </c>
      <c r="AA363" s="101" t="s">
        <v>478</v>
      </c>
      <c r="AB363" s="101">
        <v>3101053970</v>
      </c>
      <c r="AC363" s="101" t="s">
        <v>414</v>
      </c>
      <c r="AD363" s="101" t="s">
        <v>79</v>
      </c>
      <c r="AE363" s="101" t="s">
        <v>75</v>
      </c>
      <c r="AF363" s="101" t="s">
        <v>400</v>
      </c>
      <c r="AI363" s="101" t="s">
        <v>172</v>
      </c>
    </row>
    <row r="364" spans="1:35">
      <c r="A364" s="246" t="s">
        <v>112</v>
      </c>
      <c r="B364" s="246" t="s">
        <v>66</v>
      </c>
      <c r="C364" s="246" t="s">
        <v>126</v>
      </c>
      <c r="D364" s="246" t="s">
        <v>270</v>
      </c>
      <c r="E364" s="246"/>
      <c r="F364" s="246"/>
      <c r="G364" s="132" t="s">
        <v>510</v>
      </c>
      <c r="H364" s="132" t="s">
        <v>1198</v>
      </c>
      <c r="I364" s="132">
        <v>-71387.649999999994</v>
      </c>
      <c r="J364" s="101" t="s">
        <v>889</v>
      </c>
      <c r="K364" s="245" t="s">
        <v>390</v>
      </c>
      <c r="L364" s="245">
        <v>42916</v>
      </c>
      <c r="M364" s="245" t="s">
        <v>391</v>
      </c>
      <c r="N364" s="101">
        <v>0</v>
      </c>
      <c r="O364" s="101" t="s">
        <v>392</v>
      </c>
      <c r="P364" s="101">
        <v>0</v>
      </c>
      <c r="Q364" s="101">
        <v>0</v>
      </c>
      <c r="R364" s="101" t="s">
        <v>422</v>
      </c>
      <c r="S364" s="101" t="s">
        <v>477</v>
      </c>
      <c r="T364" s="101" t="s">
        <v>394</v>
      </c>
      <c r="U364" s="101" t="s">
        <v>81</v>
      </c>
      <c r="V364" s="245">
        <v>46371</v>
      </c>
      <c r="W364" s="101" t="s">
        <v>445</v>
      </c>
      <c r="X364" s="101" t="s">
        <v>76</v>
      </c>
      <c r="Y364" s="101" t="s">
        <v>392</v>
      </c>
      <c r="Z364" s="101" t="s">
        <v>412</v>
      </c>
      <c r="AA364" s="101" t="s">
        <v>478</v>
      </c>
      <c r="AB364" s="101">
        <v>3101053970</v>
      </c>
      <c r="AC364" s="101" t="s">
        <v>414</v>
      </c>
      <c r="AD364" s="101" t="s">
        <v>79</v>
      </c>
      <c r="AE364" s="101" t="s">
        <v>75</v>
      </c>
      <c r="AF364" s="101" t="s">
        <v>400</v>
      </c>
      <c r="AI364" s="101" t="s">
        <v>172</v>
      </c>
    </row>
    <row r="365" spans="1:35">
      <c r="A365" s="246" t="s">
        <v>112</v>
      </c>
      <c r="B365" s="246" t="s">
        <v>66</v>
      </c>
      <c r="C365" s="246" t="s">
        <v>264</v>
      </c>
      <c r="D365" s="246" t="s">
        <v>290</v>
      </c>
      <c r="E365" s="246"/>
      <c r="F365" s="246"/>
      <c r="G365" s="132" t="s">
        <v>511</v>
      </c>
      <c r="H365" s="132" t="s">
        <v>1199</v>
      </c>
      <c r="I365" s="132">
        <v>6583425.1499999994</v>
      </c>
      <c r="J365" s="101" t="s">
        <v>889</v>
      </c>
      <c r="K365" s="245" t="s">
        <v>390</v>
      </c>
      <c r="L365" s="245">
        <v>42916</v>
      </c>
      <c r="M365" s="245" t="s">
        <v>421</v>
      </c>
      <c r="N365" s="101">
        <v>0</v>
      </c>
      <c r="O365" s="101" t="s">
        <v>392</v>
      </c>
      <c r="P365" s="101">
        <v>0</v>
      </c>
      <c r="Q365" s="101">
        <v>0</v>
      </c>
      <c r="R365" s="101" t="s">
        <v>410</v>
      </c>
      <c r="S365" s="101" t="s">
        <v>477</v>
      </c>
      <c r="T365" s="101" t="s">
        <v>394</v>
      </c>
      <c r="U365" s="101" t="s">
        <v>81</v>
      </c>
      <c r="V365" s="245">
        <v>46371</v>
      </c>
      <c r="W365" s="101" t="s">
        <v>445</v>
      </c>
      <c r="X365" s="101" t="s">
        <v>76</v>
      </c>
      <c r="Y365" s="101" t="s">
        <v>392</v>
      </c>
      <c r="Z365" s="101" t="s">
        <v>412</v>
      </c>
      <c r="AA365" s="101" t="s">
        <v>478</v>
      </c>
      <c r="AB365" s="101">
        <v>3101053970</v>
      </c>
      <c r="AC365" s="101" t="s">
        <v>414</v>
      </c>
      <c r="AD365" s="101" t="s">
        <v>79</v>
      </c>
      <c r="AE365" s="101" t="s">
        <v>75</v>
      </c>
      <c r="AF365" s="101" t="s">
        <v>400</v>
      </c>
      <c r="AI365" s="101" t="s">
        <v>172</v>
      </c>
    </row>
    <row r="366" spans="1:35">
      <c r="A366" s="246" t="s">
        <v>112</v>
      </c>
      <c r="B366" s="246" t="s">
        <v>66</v>
      </c>
      <c r="C366" s="246" t="s">
        <v>126</v>
      </c>
      <c r="D366" s="246" t="s">
        <v>270</v>
      </c>
      <c r="E366" s="246"/>
      <c r="F366" s="246"/>
      <c r="G366" s="132" t="s">
        <v>512</v>
      </c>
      <c r="H366" s="132" t="s">
        <v>1200</v>
      </c>
      <c r="I366" s="132">
        <v>-26005.609999999997</v>
      </c>
      <c r="J366" s="101" t="s">
        <v>889</v>
      </c>
      <c r="K366" s="245" t="s">
        <v>390</v>
      </c>
      <c r="L366" s="245">
        <v>42947</v>
      </c>
      <c r="M366" s="245" t="s">
        <v>391</v>
      </c>
      <c r="N366" s="101">
        <v>0</v>
      </c>
      <c r="O366" s="101" t="s">
        <v>392</v>
      </c>
      <c r="P366" s="101">
        <v>0</v>
      </c>
      <c r="Q366" s="101">
        <v>0</v>
      </c>
      <c r="R366" s="101" t="s">
        <v>422</v>
      </c>
      <c r="S366" s="101" t="s">
        <v>477</v>
      </c>
      <c r="T366" s="101" t="s">
        <v>394</v>
      </c>
      <c r="U366" s="101" t="s">
        <v>81</v>
      </c>
      <c r="V366" s="245">
        <v>46371</v>
      </c>
      <c r="W366" s="101" t="s">
        <v>445</v>
      </c>
      <c r="X366" s="101" t="s">
        <v>76</v>
      </c>
      <c r="Y366" s="101" t="s">
        <v>392</v>
      </c>
      <c r="Z366" s="101" t="s">
        <v>412</v>
      </c>
      <c r="AA366" s="101" t="s">
        <v>478</v>
      </c>
      <c r="AB366" s="101">
        <v>3101053970</v>
      </c>
      <c r="AC366" s="101" t="s">
        <v>414</v>
      </c>
      <c r="AD366" s="101" t="s">
        <v>79</v>
      </c>
      <c r="AE366" s="101" t="s">
        <v>75</v>
      </c>
      <c r="AF366" s="101" t="s">
        <v>400</v>
      </c>
      <c r="AI366" s="101" t="s">
        <v>172</v>
      </c>
    </row>
    <row r="367" spans="1:35">
      <c r="A367" s="246" t="s">
        <v>112</v>
      </c>
      <c r="B367" s="246" t="s">
        <v>66</v>
      </c>
      <c r="C367" s="246" t="s">
        <v>264</v>
      </c>
      <c r="D367" s="246" t="s">
        <v>290</v>
      </c>
      <c r="E367" s="246"/>
      <c r="F367" s="246"/>
      <c r="G367" s="132" t="s">
        <v>513</v>
      </c>
      <c r="H367" s="132" t="s">
        <v>1201</v>
      </c>
      <c r="I367" s="132">
        <v>6528504.8799999999</v>
      </c>
      <c r="J367" s="101" t="s">
        <v>889</v>
      </c>
      <c r="K367" s="245" t="s">
        <v>390</v>
      </c>
      <c r="L367" s="245">
        <v>42947</v>
      </c>
      <c r="M367" s="245" t="s">
        <v>421</v>
      </c>
      <c r="N367" s="101">
        <v>0</v>
      </c>
      <c r="O367" s="101" t="s">
        <v>392</v>
      </c>
      <c r="P367" s="101">
        <v>0</v>
      </c>
      <c r="Q367" s="101">
        <v>0</v>
      </c>
      <c r="R367" s="101" t="s">
        <v>410</v>
      </c>
      <c r="S367" s="101" t="s">
        <v>477</v>
      </c>
      <c r="T367" s="101" t="s">
        <v>394</v>
      </c>
      <c r="U367" s="101" t="s">
        <v>81</v>
      </c>
      <c r="V367" s="245">
        <v>46371</v>
      </c>
      <c r="W367" s="101" t="s">
        <v>445</v>
      </c>
      <c r="X367" s="101" t="s">
        <v>76</v>
      </c>
      <c r="Y367" s="101" t="s">
        <v>392</v>
      </c>
      <c r="Z367" s="101" t="s">
        <v>412</v>
      </c>
      <c r="AA367" s="101" t="s">
        <v>478</v>
      </c>
      <c r="AB367" s="101">
        <v>3101053970</v>
      </c>
      <c r="AC367" s="101" t="s">
        <v>414</v>
      </c>
      <c r="AD367" s="101" t="s">
        <v>79</v>
      </c>
      <c r="AE367" s="101" t="s">
        <v>75</v>
      </c>
      <c r="AF367" s="101" t="s">
        <v>400</v>
      </c>
      <c r="AI367" s="101" t="s">
        <v>172</v>
      </c>
    </row>
    <row r="368" spans="1:35">
      <c r="A368" s="246" t="s">
        <v>112</v>
      </c>
      <c r="B368" s="246" t="s">
        <v>66</v>
      </c>
      <c r="C368" s="246" t="s">
        <v>126</v>
      </c>
      <c r="D368" s="246" t="s">
        <v>270</v>
      </c>
      <c r="E368" s="246"/>
      <c r="F368" s="246"/>
      <c r="G368" s="132" t="s">
        <v>514</v>
      </c>
      <c r="H368" s="132" t="s">
        <v>1202</v>
      </c>
      <c r="I368" s="132">
        <v>-51794.28</v>
      </c>
      <c r="J368" s="101" t="s">
        <v>889</v>
      </c>
      <c r="K368" s="245" t="s">
        <v>390</v>
      </c>
      <c r="L368" s="245">
        <v>42978</v>
      </c>
      <c r="M368" s="245" t="s">
        <v>391</v>
      </c>
      <c r="N368" s="101">
        <v>0</v>
      </c>
      <c r="O368" s="101" t="s">
        <v>392</v>
      </c>
      <c r="P368" s="101">
        <v>0</v>
      </c>
      <c r="Q368" s="101">
        <v>0</v>
      </c>
      <c r="R368" s="101" t="s">
        <v>422</v>
      </c>
      <c r="S368" s="101" t="s">
        <v>477</v>
      </c>
      <c r="T368" s="101" t="s">
        <v>394</v>
      </c>
      <c r="U368" s="101" t="s">
        <v>81</v>
      </c>
      <c r="V368" s="245">
        <v>46371</v>
      </c>
      <c r="W368" s="101" t="s">
        <v>445</v>
      </c>
      <c r="X368" s="101" t="s">
        <v>76</v>
      </c>
      <c r="Y368" s="101" t="s">
        <v>392</v>
      </c>
      <c r="Z368" s="101" t="s">
        <v>412</v>
      </c>
      <c r="AA368" s="101" t="s">
        <v>478</v>
      </c>
      <c r="AB368" s="101">
        <v>3101053970</v>
      </c>
      <c r="AC368" s="101" t="s">
        <v>414</v>
      </c>
      <c r="AD368" s="101" t="s">
        <v>79</v>
      </c>
      <c r="AE368" s="101" t="s">
        <v>75</v>
      </c>
      <c r="AF368" s="101" t="s">
        <v>400</v>
      </c>
      <c r="AI368" s="101" t="s">
        <v>172</v>
      </c>
    </row>
    <row r="369" spans="1:35">
      <c r="A369" s="246" t="s">
        <v>112</v>
      </c>
      <c r="B369" s="246" t="s">
        <v>66</v>
      </c>
      <c r="C369" s="246" t="s">
        <v>264</v>
      </c>
      <c r="D369" s="246" t="s">
        <v>290</v>
      </c>
      <c r="E369" s="246"/>
      <c r="F369" s="246"/>
      <c r="G369" s="132" t="s">
        <v>515</v>
      </c>
      <c r="H369" s="132" t="s">
        <v>1203</v>
      </c>
      <c r="I369" s="132">
        <v>7014418.5999999996</v>
      </c>
      <c r="J369" s="101" t="s">
        <v>889</v>
      </c>
      <c r="K369" s="245" t="s">
        <v>390</v>
      </c>
      <c r="L369" s="245">
        <v>42978</v>
      </c>
      <c r="M369" s="245" t="s">
        <v>421</v>
      </c>
      <c r="N369" s="101">
        <v>0</v>
      </c>
      <c r="O369" s="101" t="s">
        <v>392</v>
      </c>
      <c r="P369" s="101">
        <v>0</v>
      </c>
      <c r="Q369" s="101">
        <v>0</v>
      </c>
      <c r="R369" s="101" t="s">
        <v>410</v>
      </c>
      <c r="S369" s="101" t="s">
        <v>477</v>
      </c>
      <c r="T369" s="101" t="s">
        <v>394</v>
      </c>
      <c r="U369" s="101" t="s">
        <v>81</v>
      </c>
      <c r="V369" s="245">
        <v>46371</v>
      </c>
      <c r="W369" s="101" t="s">
        <v>445</v>
      </c>
      <c r="X369" s="101" t="s">
        <v>76</v>
      </c>
      <c r="Y369" s="101" t="s">
        <v>392</v>
      </c>
      <c r="Z369" s="101" t="s">
        <v>412</v>
      </c>
      <c r="AA369" s="101" t="s">
        <v>478</v>
      </c>
      <c r="AB369" s="101">
        <v>3101053970</v>
      </c>
      <c r="AC369" s="101" t="s">
        <v>414</v>
      </c>
      <c r="AD369" s="101" t="s">
        <v>79</v>
      </c>
      <c r="AE369" s="101" t="s">
        <v>75</v>
      </c>
      <c r="AF369" s="101" t="s">
        <v>400</v>
      </c>
      <c r="AI369" s="101" t="s">
        <v>172</v>
      </c>
    </row>
    <row r="370" spans="1:35">
      <c r="A370" s="246" t="s">
        <v>112</v>
      </c>
      <c r="B370" s="246" t="s">
        <v>66</v>
      </c>
      <c r="C370" s="246" t="s">
        <v>264</v>
      </c>
      <c r="D370" s="246" t="s">
        <v>290</v>
      </c>
      <c r="E370" s="246"/>
      <c r="F370" s="246"/>
      <c r="G370" s="132" t="s">
        <v>516</v>
      </c>
      <c r="H370" s="132" t="s">
        <v>1204</v>
      </c>
      <c r="I370" s="132">
        <v>-1726430.5799999998</v>
      </c>
      <c r="J370" s="101" t="s">
        <v>889</v>
      </c>
      <c r="K370" s="245" t="s">
        <v>390</v>
      </c>
      <c r="L370" s="245">
        <v>42992</v>
      </c>
      <c r="M370" s="245" t="s">
        <v>421</v>
      </c>
      <c r="N370" s="101">
        <v>0</v>
      </c>
      <c r="O370" s="101" t="s">
        <v>392</v>
      </c>
      <c r="P370" s="101">
        <v>0</v>
      </c>
      <c r="Q370" s="101">
        <v>0</v>
      </c>
      <c r="R370" s="101" t="s">
        <v>422</v>
      </c>
      <c r="S370" s="101" t="s">
        <v>477</v>
      </c>
      <c r="T370" s="101" t="s">
        <v>394</v>
      </c>
      <c r="U370" s="101" t="s">
        <v>81</v>
      </c>
      <c r="V370" s="245">
        <v>46371</v>
      </c>
      <c r="W370" s="101" t="s">
        <v>445</v>
      </c>
      <c r="X370" s="101" t="s">
        <v>76</v>
      </c>
      <c r="Y370" s="101" t="s">
        <v>392</v>
      </c>
      <c r="Z370" s="101" t="s">
        <v>412</v>
      </c>
      <c r="AA370" s="101" t="s">
        <v>478</v>
      </c>
      <c r="AB370" s="101">
        <v>3101053970</v>
      </c>
      <c r="AC370" s="101" t="s">
        <v>414</v>
      </c>
      <c r="AD370" s="101" t="s">
        <v>79</v>
      </c>
      <c r="AE370" s="101" t="s">
        <v>75</v>
      </c>
      <c r="AF370" s="101" t="s">
        <v>400</v>
      </c>
      <c r="AI370" s="101" t="s">
        <v>172</v>
      </c>
    </row>
    <row r="371" spans="1:35">
      <c r="A371" s="246" t="s">
        <v>112</v>
      </c>
      <c r="B371" s="246" t="s">
        <v>66</v>
      </c>
      <c r="C371" s="246" t="s">
        <v>264</v>
      </c>
      <c r="D371" s="246" t="s">
        <v>290</v>
      </c>
      <c r="E371" s="246"/>
      <c r="F371" s="246"/>
      <c r="G371" s="132" t="s">
        <v>517</v>
      </c>
      <c r="H371" s="132" t="s">
        <v>1205</v>
      </c>
      <c r="I371" s="132">
        <v>7113396.5700000003</v>
      </c>
      <c r="J371" s="101" t="s">
        <v>889</v>
      </c>
      <c r="K371" s="245" t="s">
        <v>390</v>
      </c>
      <c r="L371" s="245">
        <v>43007</v>
      </c>
      <c r="M371" s="245" t="s">
        <v>421</v>
      </c>
      <c r="N371" s="101">
        <v>0</v>
      </c>
      <c r="O371" s="101" t="s">
        <v>392</v>
      </c>
      <c r="P371" s="101">
        <v>0</v>
      </c>
      <c r="Q371" s="101">
        <v>0</v>
      </c>
      <c r="R371" s="101" t="s">
        <v>410</v>
      </c>
      <c r="S371" s="101" t="s">
        <v>477</v>
      </c>
      <c r="T371" s="101" t="s">
        <v>394</v>
      </c>
      <c r="U371" s="101" t="s">
        <v>81</v>
      </c>
      <c r="V371" s="245">
        <v>46371</v>
      </c>
      <c r="W371" s="101" t="s">
        <v>445</v>
      </c>
      <c r="X371" s="101" t="s">
        <v>76</v>
      </c>
      <c r="Y371" s="101" t="s">
        <v>392</v>
      </c>
      <c r="Z371" s="101" t="s">
        <v>412</v>
      </c>
      <c r="AA371" s="101" t="s">
        <v>478</v>
      </c>
      <c r="AB371" s="101">
        <v>3101053970</v>
      </c>
      <c r="AC371" s="101" t="s">
        <v>414</v>
      </c>
      <c r="AD371" s="101" t="s">
        <v>79</v>
      </c>
      <c r="AE371" s="101" t="s">
        <v>75</v>
      </c>
      <c r="AF371" s="101" t="s">
        <v>400</v>
      </c>
      <c r="AI371" s="101" t="s">
        <v>172</v>
      </c>
    </row>
    <row r="372" spans="1:35">
      <c r="A372" s="246" t="s">
        <v>112</v>
      </c>
      <c r="B372" s="246" t="s">
        <v>66</v>
      </c>
      <c r="C372" s="246" t="s">
        <v>126</v>
      </c>
      <c r="D372" s="246" t="s">
        <v>270</v>
      </c>
      <c r="E372" s="246"/>
      <c r="F372" s="246"/>
      <c r="G372" s="132" t="s">
        <v>518</v>
      </c>
      <c r="H372" s="132" t="s">
        <v>1206</v>
      </c>
      <c r="I372" s="132">
        <v>-74324.37999999999</v>
      </c>
      <c r="J372" s="101" t="s">
        <v>889</v>
      </c>
      <c r="K372" s="245" t="s">
        <v>390</v>
      </c>
      <c r="L372" s="245">
        <v>43007</v>
      </c>
      <c r="M372" s="245" t="s">
        <v>391</v>
      </c>
      <c r="N372" s="101">
        <v>0</v>
      </c>
      <c r="O372" s="101" t="s">
        <v>392</v>
      </c>
      <c r="P372" s="101">
        <v>0</v>
      </c>
      <c r="Q372" s="101">
        <v>0</v>
      </c>
      <c r="R372" s="101" t="s">
        <v>422</v>
      </c>
      <c r="S372" s="101" t="s">
        <v>477</v>
      </c>
      <c r="T372" s="101" t="s">
        <v>394</v>
      </c>
      <c r="U372" s="101" t="s">
        <v>81</v>
      </c>
      <c r="V372" s="245">
        <v>46371</v>
      </c>
      <c r="W372" s="101" t="s">
        <v>445</v>
      </c>
      <c r="X372" s="101" t="s">
        <v>76</v>
      </c>
      <c r="Y372" s="101" t="s">
        <v>392</v>
      </c>
      <c r="Z372" s="101" t="s">
        <v>412</v>
      </c>
      <c r="AA372" s="101" t="s">
        <v>478</v>
      </c>
      <c r="AB372" s="101">
        <v>3101053970</v>
      </c>
      <c r="AC372" s="101" t="s">
        <v>414</v>
      </c>
      <c r="AD372" s="101" t="s">
        <v>79</v>
      </c>
      <c r="AE372" s="101" t="s">
        <v>75</v>
      </c>
      <c r="AF372" s="101" t="s">
        <v>400</v>
      </c>
      <c r="AI372" s="101" t="s">
        <v>172</v>
      </c>
    </row>
    <row r="373" spans="1:35">
      <c r="A373" s="246" t="s">
        <v>112</v>
      </c>
      <c r="B373" s="246" t="s">
        <v>66</v>
      </c>
      <c r="C373" s="246" t="s">
        <v>126</v>
      </c>
      <c r="D373" s="246" t="s">
        <v>270</v>
      </c>
      <c r="E373" s="246"/>
      <c r="F373" s="246"/>
      <c r="G373" s="132" t="s">
        <v>519</v>
      </c>
      <c r="H373" s="132" t="s">
        <v>1207</v>
      </c>
      <c r="I373" s="132">
        <v>-100781.79</v>
      </c>
      <c r="J373" s="101" t="s">
        <v>889</v>
      </c>
      <c r="K373" s="245" t="s">
        <v>390</v>
      </c>
      <c r="L373" s="245">
        <v>43039</v>
      </c>
      <c r="M373" s="245" t="s">
        <v>391</v>
      </c>
      <c r="N373" s="101">
        <v>0</v>
      </c>
      <c r="O373" s="101" t="s">
        <v>392</v>
      </c>
      <c r="P373" s="101">
        <v>0</v>
      </c>
      <c r="Q373" s="101">
        <v>0</v>
      </c>
      <c r="R373" s="101" t="s">
        <v>422</v>
      </c>
      <c r="S373" s="101" t="s">
        <v>477</v>
      </c>
      <c r="T373" s="101" t="s">
        <v>394</v>
      </c>
      <c r="U373" s="101" t="s">
        <v>81</v>
      </c>
      <c r="V373" s="245">
        <v>46371</v>
      </c>
      <c r="W373" s="101" t="s">
        <v>445</v>
      </c>
      <c r="X373" s="101" t="s">
        <v>76</v>
      </c>
      <c r="Y373" s="101" t="s">
        <v>392</v>
      </c>
      <c r="Z373" s="101" t="s">
        <v>412</v>
      </c>
      <c r="AA373" s="101" t="s">
        <v>478</v>
      </c>
      <c r="AB373" s="101">
        <v>3101053970</v>
      </c>
      <c r="AC373" s="101" t="s">
        <v>414</v>
      </c>
      <c r="AD373" s="101" t="s">
        <v>79</v>
      </c>
      <c r="AE373" s="101" t="s">
        <v>75</v>
      </c>
      <c r="AF373" s="101" t="s">
        <v>400</v>
      </c>
      <c r="AI373" s="101" t="s">
        <v>172</v>
      </c>
    </row>
    <row r="374" spans="1:35">
      <c r="A374" s="246" t="s">
        <v>112</v>
      </c>
      <c r="B374" s="246" t="s">
        <v>66</v>
      </c>
      <c r="C374" s="246" t="s">
        <v>264</v>
      </c>
      <c r="D374" s="246" t="s">
        <v>290</v>
      </c>
      <c r="E374" s="246"/>
      <c r="F374" s="246"/>
      <c r="G374" s="132" t="s">
        <v>520</v>
      </c>
      <c r="H374" s="132" t="s">
        <v>1208</v>
      </c>
      <c r="I374" s="132">
        <v>7037348.5699999994</v>
      </c>
      <c r="J374" s="101" t="s">
        <v>889</v>
      </c>
      <c r="K374" s="245" t="s">
        <v>390</v>
      </c>
      <c r="L374" s="245">
        <v>43039</v>
      </c>
      <c r="M374" s="245" t="s">
        <v>421</v>
      </c>
      <c r="N374" s="101">
        <v>0</v>
      </c>
      <c r="O374" s="101" t="s">
        <v>392</v>
      </c>
      <c r="P374" s="101">
        <v>0</v>
      </c>
      <c r="Q374" s="101">
        <v>0</v>
      </c>
      <c r="R374" s="101" t="s">
        <v>410</v>
      </c>
      <c r="S374" s="101" t="s">
        <v>477</v>
      </c>
      <c r="T374" s="101" t="s">
        <v>394</v>
      </c>
      <c r="U374" s="101" t="s">
        <v>81</v>
      </c>
      <c r="V374" s="245">
        <v>46371</v>
      </c>
      <c r="W374" s="101" t="s">
        <v>445</v>
      </c>
      <c r="X374" s="101" t="s">
        <v>76</v>
      </c>
      <c r="Y374" s="101" t="s">
        <v>392</v>
      </c>
      <c r="Z374" s="101" t="s">
        <v>412</v>
      </c>
      <c r="AA374" s="101" t="s">
        <v>478</v>
      </c>
      <c r="AB374" s="101">
        <v>3101053970</v>
      </c>
      <c r="AC374" s="101" t="s">
        <v>414</v>
      </c>
      <c r="AD374" s="101" t="s">
        <v>79</v>
      </c>
      <c r="AE374" s="101" t="s">
        <v>75</v>
      </c>
      <c r="AF374" s="101" t="s">
        <v>400</v>
      </c>
      <c r="AI374" s="101" t="s">
        <v>172</v>
      </c>
    </row>
    <row r="375" spans="1:35">
      <c r="A375" s="246" t="s">
        <v>113</v>
      </c>
      <c r="B375" s="246" t="s">
        <v>66</v>
      </c>
      <c r="C375" s="246" t="s">
        <v>126</v>
      </c>
      <c r="D375" s="246" t="s">
        <v>271</v>
      </c>
      <c r="E375" s="246"/>
      <c r="F375" s="246"/>
      <c r="G375" s="132" t="s">
        <v>521</v>
      </c>
      <c r="H375" s="132" t="s">
        <v>1209</v>
      </c>
      <c r="I375" s="132">
        <v>-124432.71999999999</v>
      </c>
      <c r="J375" s="101" t="s">
        <v>889</v>
      </c>
      <c r="K375" s="245" t="s">
        <v>390</v>
      </c>
      <c r="L375" s="245">
        <v>43069</v>
      </c>
      <c r="M375" s="245" t="s">
        <v>391</v>
      </c>
      <c r="N375" s="101">
        <v>0</v>
      </c>
      <c r="O375" s="101" t="s">
        <v>392</v>
      </c>
      <c r="P375" s="101">
        <v>0</v>
      </c>
      <c r="Q375" s="101">
        <v>0</v>
      </c>
      <c r="R375" s="101" t="s">
        <v>422</v>
      </c>
      <c r="S375" s="101" t="s">
        <v>477</v>
      </c>
      <c r="T375" s="101" t="s">
        <v>394</v>
      </c>
      <c r="U375" s="101" t="s">
        <v>81</v>
      </c>
      <c r="V375" s="245">
        <v>46371</v>
      </c>
      <c r="W375" s="101" t="s">
        <v>445</v>
      </c>
      <c r="X375" s="101" t="s">
        <v>76</v>
      </c>
      <c r="Y375" s="101" t="s">
        <v>392</v>
      </c>
      <c r="Z375" s="101" t="s">
        <v>412</v>
      </c>
      <c r="AA375" s="101" t="s">
        <v>478</v>
      </c>
      <c r="AB375" s="101">
        <v>3101053970</v>
      </c>
      <c r="AC375" s="101" t="s">
        <v>414</v>
      </c>
      <c r="AD375" s="101" t="s">
        <v>79</v>
      </c>
      <c r="AE375" s="101" t="s">
        <v>75</v>
      </c>
      <c r="AF375" s="101" t="s">
        <v>400</v>
      </c>
      <c r="AI375" s="101" t="s">
        <v>172</v>
      </c>
    </row>
    <row r="376" spans="1:35">
      <c r="A376" s="246" t="s">
        <v>113</v>
      </c>
      <c r="B376" s="246" t="s">
        <v>66</v>
      </c>
      <c r="C376" s="246" t="s">
        <v>264</v>
      </c>
      <c r="D376" s="246" t="s">
        <v>285</v>
      </c>
      <c r="E376" s="246"/>
      <c r="F376" s="246"/>
      <c r="G376" s="132" t="s">
        <v>522</v>
      </c>
      <c r="H376" s="132" t="s">
        <v>1210</v>
      </c>
      <c r="I376" s="132">
        <v>7447298.7300000004</v>
      </c>
      <c r="J376" s="101" t="s">
        <v>889</v>
      </c>
      <c r="K376" s="245" t="s">
        <v>390</v>
      </c>
      <c r="L376" s="245">
        <v>43069</v>
      </c>
      <c r="M376" s="245" t="s">
        <v>421</v>
      </c>
      <c r="N376" s="101">
        <v>0</v>
      </c>
      <c r="O376" s="101" t="s">
        <v>392</v>
      </c>
      <c r="P376" s="101">
        <v>0</v>
      </c>
      <c r="Q376" s="101">
        <v>0</v>
      </c>
      <c r="R376" s="101" t="s">
        <v>410</v>
      </c>
      <c r="S376" s="101" t="s">
        <v>477</v>
      </c>
      <c r="T376" s="101" t="s">
        <v>394</v>
      </c>
      <c r="U376" s="101" t="s">
        <v>81</v>
      </c>
      <c r="V376" s="245">
        <v>46371</v>
      </c>
      <c r="W376" s="101" t="s">
        <v>445</v>
      </c>
      <c r="X376" s="101" t="s">
        <v>76</v>
      </c>
      <c r="Y376" s="101" t="s">
        <v>392</v>
      </c>
      <c r="Z376" s="101" t="s">
        <v>412</v>
      </c>
      <c r="AA376" s="101" t="s">
        <v>478</v>
      </c>
      <c r="AB376" s="101">
        <v>3101053970</v>
      </c>
      <c r="AC376" s="101" t="s">
        <v>414</v>
      </c>
      <c r="AD376" s="101" t="s">
        <v>79</v>
      </c>
      <c r="AE376" s="101" t="s">
        <v>75</v>
      </c>
      <c r="AF376" s="101" t="s">
        <v>400</v>
      </c>
      <c r="AI376" s="101" t="s">
        <v>172</v>
      </c>
    </row>
    <row r="377" spans="1:35">
      <c r="A377" s="246" t="s">
        <v>113</v>
      </c>
      <c r="B377" s="246" t="s">
        <v>66</v>
      </c>
      <c r="C377" s="246" t="s">
        <v>264</v>
      </c>
      <c r="D377" s="246" t="s">
        <v>285</v>
      </c>
      <c r="E377" s="246"/>
      <c r="F377" s="246"/>
      <c r="G377" s="132" t="s">
        <v>523</v>
      </c>
      <c r="H377" s="132" t="s">
        <v>1211</v>
      </c>
      <c r="I377" s="132">
        <v>-39997961.920000002</v>
      </c>
      <c r="J377" s="101" t="s">
        <v>889</v>
      </c>
      <c r="K377" s="245" t="s">
        <v>390</v>
      </c>
      <c r="L377" s="245">
        <v>43083</v>
      </c>
      <c r="M377" s="245" t="s">
        <v>421</v>
      </c>
      <c r="N377" s="101">
        <v>0</v>
      </c>
      <c r="O377" s="101" t="s">
        <v>392</v>
      </c>
      <c r="P377" s="101">
        <v>0</v>
      </c>
      <c r="Q377" s="101">
        <v>0</v>
      </c>
      <c r="R377" s="101" t="s">
        <v>422</v>
      </c>
      <c r="S377" s="101" t="s">
        <v>477</v>
      </c>
      <c r="T377" s="101" t="s">
        <v>394</v>
      </c>
      <c r="U377" s="101" t="s">
        <v>81</v>
      </c>
      <c r="V377" s="245">
        <v>46371</v>
      </c>
      <c r="W377" s="101" t="s">
        <v>445</v>
      </c>
      <c r="X377" s="101" t="s">
        <v>76</v>
      </c>
      <c r="Y377" s="101" t="s">
        <v>392</v>
      </c>
      <c r="Z377" s="101" t="s">
        <v>412</v>
      </c>
      <c r="AA377" s="101" t="s">
        <v>478</v>
      </c>
      <c r="AB377" s="101">
        <v>3101053970</v>
      </c>
      <c r="AC377" s="101" t="s">
        <v>414</v>
      </c>
      <c r="AD377" s="101" t="s">
        <v>79</v>
      </c>
      <c r="AE377" s="101" t="s">
        <v>75</v>
      </c>
      <c r="AF377" s="101" t="s">
        <v>400</v>
      </c>
      <c r="AI377" s="101" t="s">
        <v>172</v>
      </c>
    </row>
    <row r="378" spans="1:35">
      <c r="A378" s="246" t="s">
        <v>113</v>
      </c>
      <c r="B378" s="246" t="s">
        <v>66</v>
      </c>
      <c r="C378" s="246" t="s">
        <v>264</v>
      </c>
      <c r="D378" s="246" t="s">
        <v>285</v>
      </c>
      <c r="E378" s="246"/>
      <c r="F378" s="246"/>
      <c r="G378" s="132" t="s">
        <v>524</v>
      </c>
      <c r="H378" s="132" t="s">
        <v>1212</v>
      </c>
      <c r="I378" s="132">
        <v>5823360.2499999991</v>
      </c>
      <c r="J378" s="101" t="s">
        <v>889</v>
      </c>
      <c r="K378" s="245" t="s">
        <v>390</v>
      </c>
      <c r="L378" s="245">
        <v>43098</v>
      </c>
      <c r="M378" s="245" t="s">
        <v>421</v>
      </c>
      <c r="N378" s="101">
        <v>0</v>
      </c>
      <c r="O378" s="101" t="s">
        <v>392</v>
      </c>
      <c r="P378" s="101">
        <v>0</v>
      </c>
      <c r="Q378" s="101">
        <v>0</v>
      </c>
      <c r="R378" s="101" t="s">
        <v>410</v>
      </c>
      <c r="S378" s="101" t="s">
        <v>477</v>
      </c>
      <c r="T378" s="101" t="s">
        <v>394</v>
      </c>
      <c r="U378" s="101" t="s">
        <v>81</v>
      </c>
      <c r="V378" s="245">
        <v>46371</v>
      </c>
      <c r="W378" s="101" t="s">
        <v>445</v>
      </c>
      <c r="X378" s="101" t="s">
        <v>76</v>
      </c>
      <c r="Y378" s="101" t="s">
        <v>392</v>
      </c>
      <c r="Z378" s="101" t="s">
        <v>412</v>
      </c>
      <c r="AA378" s="101" t="s">
        <v>478</v>
      </c>
      <c r="AB378" s="101">
        <v>3101053970</v>
      </c>
      <c r="AC378" s="101" t="s">
        <v>414</v>
      </c>
      <c r="AD378" s="101" t="s">
        <v>79</v>
      </c>
      <c r="AE378" s="101" t="s">
        <v>75</v>
      </c>
      <c r="AF378" s="101" t="s">
        <v>400</v>
      </c>
      <c r="AI378" s="101" t="s">
        <v>172</v>
      </c>
    </row>
    <row r="379" spans="1:35">
      <c r="A379" s="246" t="s">
        <v>113</v>
      </c>
      <c r="B379" s="246" t="s">
        <v>66</v>
      </c>
      <c r="C379" s="246" t="s">
        <v>126</v>
      </c>
      <c r="D379" s="246" t="s">
        <v>271</v>
      </c>
      <c r="E379" s="246"/>
      <c r="F379" s="246"/>
      <c r="G379" s="132" t="s">
        <v>525</v>
      </c>
      <c r="H379" s="132" t="s">
        <v>1213</v>
      </c>
      <c r="I379" s="132">
        <v>-72838.25</v>
      </c>
      <c r="J379" s="101" t="s">
        <v>889</v>
      </c>
      <c r="K379" s="245" t="s">
        <v>390</v>
      </c>
      <c r="L379" s="245">
        <v>43098</v>
      </c>
      <c r="M379" s="245" t="s">
        <v>391</v>
      </c>
      <c r="N379" s="101">
        <v>0</v>
      </c>
      <c r="O379" s="101" t="s">
        <v>392</v>
      </c>
      <c r="P379" s="101">
        <v>0</v>
      </c>
      <c r="Q379" s="101">
        <v>0</v>
      </c>
      <c r="R379" s="101" t="s">
        <v>422</v>
      </c>
      <c r="S379" s="101" t="s">
        <v>477</v>
      </c>
      <c r="T379" s="101" t="s">
        <v>394</v>
      </c>
      <c r="U379" s="101" t="s">
        <v>81</v>
      </c>
      <c r="V379" s="245">
        <v>46371</v>
      </c>
      <c r="W379" s="101" t="s">
        <v>445</v>
      </c>
      <c r="X379" s="101" t="s">
        <v>76</v>
      </c>
      <c r="Y379" s="101" t="s">
        <v>392</v>
      </c>
      <c r="Z379" s="101" t="s">
        <v>412</v>
      </c>
      <c r="AA379" s="101" t="s">
        <v>478</v>
      </c>
      <c r="AB379" s="101">
        <v>3101053970</v>
      </c>
      <c r="AC379" s="101" t="s">
        <v>414</v>
      </c>
      <c r="AD379" s="101" t="s">
        <v>79</v>
      </c>
      <c r="AE379" s="101" t="s">
        <v>75</v>
      </c>
      <c r="AF379" s="101" t="s">
        <v>400</v>
      </c>
      <c r="AI379" s="101" t="s">
        <v>172</v>
      </c>
    </row>
    <row r="380" spans="1:35">
      <c r="A380" s="246" t="s">
        <v>113</v>
      </c>
      <c r="B380" s="246" t="s">
        <v>66</v>
      </c>
      <c r="C380" s="246" t="s">
        <v>126</v>
      </c>
      <c r="D380" s="246" t="s">
        <v>271</v>
      </c>
      <c r="E380" s="246"/>
      <c r="F380" s="246"/>
      <c r="G380" s="132" t="s">
        <v>526</v>
      </c>
      <c r="H380" s="132" t="s">
        <v>1214</v>
      </c>
      <c r="I380" s="132">
        <v>-23003.229999999996</v>
      </c>
      <c r="J380" s="101" t="s">
        <v>889</v>
      </c>
      <c r="K380" s="245" t="s">
        <v>390</v>
      </c>
      <c r="L380" s="245">
        <v>43131</v>
      </c>
      <c r="M380" s="245" t="s">
        <v>391</v>
      </c>
      <c r="N380" s="101">
        <v>0</v>
      </c>
      <c r="O380" s="101" t="s">
        <v>392</v>
      </c>
      <c r="P380" s="101">
        <v>0</v>
      </c>
      <c r="Q380" s="101">
        <v>0</v>
      </c>
      <c r="R380" s="101" t="s">
        <v>422</v>
      </c>
      <c r="S380" s="101" t="s">
        <v>477</v>
      </c>
      <c r="T380" s="101" t="s">
        <v>394</v>
      </c>
      <c r="U380" s="101" t="s">
        <v>81</v>
      </c>
      <c r="V380" s="245">
        <v>46371</v>
      </c>
      <c r="W380" s="101" t="s">
        <v>445</v>
      </c>
      <c r="X380" s="101" t="s">
        <v>76</v>
      </c>
      <c r="Y380" s="101" t="s">
        <v>392</v>
      </c>
      <c r="Z380" s="101" t="s">
        <v>412</v>
      </c>
      <c r="AA380" s="101" t="s">
        <v>478</v>
      </c>
      <c r="AB380" s="101">
        <v>3101053970</v>
      </c>
      <c r="AC380" s="101" t="s">
        <v>414</v>
      </c>
      <c r="AD380" s="101" t="s">
        <v>79</v>
      </c>
      <c r="AE380" s="101" t="s">
        <v>75</v>
      </c>
      <c r="AF380" s="101" t="s">
        <v>400</v>
      </c>
      <c r="AI380" s="101" t="s">
        <v>172</v>
      </c>
    </row>
    <row r="381" spans="1:35">
      <c r="A381" s="246" t="s">
        <v>113</v>
      </c>
      <c r="B381" s="246" t="s">
        <v>66</v>
      </c>
      <c r="C381" s="246" t="s">
        <v>264</v>
      </c>
      <c r="D381" s="246" t="s">
        <v>285</v>
      </c>
      <c r="E381" s="246"/>
      <c r="F381" s="246"/>
      <c r="G381" s="132" t="s">
        <v>527</v>
      </c>
      <c r="H381" s="132" t="s">
        <v>1215</v>
      </c>
      <c r="I381" s="132">
        <v>7084240.7400000002</v>
      </c>
      <c r="J381" s="101" t="s">
        <v>889</v>
      </c>
      <c r="K381" s="245" t="s">
        <v>390</v>
      </c>
      <c r="L381" s="245">
        <v>43131</v>
      </c>
      <c r="M381" s="245" t="s">
        <v>421</v>
      </c>
      <c r="N381" s="101">
        <v>0</v>
      </c>
      <c r="O381" s="101" t="s">
        <v>392</v>
      </c>
      <c r="P381" s="101">
        <v>0</v>
      </c>
      <c r="Q381" s="101">
        <v>0</v>
      </c>
      <c r="R381" s="101" t="s">
        <v>410</v>
      </c>
      <c r="S381" s="101" t="s">
        <v>477</v>
      </c>
      <c r="T381" s="101" t="s">
        <v>394</v>
      </c>
      <c r="U381" s="101" t="s">
        <v>81</v>
      </c>
      <c r="V381" s="245">
        <v>46371</v>
      </c>
      <c r="W381" s="101" t="s">
        <v>445</v>
      </c>
      <c r="X381" s="101" t="s">
        <v>76</v>
      </c>
      <c r="Y381" s="101" t="s">
        <v>392</v>
      </c>
      <c r="Z381" s="101" t="s">
        <v>412</v>
      </c>
      <c r="AA381" s="101" t="s">
        <v>478</v>
      </c>
      <c r="AB381" s="101">
        <v>3101053970</v>
      </c>
      <c r="AC381" s="101" t="s">
        <v>414</v>
      </c>
      <c r="AD381" s="101" t="s">
        <v>79</v>
      </c>
      <c r="AE381" s="101" t="s">
        <v>75</v>
      </c>
      <c r="AF381" s="101" t="s">
        <v>400</v>
      </c>
      <c r="AI381" s="101" t="s">
        <v>172</v>
      </c>
    </row>
    <row r="382" spans="1:35">
      <c r="A382" s="246" t="s">
        <v>113</v>
      </c>
      <c r="B382" s="246" t="s">
        <v>66</v>
      </c>
      <c r="C382" s="246" t="s">
        <v>126</v>
      </c>
      <c r="D382" s="246" t="s">
        <v>271</v>
      </c>
      <c r="E382" s="246"/>
      <c r="F382" s="246"/>
      <c r="G382" s="132" t="s">
        <v>528</v>
      </c>
      <c r="H382" s="132" t="s">
        <v>1216</v>
      </c>
      <c r="I382" s="132">
        <v>-46052.909999999996</v>
      </c>
      <c r="J382" s="101" t="s">
        <v>889</v>
      </c>
      <c r="K382" s="245" t="s">
        <v>390</v>
      </c>
      <c r="L382" s="245">
        <v>43159</v>
      </c>
      <c r="M382" s="245" t="s">
        <v>391</v>
      </c>
      <c r="N382" s="101">
        <v>0</v>
      </c>
      <c r="O382" s="101" t="s">
        <v>392</v>
      </c>
      <c r="P382" s="101">
        <v>0</v>
      </c>
      <c r="Q382" s="101">
        <v>0</v>
      </c>
      <c r="R382" s="101" t="s">
        <v>422</v>
      </c>
      <c r="S382" s="101" t="s">
        <v>477</v>
      </c>
      <c r="T382" s="101" t="s">
        <v>394</v>
      </c>
      <c r="U382" s="101" t="s">
        <v>81</v>
      </c>
      <c r="V382" s="245">
        <v>46371</v>
      </c>
      <c r="W382" s="101" t="s">
        <v>445</v>
      </c>
      <c r="X382" s="101" t="s">
        <v>76</v>
      </c>
      <c r="Y382" s="101" t="s">
        <v>392</v>
      </c>
      <c r="Z382" s="101" t="s">
        <v>412</v>
      </c>
      <c r="AA382" s="101" t="s">
        <v>478</v>
      </c>
      <c r="AB382" s="101">
        <v>3101053970</v>
      </c>
      <c r="AC382" s="101" t="s">
        <v>414</v>
      </c>
      <c r="AD382" s="101" t="s">
        <v>79</v>
      </c>
      <c r="AE382" s="101" t="s">
        <v>75</v>
      </c>
      <c r="AF382" s="101" t="s">
        <v>400</v>
      </c>
      <c r="AI382" s="101" t="s">
        <v>172</v>
      </c>
    </row>
    <row r="383" spans="1:35">
      <c r="A383" s="246" t="s">
        <v>113</v>
      </c>
      <c r="B383" s="246" t="s">
        <v>66</v>
      </c>
      <c r="C383" s="246" t="s">
        <v>264</v>
      </c>
      <c r="D383" s="246" t="s">
        <v>285</v>
      </c>
      <c r="E383" s="246"/>
      <c r="F383" s="246"/>
      <c r="G383" s="132" t="s">
        <v>529</v>
      </c>
      <c r="H383" s="132" t="s">
        <v>1217</v>
      </c>
      <c r="I383" s="132">
        <v>7535970.6600000001</v>
      </c>
      <c r="J383" s="101" t="s">
        <v>889</v>
      </c>
      <c r="K383" s="245" t="s">
        <v>390</v>
      </c>
      <c r="L383" s="245">
        <v>43159</v>
      </c>
      <c r="M383" s="245" t="s">
        <v>421</v>
      </c>
      <c r="N383" s="101">
        <v>0</v>
      </c>
      <c r="O383" s="101" t="s">
        <v>392</v>
      </c>
      <c r="P383" s="101">
        <v>0</v>
      </c>
      <c r="Q383" s="101">
        <v>0</v>
      </c>
      <c r="R383" s="101" t="s">
        <v>410</v>
      </c>
      <c r="S383" s="101" t="s">
        <v>477</v>
      </c>
      <c r="T383" s="101" t="s">
        <v>394</v>
      </c>
      <c r="U383" s="101" t="s">
        <v>81</v>
      </c>
      <c r="V383" s="245">
        <v>46371</v>
      </c>
      <c r="W383" s="101" t="s">
        <v>445</v>
      </c>
      <c r="X383" s="101" t="s">
        <v>76</v>
      </c>
      <c r="Y383" s="101" t="s">
        <v>392</v>
      </c>
      <c r="Z383" s="101" t="s">
        <v>412</v>
      </c>
      <c r="AA383" s="101" t="s">
        <v>478</v>
      </c>
      <c r="AB383" s="101">
        <v>3101053970</v>
      </c>
      <c r="AC383" s="101" t="s">
        <v>414</v>
      </c>
      <c r="AD383" s="101" t="s">
        <v>79</v>
      </c>
      <c r="AE383" s="101" t="s">
        <v>75</v>
      </c>
      <c r="AF383" s="101" t="s">
        <v>400</v>
      </c>
      <c r="AI383" s="101" t="s">
        <v>172</v>
      </c>
    </row>
    <row r="384" spans="1:35">
      <c r="A384" s="246" t="s">
        <v>113</v>
      </c>
      <c r="B384" s="246" t="s">
        <v>66</v>
      </c>
      <c r="C384" s="246" t="s">
        <v>264</v>
      </c>
      <c r="D384" s="246" t="s">
        <v>285</v>
      </c>
      <c r="E384" s="246"/>
      <c r="F384" s="246"/>
      <c r="G384" s="132" t="s">
        <v>530</v>
      </c>
      <c r="H384" s="132" t="s">
        <v>1218</v>
      </c>
      <c r="I384" s="132">
        <v>-1654050.08</v>
      </c>
      <c r="J384" s="101" t="s">
        <v>889</v>
      </c>
      <c r="K384" s="245" t="s">
        <v>390</v>
      </c>
      <c r="L384" s="245">
        <v>43173</v>
      </c>
      <c r="M384" s="245" t="s">
        <v>421</v>
      </c>
      <c r="N384" s="101">
        <v>0</v>
      </c>
      <c r="O384" s="101" t="s">
        <v>392</v>
      </c>
      <c r="P384" s="101">
        <v>0</v>
      </c>
      <c r="Q384" s="101">
        <v>0</v>
      </c>
      <c r="R384" s="101" t="s">
        <v>422</v>
      </c>
      <c r="S384" s="101" t="s">
        <v>477</v>
      </c>
      <c r="T384" s="101" t="s">
        <v>394</v>
      </c>
      <c r="U384" s="101" t="s">
        <v>81</v>
      </c>
      <c r="V384" s="245">
        <v>46371</v>
      </c>
      <c r="W384" s="101" t="s">
        <v>445</v>
      </c>
      <c r="X384" s="101" t="s">
        <v>76</v>
      </c>
      <c r="Y384" s="101" t="s">
        <v>392</v>
      </c>
      <c r="Z384" s="101" t="s">
        <v>412</v>
      </c>
      <c r="AA384" s="101" t="s">
        <v>478</v>
      </c>
      <c r="AB384" s="101">
        <v>3101053970</v>
      </c>
      <c r="AC384" s="101" t="s">
        <v>414</v>
      </c>
      <c r="AD384" s="101" t="s">
        <v>79</v>
      </c>
      <c r="AE384" s="101" t="s">
        <v>75</v>
      </c>
      <c r="AF384" s="101" t="s">
        <v>400</v>
      </c>
      <c r="AI384" s="101" t="s">
        <v>172</v>
      </c>
    </row>
    <row r="385" spans="1:35">
      <c r="A385" s="246" t="s">
        <v>113</v>
      </c>
      <c r="B385" s="246" t="s">
        <v>66</v>
      </c>
      <c r="C385" s="246" t="s">
        <v>264</v>
      </c>
      <c r="D385" s="246" t="s">
        <v>285</v>
      </c>
      <c r="E385" s="246"/>
      <c r="F385" s="246"/>
      <c r="G385" s="132" t="s">
        <v>543</v>
      </c>
      <c r="H385" s="132" t="s">
        <v>1219</v>
      </c>
      <c r="I385" s="132">
        <v>6807742.54</v>
      </c>
      <c r="J385" s="101" t="s">
        <v>889</v>
      </c>
      <c r="K385" s="245" t="s">
        <v>390</v>
      </c>
      <c r="L385" s="245">
        <v>43189</v>
      </c>
      <c r="M385" s="245" t="s">
        <v>421</v>
      </c>
      <c r="N385" s="101">
        <v>0</v>
      </c>
      <c r="O385" s="101" t="s">
        <v>392</v>
      </c>
      <c r="P385" s="101">
        <v>0</v>
      </c>
      <c r="Q385" s="101">
        <v>0</v>
      </c>
      <c r="R385" s="101" t="s">
        <v>410</v>
      </c>
      <c r="S385" s="101" t="s">
        <v>477</v>
      </c>
      <c r="T385" s="101" t="s">
        <v>394</v>
      </c>
      <c r="U385" s="101" t="s">
        <v>81</v>
      </c>
      <c r="V385" s="245">
        <v>46371</v>
      </c>
      <c r="W385" s="101" t="s">
        <v>445</v>
      </c>
      <c r="X385" s="101" t="s">
        <v>76</v>
      </c>
      <c r="Y385" s="101" t="s">
        <v>392</v>
      </c>
      <c r="Z385" s="101" t="s">
        <v>412</v>
      </c>
      <c r="AA385" s="101" t="s">
        <v>478</v>
      </c>
      <c r="AB385" s="101">
        <v>3101053970</v>
      </c>
      <c r="AC385" s="101" t="s">
        <v>414</v>
      </c>
      <c r="AD385" s="101" t="s">
        <v>79</v>
      </c>
      <c r="AE385" s="101" t="s">
        <v>75</v>
      </c>
      <c r="AF385" s="101" t="s">
        <v>400</v>
      </c>
      <c r="AI385" s="101" t="s">
        <v>172</v>
      </c>
    </row>
    <row r="386" spans="1:35">
      <c r="A386" s="246" t="s">
        <v>113</v>
      </c>
      <c r="B386" s="246" t="s">
        <v>66</v>
      </c>
      <c r="C386" s="246" t="s">
        <v>126</v>
      </c>
      <c r="D386" s="246" t="s">
        <v>271</v>
      </c>
      <c r="E386" s="246"/>
      <c r="F386" s="246"/>
      <c r="G386" s="132" t="s">
        <v>544</v>
      </c>
      <c r="H386" s="132" t="s">
        <v>1220</v>
      </c>
      <c r="I386" s="132">
        <v>-78039.91</v>
      </c>
      <c r="J386" s="101" t="s">
        <v>889</v>
      </c>
      <c r="K386" s="245" t="s">
        <v>390</v>
      </c>
      <c r="L386" s="245">
        <v>43189</v>
      </c>
      <c r="M386" s="245" t="s">
        <v>391</v>
      </c>
      <c r="N386" s="101">
        <v>0</v>
      </c>
      <c r="O386" s="101" t="s">
        <v>392</v>
      </c>
      <c r="P386" s="101">
        <v>0</v>
      </c>
      <c r="Q386" s="101">
        <v>0</v>
      </c>
      <c r="R386" s="101" t="s">
        <v>422</v>
      </c>
      <c r="S386" s="101" t="s">
        <v>477</v>
      </c>
      <c r="T386" s="101" t="s">
        <v>394</v>
      </c>
      <c r="U386" s="101" t="s">
        <v>81</v>
      </c>
      <c r="V386" s="245">
        <v>46371</v>
      </c>
      <c r="W386" s="101" t="s">
        <v>445</v>
      </c>
      <c r="X386" s="101" t="s">
        <v>76</v>
      </c>
      <c r="Y386" s="101" t="s">
        <v>392</v>
      </c>
      <c r="Z386" s="101" t="s">
        <v>412</v>
      </c>
      <c r="AA386" s="101" t="s">
        <v>478</v>
      </c>
      <c r="AB386" s="101">
        <v>3101053970</v>
      </c>
      <c r="AC386" s="101" t="s">
        <v>414</v>
      </c>
      <c r="AD386" s="101" t="s">
        <v>79</v>
      </c>
      <c r="AE386" s="101" t="s">
        <v>75</v>
      </c>
      <c r="AF386" s="101" t="s">
        <v>400</v>
      </c>
      <c r="AI386" s="101" t="s">
        <v>172</v>
      </c>
    </row>
    <row r="387" spans="1:35">
      <c r="A387" s="246" t="s">
        <v>113</v>
      </c>
      <c r="B387" s="246" t="s">
        <v>66</v>
      </c>
      <c r="C387" s="246" t="s">
        <v>126</v>
      </c>
      <c r="D387" s="246" t="s">
        <v>271</v>
      </c>
      <c r="E387" s="246"/>
      <c r="F387" s="246"/>
      <c r="G387" s="132" t="s">
        <v>813</v>
      </c>
      <c r="H387" s="132" t="s">
        <v>1221</v>
      </c>
      <c r="I387" s="132">
        <v>-97851.68</v>
      </c>
      <c r="J387" s="101" t="s">
        <v>889</v>
      </c>
      <c r="K387" s="245" t="s">
        <v>390</v>
      </c>
      <c r="L387" s="245">
        <v>43220</v>
      </c>
      <c r="M387" s="245" t="s">
        <v>391</v>
      </c>
      <c r="N387" s="101">
        <v>0</v>
      </c>
      <c r="O387" s="101" t="s">
        <v>392</v>
      </c>
      <c r="P387" s="101">
        <v>0</v>
      </c>
      <c r="Q387" s="101">
        <v>0</v>
      </c>
      <c r="R387" s="101" t="s">
        <v>422</v>
      </c>
      <c r="S387" s="101" t="s">
        <v>477</v>
      </c>
      <c r="T387" s="101" t="s">
        <v>394</v>
      </c>
      <c r="U387" s="101" t="s">
        <v>81</v>
      </c>
      <c r="V387" s="245">
        <v>46371</v>
      </c>
      <c r="W387" s="101" t="s">
        <v>445</v>
      </c>
      <c r="X387" s="101" t="s">
        <v>76</v>
      </c>
      <c r="Y387" s="101" t="s">
        <v>392</v>
      </c>
      <c r="Z387" s="101" t="s">
        <v>412</v>
      </c>
      <c r="AA387" s="101" t="s">
        <v>478</v>
      </c>
      <c r="AB387" s="101">
        <v>3101053970</v>
      </c>
      <c r="AC387" s="101" t="s">
        <v>414</v>
      </c>
      <c r="AD387" s="101" t="s">
        <v>79</v>
      </c>
      <c r="AE387" s="101" t="s">
        <v>75</v>
      </c>
      <c r="AF387" s="101" t="s">
        <v>400</v>
      </c>
      <c r="AI387" s="101" t="s">
        <v>172</v>
      </c>
    </row>
    <row r="388" spans="1:35">
      <c r="A388" s="246" t="s">
        <v>113</v>
      </c>
      <c r="B388" s="246" t="s">
        <v>66</v>
      </c>
      <c r="C388" s="246" t="s">
        <v>264</v>
      </c>
      <c r="D388" s="246" t="s">
        <v>285</v>
      </c>
      <c r="E388" s="246"/>
      <c r="F388" s="246"/>
      <c r="G388" s="132" t="s">
        <v>814</v>
      </c>
      <c r="H388" s="132" t="s">
        <v>1222</v>
      </c>
      <c r="I388" s="132">
        <v>7093136.0699999994</v>
      </c>
      <c r="J388" s="101" t="s">
        <v>889</v>
      </c>
      <c r="K388" s="245" t="s">
        <v>390</v>
      </c>
      <c r="L388" s="245">
        <v>43220</v>
      </c>
      <c r="M388" s="245" t="s">
        <v>421</v>
      </c>
      <c r="N388" s="101">
        <v>0</v>
      </c>
      <c r="O388" s="101" t="s">
        <v>392</v>
      </c>
      <c r="P388" s="101">
        <v>0</v>
      </c>
      <c r="Q388" s="101">
        <v>0</v>
      </c>
      <c r="R388" s="101" t="s">
        <v>410</v>
      </c>
      <c r="S388" s="101" t="s">
        <v>477</v>
      </c>
      <c r="T388" s="101" t="s">
        <v>394</v>
      </c>
      <c r="U388" s="101" t="s">
        <v>81</v>
      </c>
      <c r="V388" s="245">
        <v>46371</v>
      </c>
      <c r="W388" s="101" t="s">
        <v>445</v>
      </c>
      <c r="X388" s="101" t="s">
        <v>76</v>
      </c>
      <c r="Y388" s="101" t="s">
        <v>392</v>
      </c>
      <c r="Z388" s="101" t="s">
        <v>412</v>
      </c>
      <c r="AA388" s="101" t="s">
        <v>478</v>
      </c>
      <c r="AB388" s="101">
        <v>3101053970</v>
      </c>
      <c r="AC388" s="101" t="s">
        <v>414</v>
      </c>
      <c r="AD388" s="101" t="s">
        <v>79</v>
      </c>
      <c r="AE388" s="101" t="s">
        <v>75</v>
      </c>
      <c r="AF388" s="101" t="s">
        <v>400</v>
      </c>
      <c r="AI388" s="101" t="s">
        <v>172</v>
      </c>
    </row>
    <row r="389" spans="1:35">
      <c r="A389" s="246" t="s">
        <v>111</v>
      </c>
      <c r="B389" s="246" t="s">
        <v>78</v>
      </c>
      <c r="C389" s="246" t="s">
        <v>126</v>
      </c>
      <c r="D389" s="246" t="s">
        <v>768</v>
      </c>
      <c r="E389" s="246" t="s">
        <v>769</v>
      </c>
      <c r="F389" s="246" t="s">
        <v>277</v>
      </c>
      <c r="G389" s="132" t="s">
        <v>810</v>
      </c>
      <c r="H389" s="132" t="s">
        <v>1223</v>
      </c>
      <c r="I389" s="132">
        <v>14327.519999999999</v>
      </c>
      <c r="J389" s="101" t="s">
        <v>889</v>
      </c>
      <c r="K389" s="245" t="s">
        <v>390</v>
      </c>
      <c r="L389" s="245">
        <v>42794</v>
      </c>
      <c r="M389" s="245" t="s">
        <v>391</v>
      </c>
      <c r="N389" s="101">
        <v>0</v>
      </c>
      <c r="O389" s="101" t="s">
        <v>392</v>
      </c>
      <c r="P389" s="101">
        <v>0</v>
      </c>
      <c r="Q389" s="101">
        <v>0</v>
      </c>
      <c r="R389" s="101" t="s">
        <v>393</v>
      </c>
      <c r="S389" s="101" t="s">
        <v>807</v>
      </c>
      <c r="T389" s="101" t="s">
        <v>394</v>
      </c>
      <c r="V389" s="245">
        <v>14124</v>
      </c>
      <c r="W389" s="101" t="s">
        <v>395</v>
      </c>
      <c r="X389" s="101" t="s">
        <v>795</v>
      </c>
      <c r="Y389" s="101" t="s">
        <v>396</v>
      </c>
      <c r="Z389" s="101" t="s">
        <v>402</v>
      </c>
      <c r="AA389" s="101" t="s">
        <v>78</v>
      </c>
      <c r="AB389" s="101">
        <v>4101000279</v>
      </c>
      <c r="AC389" s="101" t="s">
        <v>398</v>
      </c>
      <c r="AD389" s="101" t="s">
        <v>403</v>
      </c>
      <c r="AE389" s="101" t="s">
        <v>6</v>
      </c>
      <c r="AF389" s="101" t="s">
        <v>400</v>
      </c>
      <c r="AI389" s="101" t="s">
        <v>760</v>
      </c>
    </row>
    <row r="390" spans="1:35">
      <c r="A390" s="246" t="s">
        <v>112</v>
      </c>
      <c r="B390" s="246" t="s">
        <v>78</v>
      </c>
      <c r="C390" s="246" t="s">
        <v>126</v>
      </c>
      <c r="D390" s="246" t="s">
        <v>341</v>
      </c>
      <c r="E390" s="246" t="s">
        <v>342</v>
      </c>
      <c r="F390" s="246" t="s">
        <v>278</v>
      </c>
      <c r="G390" s="132" t="s">
        <v>811</v>
      </c>
      <c r="H390" s="132" t="s">
        <v>1224</v>
      </c>
      <c r="I390" s="132">
        <v>14729.979999999998</v>
      </c>
      <c r="J390" s="101" t="s">
        <v>889</v>
      </c>
      <c r="K390" s="245" t="s">
        <v>390</v>
      </c>
      <c r="L390" s="245">
        <v>42978</v>
      </c>
      <c r="M390" s="245" t="s">
        <v>391</v>
      </c>
      <c r="N390" s="101">
        <v>0</v>
      </c>
      <c r="O390" s="101" t="s">
        <v>392</v>
      </c>
      <c r="P390" s="101">
        <v>0</v>
      </c>
      <c r="Q390" s="101">
        <v>0</v>
      </c>
      <c r="R390" s="101" t="s">
        <v>393</v>
      </c>
      <c r="S390" s="101" t="s">
        <v>807</v>
      </c>
      <c r="T390" s="101" t="s">
        <v>394</v>
      </c>
      <c r="V390" s="245">
        <v>14124</v>
      </c>
      <c r="W390" s="101" t="s">
        <v>395</v>
      </c>
      <c r="X390" s="101" t="s">
        <v>795</v>
      </c>
      <c r="Y390" s="101" t="s">
        <v>396</v>
      </c>
      <c r="Z390" s="101" t="s">
        <v>402</v>
      </c>
      <c r="AA390" s="101" t="s">
        <v>78</v>
      </c>
      <c r="AB390" s="101">
        <v>4101000279</v>
      </c>
      <c r="AC390" s="101" t="s">
        <v>398</v>
      </c>
      <c r="AD390" s="101" t="s">
        <v>403</v>
      </c>
      <c r="AE390" s="101" t="s">
        <v>6</v>
      </c>
      <c r="AF390" s="101" t="s">
        <v>400</v>
      </c>
      <c r="AI390" s="101" t="s">
        <v>760</v>
      </c>
    </row>
    <row r="391" spans="1:35">
      <c r="A391" s="246" t="s">
        <v>113</v>
      </c>
      <c r="B391" s="246" t="s">
        <v>78</v>
      </c>
      <c r="C391" s="246" t="s">
        <v>126</v>
      </c>
      <c r="D391" s="246" t="s">
        <v>339</v>
      </c>
      <c r="E391" s="246" t="s">
        <v>340</v>
      </c>
      <c r="F391" s="246" t="s">
        <v>279</v>
      </c>
      <c r="G391" s="132" t="s">
        <v>708</v>
      </c>
      <c r="H391" s="132" t="s">
        <v>1225</v>
      </c>
      <c r="I391" s="132">
        <v>20692.5</v>
      </c>
      <c r="J391" s="101" t="s">
        <v>889</v>
      </c>
      <c r="K391" s="245" t="s">
        <v>390</v>
      </c>
      <c r="L391" s="245">
        <v>43159</v>
      </c>
      <c r="M391" s="245" t="s">
        <v>391</v>
      </c>
      <c r="N391" s="101">
        <v>0</v>
      </c>
      <c r="O391" s="101" t="s">
        <v>392</v>
      </c>
      <c r="P391" s="101">
        <v>0</v>
      </c>
      <c r="Q391" s="101">
        <v>0</v>
      </c>
      <c r="R391" s="101" t="s">
        <v>393</v>
      </c>
      <c r="S391" s="101" t="s">
        <v>807</v>
      </c>
      <c r="T391" s="101" t="s">
        <v>394</v>
      </c>
      <c r="V391" s="245">
        <v>14124</v>
      </c>
      <c r="W391" s="101" t="s">
        <v>395</v>
      </c>
      <c r="X391" s="101" t="s">
        <v>795</v>
      </c>
      <c r="Y391" s="101" t="s">
        <v>396</v>
      </c>
      <c r="Z391" s="101" t="s">
        <v>402</v>
      </c>
      <c r="AA391" s="101" t="s">
        <v>78</v>
      </c>
      <c r="AB391" s="101">
        <v>4101000279</v>
      </c>
      <c r="AC391" s="101" t="s">
        <v>398</v>
      </c>
      <c r="AD391" s="101" t="s">
        <v>403</v>
      </c>
      <c r="AE391" s="101" t="s">
        <v>6</v>
      </c>
      <c r="AF391" s="101" t="s">
        <v>400</v>
      </c>
      <c r="AI391" s="101" t="s">
        <v>760</v>
      </c>
    </row>
    <row r="392" spans="1:35">
      <c r="A392" s="246" t="s">
        <v>107</v>
      </c>
      <c r="B392" s="246" t="s">
        <v>78</v>
      </c>
      <c r="C392" s="246" t="s">
        <v>126</v>
      </c>
      <c r="D392" s="246" t="s">
        <v>772</v>
      </c>
      <c r="E392" s="246" t="s">
        <v>773</v>
      </c>
      <c r="F392" s="246" t="s">
        <v>334</v>
      </c>
      <c r="G392" s="132" t="s">
        <v>812</v>
      </c>
      <c r="H392" s="132" t="s">
        <v>1226</v>
      </c>
      <c r="I392" s="132">
        <v>41.43</v>
      </c>
      <c r="J392" s="101" t="s">
        <v>889</v>
      </c>
      <c r="K392" s="245" t="s">
        <v>390</v>
      </c>
      <c r="L392" s="245">
        <v>42521</v>
      </c>
      <c r="M392" s="245" t="s">
        <v>391</v>
      </c>
      <c r="N392" s="101">
        <v>0</v>
      </c>
      <c r="O392" s="101" t="s">
        <v>392</v>
      </c>
      <c r="P392" s="101">
        <v>0</v>
      </c>
      <c r="Q392" s="101">
        <v>0</v>
      </c>
      <c r="R392" s="101" t="s">
        <v>393</v>
      </c>
      <c r="S392" s="101" t="s">
        <v>807</v>
      </c>
      <c r="T392" s="101" t="s">
        <v>394</v>
      </c>
      <c r="V392" s="245">
        <v>14124</v>
      </c>
      <c r="W392" s="101" t="s">
        <v>395</v>
      </c>
      <c r="X392" s="101" t="s">
        <v>795</v>
      </c>
      <c r="Y392" s="101" t="s">
        <v>396</v>
      </c>
      <c r="Z392" s="101" t="s">
        <v>402</v>
      </c>
      <c r="AA392" s="101" t="s">
        <v>78</v>
      </c>
      <c r="AB392" s="101">
        <v>4101000279</v>
      </c>
      <c r="AC392" s="101" t="s">
        <v>398</v>
      </c>
      <c r="AD392" s="101" t="s">
        <v>403</v>
      </c>
      <c r="AE392" s="101" t="s">
        <v>6</v>
      </c>
      <c r="AF392" s="101" t="s">
        <v>400</v>
      </c>
      <c r="AI392" s="101" t="s">
        <v>760</v>
      </c>
    </row>
    <row r="393" spans="1:35">
      <c r="A393" s="246" t="s">
        <v>109</v>
      </c>
      <c r="B393" s="246" t="s">
        <v>78</v>
      </c>
      <c r="C393" s="246" t="s">
        <v>126</v>
      </c>
      <c r="D393" s="246" t="s">
        <v>337</v>
      </c>
      <c r="E393" s="246" t="s">
        <v>336</v>
      </c>
      <c r="F393" s="246" t="s">
        <v>275</v>
      </c>
      <c r="G393" s="132" t="s">
        <v>1227</v>
      </c>
      <c r="H393" s="132" t="s">
        <v>1228</v>
      </c>
      <c r="I393" s="132">
        <v>33.93</v>
      </c>
      <c r="J393" s="101" t="s">
        <v>889</v>
      </c>
      <c r="K393" s="245" t="s">
        <v>390</v>
      </c>
      <c r="L393" s="245">
        <v>42551</v>
      </c>
      <c r="M393" s="245" t="s">
        <v>391</v>
      </c>
      <c r="N393" s="101">
        <v>0</v>
      </c>
      <c r="O393" s="101" t="s">
        <v>392</v>
      </c>
      <c r="P393" s="101">
        <v>0</v>
      </c>
      <c r="Q393" s="101">
        <v>0</v>
      </c>
      <c r="R393" s="101" t="s">
        <v>393</v>
      </c>
      <c r="S393" s="101" t="s">
        <v>807</v>
      </c>
      <c r="T393" s="101" t="s">
        <v>394</v>
      </c>
      <c r="V393" s="245">
        <v>14124</v>
      </c>
      <c r="W393" s="101" t="s">
        <v>395</v>
      </c>
      <c r="X393" s="101" t="s">
        <v>795</v>
      </c>
      <c r="Y393" s="101" t="s">
        <v>396</v>
      </c>
      <c r="Z393" s="101" t="s">
        <v>402</v>
      </c>
      <c r="AA393" s="101" t="s">
        <v>78</v>
      </c>
      <c r="AB393" s="101">
        <v>4101000279</v>
      </c>
      <c r="AC393" s="101" t="s">
        <v>398</v>
      </c>
      <c r="AD393" s="101" t="s">
        <v>403</v>
      </c>
      <c r="AE393" s="101" t="s">
        <v>6</v>
      </c>
      <c r="AF393" s="101" t="s">
        <v>400</v>
      </c>
      <c r="AI393" s="101" t="s">
        <v>760</v>
      </c>
    </row>
    <row r="394" spans="1:35">
      <c r="A394" s="246" t="s">
        <v>109</v>
      </c>
      <c r="B394" s="246" t="s">
        <v>78</v>
      </c>
      <c r="C394" s="246" t="s">
        <v>126</v>
      </c>
      <c r="D394" s="246" t="s">
        <v>337</v>
      </c>
      <c r="E394" s="246" t="s">
        <v>336</v>
      </c>
      <c r="F394" s="246" t="s">
        <v>275</v>
      </c>
      <c r="G394" s="132" t="s">
        <v>1229</v>
      </c>
      <c r="H394" s="132" t="s">
        <v>1230</v>
      </c>
      <c r="I394" s="132">
        <v>30.049999999999997</v>
      </c>
      <c r="J394" s="101" t="s">
        <v>889</v>
      </c>
      <c r="K394" s="245" t="s">
        <v>390</v>
      </c>
      <c r="L394" s="245">
        <v>42580</v>
      </c>
      <c r="M394" s="245" t="s">
        <v>391</v>
      </c>
      <c r="N394" s="101">
        <v>0</v>
      </c>
      <c r="O394" s="101" t="s">
        <v>392</v>
      </c>
      <c r="P394" s="101">
        <v>0</v>
      </c>
      <c r="Q394" s="101">
        <v>0</v>
      </c>
      <c r="R394" s="101" t="s">
        <v>393</v>
      </c>
      <c r="S394" s="101" t="s">
        <v>807</v>
      </c>
      <c r="T394" s="101" t="s">
        <v>394</v>
      </c>
      <c r="V394" s="245">
        <v>14124</v>
      </c>
      <c r="W394" s="101" t="s">
        <v>395</v>
      </c>
      <c r="X394" s="101" t="s">
        <v>795</v>
      </c>
      <c r="Y394" s="101" t="s">
        <v>396</v>
      </c>
      <c r="Z394" s="101" t="s">
        <v>402</v>
      </c>
      <c r="AA394" s="101" t="s">
        <v>78</v>
      </c>
      <c r="AB394" s="101">
        <v>4101000279</v>
      </c>
      <c r="AC394" s="101" t="s">
        <v>398</v>
      </c>
      <c r="AD394" s="101" t="s">
        <v>403</v>
      </c>
      <c r="AE394" s="101" t="s">
        <v>6</v>
      </c>
      <c r="AF394" s="101" t="s">
        <v>400</v>
      </c>
      <c r="AI394" s="101" t="s">
        <v>760</v>
      </c>
    </row>
    <row r="395" spans="1:35">
      <c r="A395" s="246" t="s">
        <v>110</v>
      </c>
      <c r="B395" s="246" t="s">
        <v>78</v>
      </c>
      <c r="C395" s="246" t="s">
        <v>126</v>
      </c>
      <c r="D395" s="246" t="s">
        <v>770</v>
      </c>
      <c r="E395" s="246" t="s">
        <v>771</v>
      </c>
      <c r="F395" s="246" t="s">
        <v>276</v>
      </c>
      <c r="G395" s="132" t="s">
        <v>1231</v>
      </c>
      <c r="H395" s="132" t="s">
        <v>1232</v>
      </c>
      <c r="I395" s="132">
        <v>11.02</v>
      </c>
      <c r="J395" s="101" t="s">
        <v>889</v>
      </c>
      <c r="K395" s="245" t="s">
        <v>390</v>
      </c>
      <c r="L395" s="245">
        <v>42613</v>
      </c>
      <c r="M395" s="245" t="s">
        <v>391</v>
      </c>
      <c r="N395" s="101">
        <v>0</v>
      </c>
      <c r="O395" s="101" t="s">
        <v>392</v>
      </c>
      <c r="P395" s="101">
        <v>0</v>
      </c>
      <c r="Q395" s="101">
        <v>0</v>
      </c>
      <c r="R395" s="101" t="s">
        <v>393</v>
      </c>
      <c r="S395" s="101" t="s">
        <v>807</v>
      </c>
      <c r="T395" s="101" t="s">
        <v>394</v>
      </c>
      <c r="V395" s="245">
        <v>14124</v>
      </c>
      <c r="W395" s="101" t="s">
        <v>395</v>
      </c>
      <c r="X395" s="101" t="s">
        <v>795</v>
      </c>
      <c r="Y395" s="101" t="s">
        <v>396</v>
      </c>
      <c r="Z395" s="101" t="s">
        <v>402</v>
      </c>
      <c r="AA395" s="101" t="s">
        <v>78</v>
      </c>
      <c r="AB395" s="101">
        <v>4101000279</v>
      </c>
      <c r="AC395" s="101" t="s">
        <v>398</v>
      </c>
      <c r="AD395" s="101" t="s">
        <v>403</v>
      </c>
      <c r="AE395" s="101" t="s">
        <v>6</v>
      </c>
      <c r="AF395" s="101" t="s">
        <v>400</v>
      </c>
      <c r="AI395" s="101" t="s">
        <v>760</v>
      </c>
    </row>
    <row r="396" spans="1:35">
      <c r="A396" s="246" t="s">
        <v>110</v>
      </c>
      <c r="B396" s="246" t="s">
        <v>78</v>
      </c>
      <c r="C396" s="246" t="s">
        <v>126</v>
      </c>
      <c r="D396" s="246" t="s">
        <v>770</v>
      </c>
      <c r="E396" s="246" t="s">
        <v>771</v>
      </c>
      <c r="F396" s="246" t="s">
        <v>276</v>
      </c>
      <c r="G396" s="132" t="s">
        <v>1233</v>
      </c>
      <c r="H396" s="132" t="s">
        <v>1234</v>
      </c>
      <c r="I396" s="132">
        <v>-7.4999999999999991</v>
      </c>
      <c r="J396" s="101" t="s">
        <v>889</v>
      </c>
      <c r="K396" s="245" t="s">
        <v>390</v>
      </c>
      <c r="L396" s="245">
        <v>42643</v>
      </c>
      <c r="M396" s="245" t="s">
        <v>391</v>
      </c>
      <c r="N396" s="101">
        <v>0</v>
      </c>
      <c r="O396" s="101" t="s">
        <v>392</v>
      </c>
      <c r="P396" s="101">
        <v>0</v>
      </c>
      <c r="Q396" s="101">
        <v>0</v>
      </c>
      <c r="R396" s="101" t="s">
        <v>393</v>
      </c>
      <c r="S396" s="101" t="s">
        <v>807</v>
      </c>
      <c r="T396" s="101" t="s">
        <v>394</v>
      </c>
      <c r="V396" s="245">
        <v>14124</v>
      </c>
      <c r="W396" s="101" t="s">
        <v>395</v>
      </c>
      <c r="X396" s="101" t="s">
        <v>795</v>
      </c>
      <c r="Y396" s="101" t="s">
        <v>396</v>
      </c>
      <c r="Z396" s="101" t="s">
        <v>402</v>
      </c>
      <c r="AA396" s="101" t="s">
        <v>78</v>
      </c>
      <c r="AB396" s="101">
        <v>4101000279</v>
      </c>
      <c r="AC396" s="101" t="s">
        <v>398</v>
      </c>
      <c r="AD396" s="101" t="s">
        <v>403</v>
      </c>
      <c r="AE396" s="101" t="s">
        <v>6</v>
      </c>
      <c r="AF396" s="101" t="s">
        <v>400</v>
      </c>
      <c r="AI396" s="101" t="s">
        <v>760</v>
      </c>
    </row>
    <row r="397" spans="1:35">
      <c r="A397" s="246" t="s">
        <v>110</v>
      </c>
      <c r="B397" s="246" t="s">
        <v>78</v>
      </c>
      <c r="C397" s="246" t="s">
        <v>126</v>
      </c>
      <c r="D397" s="246" t="s">
        <v>770</v>
      </c>
      <c r="E397" s="246" t="s">
        <v>771</v>
      </c>
      <c r="F397" s="246" t="s">
        <v>276</v>
      </c>
      <c r="G397" s="132" t="s">
        <v>1235</v>
      </c>
      <c r="H397" s="132" t="s">
        <v>1236</v>
      </c>
      <c r="I397" s="132">
        <v>-7.7499999999999991</v>
      </c>
      <c r="J397" s="101" t="s">
        <v>889</v>
      </c>
      <c r="K397" s="245" t="s">
        <v>390</v>
      </c>
      <c r="L397" s="245">
        <v>42674</v>
      </c>
      <c r="M397" s="245" t="s">
        <v>391</v>
      </c>
      <c r="N397" s="101">
        <v>0</v>
      </c>
      <c r="O397" s="101" t="s">
        <v>392</v>
      </c>
      <c r="P397" s="101">
        <v>0</v>
      </c>
      <c r="Q397" s="101">
        <v>0</v>
      </c>
      <c r="R397" s="101" t="s">
        <v>393</v>
      </c>
      <c r="S397" s="101" t="s">
        <v>807</v>
      </c>
      <c r="T397" s="101" t="s">
        <v>394</v>
      </c>
      <c r="V397" s="245">
        <v>14124</v>
      </c>
      <c r="W397" s="101" t="s">
        <v>395</v>
      </c>
      <c r="X397" s="101" t="s">
        <v>795</v>
      </c>
      <c r="Y397" s="101" t="s">
        <v>396</v>
      </c>
      <c r="Z397" s="101" t="s">
        <v>402</v>
      </c>
      <c r="AA397" s="101" t="s">
        <v>78</v>
      </c>
      <c r="AB397" s="101">
        <v>4101000279</v>
      </c>
      <c r="AC397" s="101" t="s">
        <v>398</v>
      </c>
      <c r="AD397" s="101" t="s">
        <v>403</v>
      </c>
      <c r="AE397" s="101" t="s">
        <v>6</v>
      </c>
      <c r="AF397" s="101" t="s">
        <v>400</v>
      </c>
      <c r="AI397" s="101" t="s">
        <v>760</v>
      </c>
    </row>
    <row r="398" spans="1:35">
      <c r="A398" s="246" t="s">
        <v>111</v>
      </c>
      <c r="B398" s="246" t="s">
        <v>78</v>
      </c>
      <c r="C398" s="246" t="s">
        <v>126</v>
      </c>
      <c r="D398" s="246" t="s">
        <v>768</v>
      </c>
      <c r="E398" s="246" t="s">
        <v>769</v>
      </c>
      <c r="F398" s="246" t="s">
        <v>277</v>
      </c>
      <c r="G398" s="132" t="s">
        <v>1237</v>
      </c>
      <c r="H398" s="132" t="s">
        <v>1238</v>
      </c>
      <c r="I398" s="132">
        <v>-41.36</v>
      </c>
      <c r="J398" s="101" t="s">
        <v>889</v>
      </c>
      <c r="K398" s="245" t="s">
        <v>390</v>
      </c>
      <c r="L398" s="245">
        <v>42704</v>
      </c>
      <c r="M398" s="245" t="s">
        <v>391</v>
      </c>
      <c r="N398" s="101">
        <v>0</v>
      </c>
      <c r="O398" s="101" t="s">
        <v>392</v>
      </c>
      <c r="P398" s="101">
        <v>0</v>
      </c>
      <c r="Q398" s="101">
        <v>0</v>
      </c>
      <c r="R398" s="101" t="s">
        <v>393</v>
      </c>
      <c r="S398" s="101" t="s">
        <v>807</v>
      </c>
      <c r="T398" s="101" t="s">
        <v>394</v>
      </c>
      <c r="V398" s="245">
        <v>14124</v>
      </c>
      <c r="W398" s="101" t="s">
        <v>395</v>
      </c>
      <c r="X398" s="101" t="s">
        <v>795</v>
      </c>
      <c r="Y398" s="101" t="s">
        <v>396</v>
      </c>
      <c r="Z398" s="101" t="s">
        <v>402</v>
      </c>
      <c r="AA398" s="101" t="s">
        <v>78</v>
      </c>
      <c r="AB398" s="101">
        <v>4101000279</v>
      </c>
      <c r="AC398" s="101" t="s">
        <v>398</v>
      </c>
      <c r="AD398" s="101" t="s">
        <v>403</v>
      </c>
      <c r="AE398" s="101" t="s">
        <v>6</v>
      </c>
      <c r="AF398" s="101" t="s">
        <v>400</v>
      </c>
      <c r="AI398" s="101" t="s">
        <v>760</v>
      </c>
    </row>
    <row r="399" spans="1:35">
      <c r="A399" s="246" t="s">
        <v>111</v>
      </c>
      <c r="B399" s="246" t="s">
        <v>78</v>
      </c>
      <c r="C399" s="246" t="s">
        <v>126</v>
      </c>
      <c r="D399" s="246" t="s">
        <v>768</v>
      </c>
      <c r="E399" s="246" t="s">
        <v>769</v>
      </c>
      <c r="F399" s="246" t="s">
        <v>277</v>
      </c>
      <c r="G399" s="132" t="s">
        <v>1239</v>
      </c>
      <c r="H399" s="132" t="s">
        <v>1240</v>
      </c>
      <c r="I399" s="132">
        <v>-70.97999999999999</v>
      </c>
      <c r="J399" s="101" t="s">
        <v>889</v>
      </c>
      <c r="K399" s="245" t="s">
        <v>390</v>
      </c>
      <c r="L399" s="245">
        <v>42734</v>
      </c>
      <c r="M399" s="245" t="s">
        <v>391</v>
      </c>
      <c r="N399" s="101">
        <v>0</v>
      </c>
      <c r="O399" s="101" t="s">
        <v>392</v>
      </c>
      <c r="P399" s="101">
        <v>0</v>
      </c>
      <c r="Q399" s="101">
        <v>0</v>
      </c>
      <c r="R399" s="101" t="s">
        <v>393</v>
      </c>
      <c r="S399" s="101" t="s">
        <v>807</v>
      </c>
      <c r="T399" s="101" t="s">
        <v>394</v>
      </c>
      <c r="V399" s="245">
        <v>14124</v>
      </c>
      <c r="W399" s="101" t="s">
        <v>395</v>
      </c>
      <c r="X399" s="101" t="s">
        <v>795</v>
      </c>
      <c r="Y399" s="101" t="s">
        <v>396</v>
      </c>
      <c r="Z399" s="101" t="s">
        <v>402</v>
      </c>
      <c r="AA399" s="101" t="s">
        <v>78</v>
      </c>
      <c r="AB399" s="101">
        <v>4101000279</v>
      </c>
      <c r="AC399" s="101" t="s">
        <v>398</v>
      </c>
      <c r="AD399" s="101" t="s">
        <v>403</v>
      </c>
      <c r="AE399" s="101" t="s">
        <v>6</v>
      </c>
      <c r="AF399" s="101" t="s">
        <v>400</v>
      </c>
      <c r="AI399" s="101" t="s">
        <v>760</v>
      </c>
    </row>
    <row r="400" spans="1:35">
      <c r="A400" s="246" t="s">
        <v>111</v>
      </c>
      <c r="B400" s="246" t="s">
        <v>78</v>
      </c>
      <c r="C400" s="246" t="s">
        <v>126</v>
      </c>
      <c r="D400" s="246" t="s">
        <v>768</v>
      </c>
      <c r="E400" s="246" t="s">
        <v>769</v>
      </c>
      <c r="F400" s="246" t="s">
        <v>277</v>
      </c>
      <c r="G400" s="132" t="s">
        <v>1241</v>
      </c>
      <c r="H400" s="132" t="s">
        <v>1242</v>
      </c>
      <c r="I400" s="132">
        <v>-75.73</v>
      </c>
      <c r="J400" s="101" t="s">
        <v>889</v>
      </c>
      <c r="K400" s="245" t="s">
        <v>390</v>
      </c>
      <c r="L400" s="245">
        <v>42766</v>
      </c>
      <c r="M400" s="245" t="s">
        <v>391</v>
      </c>
      <c r="N400" s="101">
        <v>0</v>
      </c>
      <c r="O400" s="101" t="s">
        <v>392</v>
      </c>
      <c r="P400" s="101">
        <v>0</v>
      </c>
      <c r="Q400" s="101">
        <v>0</v>
      </c>
      <c r="R400" s="101" t="s">
        <v>393</v>
      </c>
      <c r="S400" s="101" t="s">
        <v>807</v>
      </c>
      <c r="T400" s="101" t="s">
        <v>394</v>
      </c>
      <c r="V400" s="245">
        <v>14124</v>
      </c>
      <c r="W400" s="101" t="s">
        <v>395</v>
      </c>
      <c r="X400" s="101" t="s">
        <v>795</v>
      </c>
      <c r="Y400" s="101" t="s">
        <v>396</v>
      </c>
      <c r="Z400" s="101" t="s">
        <v>402</v>
      </c>
      <c r="AA400" s="101" t="s">
        <v>78</v>
      </c>
      <c r="AB400" s="101">
        <v>4101000279</v>
      </c>
      <c r="AC400" s="101" t="s">
        <v>398</v>
      </c>
      <c r="AD400" s="101" t="s">
        <v>403</v>
      </c>
      <c r="AE400" s="101" t="s">
        <v>6</v>
      </c>
      <c r="AF400" s="101" t="s">
        <v>400</v>
      </c>
      <c r="AI400" s="101" t="s">
        <v>760</v>
      </c>
    </row>
    <row r="401" spans="1:35">
      <c r="A401" s="246" t="s">
        <v>111</v>
      </c>
      <c r="B401" s="246" t="s">
        <v>78</v>
      </c>
      <c r="C401" s="246" t="s">
        <v>126</v>
      </c>
      <c r="D401" s="246" t="s">
        <v>768</v>
      </c>
      <c r="E401" s="246" t="s">
        <v>769</v>
      </c>
      <c r="F401" s="246" t="s">
        <v>277</v>
      </c>
      <c r="G401" s="132" t="s">
        <v>1243</v>
      </c>
      <c r="H401" s="132" t="s">
        <v>1244</v>
      </c>
      <c r="I401" s="132">
        <v>-103.28</v>
      </c>
      <c r="J401" s="101" t="s">
        <v>889</v>
      </c>
      <c r="K401" s="245" t="s">
        <v>390</v>
      </c>
      <c r="L401" s="245">
        <v>42794</v>
      </c>
      <c r="M401" s="245" t="s">
        <v>391</v>
      </c>
      <c r="N401" s="101">
        <v>0</v>
      </c>
      <c r="O401" s="101" t="s">
        <v>392</v>
      </c>
      <c r="P401" s="101">
        <v>0</v>
      </c>
      <c r="Q401" s="101">
        <v>0</v>
      </c>
      <c r="R401" s="101" t="s">
        <v>393</v>
      </c>
      <c r="S401" s="101" t="s">
        <v>807</v>
      </c>
      <c r="T401" s="101" t="s">
        <v>394</v>
      </c>
      <c r="V401" s="245">
        <v>14124</v>
      </c>
      <c r="W401" s="101" t="s">
        <v>395</v>
      </c>
      <c r="X401" s="101" t="s">
        <v>795</v>
      </c>
      <c r="Y401" s="101" t="s">
        <v>396</v>
      </c>
      <c r="Z401" s="101" t="s">
        <v>402</v>
      </c>
      <c r="AA401" s="101" t="s">
        <v>78</v>
      </c>
      <c r="AB401" s="101">
        <v>4101000279</v>
      </c>
      <c r="AC401" s="101" t="s">
        <v>398</v>
      </c>
      <c r="AD401" s="101" t="s">
        <v>403</v>
      </c>
      <c r="AE401" s="101" t="s">
        <v>6</v>
      </c>
      <c r="AF401" s="101" t="s">
        <v>400</v>
      </c>
      <c r="AI401" s="101" t="s">
        <v>760</v>
      </c>
    </row>
    <row r="402" spans="1:35">
      <c r="A402" s="246" t="s">
        <v>111</v>
      </c>
      <c r="B402" s="246" t="s">
        <v>78</v>
      </c>
      <c r="C402" s="246" t="s">
        <v>126</v>
      </c>
      <c r="D402" s="246" t="s">
        <v>768</v>
      </c>
      <c r="E402" s="246" t="s">
        <v>769</v>
      </c>
      <c r="F402" s="246" t="s">
        <v>277</v>
      </c>
      <c r="G402" s="132" t="s">
        <v>1245</v>
      </c>
      <c r="H402" s="132" t="s">
        <v>1246</v>
      </c>
      <c r="I402" s="132">
        <v>-149.89999999999998</v>
      </c>
      <c r="J402" s="101" t="s">
        <v>889</v>
      </c>
      <c r="K402" s="245" t="s">
        <v>390</v>
      </c>
      <c r="L402" s="245">
        <v>42825</v>
      </c>
      <c r="M402" s="245" t="s">
        <v>391</v>
      </c>
      <c r="N402" s="101">
        <v>0</v>
      </c>
      <c r="O402" s="101" t="s">
        <v>392</v>
      </c>
      <c r="P402" s="101">
        <v>0</v>
      </c>
      <c r="Q402" s="101">
        <v>0</v>
      </c>
      <c r="R402" s="101" t="s">
        <v>393</v>
      </c>
      <c r="S402" s="101" t="s">
        <v>807</v>
      </c>
      <c r="T402" s="101" t="s">
        <v>394</v>
      </c>
      <c r="V402" s="245">
        <v>14124</v>
      </c>
      <c r="W402" s="101" t="s">
        <v>395</v>
      </c>
      <c r="X402" s="101" t="s">
        <v>795</v>
      </c>
      <c r="Y402" s="101" t="s">
        <v>396</v>
      </c>
      <c r="Z402" s="101" t="s">
        <v>402</v>
      </c>
      <c r="AA402" s="101" t="s">
        <v>78</v>
      </c>
      <c r="AB402" s="101">
        <v>4101000279</v>
      </c>
      <c r="AC402" s="101" t="s">
        <v>398</v>
      </c>
      <c r="AD402" s="101" t="s">
        <v>403</v>
      </c>
      <c r="AE402" s="101" t="s">
        <v>6</v>
      </c>
      <c r="AF402" s="101" t="s">
        <v>400</v>
      </c>
      <c r="AI402" s="101" t="s">
        <v>760</v>
      </c>
    </row>
    <row r="403" spans="1:35">
      <c r="A403" s="246" t="s">
        <v>111</v>
      </c>
      <c r="B403" s="246" t="s">
        <v>78</v>
      </c>
      <c r="C403" s="246" t="s">
        <v>126</v>
      </c>
      <c r="D403" s="246" t="s">
        <v>768</v>
      </c>
      <c r="E403" s="246" t="s">
        <v>769</v>
      </c>
      <c r="F403" s="246" t="s">
        <v>277</v>
      </c>
      <c r="G403" s="132" t="s">
        <v>1247</v>
      </c>
      <c r="H403" s="132" t="s">
        <v>1248</v>
      </c>
      <c r="I403" s="132">
        <v>-135.38</v>
      </c>
      <c r="J403" s="101" t="s">
        <v>889</v>
      </c>
      <c r="K403" s="245" t="s">
        <v>390</v>
      </c>
      <c r="L403" s="245">
        <v>42853</v>
      </c>
      <c r="M403" s="245" t="s">
        <v>391</v>
      </c>
      <c r="N403" s="101">
        <v>0</v>
      </c>
      <c r="O403" s="101" t="s">
        <v>392</v>
      </c>
      <c r="P403" s="101">
        <v>0</v>
      </c>
      <c r="Q403" s="101">
        <v>0</v>
      </c>
      <c r="R403" s="101" t="s">
        <v>393</v>
      </c>
      <c r="S403" s="101" t="s">
        <v>807</v>
      </c>
      <c r="T403" s="101" t="s">
        <v>394</v>
      </c>
      <c r="V403" s="245">
        <v>14124</v>
      </c>
      <c r="W403" s="101" t="s">
        <v>395</v>
      </c>
      <c r="X403" s="101" t="s">
        <v>795</v>
      </c>
      <c r="Y403" s="101" t="s">
        <v>396</v>
      </c>
      <c r="Z403" s="101" t="s">
        <v>402</v>
      </c>
      <c r="AA403" s="101" t="s">
        <v>78</v>
      </c>
      <c r="AB403" s="101">
        <v>4101000279</v>
      </c>
      <c r="AC403" s="101" t="s">
        <v>398</v>
      </c>
      <c r="AD403" s="101" t="s">
        <v>403</v>
      </c>
      <c r="AE403" s="101" t="s">
        <v>6</v>
      </c>
      <c r="AF403" s="101" t="s">
        <v>400</v>
      </c>
      <c r="AI403" s="101" t="s">
        <v>760</v>
      </c>
    </row>
    <row r="404" spans="1:35">
      <c r="A404" s="246" t="s">
        <v>112</v>
      </c>
      <c r="B404" s="246" t="s">
        <v>78</v>
      </c>
      <c r="C404" s="246" t="s">
        <v>126</v>
      </c>
      <c r="D404" s="246" t="s">
        <v>341</v>
      </c>
      <c r="E404" s="246" t="s">
        <v>342</v>
      </c>
      <c r="F404" s="246" t="s">
        <v>278</v>
      </c>
      <c r="G404" s="132" t="s">
        <v>1249</v>
      </c>
      <c r="H404" s="132" t="s">
        <v>1250</v>
      </c>
      <c r="I404" s="132">
        <v>-205.68</v>
      </c>
      <c r="J404" s="101" t="s">
        <v>889</v>
      </c>
      <c r="K404" s="245" t="s">
        <v>390</v>
      </c>
      <c r="L404" s="245">
        <v>42886</v>
      </c>
      <c r="M404" s="245" t="s">
        <v>391</v>
      </c>
      <c r="N404" s="101">
        <v>0</v>
      </c>
      <c r="O404" s="101" t="s">
        <v>392</v>
      </c>
      <c r="P404" s="101">
        <v>0</v>
      </c>
      <c r="Q404" s="101">
        <v>0</v>
      </c>
      <c r="R404" s="101" t="s">
        <v>393</v>
      </c>
      <c r="S404" s="101" t="s">
        <v>807</v>
      </c>
      <c r="T404" s="101" t="s">
        <v>394</v>
      </c>
      <c r="V404" s="245">
        <v>14124</v>
      </c>
      <c r="W404" s="101" t="s">
        <v>395</v>
      </c>
      <c r="X404" s="101" t="s">
        <v>795</v>
      </c>
      <c r="Y404" s="101" t="s">
        <v>396</v>
      </c>
      <c r="Z404" s="101" t="s">
        <v>402</v>
      </c>
      <c r="AA404" s="101" t="s">
        <v>78</v>
      </c>
      <c r="AB404" s="101">
        <v>4101000279</v>
      </c>
      <c r="AC404" s="101" t="s">
        <v>398</v>
      </c>
      <c r="AD404" s="101" t="s">
        <v>403</v>
      </c>
      <c r="AE404" s="101" t="s">
        <v>6</v>
      </c>
      <c r="AF404" s="101" t="s">
        <v>400</v>
      </c>
      <c r="AI404" s="101" t="s">
        <v>760</v>
      </c>
    </row>
    <row r="405" spans="1:35">
      <c r="A405" s="246" t="s">
        <v>112</v>
      </c>
      <c r="B405" s="246" t="s">
        <v>78</v>
      </c>
      <c r="C405" s="246" t="s">
        <v>126</v>
      </c>
      <c r="D405" s="246" t="s">
        <v>341</v>
      </c>
      <c r="E405" s="246" t="s">
        <v>342</v>
      </c>
      <c r="F405" s="246" t="s">
        <v>278</v>
      </c>
      <c r="G405" s="132" t="s">
        <v>1251</v>
      </c>
      <c r="H405" s="132" t="s">
        <v>1252</v>
      </c>
      <c r="I405" s="132">
        <v>-217.84</v>
      </c>
      <c r="J405" s="101" t="s">
        <v>889</v>
      </c>
      <c r="K405" s="245" t="s">
        <v>390</v>
      </c>
      <c r="L405" s="245">
        <v>42916</v>
      </c>
      <c r="M405" s="245" t="s">
        <v>391</v>
      </c>
      <c r="N405" s="101">
        <v>0</v>
      </c>
      <c r="O405" s="101" t="s">
        <v>392</v>
      </c>
      <c r="P405" s="101">
        <v>0</v>
      </c>
      <c r="Q405" s="101">
        <v>0</v>
      </c>
      <c r="R405" s="101" t="s">
        <v>393</v>
      </c>
      <c r="S405" s="101" t="s">
        <v>807</v>
      </c>
      <c r="T405" s="101" t="s">
        <v>394</v>
      </c>
      <c r="V405" s="245">
        <v>14124</v>
      </c>
      <c r="W405" s="101" t="s">
        <v>395</v>
      </c>
      <c r="X405" s="101" t="s">
        <v>795</v>
      </c>
      <c r="Y405" s="101" t="s">
        <v>396</v>
      </c>
      <c r="Z405" s="101" t="s">
        <v>402</v>
      </c>
      <c r="AA405" s="101" t="s">
        <v>78</v>
      </c>
      <c r="AB405" s="101">
        <v>4101000279</v>
      </c>
      <c r="AC405" s="101" t="s">
        <v>398</v>
      </c>
      <c r="AD405" s="101" t="s">
        <v>403</v>
      </c>
      <c r="AE405" s="101" t="s">
        <v>6</v>
      </c>
      <c r="AF405" s="101" t="s">
        <v>400</v>
      </c>
      <c r="AI405" s="101" t="s">
        <v>760</v>
      </c>
    </row>
    <row r="406" spans="1:35">
      <c r="A406" s="246" t="s">
        <v>112</v>
      </c>
      <c r="B406" s="246" t="s">
        <v>78</v>
      </c>
      <c r="C406" s="246" t="s">
        <v>126</v>
      </c>
      <c r="D406" s="246" t="s">
        <v>341</v>
      </c>
      <c r="E406" s="246" t="s">
        <v>342</v>
      </c>
      <c r="F406" s="246" t="s">
        <v>278</v>
      </c>
      <c r="G406" s="132" t="s">
        <v>1253</v>
      </c>
      <c r="H406" s="132" t="s">
        <v>1254</v>
      </c>
      <c r="I406" s="132">
        <v>-225.10999999999999</v>
      </c>
      <c r="J406" s="101" t="s">
        <v>889</v>
      </c>
      <c r="K406" s="245" t="s">
        <v>390</v>
      </c>
      <c r="L406" s="245">
        <v>42947</v>
      </c>
      <c r="M406" s="245" t="s">
        <v>391</v>
      </c>
      <c r="N406" s="101">
        <v>0</v>
      </c>
      <c r="O406" s="101" t="s">
        <v>392</v>
      </c>
      <c r="P406" s="101">
        <v>0</v>
      </c>
      <c r="Q406" s="101">
        <v>0</v>
      </c>
      <c r="R406" s="101" t="s">
        <v>393</v>
      </c>
      <c r="S406" s="101" t="s">
        <v>807</v>
      </c>
      <c r="T406" s="101" t="s">
        <v>394</v>
      </c>
      <c r="V406" s="245">
        <v>14124</v>
      </c>
      <c r="W406" s="101" t="s">
        <v>395</v>
      </c>
      <c r="X406" s="101" t="s">
        <v>795</v>
      </c>
      <c r="Y406" s="101" t="s">
        <v>396</v>
      </c>
      <c r="Z406" s="101" t="s">
        <v>402</v>
      </c>
      <c r="AA406" s="101" t="s">
        <v>78</v>
      </c>
      <c r="AB406" s="101">
        <v>4101000279</v>
      </c>
      <c r="AC406" s="101" t="s">
        <v>398</v>
      </c>
      <c r="AD406" s="101" t="s">
        <v>403</v>
      </c>
      <c r="AE406" s="101" t="s">
        <v>6</v>
      </c>
      <c r="AF406" s="101" t="s">
        <v>400</v>
      </c>
      <c r="AI406" s="101" t="s">
        <v>760</v>
      </c>
    </row>
    <row r="407" spans="1:35">
      <c r="A407" s="246" t="s">
        <v>112</v>
      </c>
      <c r="B407" s="246" t="s">
        <v>78</v>
      </c>
      <c r="C407" s="246" t="s">
        <v>126</v>
      </c>
      <c r="D407" s="246" t="s">
        <v>341</v>
      </c>
      <c r="E407" s="246" t="s">
        <v>342</v>
      </c>
      <c r="F407" s="246" t="s">
        <v>278</v>
      </c>
      <c r="G407" s="132" t="s">
        <v>1253</v>
      </c>
      <c r="H407" s="132" t="s">
        <v>1254</v>
      </c>
      <c r="I407" s="132">
        <v>-225.10999999999999</v>
      </c>
      <c r="J407" s="101" t="s">
        <v>889</v>
      </c>
      <c r="K407" s="245" t="s">
        <v>390</v>
      </c>
      <c r="L407" s="245">
        <v>42978</v>
      </c>
      <c r="M407" s="245" t="s">
        <v>391</v>
      </c>
      <c r="N407" s="101">
        <v>0</v>
      </c>
      <c r="O407" s="101" t="s">
        <v>392</v>
      </c>
      <c r="P407" s="101">
        <v>0</v>
      </c>
      <c r="Q407" s="101">
        <v>0</v>
      </c>
      <c r="R407" s="101" t="s">
        <v>393</v>
      </c>
      <c r="S407" s="101" t="s">
        <v>807</v>
      </c>
      <c r="T407" s="101" t="s">
        <v>394</v>
      </c>
      <c r="V407" s="245">
        <v>14124</v>
      </c>
      <c r="W407" s="101" t="s">
        <v>395</v>
      </c>
      <c r="X407" s="101" t="s">
        <v>795</v>
      </c>
      <c r="Y407" s="101" t="s">
        <v>396</v>
      </c>
      <c r="Z407" s="101" t="s">
        <v>402</v>
      </c>
      <c r="AA407" s="101" t="s">
        <v>78</v>
      </c>
      <c r="AB407" s="101">
        <v>4101000279</v>
      </c>
      <c r="AC407" s="101" t="s">
        <v>398</v>
      </c>
      <c r="AD407" s="101" t="s">
        <v>403</v>
      </c>
      <c r="AE407" s="101" t="s">
        <v>6</v>
      </c>
      <c r="AF407" s="101" t="s">
        <v>400</v>
      </c>
      <c r="AI407" s="101" t="s">
        <v>760</v>
      </c>
    </row>
    <row r="408" spans="1:35">
      <c r="A408" s="246" t="s">
        <v>112</v>
      </c>
      <c r="B408" s="246" t="s">
        <v>78</v>
      </c>
      <c r="C408" s="246" t="s">
        <v>126</v>
      </c>
      <c r="D408" s="246" t="s">
        <v>341</v>
      </c>
      <c r="E408" s="246" t="s">
        <v>342</v>
      </c>
      <c r="F408" s="246" t="s">
        <v>278</v>
      </c>
      <c r="G408" s="132" t="s">
        <v>1255</v>
      </c>
      <c r="H408" s="132" t="s">
        <v>1256</v>
      </c>
      <c r="I408" s="132">
        <v>-210.57999999999998</v>
      </c>
      <c r="J408" s="101" t="s">
        <v>889</v>
      </c>
      <c r="K408" s="245" t="s">
        <v>390</v>
      </c>
      <c r="L408" s="245">
        <v>43007</v>
      </c>
      <c r="M408" s="245" t="s">
        <v>391</v>
      </c>
      <c r="N408" s="101">
        <v>0</v>
      </c>
      <c r="O408" s="101" t="s">
        <v>392</v>
      </c>
      <c r="P408" s="101">
        <v>0</v>
      </c>
      <c r="Q408" s="101">
        <v>0</v>
      </c>
      <c r="R408" s="101" t="s">
        <v>393</v>
      </c>
      <c r="S408" s="101" t="s">
        <v>807</v>
      </c>
      <c r="T408" s="101" t="s">
        <v>394</v>
      </c>
      <c r="V408" s="245">
        <v>14124</v>
      </c>
      <c r="W408" s="101" t="s">
        <v>395</v>
      </c>
      <c r="X408" s="101" t="s">
        <v>795</v>
      </c>
      <c r="Y408" s="101" t="s">
        <v>396</v>
      </c>
      <c r="Z408" s="101" t="s">
        <v>402</v>
      </c>
      <c r="AA408" s="101" t="s">
        <v>78</v>
      </c>
      <c r="AB408" s="101">
        <v>4101000279</v>
      </c>
      <c r="AC408" s="101" t="s">
        <v>398</v>
      </c>
      <c r="AD408" s="101" t="s">
        <v>403</v>
      </c>
      <c r="AE408" s="101" t="s">
        <v>6</v>
      </c>
      <c r="AF408" s="101" t="s">
        <v>400</v>
      </c>
      <c r="AI408" s="101" t="s">
        <v>760</v>
      </c>
    </row>
    <row r="409" spans="1:35">
      <c r="A409" s="246" t="s">
        <v>112</v>
      </c>
      <c r="B409" s="246" t="s">
        <v>78</v>
      </c>
      <c r="C409" s="246" t="s">
        <v>126</v>
      </c>
      <c r="D409" s="246" t="s">
        <v>341</v>
      </c>
      <c r="E409" s="246" t="s">
        <v>342</v>
      </c>
      <c r="F409" s="246" t="s">
        <v>278</v>
      </c>
      <c r="G409" s="132" t="s">
        <v>1257</v>
      </c>
      <c r="H409" s="132" t="s">
        <v>1258</v>
      </c>
      <c r="I409" s="132">
        <v>-232.38</v>
      </c>
      <c r="J409" s="101" t="s">
        <v>889</v>
      </c>
      <c r="K409" s="245" t="s">
        <v>390</v>
      </c>
      <c r="L409" s="245">
        <v>43039</v>
      </c>
      <c r="M409" s="245" t="s">
        <v>391</v>
      </c>
      <c r="N409" s="101">
        <v>0</v>
      </c>
      <c r="O409" s="101" t="s">
        <v>392</v>
      </c>
      <c r="P409" s="101">
        <v>0</v>
      </c>
      <c r="Q409" s="101">
        <v>0</v>
      </c>
      <c r="R409" s="101" t="s">
        <v>393</v>
      </c>
      <c r="S409" s="101" t="s">
        <v>807</v>
      </c>
      <c r="T409" s="101" t="s">
        <v>394</v>
      </c>
      <c r="V409" s="245">
        <v>14124</v>
      </c>
      <c r="W409" s="101" t="s">
        <v>395</v>
      </c>
      <c r="X409" s="101" t="s">
        <v>795</v>
      </c>
      <c r="Y409" s="101" t="s">
        <v>396</v>
      </c>
      <c r="Z409" s="101" t="s">
        <v>402</v>
      </c>
      <c r="AA409" s="101" t="s">
        <v>78</v>
      </c>
      <c r="AB409" s="101">
        <v>4101000279</v>
      </c>
      <c r="AC409" s="101" t="s">
        <v>398</v>
      </c>
      <c r="AD409" s="101" t="s">
        <v>403</v>
      </c>
      <c r="AE409" s="101" t="s">
        <v>6</v>
      </c>
      <c r="AF409" s="101" t="s">
        <v>400</v>
      </c>
      <c r="AI409" s="101" t="s">
        <v>760</v>
      </c>
    </row>
    <row r="410" spans="1:35">
      <c r="A410" s="246" t="s">
        <v>113</v>
      </c>
      <c r="B410" s="246" t="s">
        <v>78</v>
      </c>
      <c r="C410" s="246" t="s">
        <v>126</v>
      </c>
      <c r="D410" s="246" t="s">
        <v>339</v>
      </c>
      <c r="E410" s="246" t="s">
        <v>340</v>
      </c>
      <c r="F410" s="246" t="s">
        <v>279</v>
      </c>
      <c r="G410" s="132" t="s">
        <v>1251</v>
      </c>
      <c r="H410" s="132" t="s">
        <v>1252</v>
      </c>
      <c r="I410" s="132">
        <v>-217.84</v>
      </c>
      <c r="J410" s="101" t="s">
        <v>889</v>
      </c>
      <c r="K410" s="245" t="s">
        <v>390</v>
      </c>
      <c r="L410" s="245">
        <v>43069</v>
      </c>
      <c r="M410" s="245" t="s">
        <v>391</v>
      </c>
      <c r="N410" s="101">
        <v>0</v>
      </c>
      <c r="O410" s="101" t="s">
        <v>392</v>
      </c>
      <c r="P410" s="101">
        <v>0</v>
      </c>
      <c r="Q410" s="101">
        <v>0</v>
      </c>
      <c r="R410" s="101" t="s">
        <v>393</v>
      </c>
      <c r="S410" s="101" t="s">
        <v>807</v>
      </c>
      <c r="T410" s="101" t="s">
        <v>394</v>
      </c>
      <c r="V410" s="245">
        <v>14124</v>
      </c>
      <c r="W410" s="101" t="s">
        <v>395</v>
      </c>
      <c r="X410" s="101" t="s">
        <v>795</v>
      </c>
      <c r="Y410" s="101" t="s">
        <v>396</v>
      </c>
      <c r="Z410" s="101" t="s">
        <v>402</v>
      </c>
      <c r="AA410" s="101" t="s">
        <v>78</v>
      </c>
      <c r="AB410" s="101">
        <v>4101000279</v>
      </c>
      <c r="AC410" s="101" t="s">
        <v>398</v>
      </c>
      <c r="AD410" s="101" t="s">
        <v>403</v>
      </c>
      <c r="AE410" s="101" t="s">
        <v>6</v>
      </c>
      <c r="AF410" s="101" t="s">
        <v>400</v>
      </c>
      <c r="AI410" s="101" t="s">
        <v>760</v>
      </c>
    </row>
    <row r="411" spans="1:35">
      <c r="A411" s="246" t="s">
        <v>113</v>
      </c>
      <c r="B411" s="246" t="s">
        <v>78</v>
      </c>
      <c r="C411" s="246" t="s">
        <v>126</v>
      </c>
      <c r="D411" s="246" t="s">
        <v>339</v>
      </c>
      <c r="E411" s="246" t="s">
        <v>340</v>
      </c>
      <c r="F411" s="246" t="s">
        <v>279</v>
      </c>
      <c r="G411" s="132" t="s">
        <v>1255</v>
      </c>
      <c r="H411" s="132" t="s">
        <v>1256</v>
      </c>
      <c r="I411" s="132">
        <v>-210.57999999999998</v>
      </c>
      <c r="J411" s="101" t="s">
        <v>889</v>
      </c>
      <c r="K411" s="245" t="s">
        <v>390</v>
      </c>
      <c r="L411" s="245">
        <v>43098</v>
      </c>
      <c r="M411" s="245" t="s">
        <v>391</v>
      </c>
      <c r="N411" s="101">
        <v>0</v>
      </c>
      <c r="O411" s="101" t="s">
        <v>392</v>
      </c>
      <c r="P411" s="101">
        <v>0</v>
      </c>
      <c r="Q411" s="101">
        <v>0</v>
      </c>
      <c r="R411" s="101" t="s">
        <v>393</v>
      </c>
      <c r="S411" s="101" t="s">
        <v>807</v>
      </c>
      <c r="T411" s="101" t="s">
        <v>394</v>
      </c>
      <c r="V411" s="245">
        <v>14124</v>
      </c>
      <c r="W411" s="101" t="s">
        <v>395</v>
      </c>
      <c r="X411" s="101" t="s">
        <v>795</v>
      </c>
      <c r="Y411" s="101" t="s">
        <v>396</v>
      </c>
      <c r="Z411" s="101" t="s">
        <v>402</v>
      </c>
      <c r="AA411" s="101" t="s">
        <v>78</v>
      </c>
      <c r="AB411" s="101">
        <v>4101000279</v>
      </c>
      <c r="AC411" s="101" t="s">
        <v>398</v>
      </c>
      <c r="AD411" s="101" t="s">
        <v>403</v>
      </c>
      <c r="AE411" s="101" t="s">
        <v>6</v>
      </c>
      <c r="AF411" s="101" t="s">
        <v>400</v>
      </c>
      <c r="AI411" s="101" t="s">
        <v>760</v>
      </c>
    </row>
    <row r="412" spans="1:35">
      <c r="A412" s="246" t="s">
        <v>113</v>
      </c>
      <c r="B412" s="246" t="s">
        <v>78</v>
      </c>
      <c r="C412" s="246" t="s">
        <v>126</v>
      </c>
      <c r="D412" s="246" t="s">
        <v>339</v>
      </c>
      <c r="E412" s="246" t="s">
        <v>340</v>
      </c>
      <c r="F412" s="246" t="s">
        <v>279</v>
      </c>
      <c r="G412" s="132" t="s">
        <v>1259</v>
      </c>
      <c r="H412" s="132" t="s">
        <v>1260</v>
      </c>
      <c r="I412" s="132">
        <v>-239.65</v>
      </c>
      <c r="J412" s="101" t="s">
        <v>889</v>
      </c>
      <c r="K412" s="245" t="s">
        <v>390</v>
      </c>
      <c r="L412" s="245">
        <v>43131</v>
      </c>
      <c r="M412" s="245" t="s">
        <v>391</v>
      </c>
      <c r="N412" s="101">
        <v>0</v>
      </c>
      <c r="O412" s="101" t="s">
        <v>392</v>
      </c>
      <c r="P412" s="101">
        <v>0</v>
      </c>
      <c r="Q412" s="101">
        <v>0</v>
      </c>
      <c r="R412" s="101" t="s">
        <v>393</v>
      </c>
      <c r="S412" s="101" t="s">
        <v>807</v>
      </c>
      <c r="T412" s="101" t="s">
        <v>394</v>
      </c>
      <c r="V412" s="245">
        <v>14124</v>
      </c>
      <c r="W412" s="101" t="s">
        <v>395</v>
      </c>
      <c r="X412" s="101" t="s">
        <v>795</v>
      </c>
      <c r="Y412" s="101" t="s">
        <v>396</v>
      </c>
      <c r="Z412" s="101" t="s">
        <v>402</v>
      </c>
      <c r="AA412" s="101" t="s">
        <v>78</v>
      </c>
      <c r="AB412" s="101">
        <v>4101000279</v>
      </c>
      <c r="AC412" s="101" t="s">
        <v>398</v>
      </c>
      <c r="AD412" s="101" t="s">
        <v>403</v>
      </c>
      <c r="AE412" s="101" t="s">
        <v>6</v>
      </c>
      <c r="AF412" s="101" t="s">
        <v>400</v>
      </c>
      <c r="AI412" s="101" t="s">
        <v>760</v>
      </c>
    </row>
    <row r="413" spans="1:35">
      <c r="A413" s="246" t="s">
        <v>113</v>
      </c>
      <c r="B413" s="246" t="s">
        <v>78</v>
      </c>
      <c r="C413" s="246" t="s">
        <v>126</v>
      </c>
      <c r="D413" s="246" t="s">
        <v>339</v>
      </c>
      <c r="E413" s="246" t="s">
        <v>340</v>
      </c>
      <c r="F413" s="246" t="s">
        <v>279</v>
      </c>
      <c r="G413" s="132" t="s">
        <v>1261</v>
      </c>
      <c r="H413" s="132" t="s">
        <v>1262</v>
      </c>
      <c r="I413" s="132">
        <v>-203.31</v>
      </c>
      <c r="J413" s="101" t="s">
        <v>889</v>
      </c>
      <c r="K413" s="245" t="s">
        <v>390</v>
      </c>
      <c r="L413" s="245">
        <v>43159</v>
      </c>
      <c r="M413" s="245" t="s">
        <v>391</v>
      </c>
      <c r="N413" s="101">
        <v>0</v>
      </c>
      <c r="O413" s="101" t="s">
        <v>392</v>
      </c>
      <c r="P413" s="101">
        <v>0</v>
      </c>
      <c r="Q413" s="101">
        <v>0</v>
      </c>
      <c r="R413" s="101" t="s">
        <v>393</v>
      </c>
      <c r="S413" s="101" t="s">
        <v>807</v>
      </c>
      <c r="T413" s="101" t="s">
        <v>394</v>
      </c>
      <c r="V413" s="245">
        <v>14124</v>
      </c>
      <c r="W413" s="101" t="s">
        <v>395</v>
      </c>
      <c r="X413" s="101" t="s">
        <v>795</v>
      </c>
      <c r="Y413" s="101" t="s">
        <v>396</v>
      </c>
      <c r="Z413" s="101" t="s">
        <v>402</v>
      </c>
      <c r="AA413" s="101" t="s">
        <v>78</v>
      </c>
      <c r="AB413" s="101">
        <v>4101000279</v>
      </c>
      <c r="AC413" s="101" t="s">
        <v>398</v>
      </c>
      <c r="AD413" s="101" t="s">
        <v>403</v>
      </c>
      <c r="AE413" s="101" t="s">
        <v>6</v>
      </c>
      <c r="AF413" s="101" t="s">
        <v>400</v>
      </c>
      <c r="AI413" s="101" t="s">
        <v>760</v>
      </c>
    </row>
    <row r="414" spans="1:35">
      <c r="A414" s="246" t="s">
        <v>113</v>
      </c>
      <c r="B414" s="246" t="s">
        <v>78</v>
      </c>
      <c r="C414" s="246" t="s">
        <v>126</v>
      </c>
      <c r="D414" s="246" t="s">
        <v>339</v>
      </c>
      <c r="E414" s="246" t="s">
        <v>340</v>
      </c>
      <c r="F414" s="246" t="s">
        <v>279</v>
      </c>
      <c r="G414" s="132" t="s">
        <v>1255</v>
      </c>
      <c r="H414" s="132" t="s">
        <v>1256</v>
      </c>
      <c r="I414" s="132">
        <v>-210.57999999999998</v>
      </c>
      <c r="J414" s="101" t="s">
        <v>889</v>
      </c>
      <c r="K414" s="245" t="s">
        <v>390</v>
      </c>
      <c r="L414" s="245">
        <v>43188</v>
      </c>
      <c r="M414" s="245" t="s">
        <v>391</v>
      </c>
      <c r="N414" s="101">
        <v>0</v>
      </c>
      <c r="O414" s="101" t="s">
        <v>392</v>
      </c>
      <c r="P414" s="101">
        <v>0</v>
      </c>
      <c r="Q414" s="101">
        <v>0</v>
      </c>
      <c r="R414" s="101" t="s">
        <v>393</v>
      </c>
      <c r="S414" s="101" t="s">
        <v>807</v>
      </c>
      <c r="T414" s="101" t="s">
        <v>394</v>
      </c>
      <c r="V414" s="245">
        <v>14124</v>
      </c>
      <c r="W414" s="101" t="s">
        <v>395</v>
      </c>
      <c r="X414" s="101" t="s">
        <v>795</v>
      </c>
      <c r="Y414" s="101" t="s">
        <v>396</v>
      </c>
      <c r="Z414" s="101" t="s">
        <v>402</v>
      </c>
      <c r="AA414" s="101" t="s">
        <v>78</v>
      </c>
      <c r="AB414" s="101">
        <v>4101000279</v>
      </c>
      <c r="AC414" s="101" t="s">
        <v>398</v>
      </c>
      <c r="AD414" s="101" t="s">
        <v>403</v>
      </c>
      <c r="AE414" s="101" t="s">
        <v>6</v>
      </c>
      <c r="AF414" s="101" t="s">
        <v>400</v>
      </c>
      <c r="AI414" s="101" t="s">
        <v>760</v>
      </c>
    </row>
    <row r="415" spans="1:35">
      <c r="A415" s="246" t="s">
        <v>113</v>
      </c>
      <c r="B415" s="246" t="s">
        <v>78</v>
      </c>
      <c r="C415" s="246" t="s">
        <v>126</v>
      </c>
      <c r="D415" s="246" t="s">
        <v>339</v>
      </c>
      <c r="E415" s="246" t="s">
        <v>340</v>
      </c>
      <c r="F415" s="246" t="s">
        <v>279</v>
      </c>
      <c r="G415" s="132" t="s">
        <v>1257</v>
      </c>
      <c r="H415" s="132" t="s">
        <v>1258</v>
      </c>
      <c r="I415" s="132">
        <v>-232.38</v>
      </c>
      <c r="J415" s="101" t="s">
        <v>889</v>
      </c>
      <c r="K415" s="245" t="s">
        <v>390</v>
      </c>
      <c r="L415" s="245">
        <v>43220</v>
      </c>
      <c r="M415" s="245" t="s">
        <v>391</v>
      </c>
      <c r="N415" s="101">
        <v>0</v>
      </c>
      <c r="O415" s="101" t="s">
        <v>392</v>
      </c>
      <c r="P415" s="101">
        <v>0</v>
      </c>
      <c r="Q415" s="101">
        <v>0</v>
      </c>
      <c r="R415" s="101" t="s">
        <v>393</v>
      </c>
      <c r="S415" s="101" t="s">
        <v>807</v>
      </c>
      <c r="T415" s="101" t="s">
        <v>394</v>
      </c>
      <c r="V415" s="245">
        <v>14124</v>
      </c>
      <c r="W415" s="101" t="s">
        <v>395</v>
      </c>
      <c r="X415" s="101" t="s">
        <v>795</v>
      </c>
      <c r="Y415" s="101" t="s">
        <v>396</v>
      </c>
      <c r="Z415" s="101" t="s">
        <v>402</v>
      </c>
      <c r="AA415" s="101" t="s">
        <v>78</v>
      </c>
      <c r="AB415" s="101">
        <v>4101000279</v>
      </c>
      <c r="AC415" s="101" t="s">
        <v>398</v>
      </c>
      <c r="AD415" s="101" t="s">
        <v>403</v>
      </c>
      <c r="AE415" s="101" t="s">
        <v>6</v>
      </c>
      <c r="AF415" s="101" t="s">
        <v>400</v>
      </c>
      <c r="AI415" s="101" t="s">
        <v>760</v>
      </c>
    </row>
    <row r="416" spans="1:35">
      <c r="A416" s="246" t="s">
        <v>109</v>
      </c>
      <c r="B416" s="246" t="s">
        <v>66</v>
      </c>
      <c r="C416" s="246" t="s">
        <v>126</v>
      </c>
      <c r="D416" s="246" t="s">
        <v>272</v>
      </c>
      <c r="E416" s="246"/>
      <c r="F416" s="246"/>
      <c r="G416" s="132">
        <v>0</v>
      </c>
      <c r="H416" s="132">
        <v>0</v>
      </c>
      <c r="I416" s="132">
        <v>0</v>
      </c>
      <c r="J416" s="101" t="s">
        <v>889</v>
      </c>
      <c r="K416" s="245" t="s">
        <v>390</v>
      </c>
      <c r="L416" s="245">
        <v>42583</v>
      </c>
      <c r="M416" s="245" t="s">
        <v>391</v>
      </c>
      <c r="N416" s="101">
        <v>0</v>
      </c>
      <c r="O416" s="101" t="s">
        <v>392</v>
      </c>
      <c r="P416" s="101">
        <v>0</v>
      </c>
      <c r="Q416" s="101">
        <v>0</v>
      </c>
      <c r="R416" s="101" t="s">
        <v>626</v>
      </c>
      <c r="S416" s="101">
        <v>190369</v>
      </c>
      <c r="T416" s="101" t="s">
        <v>394</v>
      </c>
      <c r="V416" s="245">
        <v>45227</v>
      </c>
      <c r="W416" s="101" t="s">
        <v>627</v>
      </c>
      <c r="X416" s="101" t="s">
        <v>429</v>
      </c>
      <c r="Y416" s="101" t="s">
        <v>392</v>
      </c>
      <c r="Z416" s="101" t="s">
        <v>430</v>
      </c>
      <c r="AA416" s="101" t="s">
        <v>628</v>
      </c>
      <c r="AB416" s="101">
        <v>3101055606</v>
      </c>
      <c r="AC416" s="101" t="s">
        <v>431</v>
      </c>
      <c r="AD416" s="101" t="s">
        <v>431</v>
      </c>
      <c r="AE416" s="101" t="s">
        <v>75</v>
      </c>
      <c r="AF416" s="101" t="s">
        <v>400</v>
      </c>
      <c r="AG416" s="101" t="s">
        <v>629</v>
      </c>
      <c r="AI416" s="101" t="s">
        <v>760</v>
      </c>
    </row>
    <row r="417" spans="1:35">
      <c r="A417" s="246" t="s">
        <v>110</v>
      </c>
      <c r="B417" s="246" t="s">
        <v>66</v>
      </c>
      <c r="C417" s="246" t="s">
        <v>126</v>
      </c>
      <c r="D417" s="246" t="s">
        <v>281</v>
      </c>
      <c r="E417" s="246"/>
      <c r="F417" s="246"/>
      <c r="G417" s="132">
        <v>0</v>
      </c>
      <c r="H417" s="132">
        <v>0</v>
      </c>
      <c r="I417" s="132">
        <v>0</v>
      </c>
      <c r="J417" s="101" t="s">
        <v>889</v>
      </c>
      <c r="K417" s="245" t="s">
        <v>390</v>
      </c>
      <c r="L417" s="245">
        <v>42675</v>
      </c>
      <c r="M417" s="245" t="s">
        <v>391</v>
      </c>
      <c r="N417" s="101">
        <v>0</v>
      </c>
      <c r="O417" s="101" t="s">
        <v>392</v>
      </c>
      <c r="P417" s="101">
        <v>0</v>
      </c>
      <c r="Q417" s="101">
        <v>0</v>
      </c>
      <c r="R417" s="101" t="s">
        <v>626</v>
      </c>
      <c r="S417" s="101">
        <v>190369</v>
      </c>
      <c r="T417" s="101" t="s">
        <v>394</v>
      </c>
      <c r="V417" s="245">
        <v>45227</v>
      </c>
      <c r="W417" s="101" t="s">
        <v>627</v>
      </c>
      <c r="X417" s="101" t="s">
        <v>429</v>
      </c>
      <c r="Y417" s="101" t="s">
        <v>392</v>
      </c>
      <c r="Z417" s="101" t="s">
        <v>430</v>
      </c>
      <c r="AA417" s="101" t="s">
        <v>628</v>
      </c>
      <c r="AB417" s="101">
        <v>3101055606</v>
      </c>
      <c r="AC417" s="101" t="s">
        <v>431</v>
      </c>
      <c r="AD417" s="101" t="s">
        <v>431</v>
      </c>
      <c r="AE417" s="101" t="s">
        <v>75</v>
      </c>
      <c r="AF417" s="101" t="s">
        <v>400</v>
      </c>
      <c r="AG417" s="101" t="s">
        <v>629</v>
      </c>
      <c r="AI417" s="101" t="s">
        <v>760</v>
      </c>
    </row>
    <row r="418" spans="1:35">
      <c r="A418" s="246" t="s">
        <v>111</v>
      </c>
      <c r="B418" s="246" t="s">
        <v>66</v>
      </c>
      <c r="C418" s="246" t="s">
        <v>126</v>
      </c>
      <c r="D418" s="246" t="s">
        <v>273</v>
      </c>
      <c r="E418" s="246"/>
      <c r="F418" s="246"/>
      <c r="G418" s="132">
        <v>0</v>
      </c>
      <c r="H418" s="132">
        <v>0</v>
      </c>
      <c r="I418" s="132">
        <v>0</v>
      </c>
      <c r="J418" s="101" t="s">
        <v>889</v>
      </c>
      <c r="K418" s="245" t="s">
        <v>390</v>
      </c>
      <c r="L418" s="245">
        <v>42767</v>
      </c>
      <c r="M418" s="245" t="s">
        <v>391</v>
      </c>
      <c r="N418" s="101">
        <v>0</v>
      </c>
      <c r="O418" s="101" t="s">
        <v>392</v>
      </c>
      <c r="P418" s="101">
        <v>0</v>
      </c>
      <c r="Q418" s="101">
        <v>0</v>
      </c>
      <c r="R418" s="101" t="s">
        <v>626</v>
      </c>
      <c r="S418" s="101">
        <v>190369</v>
      </c>
      <c r="T418" s="101" t="s">
        <v>394</v>
      </c>
      <c r="V418" s="245">
        <v>45227</v>
      </c>
      <c r="W418" s="101" t="s">
        <v>627</v>
      </c>
      <c r="X418" s="101" t="s">
        <v>429</v>
      </c>
      <c r="Y418" s="101" t="s">
        <v>392</v>
      </c>
      <c r="Z418" s="101" t="s">
        <v>430</v>
      </c>
      <c r="AA418" s="101" t="s">
        <v>628</v>
      </c>
      <c r="AB418" s="101">
        <v>3101055606</v>
      </c>
      <c r="AC418" s="101" t="s">
        <v>431</v>
      </c>
      <c r="AD418" s="101" t="s">
        <v>431</v>
      </c>
      <c r="AE418" s="101" t="s">
        <v>75</v>
      </c>
      <c r="AF418" s="101" t="s">
        <v>400</v>
      </c>
      <c r="AG418" s="101" t="s">
        <v>629</v>
      </c>
      <c r="AI418" s="101" t="s">
        <v>760</v>
      </c>
    </row>
    <row r="419" spans="1:35">
      <c r="A419" s="246" t="s">
        <v>111</v>
      </c>
      <c r="B419" s="246" t="s">
        <v>66</v>
      </c>
      <c r="C419" s="246" t="s">
        <v>126</v>
      </c>
      <c r="D419" s="246" t="s">
        <v>273</v>
      </c>
      <c r="E419" s="246"/>
      <c r="F419" s="246"/>
      <c r="G419" s="132">
        <v>0</v>
      </c>
      <c r="H419" s="132">
        <v>0</v>
      </c>
      <c r="I419" s="132">
        <v>0</v>
      </c>
      <c r="J419" s="101" t="s">
        <v>889</v>
      </c>
      <c r="K419" s="245" t="s">
        <v>390</v>
      </c>
      <c r="L419" s="245">
        <v>42856</v>
      </c>
      <c r="M419" s="245" t="s">
        <v>391</v>
      </c>
      <c r="N419" s="101">
        <v>0</v>
      </c>
      <c r="O419" s="101" t="s">
        <v>392</v>
      </c>
      <c r="P419" s="101">
        <v>0</v>
      </c>
      <c r="Q419" s="101">
        <v>0</v>
      </c>
      <c r="R419" s="101" t="s">
        <v>626</v>
      </c>
      <c r="S419" s="101">
        <v>190369</v>
      </c>
      <c r="T419" s="101" t="s">
        <v>394</v>
      </c>
      <c r="V419" s="245">
        <v>45227</v>
      </c>
      <c r="W419" s="101" t="s">
        <v>627</v>
      </c>
      <c r="X419" s="101" t="s">
        <v>429</v>
      </c>
      <c r="Y419" s="101" t="s">
        <v>392</v>
      </c>
      <c r="Z419" s="101" t="s">
        <v>430</v>
      </c>
      <c r="AA419" s="101" t="s">
        <v>628</v>
      </c>
      <c r="AB419" s="101">
        <v>3101055606</v>
      </c>
      <c r="AC419" s="101" t="s">
        <v>431</v>
      </c>
      <c r="AD419" s="101" t="s">
        <v>431</v>
      </c>
      <c r="AE419" s="101" t="s">
        <v>75</v>
      </c>
      <c r="AF419" s="101" t="s">
        <v>400</v>
      </c>
      <c r="AG419" s="101" t="s">
        <v>629</v>
      </c>
      <c r="AI419" s="101" t="s">
        <v>760</v>
      </c>
    </row>
    <row r="420" spans="1:35">
      <c r="A420" s="246" t="s">
        <v>112</v>
      </c>
      <c r="B420" s="246" t="s">
        <v>66</v>
      </c>
      <c r="C420" s="246" t="s">
        <v>126</v>
      </c>
      <c r="D420" s="246" t="s">
        <v>270</v>
      </c>
      <c r="E420" s="246"/>
      <c r="F420" s="246"/>
      <c r="G420" s="132">
        <v>0</v>
      </c>
      <c r="H420" s="132">
        <v>0</v>
      </c>
      <c r="I420" s="132">
        <v>0</v>
      </c>
      <c r="J420" s="101" t="s">
        <v>889</v>
      </c>
      <c r="K420" s="245" t="s">
        <v>390</v>
      </c>
      <c r="L420" s="245">
        <v>42948</v>
      </c>
      <c r="M420" s="245" t="s">
        <v>391</v>
      </c>
      <c r="N420" s="101">
        <v>0</v>
      </c>
      <c r="O420" s="101" t="s">
        <v>392</v>
      </c>
      <c r="P420" s="101">
        <v>0</v>
      </c>
      <c r="Q420" s="101">
        <v>0</v>
      </c>
      <c r="R420" s="101" t="s">
        <v>626</v>
      </c>
      <c r="S420" s="101">
        <v>190369</v>
      </c>
      <c r="T420" s="101" t="s">
        <v>394</v>
      </c>
      <c r="V420" s="245">
        <v>45227</v>
      </c>
      <c r="W420" s="101" t="s">
        <v>627</v>
      </c>
      <c r="X420" s="101" t="s">
        <v>429</v>
      </c>
      <c r="Y420" s="101" t="s">
        <v>392</v>
      </c>
      <c r="Z420" s="101" t="s">
        <v>430</v>
      </c>
      <c r="AA420" s="101" t="s">
        <v>628</v>
      </c>
      <c r="AB420" s="101">
        <v>3101055606</v>
      </c>
      <c r="AC420" s="101" t="s">
        <v>431</v>
      </c>
      <c r="AD420" s="101" t="s">
        <v>431</v>
      </c>
      <c r="AE420" s="101" t="s">
        <v>75</v>
      </c>
      <c r="AF420" s="101" t="s">
        <v>400</v>
      </c>
      <c r="AG420" s="101" t="s">
        <v>629</v>
      </c>
      <c r="AI420" s="101" t="s">
        <v>760</v>
      </c>
    </row>
    <row r="421" spans="1:35">
      <c r="A421" s="246" t="s">
        <v>112</v>
      </c>
      <c r="B421" s="246" t="s">
        <v>66</v>
      </c>
      <c r="C421" s="246" t="s">
        <v>126</v>
      </c>
      <c r="D421" s="246" t="s">
        <v>270</v>
      </c>
      <c r="E421" s="246"/>
      <c r="F421" s="246"/>
      <c r="G421" s="132">
        <v>0</v>
      </c>
      <c r="H421" s="132">
        <v>0</v>
      </c>
      <c r="I421" s="132">
        <v>0</v>
      </c>
      <c r="J421" s="101" t="s">
        <v>889</v>
      </c>
      <c r="K421" s="245" t="s">
        <v>390</v>
      </c>
      <c r="L421" s="245">
        <v>43040</v>
      </c>
      <c r="M421" s="245" t="s">
        <v>391</v>
      </c>
      <c r="N421" s="101">
        <v>0</v>
      </c>
      <c r="O421" s="101" t="s">
        <v>392</v>
      </c>
      <c r="P421" s="101">
        <v>0</v>
      </c>
      <c r="Q421" s="101">
        <v>0</v>
      </c>
      <c r="R421" s="101" t="s">
        <v>626</v>
      </c>
      <c r="S421" s="101">
        <v>190369</v>
      </c>
      <c r="T421" s="101" t="s">
        <v>394</v>
      </c>
      <c r="V421" s="245">
        <v>45227</v>
      </c>
      <c r="W421" s="101" t="s">
        <v>627</v>
      </c>
      <c r="X421" s="101" t="s">
        <v>429</v>
      </c>
      <c r="Y421" s="101" t="s">
        <v>392</v>
      </c>
      <c r="Z421" s="101" t="s">
        <v>430</v>
      </c>
      <c r="AA421" s="101" t="s">
        <v>628</v>
      </c>
      <c r="AB421" s="101">
        <v>3101055606</v>
      </c>
      <c r="AC421" s="101" t="s">
        <v>431</v>
      </c>
      <c r="AD421" s="101" t="s">
        <v>431</v>
      </c>
      <c r="AE421" s="101" t="s">
        <v>75</v>
      </c>
      <c r="AF421" s="101" t="s">
        <v>400</v>
      </c>
      <c r="AG421" s="101" t="s">
        <v>629</v>
      </c>
      <c r="AI421" s="101" t="s">
        <v>760</v>
      </c>
    </row>
    <row r="422" spans="1:35">
      <c r="A422" s="246" t="s">
        <v>113</v>
      </c>
      <c r="B422" s="246" t="s">
        <v>66</v>
      </c>
      <c r="C422" s="246" t="s">
        <v>126</v>
      </c>
      <c r="D422" s="246" t="s">
        <v>271</v>
      </c>
      <c r="E422" s="246"/>
      <c r="F422" s="246"/>
      <c r="G422" s="132">
        <v>0</v>
      </c>
      <c r="H422" s="132">
        <v>0</v>
      </c>
      <c r="I422" s="132">
        <v>0</v>
      </c>
      <c r="J422" s="101" t="s">
        <v>889</v>
      </c>
      <c r="K422" s="245" t="s">
        <v>390</v>
      </c>
      <c r="L422" s="245">
        <v>43132</v>
      </c>
      <c r="M422" s="245" t="s">
        <v>391</v>
      </c>
      <c r="N422" s="101">
        <v>0</v>
      </c>
      <c r="O422" s="101" t="s">
        <v>392</v>
      </c>
      <c r="P422" s="101">
        <v>0</v>
      </c>
      <c r="Q422" s="101">
        <v>0</v>
      </c>
      <c r="R422" s="101" t="s">
        <v>626</v>
      </c>
      <c r="S422" s="101">
        <v>190369</v>
      </c>
      <c r="T422" s="101" t="s">
        <v>394</v>
      </c>
      <c r="V422" s="245">
        <v>45227</v>
      </c>
      <c r="W422" s="101" t="s">
        <v>627</v>
      </c>
      <c r="X422" s="101" t="s">
        <v>429</v>
      </c>
      <c r="Y422" s="101" t="s">
        <v>392</v>
      </c>
      <c r="Z422" s="101" t="s">
        <v>430</v>
      </c>
      <c r="AA422" s="101" t="s">
        <v>628</v>
      </c>
      <c r="AB422" s="101">
        <v>3101055606</v>
      </c>
      <c r="AC422" s="101" t="s">
        <v>431</v>
      </c>
      <c r="AD422" s="101" t="s">
        <v>431</v>
      </c>
      <c r="AE422" s="101" t="s">
        <v>75</v>
      </c>
      <c r="AF422" s="101" t="s">
        <v>400</v>
      </c>
      <c r="AG422" s="101" t="s">
        <v>629</v>
      </c>
      <c r="AI422" s="101" t="s">
        <v>760</v>
      </c>
    </row>
    <row r="423" spans="1:35">
      <c r="A423" s="246" t="s">
        <v>113</v>
      </c>
      <c r="B423" s="246" t="s">
        <v>66</v>
      </c>
      <c r="C423" s="246" t="s">
        <v>126</v>
      </c>
      <c r="D423" s="246" t="s">
        <v>271</v>
      </c>
      <c r="E423" s="246"/>
      <c r="F423" s="246"/>
      <c r="G423" s="132">
        <v>0</v>
      </c>
      <c r="H423" s="132">
        <v>0</v>
      </c>
      <c r="I423" s="132">
        <v>0</v>
      </c>
      <c r="J423" s="101" t="s">
        <v>889</v>
      </c>
      <c r="K423" s="245" t="s">
        <v>390</v>
      </c>
      <c r="L423" s="245">
        <v>43221</v>
      </c>
      <c r="M423" s="245" t="s">
        <v>391</v>
      </c>
      <c r="N423" s="101">
        <v>0</v>
      </c>
      <c r="O423" s="101" t="s">
        <v>392</v>
      </c>
      <c r="P423" s="101">
        <v>0</v>
      </c>
      <c r="Q423" s="101">
        <v>0</v>
      </c>
      <c r="R423" s="101" t="s">
        <v>626</v>
      </c>
      <c r="S423" s="101">
        <v>190369</v>
      </c>
      <c r="T423" s="101" t="s">
        <v>394</v>
      </c>
      <c r="V423" s="245">
        <v>45227</v>
      </c>
      <c r="W423" s="101" t="s">
        <v>627</v>
      </c>
      <c r="X423" s="101" t="s">
        <v>429</v>
      </c>
      <c r="Y423" s="101" t="s">
        <v>392</v>
      </c>
      <c r="Z423" s="101" t="s">
        <v>430</v>
      </c>
      <c r="AA423" s="101" t="s">
        <v>628</v>
      </c>
      <c r="AB423" s="101">
        <v>3101055606</v>
      </c>
      <c r="AC423" s="101" t="s">
        <v>431</v>
      </c>
      <c r="AD423" s="101" t="s">
        <v>431</v>
      </c>
      <c r="AE423" s="101" t="s">
        <v>75</v>
      </c>
      <c r="AF423" s="101" t="s">
        <v>400</v>
      </c>
      <c r="AG423" s="101" t="s">
        <v>629</v>
      </c>
      <c r="AI423" s="101" t="s">
        <v>760</v>
      </c>
    </row>
    <row r="424" spans="1:35">
      <c r="A424" s="246" t="s">
        <v>103</v>
      </c>
      <c r="B424" s="246" t="s">
        <v>78</v>
      </c>
      <c r="C424" s="246" t="s">
        <v>126</v>
      </c>
      <c r="D424" s="246" t="s">
        <v>886</v>
      </c>
      <c r="E424" s="246" t="s">
        <v>887</v>
      </c>
      <c r="F424" s="246"/>
      <c r="G424" s="132" t="s">
        <v>447</v>
      </c>
      <c r="H424" s="132" t="s">
        <v>1263</v>
      </c>
      <c r="I424" s="132">
        <v>-662031.25</v>
      </c>
      <c r="J424" s="101" t="s">
        <v>889</v>
      </c>
      <c r="K424" s="245" t="s">
        <v>390</v>
      </c>
      <c r="L424" s="245">
        <v>42506</v>
      </c>
      <c r="M424" s="245" t="s">
        <v>391</v>
      </c>
      <c r="N424" s="101">
        <v>0</v>
      </c>
      <c r="O424" s="101" t="s">
        <v>392</v>
      </c>
      <c r="P424" s="101">
        <v>0</v>
      </c>
      <c r="Q424" s="101">
        <v>0</v>
      </c>
      <c r="R424" s="101" t="s">
        <v>438</v>
      </c>
      <c r="S424" s="101">
        <v>194042</v>
      </c>
      <c r="T424" s="101" t="s">
        <v>394</v>
      </c>
      <c r="V424" s="245">
        <v>47253</v>
      </c>
      <c r="W424" s="101" t="s">
        <v>424</v>
      </c>
      <c r="X424" s="101" t="s">
        <v>76</v>
      </c>
      <c r="Y424" s="101" t="s">
        <v>392</v>
      </c>
      <c r="Z424" s="101" t="s">
        <v>430</v>
      </c>
      <c r="AA424" s="101" t="s">
        <v>78</v>
      </c>
      <c r="AB424" s="101">
        <v>4101000279</v>
      </c>
      <c r="AC424" s="101" t="s">
        <v>431</v>
      </c>
      <c r="AD424" s="101" t="s">
        <v>431</v>
      </c>
      <c r="AE424" s="101" t="s">
        <v>75</v>
      </c>
      <c r="AF424" s="101" t="s">
        <v>400</v>
      </c>
      <c r="AG424" s="101" t="s">
        <v>427</v>
      </c>
      <c r="AI424" s="101" t="s">
        <v>760</v>
      </c>
    </row>
    <row r="425" spans="1:35">
      <c r="A425" s="246" t="s">
        <v>111</v>
      </c>
      <c r="B425" s="246" t="s">
        <v>78</v>
      </c>
      <c r="C425" s="246" t="s">
        <v>126</v>
      </c>
      <c r="D425" s="246" t="s">
        <v>768</v>
      </c>
      <c r="E425" s="246" t="s">
        <v>769</v>
      </c>
      <c r="F425" s="246"/>
      <c r="G425" s="132" t="s">
        <v>447</v>
      </c>
      <c r="H425" s="132" t="s">
        <v>1263</v>
      </c>
      <c r="I425" s="132">
        <v>-662031.25</v>
      </c>
      <c r="J425" s="101" t="s">
        <v>889</v>
      </c>
      <c r="K425" s="245" t="s">
        <v>390</v>
      </c>
      <c r="L425" s="245">
        <v>42689</v>
      </c>
      <c r="M425" s="245" t="s">
        <v>391</v>
      </c>
      <c r="N425" s="101">
        <v>0</v>
      </c>
      <c r="O425" s="101" t="s">
        <v>392</v>
      </c>
      <c r="P425" s="101">
        <v>0</v>
      </c>
      <c r="Q425" s="101">
        <v>0</v>
      </c>
      <c r="R425" s="101" t="s">
        <v>438</v>
      </c>
      <c r="S425" s="101">
        <v>194042</v>
      </c>
      <c r="T425" s="101" t="s">
        <v>394</v>
      </c>
      <c r="V425" s="245">
        <v>47253</v>
      </c>
      <c r="W425" s="101" t="s">
        <v>424</v>
      </c>
      <c r="X425" s="101" t="s">
        <v>76</v>
      </c>
      <c r="Y425" s="101" t="s">
        <v>392</v>
      </c>
      <c r="Z425" s="101" t="s">
        <v>430</v>
      </c>
      <c r="AA425" s="101" t="s">
        <v>78</v>
      </c>
      <c r="AB425" s="101">
        <v>4101000279</v>
      </c>
      <c r="AC425" s="101" t="s">
        <v>431</v>
      </c>
      <c r="AD425" s="101" t="s">
        <v>431</v>
      </c>
      <c r="AE425" s="101" t="s">
        <v>75</v>
      </c>
      <c r="AF425" s="101" t="s">
        <v>400</v>
      </c>
      <c r="AG425" s="101" t="s">
        <v>427</v>
      </c>
      <c r="AI425" s="101" t="s">
        <v>760</v>
      </c>
    </row>
    <row r="426" spans="1:35">
      <c r="A426" s="246" t="s">
        <v>112</v>
      </c>
      <c r="B426" s="246" t="s">
        <v>78</v>
      </c>
      <c r="C426" s="246" t="s">
        <v>126</v>
      </c>
      <c r="D426" s="246" t="s">
        <v>341</v>
      </c>
      <c r="E426" s="246" t="s">
        <v>342</v>
      </c>
      <c r="F426" s="246"/>
      <c r="G426" s="132" t="s">
        <v>447</v>
      </c>
      <c r="H426" s="132" t="s">
        <v>1263</v>
      </c>
      <c r="I426" s="132">
        <v>-662031.25</v>
      </c>
      <c r="J426" s="101" t="s">
        <v>889</v>
      </c>
      <c r="K426" s="245" t="s">
        <v>390</v>
      </c>
      <c r="L426" s="245">
        <v>42870</v>
      </c>
      <c r="M426" s="245" t="s">
        <v>391</v>
      </c>
      <c r="N426" s="101">
        <v>0</v>
      </c>
      <c r="O426" s="101" t="s">
        <v>392</v>
      </c>
      <c r="P426" s="101">
        <v>0</v>
      </c>
      <c r="Q426" s="101">
        <v>0</v>
      </c>
      <c r="R426" s="101" t="s">
        <v>438</v>
      </c>
      <c r="S426" s="101">
        <v>194042</v>
      </c>
      <c r="T426" s="101" t="s">
        <v>394</v>
      </c>
      <c r="V426" s="245">
        <v>47253</v>
      </c>
      <c r="W426" s="101" t="s">
        <v>424</v>
      </c>
      <c r="X426" s="101" t="s">
        <v>76</v>
      </c>
      <c r="Y426" s="101" t="s">
        <v>392</v>
      </c>
      <c r="Z426" s="101" t="s">
        <v>430</v>
      </c>
      <c r="AA426" s="101" t="s">
        <v>78</v>
      </c>
      <c r="AB426" s="101">
        <v>4101000279</v>
      </c>
      <c r="AC426" s="101" t="s">
        <v>431</v>
      </c>
      <c r="AD426" s="101" t="s">
        <v>431</v>
      </c>
      <c r="AE426" s="101" t="s">
        <v>75</v>
      </c>
      <c r="AF426" s="101" t="s">
        <v>400</v>
      </c>
      <c r="AG426" s="101" t="s">
        <v>427</v>
      </c>
      <c r="AI426" s="101" t="s">
        <v>760</v>
      </c>
    </row>
    <row r="427" spans="1:35">
      <c r="A427" s="246" t="s">
        <v>113</v>
      </c>
      <c r="B427" s="246" t="s">
        <v>78</v>
      </c>
      <c r="C427" s="246" t="s">
        <v>126</v>
      </c>
      <c r="D427" s="246" t="s">
        <v>339</v>
      </c>
      <c r="E427" s="246" t="s">
        <v>340</v>
      </c>
      <c r="F427" s="246"/>
      <c r="G427" s="132" t="s">
        <v>447</v>
      </c>
      <c r="H427" s="132" t="s">
        <v>1263</v>
      </c>
      <c r="I427" s="132">
        <v>-662031.25</v>
      </c>
      <c r="J427" s="101" t="s">
        <v>889</v>
      </c>
      <c r="K427" s="245" t="s">
        <v>390</v>
      </c>
      <c r="L427" s="245">
        <v>43054</v>
      </c>
      <c r="M427" s="245" t="s">
        <v>391</v>
      </c>
      <c r="N427" s="101">
        <v>0</v>
      </c>
      <c r="O427" s="101" t="s">
        <v>392</v>
      </c>
      <c r="P427" s="101">
        <v>0</v>
      </c>
      <c r="Q427" s="101">
        <v>0</v>
      </c>
      <c r="R427" s="101" t="s">
        <v>438</v>
      </c>
      <c r="S427" s="101">
        <v>194042</v>
      </c>
      <c r="T427" s="101" t="s">
        <v>394</v>
      </c>
      <c r="V427" s="245">
        <v>47253</v>
      </c>
      <c r="W427" s="101" t="s">
        <v>424</v>
      </c>
      <c r="X427" s="101" t="s">
        <v>76</v>
      </c>
      <c r="Y427" s="101" t="s">
        <v>392</v>
      </c>
      <c r="Z427" s="101" t="s">
        <v>430</v>
      </c>
      <c r="AA427" s="101" t="s">
        <v>78</v>
      </c>
      <c r="AB427" s="101">
        <v>4101000279</v>
      </c>
      <c r="AC427" s="101" t="s">
        <v>431</v>
      </c>
      <c r="AD427" s="101" t="s">
        <v>431</v>
      </c>
      <c r="AE427" s="101" t="s">
        <v>75</v>
      </c>
      <c r="AF427" s="101" t="s">
        <v>400</v>
      </c>
      <c r="AG427" s="101" t="s">
        <v>427</v>
      </c>
      <c r="AI427" s="101" t="s">
        <v>760</v>
      </c>
    </row>
    <row r="428" spans="1:35">
      <c r="A428" s="246" t="s">
        <v>109</v>
      </c>
      <c r="B428" s="246" t="s">
        <v>66</v>
      </c>
      <c r="C428" s="246" t="s">
        <v>126</v>
      </c>
      <c r="D428" s="246" t="s">
        <v>272</v>
      </c>
      <c r="E428" s="246"/>
      <c r="F428" s="246"/>
      <c r="G428" s="132">
        <v>62500</v>
      </c>
      <c r="H428" s="132" t="s">
        <v>1082</v>
      </c>
      <c r="I428" s="132">
        <v>62500</v>
      </c>
      <c r="J428" s="101" t="s">
        <v>889</v>
      </c>
      <c r="K428" s="245" t="s">
        <v>390</v>
      </c>
      <c r="L428" s="245">
        <v>42536</v>
      </c>
      <c r="M428" s="245" t="s">
        <v>391</v>
      </c>
      <c r="N428" s="101">
        <v>0</v>
      </c>
      <c r="O428" s="101" t="s">
        <v>392</v>
      </c>
      <c r="P428" s="101">
        <v>0</v>
      </c>
      <c r="Q428" s="101">
        <v>0</v>
      </c>
      <c r="R428" s="101" t="s">
        <v>450</v>
      </c>
      <c r="S428" s="101">
        <v>194066</v>
      </c>
      <c r="T428" s="101" t="s">
        <v>394</v>
      </c>
      <c r="V428" s="245">
        <v>42536</v>
      </c>
      <c r="W428" s="101" t="s">
        <v>441</v>
      </c>
      <c r="X428" s="101" t="s">
        <v>76</v>
      </c>
      <c r="Y428" s="101" t="s">
        <v>392</v>
      </c>
      <c r="Z428" s="101" t="s">
        <v>430</v>
      </c>
      <c r="AA428" s="101" t="s">
        <v>531</v>
      </c>
      <c r="AB428" s="101">
        <v>3101053435</v>
      </c>
      <c r="AC428" s="101" t="s">
        <v>431</v>
      </c>
      <c r="AD428" s="101" t="s">
        <v>431</v>
      </c>
      <c r="AE428" s="101" t="s">
        <v>75</v>
      </c>
      <c r="AF428" s="101" t="s">
        <v>400</v>
      </c>
      <c r="AG428" s="101" t="s">
        <v>532</v>
      </c>
      <c r="AI428" s="101" t="s">
        <v>760</v>
      </c>
    </row>
    <row r="429" spans="1:35">
      <c r="A429" s="246" t="s">
        <v>109</v>
      </c>
      <c r="B429" s="246" t="s">
        <v>66</v>
      </c>
      <c r="C429" s="246" t="s">
        <v>116</v>
      </c>
      <c r="D429" s="246" t="s">
        <v>338</v>
      </c>
      <c r="E429" s="246"/>
      <c r="F429" s="246"/>
      <c r="G429" s="132">
        <v>25000000</v>
      </c>
      <c r="H429" s="132" t="s">
        <v>1083</v>
      </c>
      <c r="I429" s="132">
        <v>25000000</v>
      </c>
      <c r="J429" s="101" t="s">
        <v>889</v>
      </c>
      <c r="K429" s="245" t="s">
        <v>390</v>
      </c>
      <c r="L429" s="245">
        <v>42536</v>
      </c>
      <c r="M429" s="245" t="s">
        <v>421</v>
      </c>
      <c r="N429" s="101">
        <v>0</v>
      </c>
      <c r="O429" s="101" t="s">
        <v>392</v>
      </c>
      <c r="P429" s="101">
        <v>0</v>
      </c>
      <c r="Q429" s="101">
        <v>0</v>
      </c>
      <c r="R429" s="101" t="s">
        <v>450</v>
      </c>
      <c r="S429" s="101">
        <v>194066</v>
      </c>
      <c r="T429" s="101" t="s">
        <v>394</v>
      </c>
      <c r="V429" s="245">
        <v>42536</v>
      </c>
      <c r="W429" s="101" t="s">
        <v>441</v>
      </c>
      <c r="X429" s="101" t="s">
        <v>76</v>
      </c>
      <c r="Y429" s="101" t="s">
        <v>392</v>
      </c>
      <c r="Z429" s="101" t="s">
        <v>430</v>
      </c>
      <c r="AA429" s="101" t="s">
        <v>531</v>
      </c>
      <c r="AB429" s="101">
        <v>3101053435</v>
      </c>
      <c r="AC429" s="101" t="s">
        <v>431</v>
      </c>
      <c r="AD429" s="101" t="s">
        <v>431</v>
      </c>
      <c r="AE429" s="101" t="s">
        <v>75</v>
      </c>
      <c r="AF429" s="101" t="s">
        <v>400</v>
      </c>
      <c r="AG429" s="101" t="s">
        <v>532</v>
      </c>
      <c r="AI429" s="101" t="s">
        <v>760</v>
      </c>
    </row>
    <row r="430" spans="1:35">
      <c r="A430" s="246" t="s">
        <v>107</v>
      </c>
      <c r="B430" s="246" t="s">
        <v>66</v>
      </c>
      <c r="C430" s="246" t="s">
        <v>126</v>
      </c>
      <c r="D430" s="246" t="s">
        <v>1769</v>
      </c>
      <c r="E430" s="246"/>
      <c r="F430" s="246"/>
      <c r="G430" s="132" t="s">
        <v>479</v>
      </c>
      <c r="H430" s="132" t="s">
        <v>1264</v>
      </c>
      <c r="I430" s="132">
        <v>-146815.81</v>
      </c>
      <c r="J430" s="101" t="s">
        <v>889</v>
      </c>
      <c r="K430" s="245" t="s">
        <v>390</v>
      </c>
      <c r="L430" s="245">
        <v>42521</v>
      </c>
      <c r="M430" s="245" t="s">
        <v>391</v>
      </c>
      <c r="N430" s="101">
        <v>0</v>
      </c>
      <c r="O430" s="101" t="s">
        <v>392</v>
      </c>
      <c r="P430" s="101">
        <v>0</v>
      </c>
      <c r="Q430" s="101">
        <v>0</v>
      </c>
      <c r="R430" s="101" t="s">
        <v>422</v>
      </c>
      <c r="S430" s="101" t="s">
        <v>477</v>
      </c>
      <c r="T430" s="101" t="s">
        <v>394</v>
      </c>
      <c r="U430" s="101" t="s">
        <v>81</v>
      </c>
      <c r="V430" s="245">
        <v>46371</v>
      </c>
      <c r="W430" s="101" t="s">
        <v>445</v>
      </c>
      <c r="X430" s="101" t="s">
        <v>76</v>
      </c>
      <c r="Y430" s="101" t="s">
        <v>392</v>
      </c>
      <c r="Z430" s="101" t="s">
        <v>412</v>
      </c>
      <c r="AA430" s="101" t="s">
        <v>478</v>
      </c>
      <c r="AB430" s="101">
        <v>3101053970</v>
      </c>
      <c r="AC430" s="101" t="s">
        <v>414</v>
      </c>
      <c r="AD430" s="101" t="s">
        <v>79</v>
      </c>
      <c r="AE430" s="101" t="s">
        <v>75</v>
      </c>
      <c r="AF430" s="101" t="s">
        <v>400</v>
      </c>
      <c r="AI430" s="101" t="s">
        <v>172</v>
      </c>
    </row>
    <row r="431" spans="1:35">
      <c r="A431" s="246" t="s">
        <v>107</v>
      </c>
      <c r="B431" s="246" t="s">
        <v>66</v>
      </c>
      <c r="C431" s="246" t="s">
        <v>264</v>
      </c>
      <c r="D431" s="246" t="s">
        <v>1775</v>
      </c>
      <c r="E431" s="246"/>
      <c r="F431" s="246"/>
      <c r="G431" s="132" t="s">
        <v>480</v>
      </c>
      <c r="H431" s="132" t="s">
        <v>1265</v>
      </c>
      <c r="I431" s="132">
        <v>5182540.8099999996</v>
      </c>
      <c r="J431" s="101" t="s">
        <v>889</v>
      </c>
      <c r="K431" s="245" t="s">
        <v>390</v>
      </c>
      <c r="L431" s="245">
        <v>42521</v>
      </c>
      <c r="M431" s="245" t="s">
        <v>421</v>
      </c>
      <c r="N431" s="101">
        <v>0</v>
      </c>
      <c r="O431" s="101" t="s">
        <v>392</v>
      </c>
      <c r="P431" s="101">
        <v>0</v>
      </c>
      <c r="Q431" s="101">
        <v>0</v>
      </c>
      <c r="R431" s="101" t="s">
        <v>410</v>
      </c>
      <c r="S431" s="101" t="s">
        <v>477</v>
      </c>
      <c r="T431" s="101" t="s">
        <v>394</v>
      </c>
      <c r="U431" s="101" t="s">
        <v>81</v>
      </c>
      <c r="V431" s="245">
        <v>46371</v>
      </c>
      <c r="W431" s="101" t="s">
        <v>445</v>
      </c>
      <c r="X431" s="101" t="s">
        <v>76</v>
      </c>
      <c r="Y431" s="101" t="s">
        <v>392</v>
      </c>
      <c r="Z431" s="101" t="s">
        <v>412</v>
      </c>
      <c r="AA431" s="101" t="s">
        <v>478</v>
      </c>
      <c r="AB431" s="101">
        <v>3101053970</v>
      </c>
      <c r="AC431" s="101" t="s">
        <v>414</v>
      </c>
      <c r="AD431" s="101" t="s">
        <v>79</v>
      </c>
      <c r="AE431" s="101" t="s">
        <v>75</v>
      </c>
      <c r="AF431" s="101" t="s">
        <v>400</v>
      </c>
      <c r="AI431" s="101" t="s">
        <v>172</v>
      </c>
    </row>
    <row r="432" spans="1:35">
      <c r="A432" s="246" t="s">
        <v>109</v>
      </c>
      <c r="B432" s="246" t="s">
        <v>66</v>
      </c>
      <c r="C432" s="246" t="s">
        <v>264</v>
      </c>
      <c r="D432" s="246" t="s">
        <v>288</v>
      </c>
      <c r="E432" s="246"/>
      <c r="F432" s="246"/>
      <c r="G432" s="132" t="s">
        <v>481</v>
      </c>
      <c r="H432" s="132" t="s">
        <v>1266</v>
      </c>
      <c r="I432" s="132">
        <v>-42451380.759999998</v>
      </c>
      <c r="J432" s="101" t="s">
        <v>889</v>
      </c>
      <c r="K432" s="245" t="s">
        <v>390</v>
      </c>
      <c r="L432" s="245">
        <v>42535</v>
      </c>
      <c r="M432" s="245" t="s">
        <v>421</v>
      </c>
      <c r="N432" s="101">
        <v>0</v>
      </c>
      <c r="O432" s="101" t="s">
        <v>392</v>
      </c>
      <c r="P432" s="101">
        <v>0</v>
      </c>
      <c r="Q432" s="101">
        <v>0</v>
      </c>
      <c r="R432" s="101" t="s">
        <v>422</v>
      </c>
      <c r="S432" s="101" t="s">
        <v>477</v>
      </c>
      <c r="T432" s="101" t="s">
        <v>394</v>
      </c>
      <c r="U432" s="101" t="s">
        <v>81</v>
      </c>
      <c r="V432" s="245">
        <v>46371</v>
      </c>
      <c r="W432" s="101" t="s">
        <v>445</v>
      </c>
      <c r="X432" s="101" t="s">
        <v>76</v>
      </c>
      <c r="Y432" s="101" t="s">
        <v>392</v>
      </c>
      <c r="Z432" s="101" t="s">
        <v>412</v>
      </c>
      <c r="AA432" s="101" t="s">
        <v>478</v>
      </c>
      <c r="AB432" s="101">
        <v>3101053970</v>
      </c>
      <c r="AC432" s="101" t="s">
        <v>414</v>
      </c>
      <c r="AD432" s="101" t="s">
        <v>79</v>
      </c>
      <c r="AE432" s="101" t="s">
        <v>75</v>
      </c>
      <c r="AF432" s="101" t="s">
        <v>400</v>
      </c>
      <c r="AI432" s="101" t="s">
        <v>172</v>
      </c>
    </row>
    <row r="433" spans="1:35">
      <c r="A433" s="246" t="s">
        <v>109</v>
      </c>
      <c r="B433" s="246" t="s">
        <v>66</v>
      </c>
      <c r="C433" s="246" t="s">
        <v>126</v>
      </c>
      <c r="D433" s="246" t="s">
        <v>272</v>
      </c>
      <c r="E433" s="246"/>
      <c r="F433" s="246"/>
      <c r="G433" s="132" t="s">
        <v>482</v>
      </c>
      <c r="H433" s="132" t="s">
        <v>1267</v>
      </c>
      <c r="I433" s="132">
        <v>-75524.02</v>
      </c>
      <c r="J433" s="101" t="s">
        <v>889</v>
      </c>
      <c r="K433" s="245" t="s">
        <v>390</v>
      </c>
      <c r="L433" s="245">
        <v>42551</v>
      </c>
      <c r="M433" s="245" t="s">
        <v>391</v>
      </c>
      <c r="N433" s="101">
        <v>0</v>
      </c>
      <c r="O433" s="101" t="s">
        <v>392</v>
      </c>
      <c r="P433" s="101">
        <v>0</v>
      </c>
      <c r="Q433" s="101">
        <v>0</v>
      </c>
      <c r="R433" s="101" t="s">
        <v>422</v>
      </c>
      <c r="S433" s="101" t="s">
        <v>477</v>
      </c>
      <c r="T433" s="101" t="s">
        <v>394</v>
      </c>
      <c r="U433" s="101" t="s">
        <v>81</v>
      </c>
      <c r="V433" s="245">
        <v>46371</v>
      </c>
      <c r="W433" s="101" t="s">
        <v>445</v>
      </c>
      <c r="X433" s="101" t="s">
        <v>76</v>
      </c>
      <c r="Y433" s="101" t="s">
        <v>392</v>
      </c>
      <c r="Z433" s="101" t="s">
        <v>412</v>
      </c>
      <c r="AA433" s="101" t="s">
        <v>478</v>
      </c>
      <c r="AB433" s="101">
        <v>3101053970</v>
      </c>
      <c r="AC433" s="101" t="s">
        <v>414</v>
      </c>
      <c r="AD433" s="101" t="s">
        <v>79</v>
      </c>
      <c r="AE433" s="101" t="s">
        <v>75</v>
      </c>
      <c r="AF433" s="101" t="s">
        <v>400</v>
      </c>
      <c r="AI433" s="101" t="s">
        <v>172</v>
      </c>
    </row>
    <row r="434" spans="1:35">
      <c r="A434" s="246" t="s">
        <v>109</v>
      </c>
      <c r="B434" s="246" t="s">
        <v>66</v>
      </c>
      <c r="C434" s="246" t="s">
        <v>264</v>
      </c>
      <c r="D434" s="246" t="s">
        <v>288</v>
      </c>
      <c r="E434" s="246"/>
      <c r="F434" s="246"/>
      <c r="G434" s="132" t="s">
        <v>483</v>
      </c>
      <c r="H434" s="132" t="s">
        <v>1268</v>
      </c>
      <c r="I434" s="132">
        <v>6955203.8499999996</v>
      </c>
      <c r="J434" s="101" t="s">
        <v>889</v>
      </c>
      <c r="K434" s="245" t="s">
        <v>390</v>
      </c>
      <c r="L434" s="245">
        <v>42551</v>
      </c>
      <c r="M434" s="245" t="s">
        <v>421</v>
      </c>
      <c r="N434" s="101">
        <v>0</v>
      </c>
      <c r="O434" s="101" t="s">
        <v>392</v>
      </c>
      <c r="P434" s="101">
        <v>0</v>
      </c>
      <c r="Q434" s="101">
        <v>0</v>
      </c>
      <c r="R434" s="101" t="s">
        <v>410</v>
      </c>
      <c r="S434" s="101" t="s">
        <v>477</v>
      </c>
      <c r="T434" s="101" t="s">
        <v>394</v>
      </c>
      <c r="U434" s="101" t="s">
        <v>81</v>
      </c>
      <c r="V434" s="245">
        <v>46371</v>
      </c>
      <c r="W434" s="101" t="s">
        <v>445</v>
      </c>
      <c r="X434" s="101" t="s">
        <v>76</v>
      </c>
      <c r="Y434" s="101" t="s">
        <v>392</v>
      </c>
      <c r="Z434" s="101" t="s">
        <v>412</v>
      </c>
      <c r="AA434" s="101" t="s">
        <v>478</v>
      </c>
      <c r="AB434" s="101">
        <v>3101053970</v>
      </c>
      <c r="AC434" s="101" t="s">
        <v>414</v>
      </c>
      <c r="AD434" s="101" t="s">
        <v>79</v>
      </c>
      <c r="AE434" s="101" t="s">
        <v>75</v>
      </c>
      <c r="AF434" s="101" t="s">
        <v>400</v>
      </c>
      <c r="AI434" s="101" t="s">
        <v>172</v>
      </c>
    </row>
    <row r="435" spans="1:35">
      <c r="A435" s="246" t="s">
        <v>109</v>
      </c>
      <c r="B435" s="246" t="s">
        <v>66</v>
      </c>
      <c r="C435" s="246" t="s">
        <v>264</v>
      </c>
      <c r="D435" s="246" t="s">
        <v>288</v>
      </c>
      <c r="E435" s="246"/>
      <c r="F435" s="246"/>
      <c r="G435" s="132" t="s">
        <v>484</v>
      </c>
      <c r="H435" s="132" t="s">
        <v>1269</v>
      </c>
      <c r="I435" s="132">
        <v>6907341.8799999999</v>
      </c>
      <c r="J435" s="101" t="s">
        <v>889</v>
      </c>
      <c r="K435" s="245" t="s">
        <v>390</v>
      </c>
      <c r="L435" s="245">
        <v>42580</v>
      </c>
      <c r="M435" s="245" t="s">
        <v>421</v>
      </c>
      <c r="N435" s="101">
        <v>0</v>
      </c>
      <c r="O435" s="101" t="s">
        <v>392</v>
      </c>
      <c r="P435" s="101">
        <v>0</v>
      </c>
      <c r="Q435" s="101">
        <v>0</v>
      </c>
      <c r="R435" s="101" t="s">
        <v>410</v>
      </c>
      <c r="S435" s="101" t="s">
        <v>477</v>
      </c>
      <c r="T435" s="101" t="s">
        <v>394</v>
      </c>
      <c r="U435" s="101" t="s">
        <v>81</v>
      </c>
      <c r="V435" s="245">
        <v>46371</v>
      </c>
      <c r="W435" s="101" t="s">
        <v>445</v>
      </c>
      <c r="X435" s="101" t="s">
        <v>76</v>
      </c>
      <c r="Y435" s="101" t="s">
        <v>392</v>
      </c>
      <c r="Z435" s="101" t="s">
        <v>412</v>
      </c>
      <c r="AA435" s="101" t="s">
        <v>478</v>
      </c>
      <c r="AB435" s="101">
        <v>3101053970</v>
      </c>
      <c r="AC435" s="101" t="s">
        <v>414</v>
      </c>
      <c r="AD435" s="101" t="s">
        <v>79</v>
      </c>
      <c r="AE435" s="101" t="s">
        <v>75</v>
      </c>
      <c r="AF435" s="101" t="s">
        <v>400</v>
      </c>
      <c r="AI435" s="101" t="s">
        <v>172</v>
      </c>
    </row>
    <row r="436" spans="1:35">
      <c r="A436" s="246" t="s">
        <v>109</v>
      </c>
      <c r="B436" s="246" t="s">
        <v>66</v>
      </c>
      <c r="C436" s="246" t="s">
        <v>126</v>
      </c>
      <c r="D436" s="246" t="s">
        <v>272</v>
      </c>
      <c r="E436" s="246"/>
      <c r="F436" s="246"/>
      <c r="G436" s="132" t="s">
        <v>485</v>
      </c>
      <c r="H436" s="132" t="s">
        <v>1270</v>
      </c>
      <c r="I436" s="132">
        <v>-29154.649999999998</v>
      </c>
      <c r="J436" s="101" t="s">
        <v>889</v>
      </c>
      <c r="K436" s="245" t="s">
        <v>390</v>
      </c>
      <c r="L436" s="245">
        <v>42580</v>
      </c>
      <c r="M436" s="245" t="s">
        <v>391</v>
      </c>
      <c r="N436" s="101">
        <v>0</v>
      </c>
      <c r="O436" s="101" t="s">
        <v>392</v>
      </c>
      <c r="P436" s="101">
        <v>0</v>
      </c>
      <c r="Q436" s="101">
        <v>0</v>
      </c>
      <c r="R436" s="101" t="s">
        <v>422</v>
      </c>
      <c r="S436" s="101" t="s">
        <v>477</v>
      </c>
      <c r="T436" s="101" t="s">
        <v>394</v>
      </c>
      <c r="U436" s="101" t="s">
        <v>81</v>
      </c>
      <c r="V436" s="245">
        <v>46371</v>
      </c>
      <c r="W436" s="101" t="s">
        <v>445</v>
      </c>
      <c r="X436" s="101" t="s">
        <v>76</v>
      </c>
      <c r="Y436" s="101" t="s">
        <v>392</v>
      </c>
      <c r="Z436" s="101" t="s">
        <v>412</v>
      </c>
      <c r="AA436" s="101" t="s">
        <v>478</v>
      </c>
      <c r="AB436" s="101">
        <v>3101053970</v>
      </c>
      <c r="AC436" s="101" t="s">
        <v>414</v>
      </c>
      <c r="AD436" s="101" t="s">
        <v>79</v>
      </c>
      <c r="AE436" s="101" t="s">
        <v>75</v>
      </c>
      <c r="AF436" s="101" t="s">
        <v>400</v>
      </c>
      <c r="AI436" s="101" t="s">
        <v>172</v>
      </c>
    </row>
    <row r="437" spans="1:35">
      <c r="A437" s="246" t="s">
        <v>110</v>
      </c>
      <c r="B437" s="246" t="s">
        <v>66</v>
      </c>
      <c r="C437" s="246" t="s">
        <v>126</v>
      </c>
      <c r="D437" s="246" t="s">
        <v>281</v>
      </c>
      <c r="E437" s="246"/>
      <c r="F437" s="246"/>
      <c r="G437" s="132" t="s">
        <v>486</v>
      </c>
      <c r="H437" s="132" t="s">
        <v>1271</v>
      </c>
      <c r="I437" s="132">
        <v>-54609.719999999994</v>
      </c>
      <c r="J437" s="101" t="s">
        <v>889</v>
      </c>
      <c r="K437" s="245" t="s">
        <v>390</v>
      </c>
      <c r="L437" s="245">
        <v>42613</v>
      </c>
      <c r="M437" s="245" t="s">
        <v>391</v>
      </c>
      <c r="N437" s="101">
        <v>0</v>
      </c>
      <c r="O437" s="101" t="s">
        <v>392</v>
      </c>
      <c r="P437" s="101">
        <v>0</v>
      </c>
      <c r="Q437" s="101">
        <v>0</v>
      </c>
      <c r="R437" s="101" t="s">
        <v>422</v>
      </c>
      <c r="S437" s="101" t="s">
        <v>477</v>
      </c>
      <c r="T437" s="101" t="s">
        <v>394</v>
      </c>
      <c r="U437" s="101" t="s">
        <v>81</v>
      </c>
      <c r="V437" s="245">
        <v>46371</v>
      </c>
      <c r="W437" s="101" t="s">
        <v>445</v>
      </c>
      <c r="X437" s="101" t="s">
        <v>76</v>
      </c>
      <c r="Y437" s="101" t="s">
        <v>392</v>
      </c>
      <c r="Z437" s="101" t="s">
        <v>412</v>
      </c>
      <c r="AA437" s="101" t="s">
        <v>478</v>
      </c>
      <c r="AB437" s="101">
        <v>3101053970</v>
      </c>
      <c r="AC437" s="101" t="s">
        <v>414</v>
      </c>
      <c r="AD437" s="101" t="s">
        <v>79</v>
      </c>
      <c r="AE437" s="101" t="s">
        <v>75</v>
      </c>
      <c r="AF437" s="101" t="s">
        <v>400</v>
      </c>
      <c r="AI437" s="101" t="s">
        <v>172</v>
      </c>
    </row>
    <row r="438" spans="1:35">
      <c r="A438" s="246" t="s">
        <v>108</v>
      </c>
      <c r="B438" s="246" t="s">
        <v>78</v>
      </c>
      <c r="C438" s="246" t="s">
        <v>126</v>
      </c>
      <c r="D438" s="246" t="s">
        <v>766</v>
      </c>
      <c r="E438" s="246" t="s">
        <v>767</v>
      </c>
      <c r="F438" s="246"/>
      <c r="G438" s="132" t="s">
        <v>562</v>
      </c>
      <c r="H438" s="132" t="s">
        <v>1272</v>
      </c>
      <c r="I438" s="132">
        <v>-106937.5</v>
      </c>
      <c r="J438" s="101" t="s">
        <v>889</v>
      </c>
      <c r="K438" s="245" t="s">
        <v>390</v>
      </c>
      <c r="L438" s="245">
        <v>42530</v>
      </c>
      <c r="M438" s="245" t="s">
        <v>391</v>
      </c>
      <c r="N438" s="101">
        <v>0</v>
      </c>
      <c r="O438" s="101" t="s">
        <v>392</v>
      </c>
      <c r="P438" s="101">
        <v>0</v>
      </c>
      <c r="Q438" s="101">
        <v>0</v>
      </c>
      <c r="R438" s="101" t="s">
        <v>393</v>
      </c>
      <c r="S438" s="101" t="s">
        <v>829</v>
      </c>
      <c r="T438" s="101" t="s">
        <v>394</v>
      </c>
      <c r="V438" s="245">
        <v>44904</v>
      </c>
      <c r="W438" s="101" t="s">
        <v>535</v>
      </c>
      <c r="X438" s="101" t="s">
        <v>352</v>
      </c>
      <c r="Y438" s="101" t="s">
        <v>471</v>
      </c>
      <c r="Z438" s="101" t="s">
        <v>402</v>
      </c>
      <c r="AA438" s="101" t="s">
        <v>78</v>
      </c>
      <c r="AB438" s="101">
        <v>4101000279</v>
      </c>
      <c r="AC438" s="101" t="s">
        <v>398</v>
      </c>
      <c r="AD438" s="101" t="s">
        <v>403</v>
      </c>
      <c r="AE438" s="101" t="s">
        <v>75</v>
      </c>
      <c r="AF438" s="101" t="s">
        <v>400</v>
      </c>
      <c r="AI438" s="101" t="s">
        <v>760</v>
      </c>
    </row>
    <row r="439" spans="1:35">
      <c r="A439" s="246" t="s">
        <v>111</v>
      </c>
      <c r="B439" s="246" t="s">
        <v>78</v>
      </c>
      <c r="C439" s="246" t="s">
        <v>126</v>
      </c>
      <c r="D439" s="246" t="s">
        <v>768</v>
      </c>
      <c r="E439" s="246" t="s">
        <v>769</v>
      </c>
      <c r="F439" s="246"/>
      <c r="G439" s="132" t="s">
        <v>562</v>
      </c>
      <c r="H439" s="132" t="s">
        <v>1272</v>
      </c>
      <c r="I439" s="132">
        <v>-106937.5</v>
      </c>
      <c r="J439" s="101" t="s">
        <v>889</v>
      </c>
      <c r="K439" s="245" t="s">
        <v>390</v>
      </c>
      <c r="L439" s="245">
        <v>42713</v>
      </c>
      <c r="M439" s="245" t="s">
        <v>391</v>
      </c>
      <c r="N439" s="101">
        <v>0</v>
      </c>
      <c r="O439" s="101" t="s">
        <v>392</v>
      </c>
      <c r="P439" s="101">
        <v>0</v>
      </c>
      <c r="Q439" s="101">
        <v>0</v>
      </c>
      <c r="R439" s="101" t="s">
        <v>393</v>
      </c>
      <c r="S439" s="101" t="s">
        <v>829</v>
      </c>
      <c r="T439" s="101" t="s">
        <v>394</v>
      </c>
      <c r="V439" s="245">
        <v>44904</v>
      </c>
      <c r="W439" s="101" t="s">
        <v>535</v>
      </c>
      <c r="X439" s="101" t="s">
        <v>352</v>
      </c>
      <c r="Y439" s="101" t="s">
        <v>471</v>
      </c>
      <c r="Z439" s="101" t="s">
        <v>402</v>
      </c>
      <c r="AA439" s="101" t="s">
        <v>78</v>
      </c>
      <c r="AB439" s="101">
        <v>4101000279</v>
      </c>
      <c r="AC439" s="101" t="s">
        <v>398</v>
      </c>
      <c r="AD439" s="101" t="s">
        <v>403</v>
      </c>
      <c r="AE439" s="101" t="s">
        <v>75</v>
      </c>
      <c r="AF439" s="101" t="s">
        <v>400</v>
      </c>
      <c r="AI439" s="101" t="s">
        <v>760</v>
      </c>
    </row>
    <row r="440" spans="1:35">
      <c r="A440" s="246" t="s">
        <v>112</v>
      </c>
      <c r="B440" s="246" t="s">
        <v>78</v>
      </c>
      <c r="C440" s="246" t="s">
        <v>126</v>
      </c>
      <c r="D440" s="246" t="s">
        <v>341</v>
      </c>
      <c r="E440" s="246" t="s">
        <v>342</v>
      </c>
      <c r="F440" s="246"/>
      <c r="G440" s="132" t="s">
        <v>562</v>
      </c>
      <c r="H440" s="132" t="s">
        <v>1272</v>
      </c>
      <c r="I440" s="132">
        <v>-106937.5</v>
      </c>
      <c r="J440" s="101" t="s">
        <v>889</v>
      </c>
      <c r="K440" s="245" t="s">
        <v>390</v>
      </c>
      <c r="L440" s="245">
        <v>42895</v>
      </c>
      <c r="M440" s="245" t="s">
        <v>391</v>
      </c>
      <c r="N440" s="101">
        <v>0</v>
      </c>
      <c r="O440" s="101" t="s">
        <v>392</v>
      </c>
      <c r="P440" s="101">
        <v>0</v>
      </c>
      <c r="Q440" s="101">
        <v>0</v>
      </c>
      <c r="R440" s="101" t="s">
        <v>393</v>
      </c>
      <c r="S440" s="101" t="s">
        <v>829</v>
      </c>
      <c r="T440" s="101" t="s">
        <v>394</v>
      </c>
      <c r="V440" s="245">
        <v>44904</v>
      </c>
      <c r="W440" s="101" t="s">
        <v>535</v>
      </c>
      <c r="X440" s="101" t="s">
        <v>352</v>
      </c>
      <c r="Y440" s="101" t="s">
        <v>471</v>
      </c>
      <c r="Z440" s="101" t="s">
        <v>402</v>
      </c>
      <c r="AA440" s="101" t="s">
        <v>78</v>
      </c>
      <c r="AB440" s="101">
        <v>4101000279</v>
      </c>
      <c r="AC440" s="101" t="s">
        <v>398</v>
      </c>
      <c r="AD440" s="101" t="s">
        <v>403</v>
      </c>
      <c r="AE440" s="101" t="s">
        <v>75</v>
      </c>
      <c r="AF440" s="101" t="s">
        <v>400</v>
      </c>
      <c r="AI440" s="101" t="s">
        <v>760</v>
      </c>
    </row>
    <row r="441" spans="1:35">
      <c r="A441" s="246" t="s">
        <v>113</v>
      </c>
      <c r="B441" s="246" t="s">
        <v>78</v>
      </c>
      <c r="C441" s="246" t="s">
        <v>126</v>
      </c>
      <c r="D441" s="246" t="s">
        <v>339</v>
      </c>
      <c r="E441" s="246" t="s">
        <v>340</v>
      </c>
      <c r="F441" s="246"/>
      <c r="G441" s="132" t="s">
        <v>563</v>
      </c>
      <c r="H441" s="132" t="s">
        <v>1273</v>
      </c>
      <c r="I441" s="132">
        <v>-108125.69</v>
      </c>
      <c r="J441" s="101" t="s">
        <v>889</v>
      </c>
      <c r="K441" s="245" t="s">
        <v>390</v>
      </c>
      <c r="L441" s="245">
        <v>43080</v>
      </c>
      <c r="M441" s="245" t="s">
        <v>391</v>
      </c>
      <c r="N441" s="101">
        <v>0</v>
      </c>
      <c r="O441" s="101" t="s">
        <v>392</v>
      </c>
      <c r="P441" s="101">
        <v>0</v>
      </c>
      <c r="Q441" s="101">
        <v>0</v>
      </c>
      <c r="R441" s="101" t="s">
        <v>393</v>
      </c>
      <c r="S441" s="101" t="s">
        <v>829</v>
      </c>
      <c r="T441" s="101" t="s">
        <v>394</v>
      </c>
      <c r="V441" s="245">
        <v>44904</v>
      </c>
      <c r="W441" s="101" t="s">
        <v>535</v>
      </c>
      <c r="X441" s="101" t="s">
        <v>352</v>
      </c>
      <c r="Y441" s="101" t="s">
        <v>471</v>
      </c>
      <c r="Z441" s="101" t="s">
        <v>402</v>
      </c>
      <c r="AA441" s="101" t="s">
        <v>78</v>
      </c>
      <c r="AB441" s="101">
        <v>4101000279</v>
      </c>
      <c r="AC441" s="101" t="s">
        <v>398</v>
      </c>
      <c r="AD441" s="101" t="s">
        <v>403</v>
      </c>
      <c r="AE441" s="101" t="s">
        <v>75</v>
      </c>
      <c r="AF441" s="101" t="s">
        <v>400</v>
      </c>
      <c r="AI441" s="101" t="s">
        <v>760</v>
      </c>
    </row>
    <row r="442" spans="1:35">
      <c r="A442" s="246" t="s">
        <v>108</v>
      </c>
      <c r="B442" s="246" t="s">
        <v>78</v>
      </c>
      <c r="C442" s="246" t="s">
        <v>126</v>
      </c>
      <c r="D442" s="246" t="s">
        <v>766</v>
      </c>
      <c r="E442" s="246" t="s">
        <v>767</v>
      </c>
      <c r="F442" s="246"/>
      <c r="G442" s="132" t="s">
        <v>564</v>
      </c>
      <c r="H442" s="132" t="s">
        <v>1274</v>
      </c>
      <c r="I442" s="132">
        <v>18100.48</v>
      </c>
      <c r="J442" s="101" t="s">
        <v>889</v>
      </c>
      <c r="K442" s="245" t="s">
        <v>390</v>
      </c>
      <c r="L442" s="245">
        <v>42530</v>
      </c>
      <c r="M442" s="245" t="s">
        <v>391</v>
      </c>
      <c r="N442" s="101">
        <v>0</v>
      </c>
      <c r="O442" s="101" t="s">
        <v>392</v>
      </c>
      <c r="P442" s="101">
        <v>0</v>
      </c>
      <c r="Q442" s="101">
        <v>0</v>
      </c>
      <c r="R442" s="101" t="s">
        <v>393</v>
      </c>
      <c r="S442" s="101" t="s">
        <v>829</v>
      </c>
      <c r="T442" s="101" t="s">
        <v>394</v>
      </c>
      <c r="V442" s="245">
        <v>44904</v>
      </c>
      <c r="W442" s="101" t="s">
        <v>535</v>
      </c>
      <c r="X442" s="101" t="s">
        <v>352</v>
      </c>
      <c r="Y442" s="101" t="s">
        <v>471</v>
      </c>
      <c r="Z442" s="101" t="s">
        <v>402</v>
      </c>
      <c r="AA442" s="101" t="s">
        <v>78</v>
      </c>
      <c r="AB442" s="101">
        <v>4101000279</v>
      </c>
      <c r="AC442" s="101" t="s">
        <v>398</v>
      </c>
      <c r="AD442" s="101" t="s">
        <v>403</v>
      </c>
      <c r="AE442" s="101" t="s">
        <v>75</v>
      </c>
      <c r="AF442" s="101" t="s">
        <v>400</v>
      </c>
      <c r="AI442" s="101" t="s">
        <v>760</v>
      </c>
    </row>
    <row r="443" spans="1:35">
      <c r="A443" s="246" t="s">
        <v>111</v>
      </c>
      <c r="B443" s="246" t="s">
        <v>78</v>
      </c>
      <c r="C443" s="246" t="s">
        <v>126</v>
      </c>
      <c r="D443" s="246" t="s">
        <v>768</v>
      </c>
      <c r="E443" s="246" t="s">
        <v>769</v>
      </c>
      <c r="F443" s="246"/>
      <c r="G443" s="132" t="s">
        <v>1275</v>
      </c>
      <c r="H443" s="132" t="s">
        <v>1276</v>
      </c>
      <c r="I443" s="132">
        <v>25867.86</v>
      </c>
      <c r="J443" s="101" t="s">
        <v>889</v>
      </c>
      <c r="K443" s="245" t="s">
        <v>390</v>
      </c>
      <c r="L443" s="245">
        <v>42713</v>
      </c>
      <c r="M443" s="245" t="s">
        <v>391</v>
      </c>
      <c r="N443" s="101">
        <v>0</v>
      </c>
      <c r="O443" s="101" t="s">
        <v>392</v>
      </c>
      <c r="P443" s="101">
        <v>0</v>
      </c>
      <c r="Q443" s="101">
        <v>0</v>
      </c>
      <c r="R443" s="101" t="s">
        <v>393</v>
      </c>
      <c r="S443" s="101" t="s">
        <v>829</v>
      </c>
      <c r="T443" s="101" t="s">
        <v>394</v>
      </c>
      <c r="V443" s="245">
        <v>44904</v>
      </c>
      <c r="W443" s="101" t="s">
        <v>535</v>
      </c>
      <c r="X443" s="101" t="s">
        <v>352</v>
      </c>
      <c r="Y443" s="101" t="s">
        <v>471</v>
      </c>
      <c r="Z443" s="101" t="s">
        <v>402</v>
      </c>
      <c r="AA443" s="101" t="s">
        <v>78</v>
      </c>
      <c r="AB443" s="101">
        <v>4101000279</v>
      </c>
      <c r="AC443" s="101" t="s">
        <v>398</v>
      </c>
      <c r="AD443" s="101" t="s">
        <v>403</v>
      </c>
      <c r="AE443" s="101" t="s">
        <v>75</v>
      </c>
      <c r="AF443" s="101" t="s">
        <v>400</v>
      </c>
      <c r="AI443" s="101" t="s">
        <v>760</v>
      </c>
    </row>
    <row r="444" spans="1:35">
      <c r="A444" s="246" t="s">
        <v>112</v>
      </c>
      <c r="B444" s="246" t="s">
        <v>78</v>
      </c>
      <c r="C444" s="246" t="s">
        <v>126</v>
      </c>
      <c r="D444" s="246" t="s">
        <v>341</v>
      </c>
      <c r="E444" s="246" t="s">
        <v>342</v>
      </c>
      <c r="F444" s="246"/>
      <c r="G444" s="132" t="s">
        <v>1277</v>
      </c>
      <c r="H444" s="132" t="s">
        <v>1278</v>
      </c>
      <c r="I444" s="132">
        <v>25290.03</v>
      </c>
      <c r="J444" s="101" t="s">
        <v>889</v>
      </c>
      <c r="K444" s="245" t="s">
        <v>390</v>
      </c>
      <c r="L444" s="245">
        <v>42895</v>
      </c>
      <c r="M444" s="245" t="s">
        <v>391</v>
      </c>
      <c r="N444" s="101">
        <v>0</v>
      </c>
      <c r="O444" s="101" t="s">
        <v>392</v>
      </c>
      <c r="P444" s="101">
        <v>0</v>
      </c>
      <c r="Q444" s="101">
        <v>0</v>
      </c>
      <c r="R444" s="101" t="s">
        <v>393</v>
      </c>
      <c r="S444" s="101" t="s">
        <v>829</v>
      </c>
      <c r="T444" s="101" t="s">
        <v>394</v>
      </c>
      <c r="V444" s="245">
        <v>44904</v>
      </c>
      <c r="W444" s="101" t="s">
        <v>535</v>
      </c>
      <c r="X444" s="101" t="s">
        <v>352</v>
      </c>
      <c r="Y444" s="101" t="s">
        <v>471</v>
      </c>
      <c r="Z444" s="101" t="s">
        <v>402</v>
      </c>
      <c r="AA444" s="101" t="s">
        <v>78</v>
      </c>
      <c r="AB444" s="101">
        <v>4101000279</v>
      </c>
      <c r="AC444" s="101" t="s">
        <v>398</v>
      </c>
      <c r="AD444" s="101" t="s">
        <v>403</v>
      </c>
      <c r="AE444" s="101" t="s">
        <v>75</v>
      </c>
      <c r="AF444" s="101" t="s">
        <v>400</v>
      </c>
      <c r="AI444" s="101" t="s">
        <v>760</v>
      </c>
    </row>
    <row r="445" spans="1:35">
      <c r="A445" s="246" t="s">
        <v>113</v>
      </c>
      <c r="B445" s="246" t="s">
        <v>78</v>
      </c>
      <c r="C445" s="246" t="s">
        <v>126</v>
      </c>
      <c r="D445" s="246" t="s">
        <v>339</v>
      </c>
      <c r="E445" s="246" t="s">
        <v>340</v>
      </c>
      <c r="F445" s="246"/>
      <c r="G445" s="132" t="s">
        <v>1279</v>
      </c>
      <c r="H445" s="132" t="s">
        <v>1280</v>
      </c>
      <c r="I445" s="132">
        <v>29551.769999999997</v>
      </c>
      <c r="J445" s="101" t="s">
        <v>889</v>
      </c>
      <c r="K445" s="245" t="s">
        <v>390</v>
      </c>
      <c r="L445" s="245">
        <v>43080</v>
      </c>
      <c r="M445" s="245" t="s">
        <v>391</v>
      </c>
      <c r="N445" s="101">
        <v>0</v>
      </c>
      <c r="O445" s="101" t="s">
        <v>392</v>
      </c>
      <c r="P445" s="101">
        <v>0</v>
      </c>
      <c r="Q445" s="101">
        <v>0</v>
      </c>
      <c r="R445" s="101" t="s">
        <v>393</v>
      </c>
      <c r="S445" s="101" t="s">
        <v>829</v>
      </c>
      <c r="T445" s="101" t="s">
        <v>394</v>
      </c>
      <c r="V445" s="245">
        <v>44904</v>
      </c>
      <c r="W445" s="101" t="s">
        <v>535</v>
      </c>
      <c r="X445" s="101" t="s">
        <v>352</v>
      </c>
      <c r="Y445" s="101" t="s">
        <v>471</v>
      </c>
      <c r="Z445" s="101" t="s">
        <v>402</v>
      </c>
      <c r="AA445" s="101" t="s">
        <v>78</v>
      </c>
      <c r="AB445" s="101">
        <v>4101000279</v>
      </c>
      <c r="AC445" s="101" t="s">
        <v>398</v>
      </c>
      <c r="AD445" s="101" t="s">
        <v>403</v>
      </c>
      <c r="AE445" s="101" t="s">
        <v>75</v>
      </c>
      <c r="AF445" s="101" t="s">
        <v>400</v>
      </c>
      <c r="AI445" s="101" t="s">
        <v>760</v>
      </c>
    </row>
    <row r="446" spans="1:35">
      <c r="A446" s="246" t="s">
        <v>109</v>
      </c>
      <c r="B446" s="246" t="s">
        <v>78</v>
      </c>
      <c r="C446" s="246" t="s">
        <v>126</v>
      </c>
      <c r="D446" s="246" t="s">
        <v>337</v>
      </c>
      <c r="E446" s="246" t="s">
        <v>336</v>
      </c>
      <c r="F446" s="246" t="s">
        <v>275</v>
      </c>
      <c r="G446" s="132" t="s">
        <v>751</v>
      </c>
      <c r="H446" s="132" t="s">
        <v>1281</v>
      </c>
      <c r="I446" s="132">
        <v>-1004.01</v>
      </c>
      <c r="J446" s="101" t="s">
        <v>889</v>
      </c>
      <c r="K446" s="245" t="s">
        <v>390</v>
      </c>
      <c r="L446" s="245">
        <v>42551</v>
      </c>
      <c r="M446" s="245" t="s">
        <v>391</v>
      </c>
      <c r="N446" s="101">
        <v>0</v>
      </c>
      <c r="O446" s="101" t="s">
        <v>392</v>
      </c>
      <c r="P446" s="101">
        <v>0</v>
      </c>
      <c r="Q446" s="101">
        <v>0</v>
      </c>
      <c r="R446" s="101" t="s">
        <v>393</v>
      </c>
      <c r="S446" s="101" t="s">
        <v>752</v>
      </c>
      <c r="T446" s="101" t="s">
        <v>394</v>
      </c>
      <c r="V446" s="245">
        <v>42551</v>
      </c>
      <c r="W446" s="101" t="s">
        <v>417</v>
      </c>
      <c r="X446" s="101" t="s">
        <v>77</v>
      </c>
      <c r="Y446" s="101" t="s">
        <v>396</v>
      </c>
      <c r="Z446" s="101" t="s">
        <v>418</v>
      </c>
      <c r="AA446" s="101" t="s">
        <v>78</v>
      </c>
      <c r="AB446" s="101">
        <v>4101000279</v>
      </c>
      <c r="AC446" s="101" t="s">
        <v>419</v>
      </c>
      <c r="AD446" s="101" t="s">
        <v>420</v>
      </c>
      <c r="AE446" s="101" t="s">
        <v>6</v>
      </c>
      <c r="AF446" s="101" t="s">
        <v>400</v>
      </c>
      <c r="AI446" s="101" t="s">
        <v>760</v>
      </c>
    </row>
    <row r="447" spans="1:35">
      <c r="A447" s="246" t="s">
        <v>109</v>
      </c>
      <c r="B447" s="246" t="s">
        <v>78</v>
      </c>
      <c r="C447" s="246" t="s">
        <v>761</v>
      </c>
      <c r="D447" s="246" t="s">
        <v>335</v>
      </c>
      <c r="E447" s="246" t="s">
        <v>336</v>
      </c>
      <c r="F447" s="246" t="s">
        <v>275</v>
      </c>
      <c r="G447" s="132">
        <v>-625000</v>
      </c>
      <c r="H447" s="132" t="s">
        <v>1282</v>
      </c>
      <c r="I447" s="132">
        <v>-624999.99999999988</v>
      </c>
      <c r="J447" s="101" t="s">
        <v>889</v>
      </c>
      <c r="K447" s="245" t="s">
        <v>390</v>
      </c>
      <c r="L447" s="245">
        <v>42551</v>
      </c>
      <c r="M447" s="245" t="s">
        <v>421</v>
      </c>
      <c r="N447" s="101">
        <v>0</v>
      </c>
      <c r="O447" s="101" t="s">
        <v>392</v>
      </c>
      <c r="P447" s="101">
        <v>0</v>
      </c>
      <c r="Q447" s="101">
        <v>0</v>
      </c>
      <c r="R447" s="101" t="s">
        <v>393</v>
      </c>
      <c r="S447" s="101" t="s">
        <v>752</v>
      </c>
      <c r="T447" s="101" t="s">
        <v>394</v>
      </c>
      <c r="V447" s="245">
        <v>42551</v>
      </c>
      <c r="W447" s="101" t="s">
        <v>417</v>
      </c>
      <c r="X447" s="101" t="s">
        <v>77</v>
      </c>
      <c r="Y447" s="101" t="s">
        <v>396</v>
      </c>
      <c r="Z447" s="101" t="s">
        <v>418</v>
      </c>
      <c r="AA447" s="101" t="s">
        <v>78</v>
      </c>
      <c r="AB447" s="101">
        <v>4101000279</v>
      </c>
      <c r="AC447" s="101" t="s">
        <v>419</v>
      </c>
      <c r="AD447" s="101" t="s">
        <v>420</v>
      </c>
      <c r="AE447" s="101" t="s">
        <v>6</v>
      </c>
      <c r="AF447" s="101" t="s">
        <v>400</v>
      </c>
      <c r="AI447" s="101" t="s">
        <v>760</v>
      </c>
    </row>
    <row r="448" spans="1:35">
      <c r="A448" s="246" t="s">
        <v>113</v>
      </c>
      <c r="B448" s="246" t="s">
        <v>66</v>
      </c>
      <c r="C448" s="246" t="s">
        <v>264</v>
      </c>
      <c r="D448" s="246" t="s">
        <v>285</v>
      </c>
      <c r="E448" s="246"/>
      <c r="F448" s="246"/>
      <c r="G448" s="132" t="s">
        <v>700</v>
      </c>
      <c r="H448" s="132" t="s">
        <v>1283</v>
      </c>
      <c r="I448" s="132">
        <v>8259562.9699999997</v>
      </c>
      <c r="J448" s="101" t="s">
        <v>889</v>
      </c>
      <c r="K448" s="245" t="s">
        <v>390</v>
      </c>
      <c r="L448" s="245">
        <v>43189</v>
      </c>
      <c r="M448" s="245" t="s">
        <v>421</v>
      </c>
      <c r="N448" s="101">
        <v>0</v>
      </c>
      <c r="O448" s="101" t="s">
        <v>392</v>
      </c>
      <c r="P448" s="101">
        <v>0</v>
      </c>
      <c r="Q448" s="101">
        <v>0</v>
      </c>
      <c r="R448" s="101" t="s">
        <v>410</v>
      </c>
      <c r="S448" s="101" t="s">
        <v>568</v>
      </c>
      <c r="T448" s="101" t="s">
        <v>394</v>
      </c>
      <c r="U448" s="101" t="s">
        <v>83</v>
      </c>
      <c r="V448" s="245">
        <v>46371</v>
      </c>
      <c r="W448" s="101" t="s">
        <v>445</v>
      </c>
      <c r="X448" s="101" t="s">
        <v>76</v>
      </c>
      <c r="Y448" s="101" t="s">
        <v>392</v>
      </c>
      <c r="Z448" s="101" t="s">
        <v>412</v>
      </c>
      <c r="AA448" s="101" t="s">
        <v>478</v>
      </c>
      <c r="AB448" s="101">
        <v>3101053970</v>
      </c>
      <c r="AC448" s="101" t="s">
        <v>414</v>
      </c>
      <c r="AD448" s="101" t="s">
        <v>79</v>
      </c>
      <c r="AE448" s="101" t="s">
        <v>75</v>
      </c>
      <c r="AF448" s="101" t="s">
        <v>400</v>
      </c>
      <c r="AI448" s="101" t="s">
        <v>172</v>
      </c>
    </row>
    <row r="449" spans="1:35">
      <c r="A449" s="246" t="s">
        <v>113</v>
      </c>
      <c r="B449" s="246" t="s">
        <v>66</v>
      </c>
      <c r="C449" s="246" t="s">
        <v>126</v>
      </c>
      <c r="D449" s="246" t="s">
        <v>271</v>
      </c>
      <c r="E449" s="246"/>
      <c r="F449" s="246"/>
      <c r="G449" s="132" t="s">
        <v>701</v>
      </c>
      <c r="H449" s="132" t="s">
        <v>1284</v>
      </c>
      <c r="I449" s="132">
        <v>-102559.92</v>
      </c>
      <c r="J449" s="101" t="s">
        <v>889</v>
      </c>
      <c r="K449" s="245" t="s">
        <v>390</v>
      </c>
      <c r="L449" s="245">
        <v>43189</v>
      </c>
      <c r="M449" s="245" t="s">
        <v>391</v>
      </c>
      <c r="N449" s="101">
        <v>0</v>
      </c>
      <c r="O449" s="101" t="s">
        <v>392</v>
      </c>
      <c r="P449" s="101">
        <v>0</v>
      </c>
      <c r="Q449" s="101">
        <v>0</v>
      </c>
      <c r="R449" s="101" t="s">
        <v>422</v>
      </c>
      <c r="S449" s="101" t="s">
        <v>568</v>
      </c>
      <c r="T449" s="101" t="s">
        <v>394</v>
      </c>
      <c r="U449" s="101" t="s">
        <v>83</v>
      </c>
      <c r="V449" s="245">
        <v>46371</v>
      </c>
      <c r="W449" s="101" t="s">
        <v>445</v>
      </c>
      <c r="X449" s="101" t="s">
        <v>76</v>
      </c>
      <c r="Y449" s="101" t="s">
        <v>392</v>
      </c>
      <c r="Z449" s="101" t="s">
        <v>412</v>
      </c>
      <c r="AA449" s="101" t="s">
        <v>478</v>
      </c>
      <c r="AB449" s="101">
        <v>3101053970</v>
      </c>
      <c r="AC449" s="101" t="s">
        <v>414</v>
      </c>
      <c r="AD449" s="101" t="s">
        <v>79</v>
      </c>
      <c r="AE449" s="101" t="s">
        <v>75</v>
      </c>
      <c r="AF449" s="101" t="s">
        <v>400</v>
      </c>
      <c r="AI449" s="101" t="s">
        <v>172</v>
      </c>
    </row>
    <row r="450" spans="1:35">
      <c r="A450" s="246" t="s">
        <v>113</v>
      </c>
      <c r="B450" s="246" t="s">
        <v>66</v>
      </c>
      <c r="C450" s="246" t="s">
        <v>126</v>
      </c>
      <c r="D450" s="246" t="s">
        <v>271</v>
      </c>
      <c r="E450" s="246"/>
      <c r="F450" s="246"/>
      <c r="G450" s="132" t="s">
        <v>880</v>
      </c>
      <c r="H450" s="132" t="s">
        <v>1285</v>
      </c>
      <c r="I450" s="132">
        <v>-130726.94</v>
      </c>
      <c r="J450" s="101" t="s">
        <v>889</v>
      </c>
      <c r="K450" s="245" t="s">
        <v>390</v>
      </c>
      <c r="L450" s="245">
        <v>43220</v>
      </c>
      <c r="M450" s="245" t="s">
        <v>391</v>
      </c>
      <c r="N450" s="101">
        <v>0</v>
      </c>
      <c r="O450" s="101" t="s">
        <v>392</v>
      </c>
      <c r="P450" s="101">
        <v>0</v>
      </c>
      <c r="Q450" s="101">
        <v>0</v>
      </c>
      <c r="R450" s="101" t="s">
        <v>422</v>
      </c>
      <c r="S450" s="101" t="s">
        <v>568</v>
      </c>
      <c r="T450" s="101" t="s">
        <v>394</v>
      </c>
      <c r="U450" s="101" t="s">
        <v>83</v>
      </c>
      <c r="V450" s="245">
        <v>46371</v>
      </c>
      <c r="W450" s="101" t="s">
        <v>445</v>
      </c>
      <c r="X450" s="101" t="s">
        <v>76</v>
      </c>
      <c r="Y450" s="101" t="s">
        <v>392</v>
      </c>
      <c r="Z450" s="101" t="s">
        <v>412</v>
      </c>
      <c r="AA450" s="101" t="s">
        <v>478</v>
      </c>
      <c r="AB450" s="101">
        <v>3101053970</v>
      </c>
      <c r="AC450" s="101" t="s">
        <v>414</v>
      </c>
      <c r="AD450" s="101" t="s">
        <v>79</v>
      </c>
      <c r="AE450" s="101" t="s">
        <v>75</v>
      </c>
      <c r="AF450" s="101" t="s">
        <v>400</v>
      </c>
      <c r="AI450" s="101" t="s">
        <v>172</v>
      </c>
    </row>
    <row r="451" spans="1:35">
      <c r="A451" s="246" t="s">
        <v>113</v>
      </c>
      <c r="B451" s="246" t="s">
        <v>66</v>
      </c>
      <c r="C451" s="246" t="s">
        <v>264</v>
      </c>
      <c r="D451" s="246" t="s">
        <v>285</v>
      </c>
      <c r="E451" s="246"/>
      <c r="F451" s="246"/>
      <c r="G451" s="132" t="s">
        <v>881</v>
      </c>
      <c r="H451" s="132" t="s">
        <v>1286</v>
      </c>
      <c r="I451" s="132">
        <v>8605819.5999999996</v>
      </c>
      <c r="J451" s="101" t="s">
        <v>889</v>
      </c>
      <c r="K451" s="245" t="s">
        <v>390</v>
      </c>
      <c r="L451" s="245">
        <v>43220</v>
      </c>
      <c r="M451" s="245" t="s">
        <v>421</v>
      </c>
      <c r="N451" s="101">
        <v>0</v>
      </c>
      <c r="O451" s="101" t="s">
        <v>392</v>
      </c>
      <c r="P451" s="101">
        <v>0</v>
      </c>
      <c r="Q451" s="101">
        <v>0</v>
      </c>
      <c r="R451" s="101" t="s">
        <v>410</v>
      </c>
      <c r="S451" s="101" t="s">
        <v>568</v>
      </c>
      <c r="T451" s="101" t="s">
        <v>394</v>
      </c>
      <c r="U451" s="101" t="s">
        <v>83</v>
      </c>
      <c r="V451" s="245">
        <v>46371</v>
      </c>
      <c r="W451" s="101" t="s">
        <v>445</v>
      </c>
      <c r="X451" s="101" t="s">
        <v>76</v>
      </c>
      <c r="Y451" s="101" t="s">
        <v>392</v>
      </c>
      <c r="Z451" s="101" t="s">
        <v>412</v>
      </c>
      <c r="AA451" s="101" t="s">
        <v>478</v>
      </c>
      <c r="AB451" s="101">
        <v>3101053970</v>
      </c>
      <c r="AC451" s="101" t="s">
        <v>414</v>
      </c>
      <c r="AD451" s="101" t="s">
        <v>79</v>
      </c>
      <c r="AE451" s="101" t="s">
        <v>75</v>
      </c>
      <c r="AF451" s="101" t="s">
        <v>400</v>
      </c>
      <c r="AI451" s="101" t="s">
        <v>172</v>
      </c>
    </row>
    <row r="452" spans="1:35">
      <c r="A452" s="246" t="s">
        <v>109</v>
      </c>
      <c r="B452" s="246" t="s">
        <v>66</v>
      </c>
      <c r="C452" s="246" t="s">
        <v>126</v>
      </c>
      <c r="D452" s="246" t="s">
        <v>272</v>
      </c>
      <c r="E452" s="246"/>
      <c r="F452" s="246" t="s">
        <v>275</v>
      </c>
      <c r="G452" s="132" t="s">
        <v>851</v>
      </c>
      <c r="H452" s="132" t="s">
        <v>1287</v>
      </c>
      <c r="I452" s="132">
        <v>-19344.169999999998</v>
      </c>
      <c r="J452" s="101" t="s">
        <v>889</v>
      </c>
      <c r="K452" s="245" t="s">
        <v>390</v>
      </c>
      <c r="L452" s="245">
        <v>42551</v>
      </c>
      <c r="M452" s="245" t="s">
        <v>391</v>
      </c>
      <c r="N452" s="101">
        <v>0</v>
      </c>
      <c r="O452" s="101" t="s">
        <v>392</v>
      </c>
      <c r="P452" s="101">
        <v>0</v>
      </c>
      <c r="Q452" s="101">
        <v>0</v>
      </c>
      <c r="R452" s="101" t="s">
        <v>422</v>
      </c>
      <c r="S452" s="101" t="s">
        <v>619</v>
      </c>
      <c r="T452" s="101" t="s">
        <v>394</v>
      </c>
      <c r="U452" s="101" t="s">
        <v>24</v>
      </c>
      <c r="V452" s="245">
        <v>14248</v>
      </c>
      <c r="W452" s="101" t="s">
        <v>411</v>
      </c>
      <c r="X452" s="101" t="s">
        <v>77</v>
      </c>
      <c r="Y452" s="101" t="s">
        <v>392</v>
      </c>
      <c r="Z452" s="101" t="s">
        <v>412</v>
      </c>
      <c r="AA452" s="101" t="s">
        <v>413</v>
      </c>
      <c r="AB452" s="101">
        <v>101000512</v>
      </c>
      <c r="AC452" s="101" t="s">
        <v>414</v>
      </c>
      <c r="AD452" s="101" t="s">
        <v>79</v>
      </c>
      <c r="AE452" s="101" t="s">
        <v>6</v>
      </c>
      <c r="AF452" s="101" t="s">
        <v>400</v>
      </c>
      <c r="AI452" s="101" t="s">
        <v>190</v>
      </c>
    </row>
    <row r="453" spans="1:35">
      <c r="A453" s="246" t="s">
        <v>109</v>
      </c>
      <c r="B453" s="246" t="s">
        <v>66</v>
      </c>
      <c r="C453" s="246" t="s">
        <v>265</v>
      </c>
      <c r="D453" s="246" t="s">
        <v>291</v>
      </c>
      <c r="E453" s="246"/>
      <c r="F453" s="246" t="s">
        <v>275</v>
      </c>
      <c r="G453" s="132" t="s">
        <v>852</v>
      </c>
      <c r="H453" s="132" t="s">
        <v>1288</v>
      </c>
      <c r="I453" s="132">
        <v>-641138.02</v>
      </c>
      <c r="J453" s="101" t="s">
        <v>889</v>
      </c>
      <c r="K453" s="245" t="s">
        <v>390</v>
      </c>
      <c r="L453" s="245">
        <v>42552</v>
      </c>
      <c r="M453" s="245" t="s">
        <v>421</v>
      </c>
      <c r="N453" s="101">
        <v>0</v>
      </c>
      <c r="O453" s="101" t="s">
        <v>392</v>
      </c>
      <c r="P453" s="101">
        <v>0</v>
      </c>
      <c r="Q453" s="101">
        <v>0</v>
      </c>
      <c r="R453" s="101" t="s">
        <v>422</v>
      </c>
      <c r="S453" s="101" t="s">
        <v>619</v>
      </c>
      <c r="T453" s="101" t="s">
        <v>394</v>
      </c>
      <c r="U453" s="101" t="s">
        <v>24</v>
      </c>
      <c r="V453" s="245">
        <v>14248</v>
      </c>
      <c r="W453" s="101" t="s">
        <v>411</v>
      </c>
      <c r="X453" s="101" t="s">
        <v>77</v>
      </c>
      <c r="Y453" s="101" t="s">
        <v>392</v>
      </c>
      <c r="Z453" s="101" t="s">
        <v>412</v>
      </c>
      <c r="AA453" s="101" t="s">
        <v>413</v>
      </c>
      <c r="AB453" s="101">
        <v>101000512</v>
      </c>
      <c r="AC453" s="101" t="s">
        <v>414</v>
      </c>
      <c r="AD453" s="101" t="s">
        <v>79</v>
      </c>
      <c r="AE453" s="101" t="s">
        <v>6</v>
      </c>
      <c r="AF453" s="101" t="s">
        <v>400</v>
      </c>
      <c r="AI453" s="101" t="s">
        <v>190</v>
      </c>
    </row>
    <row r="454" spans="1:35">
      <c r="A454" s="246" t="s">
        <v>111</v>
      </c>
      <c r="B454" s="246" t="s">
        <v>66</v>
      </c>
      <c r="C454" s="246" t="s">
        <v>126</v>
      </c>
      <c r="D454" s="246" t="s">
        <v>273</v>
      </c>
      <c r="E454" s="246"/>
      <c r="F454" s="246" t="s">
        <v>277</v>
      </c>
      <c r="G454" s="132" t="s">
        <v>853</v>
      </c>
      <c r="H454" s="132" t="s">
        <v>1289</v>
      </c>
      <c r="I454" s="132">
        <v>-14274.24</v>
      </c>
      <c r="J454" s="101" t="s">
        <v>889</v>
      </c>
      <c r="K454" s="245" t="s">
        <v>390</v>
      </c>
      <c r="L454" s="245">
        <v>42734</v>
      </c>
      <c r="M454" s="245" t="s">
        <v>391</v>
      </c>
      <c r="N454" s="101">
        <v>0</v>
      </c>
      <c r="O454" s="101" t="s">
        <v>392</v>
      </c>
      <c r="P454" s="101">
        <v>0</v>
      </c>
      <c r="Q454" s="101">
        <v>0</v>
      </c>
      <c r="R454" s="101" t="s">
        <v>422</v>
      </c>
      <c r="S454" s="101" t="s">
        <v>619</v>
      </c>
      <c r="T454" s="101" t="s">
        <v>394</v>
      </c>
      <c r="U454" s="101" t="s">
        <v>24</v>
      </c>
      <c r="V454" s="245">
        <v>14248</v>
      </c>
      <c r="W454" s="101" t="s">
        <v>411</v>
      </c>
      <c r="X454" s="101" t="s">
        <v>77</v>
      </c>
      <c r="Y454" s="101" t="s">
        <v>392</v>
      </c>
      <c r="Z454" s="101" t="s">
        <v>412</v>
      </c>
      <c r="AA454" s="101" t="s">
        <v>413</v>
      </c>
      <c r="AB454" s="101">
        <v>101000512</v>
      </c>
      <c r="AC454" s="101" t="s">
        <v>414</v>
      </c>
      <c r="AD454" s="101" t="s">
        <v>79</v>
      </c>
      <c r="AE454" s="101" t="s">
        <v>6</v>
      </c>
      <c r="AF454" s="101" t="s">
        <v>400</v>
      </c>
      <c r="AI454" s="101" t="s">
        <v>190</v>
      </c>
    </row>
    <row r="455" spans="1:35">
      <c r="A455" s="246" t="s">
        <v>112</v>
      </c>
      <c r="B455" s="246" t="s">
        <v>66</v>
      </c>
      <c r="C455" s="246" t="s">
        <v>126</v>
      </c>
      <c r="D455" s="246" t="s">
        <v>270</v>
      </c>
      <c r="E455" s="246"/>
      <c r="F455" s="246" t="s">
        <v>278</v>
      </c>
      <c r="G455" s="132">
        <v>-14190</v>
      </c>
      <c r="H455" s="132" t="s">
        <v>1290</v>
      </c>
      <c r="I455" s="132">
        <v>-14190</v>
      </c>
      <c r="J455" s="101" t="s">
        <v>889</v>
      </c>
      <c r="K455" s="245" t="s">
        <v>390</v>
      </c>
      <c r="L455" s="245">
        <v>42916</v>
      </c>
      <c r="M455" s="245" t="s">
        <v>391</v>
      </c>
      <c r="N455" s="101">
        <v>0</v>
      </c>
      <c r="O455" s="101" t="s">
        <v>392</v>
      </c>
      <c r="P455" s="101">
        <v>0</v>
      </c>
      <c r="Q455" s="101">
        <v>0</v>
      </c>
      <c r="R455" s="101" t="s">
        <v>422</v>
      </c>
      <c r="S455" s="101" t="s">
        <v>619</v>
      </c>
      <c r="T455" s="101" t="s">
        <v>394</v>
      </c>
      <c r="U455" s="101" t="s">
        <v>24</v>
      </c>
      <c r="V455" s="245">
        <v>14248</v>
      </c>
      <c r="W455" s="101" t="s">
        <v>411</v>
      </c>
      <c r="X455" s="101" t="s">
        <v>77</v>
      </c>
      <c r="Y455" s="101" t="s">
        <v>392</v>
      </c>
      <c r="Z455" s="101" t="s">
        <v>412</v>
      </c>
      <c r="AA455" s="101" t="s">
        <v>413</v>
      </c>
      <c r="AB455" s="101">
        <v>101000512</v>
      </c>
      <c r="AC455" s="101" t="s">
        <v>414</v>
      </c>
      <c r="AD455" s="101" t="s">
        <v>79</v>
      </c>
      <c r="AE455" s="101" t="s">
        <v>6</v>
      </c>
      <c r="AF455" s="101" t="s">
        <v>400</v>
      </c>
      <c r="AI455" s="101" t="s">
        <v>190</v>
      </c>
    </row>
    <row r="456" spans="1:35">
      <c r="A456" s="246" t="s">
        <v>113</v>
      </c>
      <c r="B456" s="246" t="s">
        <v>66</v>
      </c>
      <c r="C456" s="246" t="s">
        <v>126</v>
      </c>
      <c r="D456" s="246" t="s">
        <v>271</v>
      </c>
      <c r="E456" s="246"/>
      <c r="F456" s="246" t="s">
        <v>279</v>
      </c>
      <c r="G456" s="132" t="s">
        <v>620</v>
      </c>
      <c r="H456" s="132" t="s">
        <v>1291</v>
      </c>
      <c r="I456" s="132">
        <v>-14111.169999999998</v>
      </c>
      <c r="J456" s="101" t="s">
        <v>889</v>
      </c>
      <c r="K456" s="245" t="s">
        <v>390</v>
      </c>
      <c r="L456" s="245">
        <v>43098</v>
      </c>
      <c r="M456" s="245" t="s">
        <v>391</v>
      </c>
      <c r="N456" s="101">
        <v>0</v>
      </c>
      <c r="O456" s="101" t="s">
        <v>392</v>
      </c>
      <c r="P456" s="101">
        <v>0</v>
      </c>
      <c r="Q456" s="101">
        <v>0</v>
      </c>
      <c r="R456" s="101" t="s">
        <v>422</v>
      </c>
      <c r="S456" s="101" t="s">
        <v>619</v>
      </c>
      <c r="T456" s="101" t="s">
        <v>394</v>
      </c>
      <c r="U456" s="101" t="s">
        <v>24</v>
      </c>
      <c r="V456" s="245">
        <v>14248</v>
      </c>
      <c r="W456" s="101" t="s">
        <v>411</v>
      </c>
      <c r="X456" s="101" t="s">
        <v>77</v>
      </c>
      <c r="Y456" s="101" t="s">
        <v>392</v>
      </c>
      <c r="Z456" s="101" t="s">
        <v>412</v>
      </c>
      <c r="AA456" s="101" t="s">
        <v>413</v>
      </c>
      <c r="AB456" s="101">
        <v>101000512</v>
      </c>
      <c r="AC456" s="101" t="s">
        <v>414</v>
      </c>
      <c r="AD456" s="101" t="s">
        <v>79</v>
      </c>
      <c r="AE456" s="101" t="s">
        <v>6</v>
      </c>
      <c r="AF456" s="101" t="s">
        <v>400</v>
      </c>
      <c r="AI456" s="101" t="s">
        <v>190</v>
      </c>
    </row>
    <row r="457" spans="1:35">
      <c r="A457" s="246" t="s">
        <v>110</v>
      </c>
      <c r="B457" s="246" t="s">
        <v>78</v>
      </c>
      <c r="C457" s="246" t="s">
        <v>126</v>
      </c>
      <c r="D457" s="246" t="s">
        <v>770</v>
      </c>
      <c r="E457" s="246" t="s">
        <v>771</v>
      </c>
      <c r="F457" s="246" t="s">
        <v>276</v>
      </c>
      <c r="G457" s="132" t="s">
        <v>806</v>
      </c>
      <c r="H457" s="132" t="s">
        <v>1292</v>
      </c>
      <c r="I457" s="132">
        <v>340.28000000000003</v>
      </c>
      <c r="J457" s="101" t="s">
        <v>889</v>
      </c>
      <c r="K457" s="245" t="s">
        <v>390</v>
      </c>
      <c r="L457" s="245">
        <v>42613</v>
      </c>
      <c r="M457" s="245" t="s">
        <v>391</v>
      </c>
      <c r="N457" s="101">
        <v>0</v>
      </c>
      <c r="O457" s="101" t="s">
        <v>392</v>
      </c>
      <c r="P457" s="101">
        <v>0</v>
      </c>
      <c r="Q457" s="101">
        <v>0</v>
      </c>
      <c r="R457" s="101" t="s">
        <v>393</v>
      </c>
      <c r="S457" s="101" t="s">
        <v>807</v>
      </c>
      <c r="T457" s="101" t="s">
        <v>394</v>
      </c>
      <c r="V457" s="245">
        <v>14124</v>
      </c>
      <c r="W457" s="101" t="s">
        <v>395</v>
      </c>
      <c r="X457" s="101" t="s">
        <v>795</v>
      </c>
      <c r="Y457" s="101" t="s">
        <v>396</v>
      </c>
      <c r="Z457" s="101" t="s">
        <v>402</v>
      </c>
      <c r="AA457" s="101" t="s">
        <v>78</v>
      </c>
      <c r="AB457" s="101">
        <v>4101000279</v>
      </c>
      <c r="AC457" s="101" t="s">
        <v>398</v>
      </c>
      <c r="AD457" s="101" t="s">
        <v>403</v>
      </c>
      <c r="AE457" s="101" t="s">
        <v>6</v>
      </c>
      <c r="AF457" s="101" t="s">
        <v>400</v>
      </c>
      <c r="AI457" s="101" t="s">
        <v>760</v>
      </c>
    </row>
    <row r="458" spans="1:35">
      <c r="A458" s="246" t="s">
        <v>110</v>
      </c>
      <c r="B458" s="246" t="s">
        <v>78</v>
      </c>
      <c r="C458" s="246" t="s">
        <v>126</v>
      </c>
      <c r="D458" s="246" t="s">
        <v>770</v>
      </c>
      <c r="E458" s="246" t="s">
        <v>771</v>
      </c>
      <c r="F458" s="246" t="s">
        <v>276</v>
      </c>
      <c r="G458" s="132" t="s">
        <v>808</v>
      </c>
      <c r="H458" s="132" t="s">
        <v>1293</v>
      </c>
      <c r="I458" s="132">
        <v>9980.9699999999993</v>
      </c>
      <c r="J458" s="101" t="s">
        <v>889</v>
      </c>
      <c r="K458" s="245" t="s">
        <v>390</v>
      </c>
      <c r="L458" s="245">
        <v>42613</v>
      </c>
      <c r="M458" s="245" t="s">
        <v>391</v>
      </c>
      <c r="N458" s="101">
        <v>0</v>
      </c>
      <c r="O458" s="101" t="s">
        <v>392</v>
      </c>
      <c r="P458" s="101">
        <v>0</v>
      </c>
      <c r="Q458" s="101">
        <v>0</v>
      </c>
      <c r="R458" s="101" t="s">
        <v>393</v>
      </c>
      <c r="S458" s="101" t="s">
        <v>807</v>
      </c>
      <c r="T458" s="101" t="s">
        <v>394</v>
      </c>
      <c r="V458" s="245">
        <v>14124</v>
      </c>
      <c r="W458" s="101" t="s">
        <v>395</v>
      </c>
      <c r="X458" s="101" t="s">
        <v>795</v>
      </c>
      <c r="Y458" s="101" t="s">
        <v>396</v>
      </c>
      <c r="Z458" s="101" t="s">
        <v>402</v>
      </c>
      <c r="AA458" s="101" t="s">
        <v>78</v>
      </c>
      <c r="AB458" s="101">
        <v>4101000279</v>
      </c>
      <c r="AC458" s="101" t="s">
        <v>398</v>
      </c>
      <c r="AD458" s="101" t="s">
        <v>403</v>
      </c>
      <c r="AE458" s="101" t="s">
        <v>6</v>
      </c>
      <c r="AF458" s="101" t="s">
        <v>400</v>
      </c>
      <c r="AI458" s="101" t="s">
        <v>760</v>
      </c>
    </row>
    <row r="459" spans="1:35">
      <c r="A459" s="246" t="s">
        <v>110</v>
      </c>
      <c r="B459" s="246" t="s">
        <v>78</v>
      </c>
      <c r="C459" s="246" t="s">
        <v>126</v>
      </c>
      <c r="D459" s="246" t="s">
        <v>770</v>
      </c>
      <c r="E459" s="246" t="s">
        <v>771</v>
      </c>
      <c r="F459" s="246" t="s">
        <v>276</v>
      </c>
      <c r="G459" s="132" t="s">
        <v>809</v>
      </c>
      <c r="H459" s="132" t="s">
        <v>1294</v>
      </c>
      <c r="I459" s="132">
        <v>1725.19</v>
      </c>
      <c r="J459" s="101" t="s">
        <v>889</v>
      </c>
      <c r="K459" s="245" t="s">
        <v>390</v>
      </c>
      <c r="L459" s="245">
        <v>42613</v>
      </c>
      <c r="M459" s="245" t="s">
        <v>391</v>
      </c>
      <c r="N459" s="101">
        <v>0</v>
      </c>
      <c r="O459" s="101" t="s">
        <v>392</v>
      </c>
      <c r="P459" s="101">
        <v>0</v>
      </c>
      <c r="Q459" s="101">
        <v>0</v>
      </c>
      <c r="R459" s="101" t="s">
        <v>393</v>
      </c>
      <c r="S459" s="101" t="s">
        <v>807</v>
      </c>
      <c r="T459" s="101" t="s">
        <v>394</v>
      </c>
      <c r="V459" s="245">
        <v>14124</v>
      </c>
      <c r="W459" s="101" t="s">
        <v>395</v>
      </c>
      <c r="X459" s="101" t="s">
        <v>795</v>
      </c>
      <c r="Y459" s="101" t="s">
        <v>396</v>
      </c>
      <c r="Z459" s="101" t="s">
        <v>402</v>
      </c>
      <c r="AA459" s="101" t="s">
        <v>78</v>
      </c>
      <c r="AB459" s="101">
        <v>4101000279</v>
      </c>
      <c r="AC459" s="101" t="s">
        <v>398</v>
      </c>
      <c r="AD459" s="101" t="s">
        <v>403</v>
      </c>
      <c r="AE459" s="101" t="s">
        <v>6</v>
      </c>
      <c r="AF459" s="101" t="s">
        <v>400</v>
      </c>
      <c r="AI459" s="101" t="s">
        <v>760</v>
      </c>
    </row>
    <row r="460" spans="1:35">
      <c r="A460" s="246" t="s">
        <v>107</v>
      </c>
      <c r="B460" s="246" t="s">
        <v>66</v>
      </c>
      <c r="C460" s="246" t="s">
        <v>126</v>
      </c>
      <c r="D460" s="246" t="s">
        <v>1769</v>
      </c>
      <c r="E460" s="246"/>
      <c r="F460" s="246"/>
      <c r="G460" s="132" t="s">
        <v>569</v>
      </c>
      <c r="H460" s="132" t="s">
        <v>1295</v>
      </c>
      <c r="I460" s="132">
        <v>-153152.18</v>
      </c>
      <c r="J460" s="101" t="s">
        <v>889</v>
      </c>
      <c r="K460" s="245" t="s">
        <v>390</v>
      </c>
      <c r="L460" s="245">
        <v>42521</v>
      </c>
      <c r="M460" s="245" t="s">
        <v>391</v>
      </c>
      <c r="N460" s="101">
        <v>0</v>
      </c>
      <c r="O460" s="101" t="s">
        <v>392</v>
      </c>
      <c r="P460" s="101">
        <v>0</v>
      </c>
      <c r="Q460" s="101">
        <v>0</v>
      </c>
      <c r="R460" s="101" t="s">
        <v>422</v>
      </c>
      <c r="S460" s="101" t="s">
        <v>568</v>
      </c>
      <c r="T460" s="101" t="s">
        <v>394</v>
      </c>
      <c r="U460" s="101" t="s">
        <v>83</v>
      </c>
      <c r="V460" s="245">
        <v>46371</v>
      </c>
      <c r="W460" s="101" t="s">
        <v>445</v>
      </c>
      <c r="X460" s="101" t="s">
        <v>76</v>
      </c>
      <c r="Y460" s="101" t="s">
        <v>392</v>
      </c>
      <c r="Z460" s="101" t="s">
        <v>412</v>
      </c>
      <c r="AA460" s="101" t="s">
        <v>478</v>
      </c>
      <c r="AB460" s="101">
        <v>3101053970</v>
      </c>
      <c r="AC460" s="101" t="s">
        <v>414</v>
      </c>
      <c r="AD460" s="101" t="s">
        <v>79</v>
      </c>
      <c r="AE460" s="101" t="s">
        <v>75</v>
      </c>
      <c r="AF460" s="101" t="s">
        <v>400</v>
      </c>
      <c r="AI460" s="101" t="s">
        <v>172</v>
      </c>
    </row>
    <row r="461" spans="1:35">
      <c r="A461" s="246" t="s">
        <v>107</v>
      </c>
      <c r="B461" s="246" t="s">
        <v>66</v>
      </c>
      <c r="C461" s="246" t="s">
        <v>264</v>
      </c>
      <c r="D461" s="246" t="s">
        <v>1775</v>
      </c>
      <c r="E461" s="246"/>
      <c r="F461" s="246"/>
      <c r="G461" s="132" t="s">
        <v>570</v>
      </c>
      <c r="H461" s="132" t="s">
        <v>1296</v>
      </c>
      <c r="I461" s="132">
        <v>5005786.6899999995</v>
      </c>
      <c r="J461" s="101" t="s">
        <v>889</v>
      </c>
      <c r="K461" s="245" t="s">
        <v>390</v>
      </c>
      <c r="L461" s="245">
        <v>42521</v>
      </c>
      <c r="M461" s="245" t="s">
        <v>421</v>
      </c>
      <c r="N461" s="101">
        <v>0</v>
      </c>
      <c r="O461" s="101" t="s">
        <v>392</v>
      </c>
      <c r="P461" s="101">
        <v>0</v>
      </c>
      <c r="Q461" s="101">
        <v>0</v>
      </c>
      <c r="R461" s="101" t="s">
        <v>410</v>
      </c>
      <c r="S461" s="101" t="s">
        <v>568</v>
      </c>
      <c r="T461" s="101" t="s">
        <v>394</v>
      </c>
      <c r="U461" s="101" t="s">
        <v>83</v>
      </c>
      <c r="V461" s="245">
        <v>46371</v>
      </c>
      <c r="W461" s="101" t="s">
        <v>445</v>
      </c>
      <c r="X461" s="101" t="s">
        <v>76</v>
      </c>
      <c r="Y461" s="101" t="s">
        <v>392</v>
      </c>
      <c r="Z461" s="101" t="s">
        <v>412</v>
      </c>
      <c r="AA461" s="101" t="s">
        <v>478</v>
      </c>
      <c r="AB461" s="101">
        <v>3101053970</v>
      </c>
      <c r="AC461" s="101" t="s">
        <v>414</v>
      </c>
      <c r="AD461" s="101" t="s">
        <v>79</v>
      </c>
      <c r="AE461" s="101" t="s">
        <v>75</v>
      </c>
      <c r="AF461" s="101" t="s">
        <v>400</v>
      </c>
      <c r="AI461" s="101" t="s">
        <v>172</v>
      </c>
    </row>
    <row r="462" spans="1:35">
      <c r="A462" s="246" t="s">
        <v>109</v>
      </c>
      <c r="B462" s="246" t="s">
        <v>66</v>
      </c>
      <c r="C462" s="246" t="s">
        <v>126</v>
      </c>
      <c r="D462" s="246" t="s">
        <v>272</v>
      </c>
      <c r="E462" s="246"/>
      <c r="F462" s="246"/>
      <c r="G462" s="132" t="s">
        <v>571</v>
      </c>
      <c r="H462" s="132" t="s">
        <v>1297</v>
      </c>
      <c r="I462" s="132">
        <v>-167869.76</v>
      </c>
      <c r="J462" s="101" t="s">
        <v>889</v>
      </c>
      <c r="K462" s="245" t="s">
        <v>390</v>
      </c>
      <c r="L462" s="245">
        <v>42551</v>
      </c>
      <c r="M462" s="245" t="s">
        <v>391</v>
      </c>
      <c r="N462" s="101">
        <v>0</v>
      </c>
      <c r="O462" s="101" t="s">
        <v>392</v>
      </c>
      <c r="P462" s="101">
        <v>0</v>
      </c>
      <c r="Q462" s="101">
        <v>0</v>
      </c>
      <c r="R462" s="101" t="s">
        <v>422</v>
      </c>
      <c r="S462" s="101" t="s">
        <v>568</v>
      </c>
      <c r="T462" s="101" t="s">
        <v>394</v>
      </c>
      <c r="U462" s="101" t="s">
        <v>83</v>
      </c>
      <c r="V462" s="245">
        <v>46371</v>
      </c>
      <c r="W462" s="101" t="s">
        <v>445</v>
      </c>
      <c r="X462" s="101" t="s">
        <v>76</v>
      </c>
      <c r="Y462" s="101" t="s">
        <v>392</v>
      </c>
      <c r="Z462" s="101" t="s">
        <v>412</v>
      </c>
      <c r="AA462" s="101" t="s">
        <v>478</v>
      </c>
      <c r="AB462" s="101">
        <v>3101053970</v>
      </c>
      <c r="AC462" s="101" t="s">
        <v>414</v>
      </c>
      <c r="AD462" s="101" t="s">
        <v>79</v>
      </c>
      <c r="AE462" s="101" t="s">
        <v>75</v>
      </c>
      <c r="AF462" s="101" t="s">
        <v>400</v>
      </c>
      <c r="AI462" s="101" t="s">
        <v>172</v>
      </c>
    </row>
    <row r="463" spans="1:35">
      <c r="A463" s="246" t="s">
        <v>109</v>
      </c>
      <c r="B463" s="246" t="s">
        <v>66</v>
      </c>
      <c r="C463" s="246" t="s">
        <v>264</v>
      </c>
      <c r="D463" s="246" t="s">
        <v>288</v>
      </c>
      <c r="E463" s="246"/>
      <c r="F463" s="246"/>
      <c r="G463" s="132">
        <v>3804725</v>
      </c>
      <c r="H463" s="132" t="s">
        <v>1298</v>
      </c>
      <c r="I463" s="132">
        <v>3804725</v>
      </c>
      <c r="J463" s="101" t="s">
        <v>889</v>
      </c>
      <c r="K463" s="245" t="s">
        <v>390</v>
      </c>
      <c r="L463" s="245">
        <v>42551</v>
      </c>
      <c r="M463" s="245" t="s">
        <v>421</v>
      </c>
      <c r="N463" s="101">
        <v>0</v>
      </c>
      <c r="O463" s="101" t="s">
        <v>392</v>
      </c>
      <c r="P463" s="101">
        <v>0</v>
      </c>
      <c r="Q463" s="101">
        <v>0</v>
      </c>
      <c r="R463" s="101" t="s">
        <v>410</v>
      </c>
      <c r="S463" s="101" t="s">
        <v>568</v>
      </c>
      <c r="T463" s="101" t="s">
        <v>394</v>
      </c>
      <c r="U463" s="101" t="s">
        <v>83</v>
      </c>
      <c r="V463" s="245">
        <v>46371</v>
      </c>
      <c r="W463" s="101" t="s">
        <v>445</v>
      </c>
      <c r="X463" s="101" t="s">
        <v>76</v>
      </c>
      <c r="Y463" s="101" t="s">
        <v>392</v>
      </c>
      <c r="Z463" s="101" t="s">
        <v>412</v>
      </c>
      <c r="AA463" s="101" t="s">
        <v>478</v>
      </c>
      <c r="AB463" s="101">
        <v>3101053970</v>
      </c>
      <c r="AC463" s="101" t="s">
        <v>414</v>
      </c>
      <c r="AD463" s="101" t="s">
        <v>79</v>
      </c>
      <c r="AE463" s="101" t="s">
        <v>75</v>
      </c>
      <c r="AF463" s="101" t="s">
        <v>400</v>
      </c>
      <c r="AI463" s="101" t="s">
        <v>172</v>
      </c>
    </row>
    <row r="464" spans="1:35">
      <c r="A464" s="246" t="s">
        <v>109</v>
      </c>
      <c r="B464" s="246" t="s">
        <v>66</v>
      </c>
      <c r="C464" s="246" t="s">
        <v>264</v>
      </c>
      <c r="D464" s="246" t="s">
        <v>288</v>
      </c>
      <c r="E464" s="246"/>
      <c r="F464" s="246"/>
      <c r="G464" s="132" t="s">
        <v>572</v>
      </c>
      <c r="H464" s="132" t="s">
        <v>1299</v>
      </c>
      <c r="I464" s="132">
        <v>3778542.94</v>
      </c>
      <c r="J464" s="101" t="s">
        <v>889</v>
      </c>
      <c r="K464" s="245" t="s">
        <v>390</v>
      </c>
      <c r="L464" s="245">
        <v>42580</v>
      </c>
      <c r="M464" s="245" t="s">
        <v>421</v>
      </c>
      <c r="N464" s="101">
        <v>0</v>
      </c>
      <c r="O464" s="101" t="s">
        <v>392</v>
      </c>
      <c r="P464" s="101">
        <v>0</v>
      </c>
      <c r="Q464" s="101">
        <v>0</v>
      </c>
      <c r="R464" s="101" t="s">
        <v>410</v>
      </c>
      <c r="S464" s="101" t="s">
        <v>568</v>
      </c>
      <c r="T464" s="101" t="s">
        <v>394</v>
      </c>
      <c r="U464" s="101" t="s">
        <v>83</v>
      </c>
      <c r="V464" s="245">
        <v>46371</v>
      </c>
      <c r="W464" s="101" t="s">
        <v>445</v>
      </c>
      <c r="X464" s="101" t="s">
        <v>76</v>
      </c>
      <c r="Y464" s="101" t="s">
        <v>392</v>
      </c>
      <c r="Z464" s="101" t="s">
        <v>412</v>
      </c>
      <c r="AA464" s="101" t="s">
        <v>478</v>
      </c>
      <c r="AB464" s="101">
        <v>3101053970</v>
      </c>
      <c r="AC464" s="101" t="s">
        <v>414</v>
      </c>
      <c r="AD464" s="101" t="s">
        <v>79</v>
      </c>
      <c r="AE464" s="101" t="s">
        <v>75</v>
      </c>
      <c r="AF464" s="101" t="s">
        <v>400</v>
      </c>
      <c r="AI464" s="101" t="s">
        <v>172</v>
      </c>
    </row>
    <row r="465" spans="1:35">
      <c r="A465" s="246" t="s">
        <v>109</v>
      </c>
      <c r="B465" s="246" t="s">
        <v>66</v>
      </c>
      <c r="C465" s="246" t="s">
        <v>126</v>
      </c>
      <c r="D465" s="246" t="s">
        <v>272</v>
      </c>
      <c r="E465" s="246"/>
      <c r="F465" s="246"/>
      <c r="G465" s="132" t="s">
        <v>573</v>
      </c>
      <c r="H465" s="132" t="s">
        <v>1300</v>
      </c>
      <c r="I465" s="132">
        <v>-189894.04</v>
      </c>
      <c r="J465" s="101" t="s">
        <v>889</v>
      </c>
      <c r="K465" s="245" t="s">
        <v>390</v>
      </c>
      <c r="L465" s="245">
        <v>42580</v>
      </c>
      <c r="M465" s="245" t="s">
        <v>391</v>
      </c>
      <c r="N465" s="101">
        <v>0</v>
      </c>
      <c r="O465" s="101" t="s">
        <v>392</v>
      </c>
      <c r="P465" s="101">
        <v>0</v>
      </c>
      <c r="Q465" s="101">
        <v>0</v>
      </c>
      <c r="R465" s="101" t="s">
        <v>422</v>
      </c>
      <c r="S465" s="101" t="s">
        <v>568</v>
      </c>
      <c r="T465" s="101" t="s">
        <v>394</v>
      </c>
      <c r="U465" s="101" t="s">
        <v>83</v>
      </c>
      <c r="V465" s="245">
        <v>46371</v>
      </c>
      <c r="W465" s="101" t="s">
        <v>445</v>
      </c>
      <c r="X465" s="101" t="s">
        <v>76</v>
      </c>
      <c r="Y465" s="101" t="s">
        <v>392</v>
      </c>
      <c r="Z465" s="101" t="s">
        <v>412</v>
      </c>
      <c r="AA465" s="101" t="s">
        <v>478</v>
      </c>
      <c r="AB465" s="101">
        <v>3101053970</v>
      </c>
      <c r="AC465" s="101" t="s">
        <v>414</v>
      </c>
      <c r="AD465" s="101" t="s">
        <v>79</v>
      </c>
      <c r="AE465" s="101" t="s">
        <v>75</v>
      </c>
      <c r="AF465" s="101" t="s">
        <v>400</v>
      </c>
      <c r="AI465" s="101" t="s">
        <v>172</v>
      </c>
    </row>
    <row r="466" spans="1:35">
      <c r="A466" s="246" t="s">
        <v>110</v>
      </c>
      <c r="B466" s="246" t="s">
        <v>66</v>
      </c>
      <c r="C466" s="246" t="s">
        <v>126</v>
      </c>
      <c r="D466" s="246" t="s">
        <v>281</v>
      </c>
      <c r="E466" s="246"/>
      <c r="F466" s="246"/>
      <c r="G466" s="132" t="s">
        <v>574</v>
      </c>
      <c r="H466" s="132" t="s">
        <v>1301</v>
      </c>
      <c r="I466" s="132">
        <v>-204237.94</v>
      </c>
      <c r="J466" s="101" t="s">
        <v>889</v>
      </c>
      <c r="K466" s="245" t="s">
        <v>390</v>
      </c>
      <c r="L466" s="245">
        <v>42613</v>
      </c>
      <c r="M466" s="245" t="s">
        <v>391</v>
      </c>
      <c r="N466" s="101">
        <v>0</v>
      </c>
      <c r="O466" s="101" t="s">
        <v>392</v>
      </c>
      <c r="P466" s="101">
        <v>0</v>
      </c>
      <c r="Q466" s="101">
        <v>0</v>
      </c>
      <c r="R466" s="101" t="s">
        <v>422</v>
      </c>
      <c r="S466" s="101" t="s">
        <v>568</v>
      </c>
      <c r="T466" s="101" t="s">
        <v>394</v>
      </c>
      <c r="U466" s="101" t="s">
        <v>83</v>
      </c>
      <c r="V466" s="245">
        <v>46371</v>
      </c>
      <c r="W466" s="101" t="s">
        <v>445</v>
      </c>
      <c r="X466" s="101" t="s">
        <v>76</v>
      </c>
      <c r="Y466" s="101" t="s">
        <v>392</v>
      </c>
      <c r="Z466" s="101" t="s">
        <v>412</v>
      </c>
      <c r="AA466" s="101" t="s">
        <v>478</v>
      </c>
      <c r="AB466" s="101">
        <v>3101053970</v>
      </c>
      <c r="AC466" s="101" t="s">
        <v>414</v>
      </c>
      <c r="AD466" s="101" t="s">
        <v>79</v>
      </c>
      <c r="AE466" s="101" t="s">
        <v>75</v>
      </c>
      <c r="AF466" s="101" t="s">
        <v>400</v>
      </c>
      <c r="AI466" s="101" t="s">
        <v>172</v>
      </c>
    </row>
    <row r="467" spans="1:35">
      <c r="A467" s="246" t="s">
        <v>110</v>
      </c>
      <c r="B467" s="246" t="s">
        <v>66</v>
      </c>
      <c r="C467" s="246" t="s">
        <v>264</v>
      </c>
      <c r="D467" s="246" t="s">
        <v>289</v>
      </c>
      <c r="E467" s="246"/>
      <c r="F467" s="246"/>
      <c r="G467" s="132" t="s">
        <v>575</v>
      </c>
      <c r="H467" s="132" t="s">
        <v>1302</v>
      </c>
      <c r="I467" s="132">
        <v>4062574.94</v>
      </c>
      <c r="J467" s="101" t="s">
        <v>889</v>
      </c>
      <c r="K467" s="245" t="s">
        <v>390</v>
      </c>
      <c r="L467" s="245">
        <v>42613</v>
      </c>
      <c r="M467" s="245" t="s">
        <v>421</v>
      </c>
      <c r="N467" s="101">
        <v>0</v>
      </c>
      <c r="O467" s="101" t="s">
        <v>392</v>
      </c>
      <c r="P467" s="101">
        <v>0</v>
      </c>
      <c r="Q467" s="101">
        <v>0</v>
      </c>
      <c r="R467" s="101" t="s">
        <v>410</v>
      </c>
      <c r="S467" s="101" t="s">
        <v>568</v>
      </c>
      <c r="T467" s="101" t="s">
        <v>394</v>
      </c>
      <c r="U467" s="101" t="s">
        <v>83</v>
      </c>
      <c r="V467" s="245">
        <v>46371</v>
      </c>
      <c r="W467" s="101" t="s">
        <v>445</v>
      </c>
      <c r="X467" s="101" t="s">
        <v>76</v>
      </c>
      <c r="Y467" s="101" t="s">
        <v>392</v>
      </c>
      <c r="Z467" s="101" t="s">
        <v>412</v>
      </c>
      <c r="AA467" s="101" t="s">
        <v>478</v>
      </c>
      <c r="AB467" s="101">
        <v>3101053970</v>
      </c>
      <c r="AC467" s="101" t="s">
        <v>414</v>
      </c>
      <c r="AD467" s="101" t="s">
        <v>79</v>
      </c>
      <c r="AE467" s="101" t="s">
        <v>75</v>
      </c>
      <c r="AF467" s="101" t="s">
        <v>400</v>
      </c>
      <c r="AI467" s="101" t="s">
        <v>172</v>
      </c>
    </row>
    <row r="468" spans="1:35">
      <c r="A468" s="246" t="s">
        <v>110</v>
      </c>
      <c r="B468" s="246" t="s">
        <v>66</v>
      </c>
      <c r="C468" s="246" t="s">
        <v>126</v>
      </c>
      <c r="D468" s="246" t="s">
        <v>281</v>
      </c>
      <c r="E468" s="246"/>
      <c r="F468" s="246"/>
      <c r="G468" s="132" t="s">
        <v>576</v>
      </c>
      <c r="H468" s="132" t="s">
        <v>1303</v>
      </c>
      <c r="I468" s="132">
        <v>-213603.56</v>
      </c>
      <c r="J468" s="101" t="s">
        <v>889</v>
      </c>
      <c r="K468" s="245" t="s">
        <v>390</v>
      </c>
      <c r="L468" s="245">
        <v>42643</v>
      </c>
      <c r="M468" s="245" t="s">
        <v>391</v>
      </c>
      <c r="N468" s="101">
        <v>0</v>
      </c>
      <c r="O468" s="101" t="s">
        <v>392</v>
      </c>
      <c r="P468" s="101">
        <v>0</v>
      </c>
      <c r="Q468" s="101">
        <v>0</v>
      </c>
      <c r="R468" s="101" t="s">
        <v>422</v>
      </c>
      <c r="S468" s="101" t="s">
        <v>568</v>
      </c>
      <c r="T468" s="101" t="s">
        <v>394</v>
      </c>
      <c r="U468" s="101" t="s">
        <v>83</v>
      </c>
      <c r="V468" s="245">
        <v>46371</v>
      </c>
      <c r="W468" s="101" t="s">
        <v>445</v>
      </c>
      <c r="X468" s="101" t="s">
        <v>76</v>
      </c>
      <c r="Y468" s="101" t="s">
        <v>392</v>
      </c>
      <c r="Z468" s="101" t="s">
        <v>412</v>
      </c>
      <c r="AA468" s="101" t="s">
        <v>478</v>
      </c>
      <c r="AB468" s="101">
        <v>3101053970</v>
      </c>
      <c r="AC468" s="101" t="s">
        <v>414</v>
      </c>
      <c r="AD468" s="101" t="s">
        <v>79</v>
      </c>
      <c r="AE468" s="101" t="s">
        <v>75</v>
      </c>
      <c r="AF468" s="101" t="s">
        <v>400</v>
      </c>
      <c r="AI468" s="101" t="s">
        <v>172</v>
      </c>
    </row>
    <row r="469" spans="1:35">
      <c r="A469" s="246" t="s">
        <v>110</v>
      </c>
      <c r="B469" s="246" t="s">
        <v>66</v>
      </c>
      <c r="C469" s="246" t="s">
        <v>264</v>
      </c>
      <c r="D469" s="246" t="s">
        <v>289</v>
      </c>
      <c r="E469" s="246"/>
      <c r="F469" s="246"/>
      <c r="G469" s="132" t="s">
        <v>577</v>
      </c>
      <c r="H469" s="132" t="s">
        <v>1304</v>
      </c>
      <c r="I469" s="132">
        <v>4118115.57</v>
      </c>
      <c r="J469" s="101" t="s">
        <v>889</v>
      </c>
      <c r="K469" s="245" t="s">
        <v>390</v>
      </c>
      <c r="L469" s="245">
        <v>42643</v>
      </c>
      <c r="M469" s="245" t="s">
        <v>421</v>
      </c>
      <c r="N469" s="101">
        <v>0</v>
      </c>
      <c r="O469" s="101" t="s">
        <v>392</v>
      </c>
      <c r="P469" s="101">
        <v>0</v>
      </c>
      <c r="Q469" s="101">
        <v>0</v>
      </c>
      <c r="R469" s="101" t="s">
        <v>410</v>
      </c>
      <c r="S469" s="101" t="s">
        <v>568</v>
      </c>
      <c r="T469" s="101" t="s">
        <v>394</v>
      </c>
      <c r="U469" s="101" t="s">
        <v>83</v>
      </c>
      <c r="V469" s="245">
        <v>46371</v>
      </c>
      <c r="W469" s="101" t="s">
        <v>445</v>
      </c>
      <c r="X469" s="101" t="s">
        <v>76</v>
      </c>
      <c r="Y469" s="101" t="s">
        <v>392</v>
      </c>
      <c r="Z469" s="101" t="s">
        <v>412</v>
      </c>
      <c r="AA469" s="101" t="s">
        <v>478</v>
      </c>
      <c r="AB469" s="101">
        <v>3101053970</v>
      </c>
      <c r="AC469" s="101" t="s">
        <v>414</v>
      </c>
      <c r="AD469" s="101" t="s">
        <v>79</v>
      </c>
      <c r="AE469" s="101" t="s">
        <v>75</v>
      </c>
      <c r="AF469" s="101" t="s">
        <v>400</v>
      </c>
      <c r="AI469" s="101" t="s">
        <v>172</v>
      </c>
    </row>
    <row r="470" spans="1:35">
      <c r="A470" s="246" t="s">
        <v>101</v>
      </c>
      <c r="B470" s="246" t="s">
        <v>66</v>
      </c>
      <c r="C470" s="246" t="s">
        <v>126</v>
      </c>
      <c r="D470" s="246" t="s">
        <v>282</v>
      </c>
      <c r="E470" s="246"/>
      <c r="F470" s="246" t="s">
        <v>312</v>
      </c>
      <c r="G470" s="132">
        <v>0</v>
      </c>
      <c r="H470" s="132">
        <v>0</v>
      </c>
      <c r="I470" s="132">
        <v>0</v>
      </c>
      <c r="J470" s="101" t="s">
        <v>889</v>
      </c>
      <c r="K470" s="245" t="s">
        <v>390</v>
      </c>
      <c r="L470" s="245">
        <v>42501</v>
      </c>
      <c r="M470" s="245" t="s">
        <v>391</v>
      </c>
      <c r="N470" s="101">
        <v>0</v>
      </c>
      <c r="O470" s="101" t="s">
        <v>392</v>
      </c>
      <c r="P470" s="101">
        <v>0</v>
      </c>
      <c r="Q470" s="101">
        <v>0</v>
      </c>
      <c r="R470" s="101" t="s">
        <v>393</v>
      </c>
      <c r="S470" s="101" t="s">
        <v>545</v>
      </c>
      <c r="T470" s="101" t="s">
        <v>394</v>
      </c>
      <c r="V470" s="245">
        <v>36525</v>
      </c>
      <c r="W470" s="101" t="s">
        <v>417</v>
      </c>
      <c r="X470" s="101" t="s">
        <v>77</v>
      </c>
      <c r="Y470" s="101" t="s">
        <v>396</v>
      </c>
      <c r="Z470" s="101" t="s">
        <v>426</v>
      </c>
      <c r="AA470" s="101" t="s">
        <v>397</v>
      </c>
      <c r="AB470" s="101">
        <v>5101000018</v>
      </c>
      <c r="AC470" s="101" t="s">
        <v>419</v>
      </c>
      <c r="AD470" s="101" t="s">
        <v>94</v>
      </c>
      <c r="AE470" s="101" t="s">
        <v>6</v>
      </c>
      <c r="AF470" s="101" t="s">
        <v>400</v>
      </c>
      <c r="AG470" s="101" t="s">
        <v>546</v>
      </c>
      <c r="AI470" s="101" t="s">
        <v>760</v>
      </c>
    </row>
    <row r="471" spans="1:35">
      <c r="A471" s="246" t="s">
        <v>101</v>
      </c>
      <c r="B471" s="246" t="s">
        <v>66</v>
      </c>
      <c r="C471" s="246" t="s">
        <v>126</v>
      </c>
      <c r="D471" s="246" t="s">
        <v>282</v>
      </c>
      <c r="E471" s="246"/>
      <c r="F471" s="246" t="s">
        <v>312</v>
      </c>
      <c r="G471" s="132">
        <v>0</v>
      </c>
      <c r="H471" s="132">
        <v>0</v>
      </c>
      <c r="I471" s="132">
        <v>0</v>
      </c>
      <c r="J471" s="101" t="s">
        <v>889</v>
      </c>
      <c r="K471" s="245" t="s">
        <v>390</v>
      </c>
      <c r="L471" s="245">
        <v>42501</v>
      </c>
      <c r="M471" s="245" t="s">
        <v>391</v>
      </c>
      <c r="N471" s="101">
        <v>0</v>
      </c>
      <c r="O471" s="101" t="s">
        <v>392</v>
      </c>
      <c r="P471" s="101">
        <v>0</v>
      </c>
      <c r="Q471" s="101">
        <v>0</v>
      </c>
      <c r="R471" s="101" t="s">
        <v>393</v>
      </c>
      <c r="S471" s="101" t="s">
        <v>545</v>
      </c>
      <c r="T471" s="101" t="s">
        <v>394</v>
      </c>
      <c r="V471" s="245">
        <v>36525</v>
      </c>
      <c r="W471" s="101" t="s">
        <v>417</v>
      </c>
      <c r="X471" s="101" t="s">
        <v>77</v>
      </c>
      <c r="Y471" s="101" t="s">
        <v>396</v>
      </c>
      <c r="Z471" s="101" t="s">
        <v>426</v>
      </c>
      <c r="AA471" s="101" t="s">
        <v>397</v>
      </c>
      <c r="AB471" s="101">
        <v>5101000018</v>
      </c>
      <c r="AC471" s="101" t="s">
        <v>419</v>
      </c>
      <c r="AD471" s="101" t="s">
        <v>94</v>
      </c>
      <c r="AE471" s="101" t="s">
        <v>6</v>
      </c>
      <c r="AF471" s="101" t="s">
        <v>400</v>
      </c>
      <c r="AG471" s="101" t="s">
        <v>547</v>
      </c>
      <c r="AI471" s="101" t="s">
        <v>760</v>
      </c>
    </row>
    <row r="472" spans="1:35">
      <c r="A472" s="246" t="s">
        <v>101</v>
      </c>
      <c r="B472" s="246" t="s">
        <v>66</v>
      </c>
      <c r="C472" s="246" t="s">
        <v>126</v>
      </c>
      <c r="D472" s="246" t="s">
        <v>282</v>
      </c>
      <c r="E472" s="246"/>
      <c r="F472" s="246" t="s">
        <v>312</v>
      </c>
      <c r="G472" s="132">
        <v>0</v>
      </c>
      <c r="H472" s="132">
        <v>0</v>
      </c>
      <c r="I472" s="132">
        <v>0</v>
      </c>
      <c r="J472" s="101" t="s">
        <v>889</v>
      </c>
      <c r="K472" s="245" t="s">
        <v>390</v>
      </c>
      <c r="L472" s="245">
        <v>42501</v>
      </c>
      <c r="M472" s="245" t="s">
        <v>391</v>
      </c>
      <c r="N472" s="101">
        <v>0</v>
      </c>
      <c r="O472" s="101" t="s">
        <v>392</v>
      </c>
      <c r="P472" s="101">
        <v>0</v>
      </c>
      <c r="Q472" s="101">
        <v>0</v>
      </c>
      <c r="R472" s="101" t="s">
        <v>393</v>
      </c>
      <c r="S472" s="101" t="s">
        <v>545</v>
      </c>
      <c r="T472" s="101" t="s">
        <v>394</v>
      </c>
      <c r="V472" s="245">
        <v>36525</v>
      </c>
      <c r="W472" s="101" t="s">
        <v>417</v>
      </c>
      <c r="X472" s="101" t="s">
        <v>77</v>
      </c>
      <c r="Y472" s="101" t="s">
        <v>396</v>
      </c>
      <c r="Z472" s="101" t="s">
        <v>426</v>
      </c>
      <c r="AA472" s="101" t="s">
        <v>397</v>
      </c>
      <c r="AB472" s="101">
        <v>5101000018</v>
      </c>
      <c r="AC472" s="101" t="s">
        <v>419</v>
      </c>
      <c r="AD472" s="101" t="s">
        <v>94</v>
      </c>
      <c r="AE472" s="101" t="s">
        <v>6</v>
      </c>
      <c r="AF472" s="101" t="s">
        <v>400</v>
      </c>
      <c r="AG472" s="101" t="s">
        <v>548</v>
      </c>
      <c r="AI472" s="101" t="s">
        <v>760</v>
      </c>
    </row>
    <row r="473" spans="1:35">
      <c r="A473" s="246" t="s">
        <v>101</v>
      </c>
      <c r="B473" s="246" t="s">
        <v>66</v>
      </c>
      <c r="C473" s="246" t="s">
        <v>126</v>
      </c>
      <c r="D473" s="246" t="s">
        <v>282</v>
      </c>
      <c r="E473" s="246"/>
      <c r="F473" s="246" t="s">
        <v>312</v>
      </c>
      <c r="G473" s="132">
        <v>0</v>
      </c>
      <c r="H473" s="132">
        <v>0</v>
      </c>
      <c r="I473" s="132">
        <v>0</v>
      </c>
      <c r="J473" s="101" t="s">
        <v>889</v>
      </c>
      <c r="K473" s="245" t="s">
        <v>390</v>
      </c>
      <c r="L473" s="245">
        <v>42501</v>
      </c>
      <c r="M473" s="245" t="s">
        <v>391</v>
      </c>
      <c r="N473" s="101">
        <v>0</v>
      </c>
      <c r="O473" s="101" t="s">
        <v>392</v>
      </c>
      <c r="P473" s="101">
        <v>0</v>
      </c>
      <c r="Q473" s="101">
        <v>0</v>
      </c>
      <c r="R473" s="101" t="s">
        <v>393</v>
      </c>
      <c r="S473" s="101" t="s">
        <v>545</v>
      </c>
      <c r="T473" s="101" t="s">
        <v>394</v>
      </c>
      <c r="V473" s="245">
        <v>36525</v>
      </c>
      <c r="W473" s="101" t="s">
        <v>417</v>
      </c>
      <c r="X473" s="101" t="s">
        <v>77</v>
      </c>
      <c r="Y473" s="101" t="s">
        <v>396</v>
      </c>
      <c r="Z473" s="101" t="s">
        <v>426</v>
      </c>
      <c r="AA473" s="101" t="s">
        <v>397</v>
      </c>
      <c r="AB473" s="101">
        <v>5101000018</v>
      </c>
      <c r="AC473" s="101" t="s">
        <v>419</v>
      </c>
      <c r="AD473" s="101" t="s">
        <v>94</v>
      </c>
      <c r="AE473" s="101" t="s">
        <v>6</v>
      </c>
      <c r="AF473" s="101" t="s">
        <v>400</v>
      </c>
      <c r="AG473" s="101" t="s">
        <v>549</v>
      </c>
      <c r="AI473" s="101" t="s">
        <v>760</v>
      </c>
    </row>
    <row r="474" spans="1:35">
      <c r="A474" s="246" t="s">
        <v>101</v>
      </c>
      <c r="B474" s="246" t="s">
        <v>66</v>
      </c>
      <c r="C474" s="246" t="s">
        <v>126</v>
      </c>
      <c r="D474" s="246" t="s">
        <v>282</v>
      </c>
      <c r="E474" s="246"/>
      <c r="F474" s="246" t="s">
        <v>312</v>
      </c>
      <c r="G474" s="132">
        <v>0</v>
      </c>
      <c r="H474" s="132">
        <v>0</v>
      </c>
      <c r="I474" s="132">
        <v>0</v>
      </c>
      <c r="J474" s="101" t="s">
        <v>889</v>
      </c>
      <c r="K474" s="245" t="s">
        <v>390</v>
      </c>
      <c r="L474" s="245">
        <v>42501</v>
      </c>
      <c r="M474" s="245" t="s">
        <v>391</v>
      </c>
      <c r="N474" s="101">
        <v>0</v>
      </c>
      <c r="O474" s="101" t="s">
        <v>392</v>
      </c>
      <c r="P474" s="101">
        <v>0</v>
      </c>
      <c r="Q474" s="101">
        <v>0</v>
      </c>
      <c r="R474" s="101" t="s">
        <v>393</v>
      </c>
      <c r="S474" s="101" t="s">
        <v>545</v>
      </c>
      <c r="T474" s="101" t="s">
        <v>394</v>
      </c>
      <c r="V474" s="245">
        <v>36525</v>
      </c>
      <c r="W474" s="101" t="s">
        <v>417</v>
      </c>
      <c r="X474" s="101" t="s">
        <v>77</v>
      </c>
      <c r="Y474" s="101" t="s">
        <v>396</v>
      </c>
      <c r="Z474" s="101" t="s">
        <v>426</v>
      </c>
      <c r="AA474" s="101" t="s">
        <v>397</v>
      </c>
      <c r="AB474" s="101">
        <v>5101000018</v>
      </c>
      <c r="AC474" s="101" t="s">
        <v>419</v>
      </c>
      <c r="AD474" s="101" t="s">
        <v>94</v>
      </c>
      <c r="AE474" s="101" t="s">
        <v>6</v>
      </c>
      <c r="AF474" s="101" t="s">
        <v>400</v>
      </c>
      <c r="AG474" s="101" t="s">
        <v>550</v>
      </c>
      <c r="AI474" s="101" t="s">
        <v>760</v>
      </c>
    </row>
    <row r="475" spans="1:35">
      <c r="A475" s="246" t="s">
        <v>101</v>
      </c>
      <c r="B475" s="246" t="s">
        <v>66</v>
      </c>
      <c r="C475" s="246" t="s">
        <v>126</v>
      </c>
      <c r="D475" s="246" t="s">
        <v>282</v>
      </c>
      <c r="E475" s="246"/>
      <c r="F475" s="246" t="s">
        <v>312</v>
      </c>
      <c r="G475" s="132">
        <v>0</v>
      </c>
      <c r="H475" s="132">
        <v>0</v>
      </c>
      <c r="I475" s="132">
        <v>0</v>
      </c>
      <c r="J475" s="101" t="s">
        <v>889</v>
      </c>
      <c r="K475" s="245" t="s">
        <v>390</v>
      </c>
      <c r="L475" s="245">
        <v>42501</v>
      </c>
      <c r="M475" s="245" t="s">
        <v>391</v>
      </c>
      <c r="N475" s="101">
        <v>0</v>
      </c>
      <c r="O475" s="101" t="s">
        <v>392</v>
      </c>
      <c r="P475" s="101">
        <v>0</v>
      </c>
      <c r="Q475" s="101">
        <v>0</v>
      </c>
      <c r="R475" s="101" t="s">
        <v>393</v>
      </c>
      <c r="S475" s="101" t="s">
        <v>545</v>
      </c>
      <c r="T475" s="101" t="s">
        <v>394</v>
      </c>
      <c r="V475" s="245">
        <v>36525</v>
      </c>
      <c r="W475" s="101" t="s">
        <v>417</v>
      </c>
      <c r="X475" s="101" t="s">
        <v>77</v>
      </c>
      <c r="Y475" s="101" t="s">
        <v>396</v>
      </c>
      <c r="Z475" s="101" t="s">
        <v>426</v>
      </c>
      <c r="AA475" s="101" t="s">
        <v>397</v>
      </c>
      <c r="AB475" s="101">
        <v>5101000018</v>
      </c>
      <c r="AC475" s="101" t="s">
        <v>419</v>
      </c>
      <c r="AD475" s="101" t="s">
        <v>94</v>
      </c>
      <c r="AE475" s="101" t="s">
        <v>6</v>
      </c>
      <c r="AF475" s="101" t="s">
        <v>400</v>
      </c>
      <c r="AG475" s="101" t="s">
        <v>551</v>
      </c>
      <c r="AI475" s="101" t="s">
        <v>760</v>
      </c>
    </row>
    <row r="476" spans="1:35">
      <c r="A476" s="246" t="s">
        <v>101</v>
      </c>
      <c r="B476" s="246" t="s">
        <v>66</v>
      </c>
      <c r="C476" s="246" t="s">
        <v>126</v>
      </c>
      <c r="D476" s="246" t="s">
        <v>282</v>
      </c>
      <c r="E476" s="246"/>
      <c r="F476" s="246" t="s">
        <v>312</v>
      </c>
      <c r="G476" s="132">
        <v>0</v>
      </c>
      <c r="H476" s="132">
        <v>0</v>
      </c>
      <c r="I476" s="132">
        <v>0</v>
      </c>
      <c r="J476" s="101" t="s">
        <v>889</v>
      </c>
      <c r="K476" s="245" t="s">
        <v>390</v>
      </c>
      <c r="L476" s="245">
        <v>42501</v>
      </c>
      <c r="M476" s="245" t="s">
        <v>391</v>
      </c>
      <c r="N476" s="101">
        <v>0</v>
      </c>
      <c r="O476" s="101" t="s">
        <v>392</v>
      </c>
      <c r="P476" s="101">
        <v>0</v>
      </c>
      <c r="Q476" s="101">
        <v>0</v>
      </c>
      <c r="R476" s="101" t="s">
        <v>393</v>
      </c>
      <c r="S476" s="101" t="s">
        <v>545</v>
      </c>
      <c r="T476" s="101" t="s">
        <v>394</v>
      </c>
      <c r="V476" s="245">
        <v>36525</v>
      </c>
      <c r="W476" s="101" t="s">
        <v>417</v>
      </c>
      <c r="X476" s="101" t="s">
        <v>77</v>
      </c>
      <c r="Y476" s="101" t="s">
        <v>396</v>
      </c>
      <c r="Z476" s="101" t="s">
        <v>426</v>
      </c>
      <c r="AA476" s="101" t="s">
        <v>397</v>
      </c>
      <c r="AB476" s="101">
        <v>5101000018</v>
      </c>
      <c r="AC476" s="101" t="s">
        <v>419</v>
      </c>
      <c r="AD476" s="101" t="s">
        <v>94</v>
      </c>
      <c r="AE476" s="101" t="s">
        <v>6</v>
      </c>
      <c r="AF476" s="101" t="s">
        <v>400</v>
      </c>
      <c r="AG476" s="101" t="s">
        <v>552</v>
      </c>
      <c r="AI476" s="101" t="s">
        <v>760</v>
      </c>
    </row>
    <row r="477" spans="1:35">
      <c r="A477" s="246" t="s">
        <v>101</v>
      </c>
      <c r="B477" s="246" t="s">
        <v>66</v>
      </c>
      <c r="C477" s="246" t="s">
        <v>126</v>
      </c>
      <c r="D477" s="246" t="s">
        <v>282</v>
      </c>
      <c r="E477" s="246"/>
      <c r="F477" s="246" t="s">
        <v>312</v>
      </c>
      <c r="G477" s="132">
        <v>0</v>
      </c>
      <c r="H477" s="132">
        <v>0</v>
      </c>
      <c r="I477" s="132">
        <v>0</v>
      </c>
      <c r="J477" s="101" t="s">
        <v>889</v>
      </c>
      <c r="K477" s="245" t="s">
        <v>390</v>
      </c>
      <c r="L477" s="245">
        <v>42501</v>
      </c>
      <c r="M477" s="245" t="s">
        <v>391</v>
      </c>
      <c r="N477" s="101">
        <v>0</v>
      </c>
      <c r="O477" s="101" t="s">
        <v>392</v>
      </c>
      <c r="P477" s="101">
        <v>0</v>
      </c>
      <c r="Q477" s="101">
        <v>0</v>
      </c>
      <c r="R477" s="101" t="s">
        <v>393</v>
      </c>
      <c r="S477" s="101" t="s">
        <v>545</v>
      </c>
      <c r="T477" s="101" t="s">
        <v>394</v>
      </c>
      <c r="V477" s="245">
        <v>36525</v>
      </c>
      <c r="W477" s="101" t="s">
        <v>417</v>
      </c>
      <c r="X477" s="101" t="s">
        <v>77</v>
      </c>
      <c r="Y477" s="101" t="s">
        <v>396</v>
      </c>
      <c r="Z477" s="101" t="s">
        <v>426</v>
      </c>
      <c r="AA477" s="101" t="s">
        <v>397</v>
      </c>
      <c r="AB477" s="101">
        <v>5101000018</v>
      </c>
      <c r="AC477" s="101" t="s">
        <v>419</v>
      </c>
      <c r="AD477" s="101" t="s">
        <v>94</v>
      </c>
      <c r="AE477" s="101" t="s">
        <v>6</v>
      </c>
      <c r="AF477" s="101" t="s">
        <v>400</v>
      </c>
      <c r="AG477" s="101" t="s">
        <v>553</v>
      </c>
      <c r="AI477" s="101" t="s">
        <v>760</v>
      </c>
    </row>
    <row r="478" spans="1:35">
      <c r="A478" s="246" t="s">
        <v>101</v>
      </c>
      <c r="B478" s="246" t="s">
        <v>66</v>
      </c>
      <c r="C478" s="246" t="s">
        <v>126</v>
      </c>
      <c r="D478" s="246" t="s">
        <v>282</v>
      </c>
      <c r="E478" s="246"/>
      <c r="F478" s="246" t="s">
        <v>312</v>
      </c>
      <c r="G478" s="132">
        <v>0</v>
      </c>
      <c r="H478" s="132">
        <v>0</v>
      </c>
      <c r="I478" s="132">
        <v>0</v>
      </c>
      <c r="J478" s="101" t="s">
        <v>889</v>
      </c>
      <c r="K478" s="245" t="s">
        <v>390</v>
      </c>
      <c r="L478" s="245">
        <v>42501</v>
      </c>
      <c r="M478" s="245" t="s">
        <v>391</v>
      </c>
      <c r="N478" s="101">
        <v>0</v>
      </c>
      <c r="O478" s="101" t="s">
        <v>392</v>
      </c>
      <c r="P478" s="101">
        <v>0</v>
      </c>
      <c r="Q478" s="101">
        <v>0</v>
      </c>
      <c r="R478" s="101" t="s">
        <v>393</v>
      </c>
      <c r="S478" s="101" t="s">
        <v>545</v>
      </c>
      <c r="T478" s="101" t="s">
        <v>394</v>
      </c>
      <c r="V478" s="245">
        <v>36525</v>
      </c>
      <c r="W478" s="101" t="s">
        <v>417</v>
      </c>
      <c r="X478" s="101" t="s">
        <v>77</v>
      </c>
      <c r="Y478" s="101" t="s">
        <v>396</v>
      </c>
      <c r="Z478" s="101" t="s">
        <v>426</v>
      </c>
      <c r="AA478" s="101" t="s">
        <v>397</v>
      </c>
      <c r="AB478" s="101">
        <v>5101000018</v>
      </c>
      <c r="AC478" s="101" t="s">
        <v>419</v>
      </c>
      <c r="AD478" s="101" t="s">
        <v>94</v>
      </c>
      <c r="AE478" s="101" t="s">
        <v>6</v>
      </c>
      <c r="AF478" s="101" t="s">
        <v>400</v>
      </c>
      <c r="AG478" s="101" t="s">
        <v>554</v>
      </c>
      <c r="AI478" s="101" t="s">
        <v>760</v>
      </c>
    </row>
    <row r="479" spans="1:35">
      <c r="A479" s="246" t="s">
        <v>101</v>
      </c>
      <c r="B479" s="246" t="s">
        <v>66</v>
      </c>
      <c r="C479" s="246" t="s">
        <v>126</v>
      </c>
      <c r="D479" s="246" t="s">
        <v>282</v>
      </c>
      <c r="E479" s="246"/>
      <c r="F479" s="246" t="s">
        <v>312</v>
      </c>
      <c r="G479" s="132">
        <v>0</v>
      </c>
      <c r="H479" s="132">
        <v>0</v>
      </c>
      <c r="I479" s="132">
        <v>0</v>
      </c>
      <c r="J479" s="101" t="s">
        <v>889</v>
      </c>
      <c r="K479" s="245" t="s">
        <v>390</v>
      </c>
      <c r="L479" s="245">
        <v>42501</v>
      </c>
      <c r="M479" s="245" t="s">
        <v>391</v>
      </c>
      <c r="N479" s="101">
        <v>0</v>
      </c>
      <c r="O479" s="101" t="s">
        <v>392</v>
      </c>
      <c r="P479" s="101">
        <v>0</v>
      </c>
      <c r="Q479" s="101">
        <v>0</v>
      </c>
      <c r="R479" s="101" t="s">
        <v>393</v>
      </c>
      <c r="S479" s="101" t="s">
        <v>545</v>
      </c>
      <c r="T479" s="101" t="s">
        <v>394</v>
      </c>
      <c r="V479" s="245">
        <v>36525</v>
      </c>
      <c r="W479" s="101" t="s">
        <v>417</v>
      </c>
      <c r="X479" s="101" t="s">
        <v>77</v>
      </c>
      <c r="Y479" s="101" t="s">
        <v>396</v>
      </c>
      <c r="Z479" s="101" t="s">
        <v>426</v>
      </c>
      <c r="AA479" s="101" t="s">
        <v>397</v>
      </c>
      <c r="AB479" s="101">
        <v>5101000018</v>
      </c>
      <c r="AC479" s="101" t="s">
        <v>419</v>
      </c>
      <c r="AD479" s="101" t="s">
        <v>94</v>
      </c>
      <c r="AE479" s="101" t="s">
        <v>6</v>
      </c>
      <c r="AF479" s="101" t="s">
        <v>400</v>
      </c>
      <c r="AG479" s="101" t="s">
        <v>555</v>
      </c>
      <c r="AI479" s="101" t="s">
        <v>760</v>
      </c>
    </row>
    <row r="480" spans="1:35">
      <c r="A480" s="246" t="s">
        <v>110</v>
      </c>
      <c r="B480" s="246" t="s">
        <v>66</v>
      </c>
      <c r="C480" s="246" t="s">
        <v>126</v>
      </c>
      <c r="D480" s="246" t="s">
        <v>281</v>
      </c>
      <c r="E480" s="246"/>
      <c r="F480" s="246" t="s">
        <v>276</v>
      </c>
      <c r="G480" s="132">
        <v>0</v>
      </c>
      <c r="H480" s="132">
        <v>0</v>
      </c>
      <c r="I480" s="132">
        <v>0</v>
      </c>
      <c r="J480" s="101" t="s">
        <v>889</v>
      </c>
      <c r="K480" s="245" t="s">
        <v>390</v>
      </c>
      <c r="L480" s="245">
        <v>42674</v>
      </c>
      <c r="M480" s="245" t="s">
        <v>391</v>
      </c>
      <c r="N480" s="101">
        <v>0</v>
      </c>
      <c r="O480" s="101" t="s">
        <v>392</v>
      </c>
      <c r="P480" s="101">
        <v>0</v>
      </c>
      <c r="Q480" s="101">
        <v>0</v>
      </c>
      <c r="R480" s="101" t="s">
        <v>393</v>
      </c>
      <c r="S480" s="101" t="s">
        <v>1305</v>
      </c>
      <c r="T480" s="101" t="s">
        <v>394</v>
      </c>
      <c r="V480" s="245">
        <v>36525</v>
      </c>
      <c r="W480" s="101" t="s">
        <v>424</v>
      </c>
      <c r="X480" s="101" t="s">
        <v>425</v>
      </c>
      <c r="Y480" s="101" t="s">
        <v>396</v>
      </c>
      <c r="Z480" s="101" t="s">
        <v>426</v>
      </c>
      <c r="AA480" s="101" t="s">
        <v>397</v>
      </c>
      <c r="AB480" s="101">
        <v>5101000018</v>
      </c>
      <c r="AC480" s="101" t="s">
        <v>419</v>
      </c>
      <c r="AD480" s="101" t="s">
        <v>94</v>
      </c>
      <c r="AE480" s="101" t="s">
        <v>6</v>
      </c>
      <c r="AF480" s="101" t="s">
        <v>400</v>
      </c>
      <c r="AG480" s="101" t="s">
        <v>567</v>
      </c>
      <c r="AI480" s="101" t="s">
        <v>760</v>
      </c>
    </row>
    <row r="481" spans="1:35">
      <c r="A481" s="246" t="s">
        <v>107</v>
      </c>
      <c r="B481" s="246" t="s">
        <v>78</v>
      </c>
      <c r="C481" s="246" t="s">
        <v>126</v>
      </c>
      <c r="D481" s="246" t="s">
        <v>772</v>
      </c>
      <c r="E481" s="246" t="s">
        <v>773</v>
      </c>
      <c r="F481" s="246" t="s">
        <v>334</v>
      </c>
      <c r="G481" s="132" t="s">
        <v>854</v>
      </c>
      <c r="H481" s="132" t="s">
        <v>1306</v>
      </c>
      <c r="I481" s="132">
        <v>-587.09</v>
      </c>
      <c r="J481" s="101" t="s">
        <v>889</v>
      </c>
      <c r="K481" s="245" t="s">
        <v>390</v>
      </c>
      <c r="L481" s="245">
        <v>42522</v>
      </c>
      <c r="M481" s="245" t="s">
        <v>391</v>
      </c>
      <c r="N481" s="101">
        <v>0</v>
      </c>
      <c r="O481" s="101" t="s">
        <v>392</v>
      </c>
      <c r="P481" s="101">
        <v>0</v>
      </c>
      <c r="Q481" s="101">
        <v>0</v>
      </c>
      <c r="R481" s="101" t="s">
        <v>393</v>
      </c>
      <c r="S481" s="101" t="s">
        <v>855</v>
      </c>
      <c r="T481" s="101" t="s">
        <v>394</v>
      </c>
      <c r="V481" s="245">
        <v>13697</v>
      </c>
      <c r="W481" s="101" t="s">
        <v>395</v>
      </c>
      <c r="X481" s="101" t="s">
        <v>795</v>
      </c>
      <c r="Y481" s="101" t="s">
        <v>396</v>
      </c>
      <c r="Z481" s="101" t="s">
        <v>402</v>
      </c>
      <c r="AA481" s="101" t="s">
        <v>78</v>
      </c>
      <c r="AB481" s="101">
        <v>4101000279</v>
      </c>
      <c r="AC481" s="101" t="s">
        <v>398</v>
      </c>
      <c r="AD481" s="101" t="s">
        <v>403</v>
      </c>
      <c r="AE481" s="101" t="s">
        <v>6</v>
      </c>
      <c r="AF481" s="101" t="s">
        <v>400</v>
      </c>
      <c r="AI481" s="101" t="s">
        <v>760</v>
      </c>
    </row>
    <row r="482" spans="1:35">
      <c r="A482" s="246" t="s">
        <v>109</v>
      </c>
      <c r="B482" s="246" t="s">
        <v>78</v>
      </c>
      <c r="C482" s="246" t="s">
        <v>126</v>
      </c>
      <c r="D482" s="246" t="s">
        <v>337</v>
      </c>
      <c r="E482" s="246" t="s">
        <v>336</v>
      </c>
      <c r="F482" s="246" t="s">
        <v>275</v>
      </c>
      <c r="G482" s="132" t="s">
        <v>1307</v>
      </c>
      <c r="H482" s="132" t="s">
        <v>1308</v>
      </c>
      <c r="I482" s="132">
        <v>-641.92999999999995</v>
      </c>
      <c r="J482" s="101" t="s">
        <v>889</v>
      </c>
      <c r="K482" s="245" t="s">
        <v>390</v>
      </c>
      <c r="L482" s="245">
        <v>42552</v>
      </c>
      <c r="M482" s="245" t="s">
        <v>391</v>
      </c>
      <c r="N482" s="101">
        <v>0</v>
      </c>
      <c r="O482" s="101" t="s">
        <v>392</v>
      </c>
      <c r="P482" s="101">
        <v>0</v>
      </c>
      <c r="Q482" s="101">
        <v>0</v>
      </c>
      <c r="R482" s="101" t="s">
        <v>393</v>
      </c>
      <c r="S482" s="101" t="s">
        <v>855</v>
      </c>
      <c r="T482" s="101" t="s">
        <v>394</v>
      </c>
      <c r="V482" s="245">
        <v>13697</v>
      </c>
      <c r="W482" s="101" t="s">
        <v>395</v>
      </c>
      <c r="X482" s="101" t="s">
        <v>795</v>
      </c>
      <c r="Y482" s="101" t="s">
        <v>396</v>
      </c>
      <c r="Z482" s="101" t="s">
        <v>402</v>
      </c>
      <c r="AA482" s="101" t="s">
        <v>78</v>
      </c>
      <c r="AB482" s="101">
        <v>4101000279</v>
      </c>
      <c r="AC482" s="101" t="s">
        <v>398</v>
      </c>
      <c r="AD482" s="101" t="s">
        <v>403</v>
      </c>
      <c r="AE482" s="101" t="s">
        <v>6</v>
      </c>
      <c r="AF482" s="101" t="s">
        <v>400</v>
      </c>
      <c r="AI482" s="101" t="s">
        <v>760</v>
      </c>
    </row>
    <row r="483" spans="1:35">
      <c r="A483" s="246" t="s">
        <v>109</v>
      </c>
      <c r="B483" s="246" t="s">
        <v>78</v>
      </c>
      <c r="C483" s="246" t="s">
        <v>126</v>
      </c>
      <c r="D483" s="246" t="s">
        <v>337</v>
      </c>
      <c r="E483" s="246" t="s">
        <v>336</v>
      </c>
      <c r="F483" s="246" t="s">
        <v>275</v>
      </c>
      <c r="G483" s="132" t="s">
        <v>1309</v>
      </c>
      <c r="H483" s="132" t="s">
        <v>1310</v>
      </c>
      <c r="I483" s="132">
        <v>-693.66</v>
      </c>
      <c r="J483" s="101" t="s">
        <v>889</v>
      </c>
      <c r="K483" s="245" t="s">
        <v>390</v>
      </c>
      <c r="L483" s="245">
        <v>42583</v>
      </c>
      <c r="M483" s="245" t="s">
        <v>391</v>
      </c>
      <c r="N483" s="101">
        <v>0</v>
      </c>
      <c r="O483" s="101" t="s">
        <v>392</v>
      </c>
      <c r="P483" s="101">
        <v>0</v>
      </c>
      <c r="Q483" s="101">
        <v>0</v>
      </c>
      <c r="R483" s="101" t="s">
        <v>393</v>
      </c>
      <c r="S483" s="101" t="s">
        <v>855</v>
      </c>
      <c r="T483" s="101" t="s">
        <v>394</v>
      </c>
      <c r="V483" s="245">
        <v>13697</v>
      </c>
      <c r="W483" s="101" t="s">
        <v>395</v>
      </c>
      <c r="X483" s="101" t="s">
        <v>795</v>
      </c>
      <c r="Y483" s="101" t="s">
        <v>396</v>
      </c>
      <c r="Z483" s="101" t="s">
        <v>402</v>
      </c>
      <c r="AA483" s="101" t="s">
        <v>78</v>
      </c>
      <c r="AB483" s="101">
        <v>4101000279</v>
      </c>
      <c r="AC483" s="101" t="s">
        <v>398</v>
      </c>
      <c r="AD483" s="101" t="s">
        <v>403</v>
      </c>
      <c r="AE483" s="101" t="s">
        <v>6</v>
      </c>
      <c r="AF483" s="101" t="s">
        <v>400</v>
      </c>
      <c r="AI483" s="101" t="s">
        <v>760</v>
      </c>
    </row>
    <row r="484" spans="1:35">
      <c r="A484" s="246" t="s">
        <v>110</v>
      </c>
      <c r="B484" s="246" t="s">
        <v>78</v>
      </c>
      <c r="C484" s="246" t="s">
        <v>126</v>
      </c>
      <c r="D484" s="246" t="s">
        <v>770</v>
      </c>
      <c r="E484" s="246" t="s">
        <v>771</v>
      </c>
      <c r="F484" s="246" t="s">
        <v>276</v>
      </c>
      <c r="G484" s="132" t="s">
        <v>1311</v>
      </c>
      <c r="H484" s="132" t="s">
        <v>1312</v>
      </c>
      <c r="I484" s="132">
        <v>-954.64</v>
      </c>
      <c r="J484" s="101" t="s">
        <v>889</v>
      </c>
      <c r="K484" s="245" t="s">
        <v>390</v>
      </c>
      <c r="L484" s="245">
        <v>42614</v>
      </c>
      <c r="M484" s="245" t="s">
        <v>391</v>
      </c>
      <c r="N484" s="101">
        <v>0</v>
      </c>
      <c r="O484" s="101" t="s">
        <v>392</v>
      </c>
      <c r="P484" s="101">
        <v>0</v>
      </c>
      <c r="Q484" s="101">
        <v>0</v>
      </c>
      <c r="R484" s="101" t="s">
        <v>393</v>
      </c>
      <c r="S484" s="101" t="s">
        <v>855</v>
      </c>
      <c r="T484" s="101" t="s">
        <v>394</v>
      </c>
      <c r="V484" s="245">
        <v>13697</v>
      </c>
      <c r="W484" s="101" t="s">
        <v>395</v>
      </c>
      <c r="X484" s="101" t="s">
        <v>795</v>
      </c>
      <c r="Y484" s="101" t="s">
        <v>396</v>
      </c>
      <c r="Z484" s="101" t="s">
        <v>402</v>
      </c>
      <c r="AA484" s="101" t="s">
        <v>78</v>
      </c>
      <c r="AB484" s="101">
        <v>4101000279</v>
      </c>
      <c r="AC484" s="101" t="s">
        <v>398</v>
      </c>
      <c r="AD484" s="101" t="s">
        <v>403</v>
      </c>
      <c r="AE484" s="101" t="s">
        <v>6</v>
      </c>
      <c r="AF484" s="101" t="s">
        <v>400</v>
      </c>
      <c r="AI484" s="101" t="s">
        <v>760</v>
      </c>
    </row>
    <row r="485" spans="1:35">
      <c r="A485" s="246" t="s">
        <v>110</v>
      </c>
      <c r="B485" s="246" t="s">
        <v>78</v>
      </c>
      <c r="C485" s="246" t="s">
        <v>126</v>
      </c>
      <c r="D485" s="246" t="s">
        <v>770</v>
      </c>
      <c r="E485" s="246" t="s">
        <v>771</v>
      </c>
      <c r="F485" s="246" t="s">
        <v>276</v>
      </c>
      <c r="G485" s="132" t="s">
        <v>1313</v>
      </c>
      <c r="H485" s="132" t="s">
        <v>1314</v>
      </c>
      <c r="I485" s="132">
        <v>-1131.3399999999999</v>
      </c>
      <c r="J485" s="101" t="s">
        <v>889</v>
      </c>
      <c r="K485" s="245" t="s">
        <v>390</v>
      </c>
      <c r="L485" s="245">
        <v>42646</v>
      </c>
      <c r="M485" s="245" t="s">
        <v>391</v>
      </c>
      <c r="N485" s="101">
        <v>0</v>
      </c>
      <c r="O485" s="101" t="s">
        <v>392</v>
      </c>
      <c r="P485" s="101">
        <v>0</v>
      </c>
      <c r="Q485" s="101">
        <v>0</v>
      </c>
      <c r="R485" s="101" t="s">
        <v>393</v>
      </c>
      <c r="S485" s="101" t="s">
        <v>855</v>
      </c>
      <c r="T485" s="101" t="s">
        <v>394</v>
      </c>
      <c r="V485" s="245">
        <v>13697</v>
      </c>
      <c r="W485" s="101" t="s">
        <v>395</v>
      </c>
      <c r="X485" s="101" t="s">
        <v>795</v>
      </c>
      <c r="Y485" s="101" t="s">
        <v>396</v>
      </c>
      <c r="Z485" s="101" t="s">
        <v>402</v>
      </c>
      <c r="AA485" s="101" t="s">
        <v>78</v>
      </c>
      <c r="AB485" s="101">
        <v>4101000279</v>
      </c>
      <c r="AC485" s="101" t="s">
        <v>398</v>
      </c>
      <c r="AD485" s="101" t="s">
        <v>403</v>
      </c>
      <c r="AE485" s="101" t="s">
        <v>6</v>
      </c>
      <c r="AF485" s="101" t="s">
        <v>400</v>
      </c>
      <c r="AI485" s="101" t="s">
        <v>760</v>
      </c>
    </row>
    <row r="486" spans="1:35">
      <c r="A486" s="246" t="s">
        <v>110</v>
      </c>
      <c r="B486" s="246" t="s">
        <v>78</v>
      </c>
      <c r="C486" s="246" t="s">
        <v>126</v>
      </c>
      <c r="D486" s="246" t="s">
        <v>770</v>
      </c>
      <c r="E486" s="246" t="s">
        <v>771</v>
      </c>
      <c r="F486" s="246" t="s">
        <v>276</v>
      </c>
      <c r="G486" s="132" t="s">
        <v>1315</v>
      </c>
      <c r="H486" s="132" t="s">
        <v>1316</v>
      </c>
      <c r="I486" s="132">
        <v>-1025.2199999999998</v>
      </c>
      <c r="J486" s="101" t="s">
        <v>889</v>
      </c>
      <c r="K486" s="245" t="s">
        <v>390</v>
      </c>
      <c r="L486" s="245">
        <v>42675</v>
      </c>
      <c r="M486" s="245" t="s">
        <v>391</v>
      </c>
      <c r="N486" s="101">
        <v>0</v>
      </c>
      <c r="O486" s="101" t="s">
        <v>392</v>
      </c>
      <c r="P486" s="101">
        <v>0</v>
      </c>
      <c r="Q486" s="101">
        <v>0</v>
      </c>
      <c r="R486" s="101" t="s">
        <v>393</v>
      </c>
      <c r="S486" s="101" t="s">
        <v>855</v>
      </c>
      <c r="T486" s="101" t="s">
        <v>394</v>
      </c>
      <c r="V486" s="245">
        <v>13697</v>
      </c>
      <c r="W486" s="101" t="s">
        <v>395</v>
      </c>
      <c r="X486" s="101" t="s">
        <v>795</v>
      </c>
      <c r="Y486" s="101" t="s">
        <v>396</v>
      </c>
      <c r="Z486" s="101" t="s">
        <v>402</v>
      </c>
      <c r="AA486" s="101" t="s">
        <v>78</v>
      </c>
      <c r="AB486" s="101">
        <v>4101000279</v>
      </c>
      <c r="AC486" s="101" t="s">
        <v>398</v>
      </c>
      <c r="AD486" s="101" t="s">
        <v>403</v>
      </c>
      <c r="AE486" s="101" t="s">
        <v>6</v>
      </c>
      <c r="AF486" s="101" t="s">
        <v>400</v>
      </c>
      <c r="AI486" s="101" t="s">
        <v>760</v>
      </c>
    </row>
    <row r="487" spans="1:35">
      <c r="A487" s="246" t="s">
        <v>111</v>
      </c>
      <c r="B487" s="246" t="s">
        <v>78</v>
      </c>
      <c r="C487" s="246" t="s">
        <v>126</v>
      </c>
      <c r="D487" s="246" t="s">
        <v>768</v>
      </c>
      <c r="E487" s="246" t="s">
        <v>769</v>
      </c>
      <c r="F487" s="246" t="s">
        <v>277</v>
      </c>
      <c r="G487" s="132" t="s">
        <v>1317</v>
      </c>
      <c r="H487" s="132" t="s">
        <v>1318</v>
      </c>
      <c r="I487" s="132">
        <v>-1328.35</v>
      </c>
      <c r="J487" s="101" t="s">
        <v>889</v>
      </c>
      <c r="K487" s="245" t="s">
        <v>390</v>
      </c>
      <c r="L487" s="245">
        <v>42705</v>
      </c>
      <c r="M487" s="245" t="s">
        <v>391</v>
      </c>
      <c r="N487" s="101">
        <v>0</v>
      </c>
      <c r="O487" s="101" t="s">
        <v>392</v>
      </c>
      <c r="P487" s="101">
        <v>0</v>
      </c>
      <c r="Q487" s="101">
        <v>0</v>
      </c>
      <c r="R487" s="101" t="s">
        <v>393</v>
      </c>
      <c r="S487" s="101" t="s">
        <v>855</v>
      </c>
      <c r="T487" s="101" t="s">
        <v>394</v>
      </c>
      <c r="V487" s="245">
        <v>13697</v>
      </c>
      <c r="W487" s="101" t="s">
        <v>395</v>
      </c>
      <c r="X487" s="101" t="s">
        <v>795</v>
      </c>
      <c r="Y487" s="101" t="s">
        <v>396</v>
      </c>
      <c r="Z487" s="101" t="s">
        <v>402</v>
      </c>
      <c r="AA487" s="101" t="s">
        <v>78</v>
      </c>
      <c r="AB487" s="101">
        <v>4101000279</v>
      </c>
      <c r="AC487" s="101" t="s">
        <v>398</v>
      </c>
      <c r="AD487" s="101" t="s">
        <v>403</v>
      </c>
      <c r="AE487" s="101" t="s">
        <v>6</v>
      </c>
      <c r="AF487" s="101" t="s">
        <v>400</v>
      </c>
      <c r="AI487" s="101" t="s">
        <v>760</v>
      </c>
    </row>
    <row r="488" spans="1:35">
      <c r="A488" s="246" t="s">
        <v>111</v>
      </c>
      <c r="B488" s="246" t="s">
        <v>78</v>
      </c>
      <c r="C488" s="246" t="s">
        <v>126</v>
      </c>
      <c r="D488" s="246" t="s">
        <v>768</v>
      </c>
      <c r="E488" s="246" t="s">
        <v>769</v>
      </c>
      <c r="F488" s="246" t="s">
        <v>277</v>
      </c>
      <c r="G488" s="132" t="s">
        <v>1319</v>
      </c>
      <c r="H488" s="132" t="s">
        <v>1320</v>
      </c>
      <c r="I488" s="132">
        <v>-1686.52</v>
      </c>
      <c r="J488" s="101" t="s">
        <v>889</v>
      </c>
      <c r="K488" s="245" t="s">
        <v>390</v>
      </c>
      <c r="L488" s="245">
        <v>42738</v>
      </c>
      <c r="M488" s="245" t="s">
        <v>391</v>
      </c>
      <c r="N488" s="101">
        <v>0</v>
      </c>
      <c r="O488" s="101" t="s">
        <v>392</v>
      </c>
      <c r="P488" s="101">
        <v>0</v>
      </c>
      <c r="Q488" s="101">
        <v>0</v>
      </c>
      <c r="R488" s="101" t="s">
        <v>393</v>
      </c>
      <c r="S488" s="101" t="s">
        <v>855</v>
      </c>
      <c r="T488" s="101" t="s">
        <v>394</v>
      </c>
      <c r="V488" s="245">
        <v>13697</v>
      </c>
      <c r="W488" s="101" t="s">
        <v>395</v>
      </c>
      <c r="X488" s="101" t="s">
        <v>795</v>
      </c>
      <c r="Y488" s="101" t="s">
        <v>396</v>
      </c>
      <c r="Z488" s="101" t="s">
        <v>402</v>
      </c>
      <c r="AA488" s="101" t="s">
        <v>78</v>
      </c>
      <c r="AB488" s="101">
        <v>4101000279</v>
      </c>
      <c r="AC488" s="101" t="s">
        <v>398</v>
      </c>
      <c r="AD488" s="101" t="s">
        <v>403</v>
      </c>
      <c r="AE488" s="101" t="s">
        <v>6</v>
      </c>
      <c r="AF488" s="101" t="s">
        <v>400</v>
      </c>
      <c r="AI488" s="101" t="s">
        <v>760</v>
      </c>
    </row>
    <row r="489" spans="1:35">
      <c r="A489" s="246" t="s">
        <v>111</v>
      </c>
      <c r="B489" s="246" t="s">
        <v>78</v>
      </c>
      <c r="C489" s="246" t="s">
        <v>126</v>
      </c>
      <c r="D489" s="246" t="s">
        <v>768</v>
      </c>
      <c r="E489" s="246" t="s">
        <v>769</v>
      </c>
      <c r="F489" s="246" t="s">
        <v>277</v>
      </c>
      <c r="G489" s="132" t="s">
        <v>1321</v>
      </c>
      <c r="H489" s="132" t="s">
        <v>1322</v>
      </c>
      <c r="I489" s="132">
        <v>-1481.98</v>
      </c>
      <c r="J489" s="101" t="s">
        <v>889</v>
      </c>
      <c r="K489" s="245" t="s">
        <v>390</v>
      </c>
      <c r="L489" s="245">
        <v>42767</v>
      </c>
      <c r="M489" s="245" t="s">
        <v>391</v>
      </c>
      <c r="N489" s="101">
        <v>0</v>
      </c>
      <c r="O489" s="101" t="s">
        <v>392</v>
      </c>
      <c r="P489" s="101">
        <v>0</v>
      </c>
      <c r="Q489" s="101">
        <v>0</v>
      </c>
      <c r="R489" s="101" t="s">
        <v>393</v>
      </c>
      <c r="S489" s="101" t="s">
        <v>855</v>
      </c>
      <c r="T489" s="101" t="s">
        <v>394</v>
      </c>
      <c r="V489" s="245">
        <v>13697</v>
      </c>
      <c r="W489" s="101" t="s">
        <v>395</v>
      </c>
      <c r="X489" s="101" t="s">
        <v>795</v>
      </c>
      <c r="Y489" s="101" t="s">
        <v>396</v>
      </c>
      <c r="Z489" s="101" t="s">
        <v>402</v>
      </c>
      <c r="AA489" s="101" t="s">
        <v>78</v>
      </c>
      <c r="AB489" s="101">
        <v>4101000279</v>
      </c>
      <c r="AC489" s="101" t="s">
        <v>398</v>
      </c>
      <c r="AD489" s="101" t="s">
        <v>403</v>
      </c>
      <c r="AE489" s="101" t="s">
        <v>6</v>
      </c>
      <c r="AF489" s="101" t="s">
        <v>400</v>
      </c>
      <c r="AI489" s="101" t="s">
        <v>760</v>
      </c>
    </row>
    <row r="490" spans="1:35">
      <c r="A490" s="246" t="s">
        <v>111</v>
      </c>
      <c r="B490" s="246" t="s">
        <v>78</v>
      </c>
      <c r="C490" s="246" t="s">
        <v>126</v>
      </c>
      <c r="D490" s="246" t="s">
        <v>768</v>
      </c>
      <c r="E490" s="246" t="s">
        <v>769</v>
      </c>
      <c r="F490" s="246" t="s">
        <v>277</v>
      </c>
      <c r="G490" s="132" t="s">
        <v>1323</v>
      </c>
      <c r="H490" s="132" t="s">
        <v>1324</v>
      </c>
      <c r="I490" s="132">
        <v>-1724.8700000000001</v>
      </c>
      <c r="J490" s="101" t="s">
        <v>889</v>
      </c>
      <c r="K490" s="245" t="s">
        <v>390</v>
      </c>
      <c r="L490" s="245">
        <v>42795</v>
      </c>
      <c r="M490" s="245" t="s">
        <v>391</v>
      </c>
      <c r="N490" s="101">
        <v>0</v>
      </c>
      <c r="O490" s="101" t="s">
        <v>392</v>
      </c>
      <c r="P490" s="101">
        <v>0</v>
      </c>
      <c r="Q490" s="101">
        <v>0</v>
      </c>
      <c r="R490" s="101" t="s">
        <v>393</v>
      </c>
      <c r="S490" s="101" t="s">
        <v>855</v>
      </c>
      <c r="T490" s="101" t="s">
        <v>394</v>
      </c>
      <c r="V490" s="245">
        <v>13697</v>
      </c>
      <c r="W490" s="101" t="s">
        <v>395</v>
      </c>
      <c r="X490" s="101" t="s">
        <v>795</v>
      </c>
      <c r="Y490" s="101" t="s">
        <v>396</v>
      </c>
      <c r="Z490" s="101" t="s">
        <v>402</v>
      </c>
      <c r="AA490" s="101" t="s">
        <v>78</v>
      </c>
      <c r="AB490" s="101">
        <v>4101000279</v>
      </c>
      <c r="AC490" s="101" t="s">
        <v>398</v>
      </c>
      <c r="AD490" s="101" t="s">
        <v>403</v>
      </c>
      <c r="AE490" s="101" t="s">
        <v>6</v>
      </c>
      <c r="AF490" s="101" t="s">
        <v>400</v>
      </c>
      <c r="AI490" s="101" t="s">
        <v>760</v>
      </c>
    </row>
    <row r="491" spans="1:35">
      <c r="A491" s="246" t="s">
        <v>111</v>
      </c>
      <c r="B491" s="246" t="s">
        <v>78</v>
      </c>
      <c r="C491" s="246" t="s">
        <v>126</v>
      </c>
      <c r="D491" s="246" t="s">
        <v>768</v>
      </c>
      <c r="E491" s="246" t="s">
        <v>769</v>
      </c>
      <c r="F491" s="246" t="s">
        <v>277</v>
      </c>
      <c r="G491" s="132" t="s">
        <v>1325</v>
      </c>
      <c r="H491" s="132" t="s">
        <v>1326</v>
      </c>
      <c r="I491" s="132">
        <v>-2292.98</v>
      </c>
      <c r="J491" s="101" t="s">
        <v>889</v>
      </c>
      <c r="K491" s="245" t="s">
        <v>390</v>
      </c>
      <c r="L491" s="245">
        <v>42828</v>
      </c>
      <c r="M491" s="245" t="s">
        <v>391</v>
      </c>
      <c r="N491" s="101">
        <v>0</v>
      </c>
      <c r="O491" s="101" t="s">
        <v>392</v>
      </c>
      <c r="P491" s="101">
        <v>0</v>
      </c>
      <c r="Q491" s="101">
        <v>0</v>
      </c>
      <c r="R491" s="101" t="s">
        <v>393</v>
      </c>
      <c r="S491" s="101" t="s">
        <v>855</v>
      </c>
      <c r="T491" s="101" t="s">
        <v>394</v>
      </c>
      <c r="V491" s="245">
        <v>13697</v>
      </c>
      <c r="W491" s="101" t="s">
        <v>395</v>
      </c>
      <c r="X491" s="101" t="s">
        <v>795</v>
      </c>
      <c r="Y491" s="101" t="s">
        <v>396</v>
      </c>
      <c r="Z491" s="101" t="s">
        <v>402</v>
      </c>
      <c r="AA491" s="101" t="s">
        <v>78</v>
      </c>
      <c r="AB491" s="101">
        <v>4101000279</v>
      </c>
      <c r="AC491" s="101" t="s">
        <v>398</v>
      </c>
      <c r="AD491" s="101" t="s">
        <v>403</v>
      </c>
      <c r="AE491" s="101" t="s">
        <v>6</v>
      </c>
      <c r="AF491" s="101" t="s">
        <v>400</v>
      </c>
      <c r="AI491" s="101" t="s">
        <v>760</v>
      </c>
    </row>
    <row r="492" spans="1:35">
      <c r="A492" s="246" t="s">
        <v>111</v>
      </c>
      <c r="B492" s="246" t="s">
        <v>78</v>
      </c>
      <c r="C492" s="246" t="s">
        <v>126</v>
      </c>
      <c r="D492" s="246" t="s">
        <v>768</v>
      </c>
      <c r="E492" s="246" t="s">
        <v>769</v>
      </c>
      <c r="F492" s="246" t="s">
        <v>277</v>
      </c>
      <c r="G492" s="132" t="s">
        <v>1327</v>
      </c>
      <c r="H492" s="132" t="s">
        <v>1328</v>
      </c>
      <c r="I492" s="132">
        <v>-2014.8999999999999</v>
      </c>
      <c r="J492" s="101" t="s">
        <v>889</v>
      </c>
      <c r="K492" s="245" t="s">
        <v>390</v>
      </c>
      <c r="L492" s="245">
        <v>42857</v>
      </c>
      <c r="M492" s="245" t="s">
        <v>391</v>
      </c>
      <c r="N492" s="101">
        <v>0</v>
      </c>
      <c r="O492" s="101" t="s">
        <v>392</v>
      </c>
      <c r="P492" s="101">
        <v>0</v>
      </c>
      <c r="Q492" s="101">
        <v>0</v>
      </c>
      <c r="R492" s="101" t="s">
        <v>393</v>
      </c>
      <c r="S492" s="101" t="s">
        <v>855</v>
      </c>
      <c r="T492" s="101" t="s">
        <v>394</v>
      </c>
      <c r="V492" s="245">
        <v>13697</v>
      </c>
      <c r="W492" s="101" t="s">
        <v>395</v>
      </c>
      <c r="X492" s="101" t="s">
        <v>795</v>
      </c>
      <c r="Y492" s="101" t="s">
        <v>396</v>
      </c>
      <c r="Z492" s="101" t="s">
        <v>402</v>
      </c>
      <c r="AA492" s="101" t="s">
        <v>78</v>
      </c>
      <c r="AB492" s="101">
        <v>4101000279</v>
      </c>
      <c r="AC492" s="101" t="s">
        <v>398</v>
      </c>
      <c r="AD492" s="101" t="s">
        <v>403</v>
      </c>
      <c r="AE492" s="101" t="s">
        <v>6</v>
      </c>
      <c r="AF492" s="101" t="s">
        <v>400</v>
      </c>
      <c r="AI492" s="101" t="s">
        <v>760</v>
      </c>
    </row>
    <row r="493" spans="1:35">
      <c r="A493" s="246" t="s">
        <v>112</v>
      </c>
      <c r="B493" s="246" t="s">
        <v>78</v>
      </c>
      <c r="C493" s="246" t="s">
        <v>126</v>
      </c>
      <c r="D493" s="246" t="s">
        <v>341</v>
      </c>
      <c r="E493" s="246" t="s">
        <v>342</v>
      </c>
      <c r="F493" s="246" t="s">
        <v>278</v>
      </c>
      <c r="G493" s="132" t="s">
        <v>1329</v>
      </c>
      <c r="H493" s="132" t="s">
        <v>1330</v>
      </c>
      <c r="I493" s="132">
        <v>-2445.5699999999997</v>
      </c>
      <c r="J493" s="101" t="s">
        <v>889</v>
      </c>
      <c r="K493" s="245" t="s">
        <v>390</v>
      </c>
      <c r="L493" s="245">
        <v>42887</v>
      </c>
      <c r="M493" s="245" t="s">
        <v>391</v>
      </c>
      <c r="N493" s="101">
        <v>0</v>
      </c>
      <c r="O493" s="101" t="s">
        <v>392</v>
      </c>
      <c r="P493" s="101">
        <v>0</v>
      </c>
      <c r="Q493" s="101">
        <v>0</v>
      </c>
      <c r="R493" s="101" t="s">
        <v>393</v>
      </c>
      <c r="S493" s="101" t="s">
        <v>855</v>
      </c>
      <c r="T493" s="101" t="s">
        <v>394</v>
      </c>
      <c r="V493" s="245">
        <v>13697</v>
      </c>
      <c r="W493" s="101" t="s">
        <v>395</v>
      </c>
      <c r="X493" s="101" t="s">
        <v>795</v>
      </c>
      <c r="Y493" s="101" t="s">
        <v>396</v>
      </c>
      <c r="Z493" s="101" t="s">
        <v>402</v>
      </c>
      <c r="AA493" s="101" t="s">
        <v>78</v>
      </c>
      <c r="AB493" s="101">
        <v>4101000279</v>
      </c>
      <c r="AC493" s="101" t="s">
        <v>398</v>
      </c>
      <c r="AD493" s="101" t="s">
        <v>403</v>
      </c>
      <c r="AE493" s="101" t="s">
        <v>6</v>
      </c>
      <c r="AF493" s="101" t="s">
        <v>400</v>
      </c>
      <c r="AI493" s="101" t="s">
        <v>760</v>
      </c>
    </row>
    <row r="494" spans="1:35">
      <c r="A494" s="246" t="s">
        <v>112</v>
      </c>
      <c r="B494" s="246" t="s">
        <v>78</v>
      </c>
      <c r="C494" s="246" t="s">
        <v>126</v>
      </c>
      <c r="D494" s="246" t="s">
        <v>341</v>
      </c>
      <c r="E494" s="246" t="s">
        <v>342</v>
      </c>
      <c r="F494" s="246" t="s">
        <v>278</v>
      </c>
      <c r="G494" s="132" t="s">
        <v>1331</v>
      </c>
      <c r="H494" s="132" t="s">
        <v>1332</v>
      </c>
      <c r="I494" s="132">
        <v>-2801.34</v>
      </c>
      <c r="J494" s="101" t="s">
        <v>889</v>
      </c>
      <c r="K494" s="245" t="s">
        <v>390</v>
      </c>
      <c r="L494" s="245">
        <v>42919</v>
      </c>
      <c r="M494" s="245" t="s">
        <v>391</v>
      </c>
      <c r="N494" s="101">
        <v>0</v>
      </c>
      <c r="O494" s="101" t="s">
        <v>392</v>
      </c>
      <c r="P494" s="101">
        <v>0</v>
      </c>
      <c r="Q494" s="101">
        <v>0</v>
      </c>
      <c r="R494" s="101" t="s">
        <v>393</v>
      </c>
      <c r="S494" s="101" t="s">
        <v>855</v>
      </c>
      <c r="T494" s="101" t="s">
        <v>394</v>
      </c>
      <c r="V494" s="245">
        <v>13697</v>
      </c>
      <c r="W494" s="101" t="s">
        <v>395</v>
      </c>
      <c r="X494" s="101" t="s">
        <v>795</v>
      </c>
      <c r="Y494" s="101" t="s">
        <v>396</v>
      </c>
      <c r="Z494" s="101" t="s">
        <v>402</v>
      </c>
      <c r="AA494" s="101" t="s">
        <v>78</v>
      </c>
      <c r="AB494" s="101">
        <v>4101000279</v>
      </c>
      <c r="AC494" s="101" t="s">
        <v>398</v>
      </c>
      <c r="AD494" s="101" t="s">
        <v>403</v>
      </c>
      <c r="AE494" s="101" t="s">
        <v>6</v>
      </c>
      <c r="AF494" s="101" t="s">
        <v>400</v>
      </c>
      <c r="AI494" s="101" t="s">
        <v>760</v>
      </c>
    </row>
    <row r="495" spans="1:35">
      <c r="A495" s="246" t="s">
        <v>110</v>
      </c>
      <c r="B495" s="246" t="s">
        <v>78</v>
      </c>
      <c r="C495" s="246" t="s">
        <v>126</v>
      </c>
      <c r="D495" s="246" t="s">
        <v>770</v>
      </c>
      <c r="E495" s="246" t="s">
        <v>771</v>
      </c>
      <c r="F495" s="246" t="s">
        <v>276</v>
      </c>
      <c r="G495" s="132" t="s">
        <v>611</v>
      </c>
      <c r="H495" s="132" t="s">
        <v>1333</v>
      </c>
      <c r="I495" s="132">
        <v>12.129999999999999</v>
      </c>
      <c r="J495" s="101" t="s">
        <v>889</v>
      </c>
      <c r="K495" s="245" t="s">
        <v>390</v>
      </c>
      <c r="L495" s="245">
        <v>42643</v>
      </c>
      <c r="M495" s="245" t="s">
        <v>391</v>
      </c>
      <c r="N495" s="101">
        <v>0</v>
      </c>
      <c r="O495" s="101" t="s">
        <v>392</v>
      </c>
      <c r="P495" s="101">
        <v>0</v>
      </c>
      <c r="Q495" s="101">
        <v>0</v>
      </c>
      <c r="R495" s="101" t="s">
        <v>393</v>
      </c>
      <c r="S495" s="101" t="s">
        <v>876</v>
      </c>
      <c r="T495" s="101" t="s">
        <v>394</v>
      </c>
      <c r="V495" s="245">
        <v>14521</v>
      </c>
      <c r="W495" s="101" t="s">
        <v>395</v>
      </c>
      <c r="X495" s="101" t="s">
        <v>795</v>
      </c>
      <c r="Y495" s="101" t="s">
        <v>396</v>
      </c>
      <c r="Z495" s="101" t="s">
        <v>402</v>
      </c>
      <c r="AA495" s="101" t="s">
        <v>78</v>
      </c>
      <c r="AB495" s="101">
        <v>4101000279</v>
      </c>
      <c r="AC495" s="101" t="s">
        <v>398</v>
      </c>
      <c r="AD495" s="101" t="s">
        <v>403</v>
      </c>
      <c r="AE495" s="101" t="s">
        <v>6</v>
      </c>
      <c r="AF495" s="101" t="s">
        <v>400</v>
      </c>
      <c r="AI495" s="101" t="s">
        <v>760</v>
      </c>
    </row>
    <row r="496" spans="1:35">
      <c r="A496" s="246" t="s">
        <v>110</v>
      </c>
      <c r="B496" s="246" t="s">
        <v>78</v>
      </c>
      <c r="C496" s="246" t="s">
        <v>126</v>
      </c>
      <c r="D496" s="246" t="s">
        <v>770</v>
      </c>
      <c r="E496" s="246" t="s">
        <v>771</v>
      </c>
      <c r="F496" s="246" t="s">
        <v>276</v>
      </c>
      <c r="G496" s="132" t="s">
        <v>612</v>
      </c>
      <c r="H496" s="132" t="s">
        <v>1334</v>
      </c>
      <c r="I496" s="132">
        <v>81.929999999999993</v>
      </c>
      <c r="J496" s="101" t="s">
        <v>889</v>
      </c>
      <c r="K496" s="245" t="s">
        <v>390</v>
      </c>
      <c r="L496" s="245">
        <v>42643</v>
      </c>
      <c r="M496" s="245" t="s">
        <v>391</v>
      </c>
      <c r="N496" s="101">
        <v>0</v>
      </c>
      <c r="O496" s="101" t="s">
        <v>392</v>
      </c>
      <c r="P496" s="101">
        <v>0</v>
      </c>
      <c r="Q496" s="101">
        <v>0</v>
      </c>
      <c r="R496" s="101" t="s">
        <v>393</v>
      </c>
      <c r="S496" s="101" t="s">
        <v>876</v>
      </c>
      <c r="T496" s="101" t="s">
        <v>394</v>
      </c>
      <c r="V496" s="245">
        <v>14521</v>
      </c>
      <c r="W496" s="101" t="s">
        <v>395</v>
      </c>
      <c r="X496" s="101" t="s">
        <v>795</v>
      </c>
      <c r="Y496" s="101" t="s">
        <v>396</v>
      </c>
      <c r="Z496" s="101" t="s">
        <v>402</v>
      </c>
      <c r="AA496" s="101" t="s">
        <v>78</v>
      </c>
      <c r="AB496" s="101">
        <v>4101000279</v>
      </c>
      <c r="AC496" s="101" t="s">
        <v>398</v>
      </c>
      <c r="AD496" s="101" t="s">
        <v>403</v>
      </c>
      <c r="AE496" s="101" t="s">
        <v>6</v>
      </c>
      <c r="AF496" s="101" t="s">
        <v>400</v>
      </c>
      <c r="AI496" s="101" t="s">
        <v>760</v>
      </c>
    </row>
    <row r="497" spans="1:35">
      <c r="A497" s="246" t="s">
        <v>111</v>
      </c>
      <c r="B497" s="246" t="s">
        <v>78</v>
      </c>
      <c r="C497" s="246" t="s">
        <v>126</v>
      </c>
      <c r="D497" s="246" t="s">
        <v>768</v>
      </c>
      <c r="E497" s="246" t="s">
        <v>769</v>
      </c>
      <c r="F497" s="246" t="s">
        <v>277</v>
      </c>
      <c r="G497" s="132">
        <v>8375</v>
      </c>
      <c r="H497" s="132" t="s">
        <v>1335</v>
      </c>
      <c r="I497" s="132">
        <v>8375</v>
      </c>
      <c r="J497" s="101" t="s">
        <v>889</v>
      </c>
      <c r="K497" s="245" t="s">
        <v>390</v>
      </c>
      <c r="L497" s="245">
        <v>42825</v>
      </c>
      <c r="M497" s="245" t="s">
        <v>391</v>
      </c>
      <c r="N497" s="101">
        <v>0</v>
      </c>
      <c r="O497" s="101" t="s">
        <v>392</v>
      </c>
      <c r="P497" s="101">
        <v>0</v>
      </c>
      <c r="Q497" s="101">
        <v>0</v>
      </c>
      <c r="R497" s="101" t="s">
        <v>393</v>
      </c>
      <c r="S497" s="101" t="s">
        <v>876</v>
      </c>
      <c r="T497" s="101" t="s">
        <v>394</v>
      </c>
      <c r="V497" s="245">
        <v>14521</v>
      </c>
      <c r="W497" s="101" t="s">
        <v>395</v>
      </c>
      <c r="X497" s="101" t="s">
        <v>795</v>
      </c>
      <c r="Y497" s="101" t="s">
        <v>396</v>
      </c>
      <c r="Z497" s="101" t="s">
        <v>402</v>
      </c>
      <c r="AA497" s="101" t="s">
        <v>78</v>
      </c>
      <c r="AB497" s="101">
        <v>4101000279</v>
      </c>
      <c r="AC497" s="101" t="s">
        <v>398</v>
      </c>
      <c r="AD497" s="101" t="s">
        <v>403</v>
      </c>
      <c r="AE497" s="101" t="s">
        <v>6</v>
      </c>
      <c r="AF497" s="101" t="s">
        <v>400</v>
      </c>
      <c r="AI497" s="101" t="s">
        <v>760</v>
      </c>
    </row>
    <row r="498" spans="1:35">
      <c r="A498" s="246" t="s">
        <v>112</v>
      </c>
      <c r="B498" s="246" t="s">
        <v>78</v>
      </c>
      <c r="C498" s="246" t="s">
        <v>126</v>
      </c>
      <c r="D498" s="246" t="s">
        <v>341</v>
      </c>
      <c r="E498" s="246" t="s">
        <v>342</v>
      </c>
      <c r="F498" s="246" t="s">
        <v>278</v>
      </c>
      <c r="G498" s="132" t="s">
        <v>613</v>
      </c>
      <c r="H498" s="132" t="s">
        <v>1336</v>
      </c>
      <c r="I498" s="132">
        <v>8328.4699999999993</v>
      </c>
      <c r="J498" s="101" t="s">
        <v>889</v>
      </c>
      <c r="K498" s="245" t="s">
        <v>390</v>
      </c>
      <c r="L498" s="245">
        <v>43007</v>
      </c>
      <c r="M498" s="245" t="s">
        <v>391</v>
      </c>
      <c r="N498" s="101">
        <v>0</v>
      </c>
      <c r="O498" s="101" t="s">
        <v>392</v>
      </c>
      <c r="P498" s="101">
        <v>0</v>
      </c>
      <c r="Q498" s="101">
        <v>0</v>
      </c>
      <c r="R498" s="101" t="s">
        <v>393</v>
      </c>
      <c r="S498" s="101" t="s">
        <v>876</v>
      </c>
      <c r="T498" s="101" t="s">
        <v>394</v>
      </c>
      <c r="V498" s="245">
        <v>14521</v>
      </c>
      <c r="W498" s="101" t="s">
        <v>395</v>
      </c>
      <c r="X498" s="101" t="s">
        <v>795</v>
      </c>
      <c r="Y498" s="101" t="s">
        <v>396</v>
      </c>
      <c r="Z498" s="101" t="s">
        <v>402</v>
      </c>
      <c r="AA498" s="101" t="s">
        <v>78</v>
      </c>
      <c r="AB498" s="101">
        <v>4101000279</v>
      </c>
      <c r="AC498" s="101" t="s">
        <v>398</v>
      </c>
      <c r="AD498" s="101" t="s">
        <v>403</v>
      </c>
      <c r="AE498" s="101" t="s">
        <v>6</v>
      </c>
      <c r="AF498" s="101" t="s">
        <v>400</v>
      </c>
      <c r="AI498" s="101" t="s">
        <v>760</v>
      </c>
    </row>
    <row r="499" spans="1:35">
      <c r="A499" s="246" t="s">
        <v>113</v>
      </c>
      <c r="B499" s="246" t="s">
        <v>78</v>
      </c>
      <c r="C499" s="246" t="s">
        <v>126</v>
      </c>
      <c r="D499" s="246" t="s">
        <v>339</v>
      </c>
      <c r="E499" s="246" t="s">
        <v>340</v>
      </c>
      <c r="F499" s="246" t="s">
        <v>279</v>
      </c>
      <c r="G499" s="132" t="s">
        <v>614</v>
      </c>
      <c r="H499" s="132" t="s">
        <v>1337</v>
      </c>
      <c r="I499" s="132">
        <v>8421.5300000000007</v>
      </c>
      <c r="J499" s="101" t="s">
        <v>889</v>
      </c>
      <c r="K499" s="245" t="s">
        <v>390</v>
      </c>
      <c r="L499" s="245">
        <v>43189</v>
      </c>
      <c r="M499" s="245" t="s">
        <v>391</v>
      </c>
      <c r="N499" s="101">
        <v>0</v>
      </c>
      <c r="O499" s="101" t="s">
        <v>392</v>
      </c>
      <c r="P499" s="101">
        <v>0</v>
      </c>
      <c r="Q499" s="101">
        <v>0</v>
      </c>
      <c r="R499" s="101" t="s">
        <v>393</v>
      </c>
      <c r="S499" s="101" t="s">
        <v>876</v>
      </c>
      <c r="T499" s="101" t="s">
        <v>394</v>
      </c>
      <c r="V499" s="245">
        <v>14521</v>
      </c>
      <c r="W499" s="101" t="s">
        <v>395</v>
      </c>
      <c r="X499" s="101" t="s">
        <v>795</v>
      </c>
      <c r="Y499" s="101" t="s">
        <v>396</v>
      </c>
      <c r="Z499" s="101" t="s">
        <v>402</v>
      </c>
      <c r="AA499" s="101" t="s">
        <v>78</v>
      </c>
      <c r="AB499" s="101">
        <v>4101000279</v>
      </c>
      <c r="AC499" s="101" t="s">
        <v>398</v>
      </c>
      <c r="AD499" s="101" t="s">
        <v>403</v>
      </c>
      <c r="AE499" s="101" t="s">
        <v>6</v>
      </c>
      <c r="AF499" s="101" t="s">
        <v>400</v>
      </c>
      <c r="AI499" s="101" t="s">
        <v>760</v>
      </c>
    </row>
    <row r="500" spans="1:35">
      <c r="A500" s="246" t="s">
        <v>109</v>
      </c>
      <c r="B500" s="246" t="s">
        <v>78</v>
      </c>
      <c r="C500" s="246" t="s">
        <v>126</v>
      </c>
      <c r="D500" s="246" t="s">
        <v>337</v>
      </c>
      <c r="E500" s="246" t="s">
        <v>336</v>
      </c>
      <c r="F500" s="246" t="s">
        <v>275</v>
      </c>
      <c r="G500" s="132" t="s">
        <v>702</v>
      </c>
      <c r="H500" s="132" t="s">
        <v>1338</v>
      </c>
      <c r="I500" s="132">
        <v>4116.51</v>
      </c>
      <c r="J500" s="101" t="s">
        <v>889</v>
      </c>
      <c r="K500" s="245" t="s">
        <v>390</v>
      </c>
      <c r="L500" s="245">
        <v>42551</v>
      </c>
      <c r="M500" s="245" t="s">
        <v>391</v>
      </c>
      <c r="N500" s="101">
        <v>0</v>
      </c>
      <c r="O500" s="101" t="s">
        <v>392</v>
      </c>
      <c r="P500" s="101">
        <v>0</v>
      </c>
      <c r="Q500" s="101">
        <v>0</v>
      </c>
      <c r="R500" s="101" t="s">
        <v>393</v>
      </c>
      <c r="S500" s="101" t="s">
        <v>867</v>
      </c>
      <c r="T500" s="101" t="s">
        <v>394</v>
      </c>
      <c r="V500" s="245">
        <v>14248</v>
      </c>
      <c r="W500" s="101" t="s">
        <v>395</v>
      </c>
      <c r="X500" s="101" t="s">
        <v>795</v>
      </c>
      <c r="Y500" s="101" t="s">
        <v>396</v>
      </c>
      <c r="Z500" s="101" t="s">
        <v>402</v>
      </c>
      <c r="AA500" s="101" t="s">
        <v>78</v>
      </c>
      <c r="AB500" s="101">
        <v>4101000279</v>
      </c>
      <c r="AC500" s="101" t="s">
        <v>398</v>
      </c>
      <c r="AD500" s="101" t="s">
        <v>403</v>
      </c>
      <c r="AE500" s="101" t="s">
        <v>6</v>
      </c>
      <c r="AF500" s="101" t="s">
        <v>400</v>
      </c>
      <c r="AI500" s="101" t="s">
        <v>760</v>
      </c>
    </row>
    <row r="501" spans="1:35">
      <c r="A501" s="246" t="s">
        <v>109</v>
      </c>
      <c r="B501" s="246" t="s">
        <v>78</v>
      </c>
      <c r="C501" s="246" t="s">
        <v>126</v>
      </c>
      <c r="D501" s="246" t="s">
        <v>337</v>
      </c>
      <c r="E501" s="246" t="s">
        <v>336</v>
      </c>
      <c r="F501" s="246" t="s">
        <v>275</v>
      </c>
      <c r="G501" s="132" t="s">
        <v>868</v>
      </c>
      <c r="H501" s="132" t="s">
        <v>1339</v>
      </c>
      <c r="I501" s="132">
        <v>743.91</v>
      </c>
      <c r="J501" s="101" t="s">
        <v>889</v>
      </c>
      <c r="K501" s="245" t="s">
        <v>390</v>
      </c>
      <c r="L501" s="245">
        <v>42551</v>
      </c>
      <c r="M501" s="245" t="s">
        <v>391</v>
      </c>
      <c r="N501" s="101">
        <v>0</v>
      </c>
      <c r="O501" s="101" t="s">
        <v>392</v>
      </c>
      <c r="P501" s="101">
        <v>0</v>
      </c>
      <c r="Q501" s="101">
        <v>0</v>
      </c>
      <c r="R501" s="101" t="s">
        <v>393</v>
      </c>
      <c r="S501" s="101" t="s">
        <v>867</v>
      </c>
      <c r="T501" s="101" t="s">
        <v>394</v>
      </c>
      <c r="V501" s="245">
        <v>14248</v>
      </c>
      <c r="W501" s="101" t="s">
        <v>395</v>
      </c>
      <c r="X501" s="101" t="s">
        <v>795</v>
      </c>
      <c r="Y501" s="101" t="s">
        <v>396</v>
      </c>
      <c r="Z501" s="101" t="s">
        <v>402</v>
      </c>
      <c r="AA501" s="101" t="s">
        <v>78</v>
      </c>
      <c r="AB501" s="101">
        <v>4101000279</v>
      </c>
      <c r="AC501" s="101" t="s">
        <v>398</v>
      </c>
      <c r="AD501" s="101" t="s">
        <v>403</v>
      </c>
      <c r="AE501" s="101" t="s">
        <v>6</v>
      </c>
      <c r="AF501" s="101" t="s">
        <v>400</v>
      </c>
      <c r="AI501" s="101" t="s">
        <v>760</v>
      </c>
    </row>
    <row r="502" spans="1:35">
      <c r="A502" s="246" t="s">
        <v>109</v>
      </c>
      <c r="B502" s="246" t="s">
        <v>78</v>
      </c>
      <c r="C502" s="246" t="s">
        <v>126</v>
      </c>
      <c r="D502" s="246" t="s">
        <v>337</v>
      </c>
      <c r="E502" s="246" t="s">
        <v>336</v>
      </c>
      <c r="F502" s="246" t="s">
        <v>275</v>
      </c>
      <c r="G502" s="132" t="s">
        <v>869</v>
      </c>
      <c r="H502" s="132" t="s">
        <v>1340</v>
      </c>
      <c r="I502" s="132">
        <v>13235.009999999998</v>
      </c>
      <c r="J502" s="101" t="s">
        <v>889</v>
      </c>
      <c r="K502" s="245" t="s">
        <v>390</v>
      </c>
      <c r="L502" s="245">
        <v>42551</v>
      </c>
      <c r="M502" s="245" t="s">
        <v>391</v>
      </c>
      <c r="N502" s="101">
        <v>0</v>
      </c>
      <c r="O502" s="101" t="s">
        <v>392</v>
      </c>
      <c r="P502" s="101">
        <v>0</v>
      </c>
      <c r="Q502" s="101">
        <v>0</v>
      </c>
      <c r="R502" s="101" t="s">
        <v>393</v>
      </c>
      <c r="S502" s="101" t="s">
        <v>867</v>
      </c>
      <c r="T502" s="101" t="s">
        <v>394</v>
      </c>
      <c r="V502" s="245">
        <v>14248</v>
      </c>
      <c r="W502" s="101" t="s">
        <v>395</v>
      </c>
      <c r="X502" s="101" t="s">
        <v>795</v>
      </c>
      <c r="Y502" s="101" t="s">
        <v>396</v>
      </c>
      <c r="Z502" s="101" t="s">
        <v>402</v>
      </c>
      <c r="AA502" s="101" t="s">
        <v>78</v>
      </c>
      <c r="AB502" s="101">
        <v>4101000279</v>
      </c>
      <c r="AC502" s="101" t="s">
        <v>398</v>
      </c>
      <c r="AD502" s="101" t="s">
        <v>403</v>
      </c>
      <c r="AE502" s="101" t="s">
        <v>6</v>
      </c>
      <c r="AF502" s="101" t="s">
        <v>400</v>
      </c>
      <c r="AI502" s="101" t="s">
        <v>760</v>
      </c>
    </row>
    <row r="503" spans="1:35">
      <c r="A503" s="246" t="s">
        <v>109</v>
      </c>
      <c r="B503" s="246" t="s">
        <v>78</v>
      </c>
      <c r="C503" s="246" t="s">
        <v>126</v>
      </c>
      <c r="D503" s="246" t="s">
        <v>337</v>
      </c>
      <c r="E503" s="246" t="s">
        <v>336</v>
      </c>
      <c r="F503" s="246" t="s">
        <v>275</v>
      </c>
      <c r="G503" s="132" t="s">
        <v>870</v>
      </c>
      <c r="H503" s="132" t="s">
        <v>1341</v>
      </c>
      <c r="I503" s="132">
        <v>6800.3499999999995</v>
      </c>
      <c r="J503" s="101" t="s">
        <v>889</v>
      </c>
      <c r="K503" s="245" t="s">
        <v>390</v>
      </c>
      <c r="L503" s="245">
        <v>42551</v>
      </c>
      <c r="M503" s="245" t="s">
        <v>391</v>
      </c>
      <c r="N503" s="101">
        <v>0</v>
      </c>
      <c r="O503" s="101" t="s">
        <v>392</v>
      </c>
      <c r="P503" s="101">
        <v>0</v>
      </c>
      <c r="Q503" s="101">
        <v>0</v>
      </c>
      <c r="R503" s="101" t="s">
        <v>393</v>
      </c>
      <c r="S503" s="101" t="s">
        <v>867</v>
      </c>
      <c r="T503" s="101" t="s">
        <v>394</v>
      </c>
      <c r="V503" s="245">
        <v>14248</v>
      </c>
      <c r="W503" s="101" t="s">
        <v>395</v>
      </c>
      <c r="X503" s="101" t="s">
        <v>795</v>
      </c>
      <c r="Y503" s="101" t="s">
        <v>396</v>
      </c>
      <c r="Z503" s="101" t="s">
        <v>402</v>
      </c>
      <c r="AA503" s="101" t="s">
        <v>78</v>
      </c>
      <c r="AB503" s="101">
        <v>4101000279</v>
      </c>
      <c r="AC503" s="101" t="s">
        <v>398</v>
      </c>
      <c r="AD503" s="101" t="s">
        <v>403</v>
      </c>
      <c r="AE503" s="101" t="s">
        <v>6</v>
      </c>
      <c r="AF503" s="101" t="s">
        <v>400</v>
      </c>
      <c r="AI503" s="101" t="s">
        <v>760</v>
      </c>
    </row>
    <row r="504" spans="1:35">
      <c r="A504" s="246" t="s">
        <v>111</v>
      </c>
      <c r="B504" s="246" t="s">
        <v>78</v>
      </c>
      <c r="C504" s="246" t="s">
        <v>126</v>
      </c>
      <c r="D504" s="246" t="s">
        <v>768</v>
      </c>
      <c r="E504" s="246" t="s">
        <v>769</v>
      </c>
      <c r="F504" s="246" t="s">
        <v>277</v>
      </c>
      <c r="G504" s="132">
        <v>19485</v>
      </c>
      <c r="H504" s="132" t="s">
        <v>1342</v>
      </c>
      <c r="I504" s="132">
        <v>19485</v>
      </c>
      <c r="J504" s="101" t="s">
        <v>889</v>
      </c>
      <c r="K504" s="245" t="s">
        <v>390</v>
      </c>
      <c r="L504" s="245">
        <v>42734</v>
      </c>
      <c r="M504" s="245" t="s">
        <v>391</v>
      </c>
      <c r="N504" s="101">
        <v>0</v>
      </c>
      <c r="O504" s="101" t="s">
        <v>392</v>
      </c>
      <c r="P504" s="101">
        <v>0</v>
      </c>
      <c r="Q504" s="101">
        <v>0</v>
      </c>
      <c r="R504" s="101" t="s">
        <v>393</v>
      </c>
      <c r="S504" s="101" t="s">
        <v>867</v>
      </c>
      <c r="T504" s="101" t="s">
        <v>394</v>
      </c>
      <c r="V504" s="245">
        <v>14248</v>
      </c>
      <c r="W504" s="101" t="s">
        <v>395</v>
      </c>
      <c r="X504" s="101" t="s">
        <v>795</v>
      </c>
      <c r="Y504" s="101" t="s">
        <v>396</v>
      </c>
      <c r="Z504" s="101" t="s">
        <v>402</v>
      </c>
      <c r="AA504" s="101" t="s">
        <v>78</v>
      </c>
      <c r="AB504" s="101">
        <v>4101000279</v>
      </c>
      <c r="AC504" s="101" t="s">
        <v>398</v>
      </c>
      <c r="AD504" s="101" t="s">
        <v>403</v>
      </c>
      <c r="AE504" s="101" t="s">
        <v>6</v>
      </c>
      <c r="AF504" s="101" t="s">
        <v>400</v>
      </c>
      <c r="AI504" s="101" t="s">
        <v>760</v>
      </c>
    </row>
    <row r="505" spans="1:35">
      <c r="A505" s="246" t="s">
        <v>112</v>
      </c>
      <c r="B505" s="246" t="s">
        <v>78</v>
      </c>
      <c r="C505" s="246" t="s">
        <v>126</v>
      </c>
      <c r="D505" s="246" t="s">
        <v>341</v>
      </c>
      <c r="E505" s="246" t="s">
        <v>342</v>
      </c>
      <c r="F505" s="246" t="s">
        <v>278</v>
      </c>
      <c r="G505" s="132">
        <v>19485</v>
      </c>
      <c r="H505" s="132" t="s">
        <v>1342</v>
      </c>
      <c r="I505" s="132">
        <v>19485</v>
      </c>
      <c r="J505" s="101" t="s">
        <v>889</v>
      </c>
      <c r="K505" s="245" t="s">
        <v>390</v>
      </c>
      <c r="L505" s="245">
        <v>42916</v>
      </c>
      <c r="M505" s="245" t="s">
        <v>391</v>
      </c>
      <c r="N505" s="101">
        <v>0</v>
      </c>
      <c r="O505" s="101" t="s">
        <v>392</v>
      </c>
      <c r="P505" s="101">
        <v>0</v>
      </c>
      <c r="Q505" s="101">
        <v>0</v>
      </c>
      <c r="R505" s="101" t="s">
        <v>393</v>
      </c>
      <c r="S505" s="101" t="s">
        <v>867</v>
      </c>
      <c r="T505" s="101" t="s">
        <v>394</v>
      </c>
      <c r="V505" s="245">
        <v>14248</v>
      </c>
      <c r="W505" s="101" t="s">
        <v>395</v>
      </c>
      <c r="X505" s="101" t="s">
        <v>795</v>
      </c>
      <c r="Y505" s="101" t="s">
        <v>396</v>
      </c>
      <c r="Z505" s="101" t="s">
        <v>402</v>
      </c>
      <c r="AA505" s="101" t="s">
        <v>78</v>
      </c>
      <c r="AB505" s="101">
        <v>4101000279</v>
      </c>
      <c r="AC505" s="101" t="s">
        <v>398</v>
      </c>
      <c r="AD505" s="101" t="s">
        <v>403</v>
      </c>
      <c r="AE505" s="101" t="s">
        <v>6</v>
      </c>
      <c r="AF505" s="101" t="s">
        <v>400</v>
      </c>
      <c r="AI505" s="101" t="s">
        <v>760</v>
      </c>
    </row>
    <row r="506" spans="1:35">
      <c r="A506" s="246" t="s">
        <v>113</v>
      </c>
      <c r="B506" s="246" t="s">
        <v>78</v>
      </c>
      <c r="C506" s="246" t="s">
        <v>126</v>
      </c>
      <c r="D506" s="246" t="s">
        <v>339</v>
      </c>
      <c r="E506" s="246" t="s">
        <v>340</v>
      </c>
      <c r="F506" s="246" t="s">
        <v>279</v>
      </c>
      <c r="G506" s="132" t="s">
        <v>703</v>
      </c>
      <c r="H506" s="132" t="s">
        <v>1343</v>
      </c>
      <c r="I506" s="132">
        <v>19376.75</v>
      </c>
      <c r="J506" s="101" t="s">
        <v>889</v>
      </c>
      <c r="K506" s="245" t="s">
        <v>390</v>
      </c>
      <c r="L506" s="245">
        <v>43098</v>
      </c>
      <c r="M506" s="245" t="s">
        <v>391</v>
      </c>
      <c r="N506" s="101">
        <v>0</v>
      </c>
      <c r="O506" s="101" t="s">
        <v>392</v>
      </c>
      <c r="P506" s="101">
        <v>0</v>
      </c>
      <c r="Q506" s="101">
        <v>0</v>
      </c>
      <c r="R506" s="101" t="s">
        <v>393</v>
      </c>
      <c r="S506" s="101" t="s">
        <v>867</v>
      </c>
      <c r="T506" s="101" t="s">
        <v>394</v>
      </c>
      <c r="V506" s="245">
        <v>14248</v>
      </c>
      <c r="W506" s="101" t="s">
        <v>395</v>
      </c>
      <c r="X506" s="101" t="s">
        <v>795</v>
      </c>
      <c r="Y506" s="101" t="s">
        <v>396</v>
      </c>
      <c r="Z506" s="101" t="s">
        <v>402</v>
      </c>
      <c r="AA506" s="101" t="s">
        <v>78</v>
      </c>
      <c r="AB506" s="101">
        <v>4101000279</v>
      </c>
      <c r="AC506" s="101" t="s">
        <v>398</v>
      </c>
      <c r="AD506" s="101" t="s">
        <v>403</v>
      </c>
      <c r="AE506" s="101" t="s">
        <v>6</v>
      </c>
      <c r="AF506" s="101" t="s">
        <v>400</v>
      </c>
      <c r="AI506" s="101" t="s">
        <v>760</v>
      </c>
    </row>
    <row r="507" spans="1:35">
      <c r="A507" s="246" t="s">
        <v>109</v>
      </c>
      <c r="B507" s="246" t="s">
        <v>78</v>
      </c>
      <c r="C507" s="246" t="s">
        <v>126</v>
      </c>
      <c r="D507" s="246" t="s">
        <v>337</v>
      </c>
      <c r="E507" s="246" t="s">
        <v>336</v>
      </c>
      <c r="F507" s="246" t="s">
        <v>275</v>
      </c>
      <c r="G507" s="132" t="s">
        <v>433</v>
      </c>
      <c r="H507" s="132" t="s">
        <v>1344</v>
      </c>
      <c r="I507" s="132">
        <v>149193.83000000002</v>
      </c>
      <c r="J507" s="101" t="s">
        <v>889</v>
      </c>
      <c r="K507" s="245" t="s">
        <v>390</v>
      </c>
      <c r="L507" s="245">
        <v>42552</v>
      </c>
      <c r="M507" s="245" t="s">
        <v>391</v>
      </c>
      <c r="N507" s="101">
        <v>0</v>
      </c>
      <c r="O507" s="101" t="s">
        <v>392</v>
      </c>
      <c r="P507" s="101">
        <v>0</v>
      </c>
      <c r="Q507" s="101">
        <v>0</v>
      </c>
      <c r="R507" s="101" t="s">
        <v>393</v>
      </c>
      <c r="S507" s="101" t="s">
        <v>855</v>
      </c>
      <c r="T507" s="101" t="s">
        <v>394</v>
      </c>
      <c r="V507" s="245">
        <v>13697</v>
      </c>
      <c r="W507" s="101" t="s">
        <v>395</v>
      </c>
      <c r="X507" s="101" t="s">
        <v>795</v>
      </c>
      <c r="Y507" s="101" t="s">
        <v>396</v>
      </c>
      <c r="Z507" s="101" t="s">
        <v>402</v>
      </c>
      <c r="AA507" s="101" t="s">
        <v>78</v>
      </c>
      <c r="AB507" s="101">
        <v>4101000279</v>
      </c>
      <c r="AC507" s="101" t="s">
        <v>398</v>
      </c>
      <c r="AD507" s="101" t="s">
        <v>403</v>
      </c>
      <c r="AE507" s="101" t="s">
        <v>6</v>
      </c>
      <c r="AF507" s="101" t="s">
        <v>400</v>
      </c>
      <c r="AI507" s="101" t="s">
        <v>760</v>
      </c>
    </row>
    <row r="508" spans="1:35">
      <c r="A508" s="246" t="s">
        <v>111</v>
      </c>
      <c r="B508" s="246" t="s">
        <v>78</v>
      </c>
      <c r="C508" s="246" t="s">
        <v>126</v>
      </c>
      <c r="D508" s="246" t="s">
        <v>768</v>
      </c>
      <c r="E508" s="246" t="s">
        <v>769</v>
      </c>
      <c r="F508" s="246" t="s">
        <v>277</v>
      </c>
      <c r="G508" s="132" t="s">
        <v>434</v>
      </c>
      <c r="H508" s="132" t="s">
        <v>1345</v>
      </c>
      <c r="I508" s="132">
        <v>153408.34</v>
      </c>
      <c r="J508" s="101" t="s">
        <v>889</v>
      </c>
      <c r="K508" s="245" t="s">
        <v>390</v>
      </c>
      <c r="L508" s="245">
        <v>42738</v>
      </c>
      <c r="M508" s="245" t="s">
        <v>391</v>
      </c>
      <c r="N508" s="101">
        <v>0</v>
      </c>
      <c r="O508" s="101" t="s">
        <v>392</v>
      </c>
      <c r="P508" s="101">
        <v>0</v>
      </c>
      <c r="Q508" s="101">
        <v>0</v>
      </c>
      <c r="R508" s="101" t="s">
        <v>393</v>
      </c>
      <c r="S508" s="101" t="s">
        <v>855</v>
      </c>
      <c r="T508" s="101" t="s">
        <v>394</v>
      </c>
      <c r="V508" s="245">
        <v>13697</v>
      </c>
      <c r="W508" s="101" t="s">
        <v>395</v>
      </c>
      <c r="X508" s="101" t="s">
        <v>795</v>
      </c>
      <c r="Y508" s="101" t="s">
        <v>396</v>
      </c>
      <c r="Z508" s="101" t="s">
        <v>402</v>
      </c>
      <c r="AA508" s="101" t="s">
        <v>78</v>
      </c>
      <c r="AB508" s="101">
        <v>4101000279</v>
      </c>
      <c r="AC508" s="101" t="s">
        <v>398</v>
      </c>
      <c r="AD508" s="101" t="s">
        <v>403</v>
      </c>
      <c r="AE508" s="101" t="s">
        <v>6</v>
      </c>
      <c r="AF508" s="101" t="s">
        <v>400</v>
      </c>
      <c r="AI508" s="101" t="s">
        <v>760</v>
      </c>
    </row>
    <row r="509" spans="1:35">
      <c r="A509" s="246" t="s">
        <v>112</v>
      </c>
      <c r="B509" s="246" t="s">
        <v>78</v>
      </c>
      <c r="C509" s="246" t="s">
        <v>126</v>
      </c>
      <c r="D509" s="246" t="s">
        <v>341</v>
      </c>
      <c r="E509" s="246" t="s">
        <v>342</v>
      </c>
      <c r="F509" s="246" t="s">
        <v>278</v>
      </c>
      <c r="G509" s="132" t="s">
        <v>435</v>
      </c>
      <c r="H509" s="132" t="s">
        <v>1346</v>
      </c>
      <c r="I509" s="132">
        <v>151722.53999999998</v>
      </c>
      <c r="J509" s="101" t="s">
        <v>889</v>
      </c>
      <c r="K509" s="245" t="s">
        <v>390</v>
      </c>
      <c r="L509" s="245">
        <v>42919</v>
      </c>
      <c r="M509" s="245" t="s">
        <v>391</v>
      </c>
      <c r="N509" s="101">
        <v>0</v>
      </c>
      <c r="O509" s="101" t="s">
        <v>392</v>
      </c>
      <c r="P509" s="101">
        <v>0</v>
      </c>
      <c r="Q509" s="101">
        <v>0</v>
      </c>
      <c r="R509" s="101" t="s">
        <v>393</v>
      </c>
      <c r="S509" s="101" t="s">
        <v>855</v>
      </c>
      <c r="T509" s="101" t="s">
        <v>394</v>
      </c>
      <c r="V509" s="245">
        <v>13697</v>
      </c>
      <c r="W509" s="101" t="s">
        <v>395</v>
      </c>
      <c r="X509" s="101" t="s">
        <v>795</v>
      </c>
      <c r="Y509" s="101" t="s">
        <v>396</v>
      </c>
      <c r="Z509" s="101" t="s">
        <v>402</v>
      </c>
      <c r="AA509" s="101" t="s">
        <v>78</v>
      </c>
      <c r="AB509" s="101">
        <v>4101000279</v>
      </c>
      <c r="AC509" s="101" t="s">
        <v>398</v>
      </c>
      <c r="AD509" s="101" t="s">
        <v>403</v>
      </c>
      <c r="AE509" s="101" t="s">
        <v>6</v>
      </c>
      <c r="AF509" s="101" t="s">
        <v>400</v>
      </c>
      <c r="AI509" s="101" t="s">
        <v>760</v>
      </c>
    </row>
    <row r="510" spans="1:35">
      <c r="A510" s="246" t="s">
        <v>113</v>
      </c>
      <c r="B510" s="246" t="s">
        <v>78</v>
      </c>
      <c r="C510" s="246" t="s">
        <v>126</v>
      </c>
      <c r="D510" s="246" t="s">
        <v>339</v>
      </c>
      <c r="E510" s="246" t="s">
        <v>340</v>
      </c>
      <c r="F510" s="246" t="s">
        <v>279</v>
      </c>
      <c r="G510" s="132" t="s">
        <v>436</v>
      </c>
      <c r="H510" s="132" t="s">
        <v>1347</v>
      </c>
      <c r="I510" s="132">
        <v>150879.63</v>
      </c>
      <c r="J510" s="101" t="s">
        <v>889</v>
      </c>
      <c r="K510" s="245" t="s">
        <v>390</v>
      </c>
      <c r="L510" s="245">
        <v>43102</v>
      </c>
      <c r="M510" s="245" t="s">
        <v>391</v>
      </c>
      <c r="N510" s="101">
        <v>0</v>
      </c>
      <c r="O510" s="101" t="s">
        <v>392</v>
      </c>
      <c r="P510" s="101">
        <v>0</v>
      </c>
      <c r="Q510" s="101">
        <v>0</v>
      </c>
      <c r="R510" s="101" t="s">
        <v>393</v>
      </c>
      <c r="S510" s="101" t="s">
        <v>855</v>
      </c>
      <c r="T510" s="101" t="s">
        <v>394</v>
      </c>
      <c r="V510" s="245">
        <v>13697</v>
      </c>
      <c r="W510" s="101" t="s">
        <v>395</v>
      </c>
      <c r="X510" s="101" t="s">
        <v>795</v>
      </c>
      <c r="Y510" s="101" t="s">
        <v>396</v>
      </c>
      <c r="Z510" s="101" t="s">
        <v>402</v>
      </c>
      <c r="AA510" s="101" t="s">
        <v>78</v>
      </c>
      <c r="AB510" s="101">
        <v>4101000279</v>
      </c>
      <c r="AC510" s="101" t="s">
        <v>398</v>
      </c>
      <c r="AD510" s="101" t="s">
        <v>403</v>
      </c>
      <c r="AE510" s="101" t="s">
        <v>6</v>
      </c>
      <c r="AF510" s="101" t="s">
        <v>400</v>
      </c>
      <c r="AI510" s="101" t="s">
        <v>760</v>
      </c>
    </row>
    <row r="511" spans="1:35">
      <c r="A511" s="246" t="s">
        <v>109</v>
      </c>
      <c r="B511" s="246" t="s">
        <v>66</v>
      </c>
      <c r="C511" s="246" t="s">
        <v>126</v>
      </c>
      <c r="D511" s="246" t="s">
        <v>272</v>
      </c>
      <c r="E511" s="246"/>
      <c r="F511" s="246"/>
      <c r="G511" s="132">
        <v>0</v>
      </c>
      <c r="H511" s="132">
        <v>0</v>
      </c>
      <c r="I511" s="132">
        <v>0</v>
      </c>
      <c r="J511" s="101" t="s">
        <v>889</v>
      </c>
      <c r="K511" s="245" t="s">
        <v>390</v>
      </c>
      <c r="L511" s="245">
        <v>42576</v>
      </c>
      <c r="M511" s="245" t="s">
        <v>391</v>
      </c>
      <c r="N511" s="101">
        <v>0</v>
      </c>
      <c r="O511" s="101" t="s">
        <v>392</v>
      </c>
      <c r="P511" s="101">
        <v>0</v>
      </c>
      <c r="Q511" s="101">
        <v>0</v>
      </c>
      <c r="R511" s="101" t="s">
        <v>428</v>
      </c>
      <c r="S511" s="101">
        <v>148685</v>
      </c>
      <c r="T511" s="101" t="s">
        <v>394</v>
      </c>
      <c r="V511" s="245">
        <v>42668</v>
      </c>
      <c r="W511" s="101" t="s">
        <v>424</v>
      </c>
      <c r="X511" s="101" t="s">
        <v>556</v>
      </c>
      <c r="Y511" s="101" t="s">
        <v>392</v>
      </c>
      <c r="Z511" s="101" t="s">
        <v>430</v>
      </c>
      <c r="AA511" s="101" t="s">
        <v>397</v>
      </c>
      <c r="AB511" s="101">
        <v>5101000018</v>
      </c>
      <c r="AC511" s="101" t="s">
        <v>431</v>
      </c>
      <c r="AD511" s="101" t="s">
        <v>431</v>
      </c>
      <c r="AE511" s="101" t="s">
        <v>75</v>
      </c>
      <c r="AF511" s="101" t="s">
        <v>400</v>
      </c>
      <c r="AG511" s="101" t="s">
        <v>557</v>
      </c>
      <c r="AI511" s="101" t="s">
        <v>760</v>
      </c>
    </row>
    <row r="512" spans="1:35">
      <c r="A512" s="246" t="s">
        <v>110</v>
      </c>
      <c r="B512" s="246" t="s">
        <v>66</v>
      </c>
      <c r="C512" s="246" t="s">
        <v>126</v>
      </c>
      <c r="D512" s="246" t="s">
        <v>281</v>
      </c>
      <c r="E512" s="246"/>
      <c r="F512" s="246"/>
      <c r="G512" s="132">
        <v>0</v>
      </c>
      <c r="H512" s="132">
        <v>0</v>
      </c>
      <c r="I512" s="132">
        <v>0</v>
      </c>
      <c r="J512" s="101" t="s">
        <v>889</v>
      </c>
      <c r="K512" s="245" t="s">
        <v>390</v>
      </c>
      <c r="L512" s="245">
        <v>42668</v>
      </c>
      <c r="M512" s="245" t="s">
        <v>391</v>
      </c>
      <c r="N512" s="101">
        <v>0</v>
      </c>
      <c r="O512" s="101" t="s">
        <v>392</v>
      </c>
      <c r="P512" s="101">
        <v>0</v>
      </c>
      <c r="Q512" s="101">
        <v>0</v>
      </c>
      <c r="R512" s="101" t="s">
        <v>428</v>
      </c>
      <c r="S512" s="101">
        <v>148685</v>
      </c>
      <c r="T512" s="101" t="s">
        <v>394</v>
      </c>
      <c r="V512" s="245">
        <v>42668</v>
      </c>
      <c r="W512" s="101" t="s">
        <v>424</v>
      </c>
      <c r="X512" s="101" t="s">
        <v>556</v>
      </c>
      <c r="Y512" s="101" t="s">
        <v>392</v>
      </c>
      <c r="Z512" s="101" t="s">
        <v>430</v>
      </c>
      <c r="AA512" s="101" t="s">
        <v>397</v>
      </c>
      <c r="AB512" s="101">
        <v>5101000018</v>
      </c>
      <c r="AC512" s="101" t="s">
        <v>431</v>
      </c>
      <c r="AD512" s="101" t="s">
        <v>431</v>
      </c>
      <c r="AE512" s="101" t="s">
        <v>75</v>
      </c>
      <c r="AF512" s="101" t="s">
        <v>400</v>
      </c>
      <c r="AG512" s="101" t="s">
        <v>557</v>
      </c>
      <c r="AI512" s="101" t="s">
        <v>760</v>
      </c>
    </row>
    <row r="513" spans="1:35">
      <c r="A513" s="246" t="s">
        <v>110</v>
      </c>
      <c r="B513" s="246" t="s">
        <v>66</v>
      </c>
      <c r="C513" s="246" t="s">
        <v>116</v>
      </c>
      <c r="D513" s="246" t="s">
        <v>885</v>
      </c>
      <c r="E513" s="246"/>
      <c r="F513" s="246"/>
      <c r="G513" s="132">
        <v>0</v>
      </c>
      <c r="H513" s="132">
        <v>0</v>
      </c>
      <c r="I513" s="132">
        <v>0</v>
      </c>
      <c r="J513" s="101" t="s">
        <v>889</v>
      </c>
      <c r="K513" s="245" t="s">
        <v>390</v>
      </c>
      <c r="L513" s="245">
        <v>42668</v>
      </c>
      <c r="M513" s="245" t="s">
        <v>421</v>
      </c>
      <c r="N513" s="101">
        <v>0</v>
      </c>
      <c r="O513" s="101" t="s">
        <v>392</v>
      </c>
      <c r="P513" s="101">
        <v>0</v>
      </c>
      <c r="Q513" s="101">
        <v>0</v>
      </c>
      <c r="R513" s="101" t="s">
        <v>428</v>
      </c>
      <c r="S513" s="101">
        <v>148685</v>
      </c>
      <c r="T513" s="101" t="s">
        <v>394</v>
      </c>
      <c r="V513" s="245">
        <v>42668</v>
      </c>
      <c r="W513" s="101" t="s">
        <v>424</v>
      </c>
      <c r="X513" s="101" t="s">
        <v>556</v>
      </c>
      <c r="Y513" s="101" t="s">
        <v>392</v>
      </c>
      <c r="Z513" s="101" t="s">
        <v>430</v>
      </c>
      <c r="AA513" s="101" t="s">
        <v>397</v>
      </c>
      <c r="AB513" s="101">
        <v>5101000018</v>
      </c>
      <c r="AC513" s="101" t="s">
        <v>431</v>
      </c>
      <c r="AD513" s="101" t="s">
        <v>431</v>
      </c>
      <c r="AE513" s="101" t="s">
        <v>75</v>
      </c>
      <c r="AF513" s="101" t="s">
        <v>400</v>
      </c>
      <c r="AG513" s="101" t="s">
        <v>557</v>
      </c>
      <c r="AI513" s="101" t="s">
        <v>760</v>
      </c>
    </row>
    <row r="514" spans="1:35">
      <c r="A514" s="246" t="s">
        <v>107</v>
      </c>
      <c r="B514" s="246" t="s">
        <v>66</v>
      </c>
      <c r="C514" s="246" t="s">
        <v>126</v>
      </c>
      <c r="D514" s="246" t="s">
        <v>1769</v>
      </c>
      <c r="E514" s="246"/>
      <c r="F514" s="246"/>
      <c r="G514" s="132">
        <v>0</v>
      </c>
      <c r="H514" s="132">
        <v>0</v>
      </c>
      <c r="I514" s="132">
        <v>0</v>
      </c>
      <c r="J514" s="101" t="s">
        <v>889</v>
      </c>
      <c r="K514" s="245" t="s">
        <v>390</v>
      </c>
      <c r="L514" s="245">
        <v>42522</v>
      </c>
      <c r="M514" s="245" t="s">
        <v>391</v>
      </c>
      <c r="N514" s="101">
        <v>0</v>
      </c>
      <c r="O514" s="101" t="s">
        <v>392</v>
      </c>
      <c r="P514" s="101">
        <v>0</v>
      </c>
      <c r="Q514" s="101">
        <v>0</v>
      </c>
      <c r="R514" s="101" t="s">
        <v>428</v>
      </c>
      <c r="S514" s="101">
        <v>157751</v>
      </c>
      <c r="T514" s="101" t="s">
        <v>394</v>
      </c>
      <c r="V514" s="245">
        <v>42932</v>
      </c>
      <c r="W514" s="101" t="s">
        <v>627</v>
      </c>
      <c r="X514" s="101" t="s">
        <v>429</v>
      </c>
      <c r="Y514" s="101" t="s">
        <v>392</v>
      </c>
      <c r="Z514" s="101" t="s">
        <v>430</v>
      </c>
      <c r="AA514" s="101" t="s">
        <v>628</v>
      </c>
      <c r="AB514" s="101">
        <v>3101055606</v>
      </c>
      <c r="AC514" s="101" t="s">
        <v>431</v>
      </c>
      <c r="AD514" s="101" t="s">
        <v>431</v>
      </c>
      <c r="AE514" s="101" t="s">
        <v>75</v>
      </c>
      <c r="AF514" s="101" t="s">
        <v>400</v>
      </c>
      <c r="AG514" s="101" t="s">
        <v>432</v>
      </c>
      <c r="AI514" s="101" t="s">
        <v>760</v>
      </c>
    </row>
    <row r="515" spans="1:35">
      <c r="A515" s="246" t="s">
        <v>109</v>
      </c>
      <c r="B515" s="246" t="s">
        <v>66</v>
      </c>
      <c r="C515" s="246" t="s">
        <v>126</v>
      </c>
      <c r="D515" s="246" t="s">
        <v>272</v>
      </c>
      <c r="E515" s="246"/>
      <c r="F515" s="246"/>
      <c r="G515" s="132">
        <v>0</v>
      </c>
      <c r="H515" s="132">
        <v>0</v>
      </c>
      <c r="I515" s="132">
        <v>0</v>
      </c>
      <c r="J515" s="101" t="s">
        <v>889</v>
      </c>
      <c r="K515" s="245" t="s">
        <v>390</v>
      </c>
      <c r="L515" s="245">
        <v>42552</v>
      </c>
      <c r="M515" s="245" t="s">
        <v>391</v>
      </c>
      <c r="N515" s="101">
        <v>0</v>
      </c>
      <c r="O515" s="101" t="s">
        <v>392</v>
      </c>
      <c r="P515" s="101">
        <v>0</v>
      </c>
      <c r="Q515" s="101">
        <v>0</v>
      </c>
      <c r="R515" s="101" t="s">
        <v>428</v>
      </c>
      <c r="S515" s="101">
        <v>157751</v>
      </c>
      <c r="T515" s="101" t="s">
        <v>394</v>
      </c>
      <c r="V515" s="245">
        <v>42932</v>
      </c>
      <c r="W515" s="101" t="s">
        <v>627</v>
      </c>
      <c r="X515" s="101" t="s">
        <v>429</v>
      </c>
      <c r="Y515" s="101" t="s">
        <v>392</v>
      </c>
      <c r="Z515" s="101" t="s">
        <v>430</v>
      </c>
      <c r="AA515" s="101" t="s">
        <v>628</v>
      </c>
      <c r="AB515" s="101">
        <v>3101055606</v>
      </c>
      <c r="AC515" s="101" t="s">
        <v>431</v>
      </c>
      <c r="AD515" s="101" t="s">
        <v>431</v>
      </c>
      <c r="AE515" s="101" t="s">
        <v>75</v>
      </c>
      <c r="AF515" s="101" t="s">
        <v>400</v>
      </c>
      <c r="AG515" s="101" t="s">
        <v>432</v>
      </c>
      <c r="AI515" s="101" t="s">
        <v>760</v>
      </c>
    </row>
    <row r="516" spans="1:35">
      <c r="A516" s="246" t="s">
        <v>109</v>
      </c>
      <c r="B516" s="246" t="s">
        <v>66</v>
      </c>
      <c r="C516" s="246" t="s">
        <v>126</v>
      </c>
      <c r="D516" s="246" t="s">
        <v>272</v>
      </c>
      <c r="E516" s="246"/>
      <c r="F516" s="246"/>
      <c r="G516" s="132">
        <v>0</v>
      </c>
      <c r="H516" s="132">
        <v>0</v>
      </c>
      <c r="I516" s="132">
        <v>0</v>
      </c>
      <c r="J516" s="101" t="s">
        <v>889</v>
      </c>
      <c r="K516" s="245" t="s">
        <v>390</v>
      </c>
      <c r="L516" s="245">
        <v>42583</v>
      </c>
      <c r="M516" s="245" t="s">
        <v>391</v>
      </c>
      <c r="N516" s="101">
        <v>0</v>
      </c>
      <c r="O516" s="101" t="s">
        <v>392</v>
      </c>
      <c r="P516" s="101">
        <v>0</v>
      </c>
      <c r="Q516" s="101">
        <v>0</v>
      </c>
      <c r="R516" s="101" t="s">
        <v>428</v>
      </c>
      <c r="S516" s="101">
        <v>157751</v>
      </c>
      <c r="T516" s="101" t="s">
        <v>394</v>
      </c>
      <c r="V516" s="245">
        <v>42932</v>
      </c>
      <c r="W516" s="101" t="s">
        <v>627</v>
      </c>
      <c r="X516" s="101" t="s">
        <v>429</v>
      </c>
      <c r="Y516" s="101" t="s">
        <v>392</v>
      </c>
      <c r="Z516" s="101" t="s">
        <v>430</v>
      </c>
      <c r="AA516" s="101" t="s">
        <v>628</v>
      </c>
      <c r="AB516" s="101">
        <v>3101055606</v>
      </c>
      <c r="AC516" s="101" t="s">
        <v>431</v>
      </c>
      <c r="AD516" s="101" t="s">
        <v>431</v>
      </c>
      <c r="AE516" s="101" t="s">
        <v>75</v>
      </c>
      <c r="AF516" s="101" t="s">
        <v>400</v>
      </c>
      <c r="AG516" s="101" t="s">
        <v>432</v>
      </c>
      <c r="AI516" s="101" t="s">
        <v>760</v>
      </c>
    </row>
    <row r="517" spans="1:35">
      <c r="A517" s="246" t="s">
        <v>110</v>
      </c>
      <c r="B517" s="246" t="s">
        <v>66</v>
      </c>
      <c r="C517" s="246" t="s">
        <v>126</v>
      </c>
      <c r="D517" s="246" t="s">
        <v>281</v>
      </c>
      <c r="E517" s="246"/>
      <c r="F517" s="246"/>
      <c r="G517" s="132">
        <v>0</v>
      </c>
      <c r="H517" s="132">
        <v>0</v>
      </c>
      <c r="I517" s="132">
        <v>0</v>
      </c>
      <c r="J517" s="101" t="s">
        <v>889</v>
      </c>
      <c r="K517" s="245" t="s">
        <v>390</v>
      </c>
      <c r="L517" s="245">
        <v>42614</v>
      </c>
      <c r="M517" s="245" t="s">
        <v>391</v>
      </c>
      <c r="N517" s="101">
        <v>0</v>
      </c>
      <c r="O517" s="101" t="s">
        <v>392</v>
      </c>
      <c r="P517" s="101">
        <v>0</v>
      </c>
      <c r="Q517" s="101">
        <v>0</v>
      </c>
      <c r="R517" s="101" t="s">
        <v>428</v>
      </c>
      <c r="S517" s="101">
        <v>157751</v>
      </c>
      <c r="T517" s="101" t="s">
        <v>394</v>
      </c>
      <c r="V517" s="245">
        <v>42932</v>
      </c>
      <c r="W517" s="101" t="s">
        <v>627</v>
      </c>
      <c r="X517" s="101" t="s">
        <v>429</v>
      </c>
      <c r="Y517" s="101" t="s">
        <v>392</v>
      </c>
      <c r="Z517" s="101" t="s">
        <v>430</v>
      </c>
      <c r="AA517" s="101" t="s">
        <v>628</v>
      </c>
      <c r="AB517" s="101">
        <v>3101055606</v>
      </c>
      <c r="AC517" s="101" t="s">
        <v>431</v>
      </c>
      <c r="AD517" s="101" t="s">
        <v>431</v>
      </c>
      <c r="AE517" s="101" t="s">
        <v>75</v>
      </c>
      <c r="AF517" s="101" t="s">
        <v>400</v>
      </c>
      <c r="AG517" s="101" t="s">
        <v>432</v>
      </c>
      <c r="AI517" s="101" t="s">
        <v>760</v>
      </c>
    </row>
    <row r="518" spans="1:35">
      <c r="A518" s="246" t="s">
        <v>110</v>
      </c>
      <c r="B518" s="246" t="s">
        <v>66</v>
      </c>
      <c r="C518" s="246" t="s">
        <v>126</v>
      </c>
      <c r="D518" s="246" t="s">
        <v>281</v>
      </c>
      <c r="E518" s="246"/>
      <c r="F518" s="246"/>
      <c r="G518" s="132">
        <v>0</v>
      </c>
      <c r="H518" s="132">
        <v>0</v>
      </c>
      <c r="I518" s="132">
        <v>0</v>
      </c>
      <c r="J518" s="101" t="s">
        <v>889</v>
      </c>
      <c r="K518" s="245" t="s">
        <v>390</v>
      </c>
      <c r="L518" s="245">
        <v>42646</v>
      </c>
      <c r="M518" s="245" t="s">
        <v>391</v>
      </c>
      <c r="N518" s="101">
        <v>0</v>
      </c>
      <c r="O518" s="101" t="s">
        <v>392</v>
      </c>
      <c r="P518" s="101">
        <v>0</v>
      </c>
      <c r="Q518" s="101">
        <v>0</v>
      </c>
      <c r="R518" s="101" t="s">
        <v>428</v>
      </c>
      <c r="S518" s="101">
        <v>157751</v>
      </c>
      <c r="T518" s="101" t="s">
        <v>394</v>
      </c>
      <c r="V518" s="245">
        <v>42932</v>
      </c>
      <c r="W518" s="101" t="s">
        <v>627</v>
      </c>
      <c r="X518" s="101" t="s">
        <v>429</v>
      </c>
      <c r="Y518" s="101" t="s">
        <v>392</v>
      </c>
      <c r="Z518" s="101" t="s">
        <v>430</v>
      </c>
      <c r="AA518" s="101" t="s">
        <v>628</v>
      </c>
      <c r="AB518" s="101">
        <v>3101055606</v>
      </c>
      <c r="AC518" s="101" t="s">
        <v>431</v>
      </c>
      <c r="AD518" s="101" t="s">
        <v>431</v>
      </c>
      <c r="AE518" s="101" t="s">
        <v>75</v>
      </c>
      <c r="AF518" s="101" t="s">
        <v>400</v>
      </c>
      <c r="AG518" s="101" t="s">
        <v>432</v>
      </c>
      <c r="AI518" s="101" t="s">
        <v>760</v>
      </c>
    </row>
    <row r="519" spans="1:35">
      <c r="A519" s="246" t="s">
        <v>110</v>
      </c>
      <c r="B519" s="246" t="s">
        <v>66</v>
      </c>
      <c r="C519" s="246" t="s">
        <v>126</v>
      </c>
      <c r="D519" s="246" t="s">
        <v>281</v>
      </c>
      <c r="E519" s="246"/>
      <c r="F519" s="246"/>
      <c r="G519" s="132">
        <v>0</v>
      </c>
      <c r="H519" s="132">
        <v>0</v>
      </c>
      <c r="I519" s="132">
        <v>0</v>
      </c>
      <c r="J519" s="101" t="s">
        <v>889</v>
      </c>
      <c r="K519" s="245" t="s">
        <v>390</v>
      </c>
      <c r="L519" s="245">
        <v>42675</v>
      </c>
      <c r="M519" s="245" t="s">
        <v>391</v>
      </c>
      <c r="N519" s="101">
        <v>0</v>
      </c>
      <c r="O519" s="101" t="s">
        <v>392</v>
      </c>
      <c r="P519" s="101">
        <v>0</v>
      </c>
      <c r="Q519" s="101">
        <v>0</v>
      </c>
      <c r="R519" s="101" t="s">
        <v>428</v>
      </c>
      <c r="S519" s="101">
        <v>157751</v>
      </c>
      <c r="T519" s="101" t="s">
        <v>394</v>
      </c>
      <c r="V519" s="245">
        <v>42932</v>
      </c>
      <c r="W519" s="101" t="s">
        <v>627</v>
      </c>
      <c r="X519" s="101" t="s">
        <v>429</v>
      </c>
      <c r="Y519" s="101" t="s">
        <v>392</v>
      </c>
      <c r="Z519" s="101" t="s">
        <v>430</v>
      </c>
      <c r="AA519" s="101" t="s">
        <v>628</v>
      </c>
      <c r="AB519" s="101">
        <v>3101055606</v>
      </c>
      <c r="AC519" s="101" t="s">
        <v>431</v>
      </c>
      <c r="AD519" s="101" t="s">
        <v>431</v>
      </c>
      <c r="AE519" s="101" t="s">
        <v>75</v>
      </c>
      <c r="AF519" s="101" t="s">
        <v>400</v>
      </c>
      <c r="AG519" s="101" t="s">
        <v>432</v>
      </c>
      <c r="AI519" s="101" t="s">
        <v>760</v>
      </c>
    </row>
    <row r="520" spans="1:35">
      <c r="A520" s="246" t="s">
        <v>111</v>
      </c>
      <c r="B520" s="246" t="s">
        <v>66</v>
      </c>
      <c r="C520" s="246" t="s">
        <v>126</v>
      </c>
      <c r="D520" s="246" t="s">
        <v>273</v>
      </c>
      <c r="E520" s="246"/>
      <c r="F520" s="246"/>
      <c r="G520" s="132">
        <v>0</v>
      </c>
      <c r="H520" s="132">
        <v>0</v>
      </c>
      <c r="I520" s="132">
        <v>0</v>
      </c>
      <c r="J520" s="101" t="s">
        <v>889</v>
      </c>
      <c r="K520" s="245" t="s">
        <v>390</v>
      </c>
      <c r="L520" s="245">
        <v>42705</v>
      </c>
      <c r="M520" s="245" t="s">
        <v>391</v>
      </c>
      <c r="N520" s="101">
        <v>0</v>
      </c>
      <c r="O520" s="101" t="s">
        <v>392</v>
      </c>
      <c r="P520" s="101">
        <v>0</v>
      </c>
      <c r="Q520" s="101">
        <v>0</v>
      </c>
      <c r="R520" s="101" t="s">
        <v>428</v>
      </c>
      <c r="S520" s="101">
        <v>157751</v>
      </c>
      <c r="T520" s="101" t="s">
        <v>394</v>
      </c>
      <c r="V520" s="245">
        <v>42932</v>
      </c>
      <c r="W520" s="101" t="s">
        <v>627</v>
      </c>
      <c r="X520" s="101" t="s">
        <v>429</v>
      </c>
      <c r="Y520" s="101" t="s">
        <v>392</v>
      </c>
      <c r="Z520" s="101" t="s">
        <v>430</v>
      </c>
      <c r="AA520" s="101" t="s">
        <v>628</v>
      </c>
      <c r="AB520" s="101">
        <v>3101055606</v>
      </c>
      <c r="AC520" s="101" t="s">
        <v>431</v>
      </c>
      <c r="AD520" s="101" t="s">
        <v>431</v>
      </c>
      <c r="AE520" s="101" t="s">
        <v>75</v>
      </c>
      <c r="AF520" s="101" t="s">
        <v>400</v>
      </c>
      <c r="AG520" s="101" t="s">
        <v>432</v>
      </c>
      <c r="AI520" s="101" t="s">
        <v>760</v>
      </c>
    </row>
    <row r="521" spans="1:35">
      <c r="A521" s="246" t="s">
        <v>111</v>
      </c>
      <c r="B521" s="246" t="s">
        <v>66</v>
      </c>
      <c r="C521" s="246" t="s">
        <v>126</v>
      </c>
      <c r="D521" s="246" t="s">
        <v>273</v>
      </c>
      <c r="E521" s="246"/>
      <c r="F521" s="246"/>
      <c r="G521" s="132">
        <v>0</v>
      </c>
      <c r="H521" s="132">
        <v>0</v>
      </c>
      <c r="I521" s="132">
        <v>0</v>
      </c>
      <c r="J521" s="101" t="s">
        <v>889</v>
      </c>
      <c r="K521" s="245" t="s">
        <v>390</v>
      </c>
      <c r="L521" s="245">
        <v>42738</v>
      </c>
      <c r="M521" s="245" t="s">
        <v>391</v>
      </c>
      <c r="N521" s="101">
        <v>0</v>
      </c>
      <c r="O521" s="101" t="s">
        <v>392</v>
      </c>
      <c r="P521" s="101">
        <v>0</v>
      </c>
      <c r="Q521" s="101">
        <v>0</v>
      </c>
      <c r="R521" s="101" t="s">
        <v>428</v>
      </c>
      <c r="S521" s="101">
        <v>157751</v>
      </c>
      <c r="T521" s="101" t="s">
        <v>394</v>
      </c>
      <c r="V521" s="245">
        <v>42932</v>
      </c>
      <c r="W521" s="101" t="s">
        <v>627</v>
      </c>
      <c r="X521" s="101" t="s">
        <v>429</v>
      </c>
      <c r="Y521" s="101" t="s">
        <v>392</v>
      </c>
      <c r="Z521" s="101" t="s">
        <v>430</v>
      </c>
      <c r="AA521" s="101" t="s">
        <v>628</v>
      </c>
      <c r="AB521" s="101">
        <v>3101055606</v>
      </c>
      <c r="AC521" s="101" t="s">
        <v>431</v>
      </c>
      <c r="AD521" s="101" t="s">
        <v>431</v>
      </c>
      <c r="AE521" s="101" t="s">
        <v>75</v>
      </c>
      <c r="AF521" s="101" t="s">
        <v>400</v>
      </c>
      <c r="AG521" s="101" t="s">
        <v>432</v>
      </c>
      <c r="AI521" s="101" t="s">
        <v>760</v>
      </c>
    </row>
    <row r="522" spans="1:35">
      <c r="A522" s="246" t="s">
        <v>111</v>
      </c>
      <c r="B522" s="246" t="s">
        <v>66</v>
      </c>
      <c r="C522" s="246" t="s">
        <v>126</v>
      </c>
      <c r="D522" s="246" t="s">
        <v>273</v>
      </c>
      <c r="E522" s="246"/>
      <c r="F522" s="246"/>
      <c r="G522" s="132">
        <v>0</v>
      </c>
      <c r="H522" s="132">
        <v>0</v>
      </c>
      <c r="I522" s="132">
        <v>0</v>
      </c>
      <c r="J522" s="101" t="s">
        <v>889</v>
      </c>
      <c r="K522" s="245" t="s">
        <v>390</v>
      </c>
      <c r="L522" s="245">
        <v>42767</v>
      </c>
      <c r="M522" s="245" t="s">
        <v>391</v>
      </c>
      <c r="N522" s="101">
        <v>0</v>
      </c>
      <c r="O522" s="101" t="s">
        <v>392</v>
      </c>
      <c r="P522" s="101">
        <v>0</v>
      </c>
      <c r="Q522" s="101">
        <v>0</v>
      </c>
      <c r="R522" s="101" t="s">
        <v>428</v>
      </c>
      <c r="S522" s="101">
        <v>157751</v>
      </c>
      <c r="T522" s="101" t="s">
        <v>394</v>
      </c>
      <c r="V522" s="245">
        <v>42932</v>
      </c>
      <c r="W522" s="101" t="s">
        <v>627</v>
      </c>
      <c r="X522" s="101" t="s">
        <v>429</v>
      </c>
      <c r="Y522" s="101" t="s">
        <v>392</v>
      </c>
      <c r="Z522" s="101" t="s">
        <v>430</v>
      </c>
      <c r="AA522" s="101" t="s">
        <v>628</v>
      </c>
      <c r="AB522" s="101">
        <v>3101055606</v>
      </c>
      <c r="AC522" s="101" t="s">
        <v>431</v>
      </c>
      <c r="AD522" s="101" t="s">
        <v>431</v>
      </c>
      <c r="AE522" s="101" t="s">
        <v>75</v>
      </c>
      <c r="AF522" s="101" t="s">
        <v>400</v>
      </c>
      <c r="AG522" s="101" t="s">
        <v>432</v>
      </c>
      <c r="AI522" s="101" t="s">
        <v>760</v>
      </c>
    </row>
    <row r="523" spans="1:35">
      <c r="A523" s="246" t="s">
        <v>111</v>
      </c>
      <c r="B523" s="246" t="s">
        <v>66</v>
      </c>
      <c r="C523" s="246" t="s">
        <v>126</v>
      </c>
      <c r="D523" s="246" t="s">
        <v>273</v>
      </c>
      <c r="E523" s="246"/>
      <c r="F523" s="246"/>
      <c r="G523" s="132">
        <v>0</v>
      </c>
      <c r="H523" s="132">
        <v>0</v>
      </c>
      <c r="I523" s="132">
        <v>0</v>
      </c>
      <c r="J523" s="101" t="s">
        <v>889</v>
      </c>
      <c r="K523" s="245" t="s">
        <v>390</v>
      </c>
      <c r="L523" s="245">
        <v>42795</v>
      </c>
      <c r="M523" s="245" t="s">
        <v>391</v>
      </c>
      <c r="N523" s="101">
        <v>0</v>
      </c>
      <c r="O523" s="101" t="s">
        <v>392</v>
      </c>
      <c r="P523" s="101">
        <v>0</v>
      </c>
      <c r="Q523" s="101">
        <v>0</v>
      </c>
      <c r="R523" s="101" t="s">
        <v>428</v>
      </c>
      <c r="S523" s="101">
        <v>157751</v>
      </c>
      <c r="T523" s="101" t="s">
        <v>394</v>
      </c>
      <c r="V523" s="245">
        <v>42932</v>
      </c>
      <c r="W523" s="101" t="s">
        <v>627</v>
      </c>
      <c r="X523" s="101" t="s">
        <v>429</v>
      </c>
      <c r="Y523" s="101" t="s">
        <v>392</v>
      </c>
      <c r="Z523" s="101" t="s">
        <v>430</v>
      </c>
      <c r="AA523" s="101" t="s">
        <v>628</v>
      </c>
      <c r="AB523" s="101">
        <v>3101055606</v>
      </c>
      <c r="AC523" s="101" t="s">
        <v>431</v>
      </c>
      <c r="AD523" s="101" t="s">
        <v>431</v>
      </c>
      <c r="AE523" s="101" t="s">
        <v>75</v>
      </c>
      <c r="AF523" s="101" t="s">
        <v>400</v>
      </c>
      <c r="AG523" s="101" t="s">
        <v>432</v>
      </c>
      <c r="AI523" s="101" t="s">
        <v>760</v>
      </c>
    </row>
    <row r="524" spans="1:35">
      <c r="A524" s="246" t="s">
        <v>111</v>
      </c>
      <c r="B524" s="246" t="s">
        <v>66</v>
      </c>
      <c r="C524" s="246" t="s">
        <v>126</v>
      </c>
      <c r="D524" s="246" t="s">
        <v>273</v>
      </c>
      <c r="E524" s="246"/>
      <c r="F524" s="246"/>
      <c r="G524" s="132">
        <v>0</v>
      </c>
      <c r="H524" s="132">
        <v>0</v>
      </c>
      <c r="I524" s="132">
        <v>0</v>
      </c>
      <c r="J524" s="101" t="s">
        <v>889</v>
      </c>
      <c r="K524" s="245" t="s">
        <v>390</v>
      </c>
      <c r="L524" s="245">
        <v>42828</v>
      </c>
      <c r="M524" s="245" t="s">
        <v>391</v>
      </c>
      <c r="N524" s="101">
        <v>0</v>
      </c>
      <c r="O524" s="101" t="s">
        <v>392</v>
      </c>
      <c r="P524" s="101">
        <v>0</v>
      </c>
      <c r="Q524" s="101">
        <v>0</v>
      </c>
      <c r="R524" s="101" t="s">
        <v>428</v>
      </c>
      <c r="S524" s="101">
        <v>157751</v>
      </c>
      <c r="T524" s="101" t="s">
        <v>394</v>
      </c>
      <c r="V524" s="245">
        <v>42932</v>
      </c>
      <c r="W524" s="101" t="s">
        <v>627</v>
      </c>
      <c r="X524" s="101" t="s">
        <v>429</v>
      </c>
      <c r="Y524" s="101" t="s">
        <v>392</v>
      </c>
      <c r="Z524" s="101" t="s">
        <v>430</v>
      </c>
      <c r="AA524" s="101" t="s">
        <v>628</v>
      </c>
      <c r="AB524" s="101">
        <v>3101055606</v>
      </c>
      <c r="AC524" s="101" t="s">
        <v>431</v>
      </c>
      <c r="AD524" s="101" t="s">
        <v>431</v>
      </c>
      <c r="AE524" s="101" t="s">
        <v>75</v>
      </c>
      <c r="AF524" s="101" t="s">
        <v>400</v>
      </c>
      <c r="AG524" s="101" t="s">
        <v>432</v>
      </c>
      <c r="AI524" s="101" t="s">
        <v>760</v>
      </c>
    </row>
    <row r="525" spans="1:35">
      <c r="A525" s="246" t="s">
        <v>112</v>
      </c>
      <c r="B525" s="246" t="s">
        <v>78</v>
      </c>
      <c r="C525" s="246" t="s">
        <v>126</v>
      </c>
      <c r="D525" s="246" t="s">
        <v>341</v>
      </c>
      <c r="E525" s="246" t="s">
        <v>342</v>
      </c>
      <c r="F525" s="246" t="s">
        <v>278</v>
      </c>
      <c r="G525" s="132" t="s">
        <v>1348</v>
      </c>
      <c r="H525" s="132" t="s">
        <v>1349</v>
      </c>
      <c r="I525" s="132">
        <v>-2538.5700000000002</v>
      </c>
      <c r="J525" s="101" t="s">
        <v>889</v>
      </c>
      <c r="K525" s="245" t="s">
        <v>390</v>
      </c>
      <c r="L525" s="245">
        <v>42948</v>
      </c>
      <c r="M525" s="245" t="s">
        <v>391</v>
      </c>
      <c r="N525" s="101">
        <v>0</v>
      </c>
      <c r="O525" s="101" t="s">
        <v>392</v>
      </c>
      <c r="P525" s="101">
        <v>0</v>
      </c>
      <c r="Q525" s="101">
        <v>0</v>
      </c>
      <c r="R525" s="101" t="s">
        <v>393</v>
      </c>
      <c r="S525" s="101" t="s">
        <v>855</v>
      </c>
      <c r="T525" s="101" t="s">
        <v>394</v>
      </c>
      <c r="V525" s="245">
        <v>13697</v>
      </c>
      <c r="W525" s="101" t="s">
        <v>395</v>
      </c>
      <c r="X525" s="101" t="s">
        <v>795</v>
      </c>
      <c r="Y525" s="101" t="s">
        <v>396</v>
      </c>
      <c r="Z525" s="101" t="s">
        <v>402</v>
      </c>
      <c r="AA525" s="101" t="s">
        <v>78</v>
      </c>
      <c r="AB525" s="101">
        <v>4101000279</v>
      </c>
      <c r="AC525" s="101" t="s">
        <v>398</v>
      </c>
      <c r="AD525" s="101" t="s">
        <v>403</v>
      </c>
      <c r="AE525" s="101" t="s">
        <v>6</v>
      </c>
      <c r="AF525" s="101" t="s">
        <v>400</v>
      </c>
      <c r="AI525" s="101" t="s">
        <v>760</v>
      </c>
    </row>
    <row r="526" spans="1:35">
      <c r="A526" s="246" t="s">
        <v>112</v>
      </c>
      <c r="B526" s="246" t="s">
        <v>78</v>
      </c>
      <c r="C526" s="246" t="s">
        <v>126</v>
      </c>
      <c r="D526" s="246" t="s">
        <v>341</v>
      </c>
      <c r="E526" s="246" t="s">
        <v>342</v>
      </c>
      <c r="F526" s="246" t="s">
        <v>278</v>
      </c>
      <c r="G526" s="132" t="s">
        <v>1350</v>
      </c>
      <c r="H526" s="132" t="s">
        <v>1351</v>
      </c>
      <c r="I526" s="132">
        <v>-2713.75</v>
      </c>
      <c r="J526" s="101" t="s">
        <v>889</v>
      </c>
      <c r="K526" s="245" t="s">
        <v>390</v>
      </c>
      <c r="L526" s="245">
        <v>42979</v>
      </c>
      <c r="M526" s="245" t="s">
        <v>391</v>
      </c>
      <c r="N526" s="101">
        <v>0</v>
      </c>
      <c r="O526" s="101" t="s">
        <v>392</v>
      </c>
      <c r="P526" s="101">
        <v>0</v>
      </c>
      <c r="Q526" s="101">
        <v>0</v>
      </c>
      <c r="R526" s="101" t="s">
        <v>393</v>
      </c>
      <c r="S526" s="101" t="s">
        <v>855</v>
      </c>
      <c r="T526" s="101" t="s">
        <v>394</v>
      </c>
      <c r="V526" s="245">
        <v>13697</v>
      </c>
      <c r="W526" s="101" t="s">
        <v>395</v>
      </c>
      <c r="X526" s="101" t="s">
        <v>795</v>
      </c>
      <c r="Y526" s="101" t="s">
        <v>396</v>
      </c>
      <c r="Z526" s="101" t="s">
        <v>402</v>
      </c>
      <c r="AA526" s="101" t="s">
        <v>78</v>
      </c>
      <c r="AB526" s="101">
        <v>4101000279</v>
      </c>
      <c r="AC526" s="101" t="s">
        <v>398</v>
      </c>
      <c r="AD526" s="101" t="s">
        <v>403</v>
      </c>
      <c r="AE526" s="101" t="s">
        <v>6</v>
      </c>
      <c r="AF526" s="101" t="s">
        <v>400</v>
      </c>
      <c r="AI526" s="101" t="s">
        <v>760</v>
      </c>
    </row>
    <row r="527" spans="1:35">
      <c r="A527" s="246" t="s">
        <v>112</v>
      </c>
      <c r="B527" s="246" t="s">
        <v>78</v>
      </c>
      <c r="C527" s="246" t="s">
        <v>126</v>
      </c>
      <c r="D527" s="246" t="s">
        <v>341</v>
      </c>
      <c r="E527" s="246" t="s">
        <v>342</v>
      </c>
      <c r="F527" s="246" t="s">
        <v>278</v>
      </c>
      <c r="G527" s="132" t="s">
        <v>1350</v>
      </c>
      <c r="H527" s="132" t="s">
        <v>1351</v>
      </c>
      <c r="I527" s="132">
        <v>-2713.75</v>
      </c>
      <c r="J527" s="101" t="s">
        <v>889</v>
      </c>
      <c r="K527" s="245" t="s">
        <v>390</v>
      </c>
      <c r="L527" s="245">
        <v>43010</v>
      </c>
      <c r="M527" s="245" t="s">
        <v>391</v>
      </c>
      <c r="N527" s="101">
        <v>0</v>
      </c>
      <c r="O527" s="101" t="s">
        <v>392</v>
      </c>
      <c r="P527" s="101">
        <v>0</v>
      </c>
      <c r="Q527" s="101">
        <v>0</v>
      </c>
      <c r="R527" s="101" t="s">
        <v>393</v>
      </c>
      <c r="S527" s="101" t="s">
        <v>855</v>
      </c>
      <c r="T527" s="101" t="s">
        <v>394</v>
      </c>
      <c r="V527" s="245">
        <v>13697</v>
      </c>
      <c r="W527" s="101" t="s">
        <v>395</v>
      </c>
      <c r="X527" s="101" t="s">
        <v>795</v>
      </c>
      <c r="Y527" s="101" t="s">
        <v>396</v>
      </c>
      <c r="Z527" s="101" t="s">
        <v>402</v>
      </c>
      <c r="AA527" s="101" t="s">
        <v>78</v>
      </c>
      <c r="AB527" s="101">
        <v>4101000279</v>
      </c>
      <c r="AC527" s="101" t="s">
        <v>398</v>
      </c>
      <c r="AD527" s="101" t="s">
        <v>403</v>
      </c>
      <c r="AE527" s="101" t="s">
        <v>6</v>
      </c>
      <c r="AF527" s="101" t="s">
        <v>400</v>
      </c>
      <c r="AI527" s="101" t="s">
        <v>760</v>
      </c>
    </row>
    <row r="528" spans="1:35">
      <c r="A528" s="246" t="s">
        <v>112</v>
      </c>
      <c r="B528" s="246" t="s">
        <v>78</v>
      </c>
      <c r="C528" s="246" t="s">
        <v>126</v>
      </c>
      <c r="D528" s="246" t="s">
        <v>341</v>
      </c>
      <c r="E528" s="246" t="s">
        <v>342</v>
      </c>
      <c r="F528" s="246" t="s">
        <v>278</v>
      </c>
      <c r="G528" s="132" t="s">
        <v>1352</v>
      </c>
      <c r="H528" s="132" t="s">
        <v>1353</v>
      </c>
      <c r="I528" s="132">
        <v>-2626.16</v>
      </c>
      <c r="J528" s="101" t="s">
        <v>889</v>
      </c>
      <c r="K528" s="245" t="s">
        <v>390</v>
      </c>
      <c r="L528" s="245">
        <v>43040</v>
      </c>
      <c r="M528" s="245" t="s">
        <v>391</v>
      </c>
      <c r="N528" s="101">
        <v>0</v>
      </c>
      <c r="O528" s="101" t="s">
        <v>392</v>
      </c>
      <c r="P528" s="101">
        <v>0</v>
      </c>
      <c r="Q528" s="101">
        <v>0</v>
      </c>
      <c r="R528" s="101" t="s">
        <v>393</v>
      </c>
      <c r="S528" s="101" t="s">
        <v>855</v>
      </c>
      <c r="T528" s="101" t="s">
        <v>394</v>
      </c>
      <c r="V528" s="245">
        <v>13697</v>
      </c>
      <c r="W528" s="101" t="s">
        <v>395</v>
      </c>
      <c r="X528" s="101" t="s">
        <v>795</v>
      </c>
      <c r="Y528" s="101" t="s">
        <v>396</v>
      </c>
      <c r="Z528" s="101" t="s">
        <v>402</v>
      </c>
      <c r="AA528" s="101" t="s">
        <v>78</v>
      </c>
      <c r="AB528" s="101">
        <v>4101000279</v>
      </c>
      <c r="AC528" s="101" t="s">
        <v>398</v>
      </c>
      <c r="AD528" s="101" t="s">
        <v>403</v>
      </c>
      <c r="AE528" s="101" t="s">
        <v>6</v>
      </c>
      <c r="AF528" s="101" t="s">
        <v>400</v>
      </c>
      <c r="AI528" s="101" t="s">
        <v>760</v>
      </c>
    </row>
    <row r="529" spans="1:35">
      <c r="A529" s="246" t="s">
        <v>113</v>
      </c>
      <c r="B529" s="246" t="s">
        <v>78</v>
      </c>
      <c r="C529" s="246" t="s">
        <v>126</v>
      </c>
      <c r="D529" s="246" t="s">
        <v>339</v>
      </c>
      <c r="E529" s="246" t="s">
        <v>340</v>
      </c>
      <c r="F529" s="246" t="s">
        <v>279</v>
      </c>
      <c r="G529" s="132" t="s">
        <v>1352</v>
      </c>
      <c r="H529" s="132" t="s">
        <v>1353</v>
      </c>
      <c r="I529" s="132">
        <v>-2626.16</v>
      </c>
      <c r="J529" s="101" t="s">
        <v>889</v>
      </c>
      <c r="K529" s="245" t="s">
        <v>390</v>
      </c>
      <c r="L529" s="245">
        <v>43070</v>
      </c>
      <c r="M529" s="245" t="s">
        <v>391</v>
      </c>
      <c r="N529" s="101">
        <v>0</v>
      </c>
      <c r="O529" s="101" t="s">
        <v>392</v>
      </c>
      <c r="P529" s="101">
        <v>0</v>
      </c>
      <c r="Q529" s="101">
        <v>0</v>
      </c>
      <c r="R529" s="101" t="s">
        <v>393</v>
      </c>
      <c r="S529" s="101" t="s">
        <v>855</v>
      </c>
      <c r="T529" s="101" t="s">
        <v>394</v>
      </c>
      <c r="V529" s="245">
        <v>13697</v>
      </c>
      <c r="W529" s="101" t="s">
        <v>395</v>
      </c>
      <c r="X529" s="101" t="s">
        <v>795</v>
      </c>
      <c r="Y529" s="101" t="s">
        <v>396</v>
      </c>
      <c r="Z529" s="101" t="s">
        <v>402</v>
      </c>
      <c r="AA529" s="101" t="s">
        <v>78</v>
      </c>
      <c r="AB529" s="101">
        <v>4101000279</v>
      </c>
      <c r="AC529" s="101" t="s">
        <v>398</v>
      </c>
      <c r="AD529" s="101" t="s">
        <v>403</v>
      </c>
      <c r="AE529" s="101" t="s">
        <v>6</v>
      </c>
      <c r="AF529" s="101" t="s">
        <v>400</v>
      </c>
      <c r="AI529" s="101" t="s">
        <v>760</v>
      </c>
    </row>
    <row r="530" spans="1:35">
      <c r="A530" s="246" t="s">
        <v>113</v>
      </c>
      <c r="B530" s="246" t="s">
        <v>78</v>
      </c>
      <c r="C530" s="246" t="s">
        <v>126</v>
      </c>
      <c r="D530" s="246" t="s">
        <v>339</v>
      </c>
      <c r="E530" s="246" t="s">
        <v>340</v>
      </c>
      <c r="F530" s="246" t="s">
        <v>279</v>
      </c>
      <c r="G530" s="132" t="s">
        <v>1331</v>
      </c>
      <c r="H530" s="132" t="s">
        <v>1332</v>
      </c>
      <c r="I530" s="132">
        <v>-2801.34</v>
      </c>
      <c r="J530" s="101" t="s">
        <v>889</v>
      </c>
      <c r="K530" s="245" t="s">
        <v>390</v>
      </c>
      <c r="L530" s="245">
        <v>43102</v>
      </c>
      <c r="M530" s="245" t="s">
        <v>391</v>
      </c>
      <c r="N530" s="101">
        <v>0</v>
      </c>
      <c r="O530" s="101" t="s">
        <v>392</v>
      </c>
      <c r="P530" s="101">
        <v>0</v>
      </c>
      <c r="Q530" s="101">
        <v>0</v>
      </c>
      <c r="R530" s="101" t="s">
        <v>393</v>
      </c>
      <c r="S530" s="101" t="s">
        <v>855</v>
      </c>
      <c r="T530" s="101" t="s">
        <v>394</v>
      </c>
      <c r="V530" s="245">
        <v>13697</v>
      </c>
      <c r="W530" s="101" t="s">
        <v>395</v>
      </c>
      <c r="X530" s="101" t="s">
        <v>795</v>
      </c>
      <c r="Y530" s="101" t="s">
        <v>396</v>
      </c>
      <c r="Z530" s="101" t="s">
        <v>402</v>
      </c>
      <c r="AA530" s="101" t="s">
        <v>78</v>
      </c>
      <c r="AB530" s="101">
        <v>4101000279</v>
      </c>
      <c r="AC530" s="101" t="s">
        <v>398</v>
      </c>
      <c r="AD530" s="101" t="s">
        <v>403</v>
      </c>
      <c r="AE530" s="101" t="s">
        <v>6</v>
      </c>
      <c r="AF530" s="101" t="s">
        <v>400</v>
      </c>
      <c r="AI530" s="101" t="s">
        <v>760</v>
      </c>
    </row>
    <row r="531" spans="1:35">
      <c r="A531" s="246" t="s">
        <v>113</v>
      </c>
      <c r="B531" s="246" t="s">
        <v>78</v>
      </c>
      <c r="C531" s="246" t="s">
        <v>126</v>
      </c>
      <c r="D531" s="246" t="s">
        <v>339</v>
      </c>
      <c r="E531" s="246" t="s">
        <v>340</v>
      </c>
      <c r="F531" s="246" t="s">
        <v>279</v>
      </c>
      <c r="G531" s="132" t="s">
        <v>1352</v>
      </c>
      <c r="H531" s="132" t="s">
        <v>1353</v>
      </c>
      <c r="I531" s="132">
        <v>-2626.16</v>
      </c>
      <c r="J531" s="101" t="s">
        <v>889</v>
      </c>
      <c r="K531" s="245" t="s">
        <v>390</v>
      </c>
      <c r="L531" s="245">
        <v>43132</v>
      </c>
      <c r="M531" s="245" t="s">
        <v>391</v>
      </c>
      <c r="N531" s="101">
        <v>0</v>
      </c>
      <c r="O531" s="101" t="s">
        <v>392</v>
      </c>
      <c r="P531" s="101">
        <v>0</v>
      </c>
      <c r="Q531" s="101">
        <v>0</v>
      </c>
      <c r="R531" s="101" t="s">
        <v>393</v>
      </c>
      <c r="S531" s="101" t="s">
        <v>855</v>
      </c>
      <c r="T531" s="101" t="s">
        <v>394</v>
      </c>
      <c r="V531" s="245">
        <v>13697</v>
      </c>
      <c r="W531" s="101" t="s">
        <v>395</v>
      </c>
      <c r="X531" s="101" t="s">
        <v>795</v>
      </c>
      <c r="Y531" s="101" t="s">
        <v>396</v>
      </c>
      <c r="Z531" s="101" t="s">
        <v>402</v>
      </c>
      <c r="AA531" s="101" t="s">
        <v>78</v>
      </c>
      <c r="AB531" s="101">
        <v>4101000279</v>
      </c>
      <c r="AC531" s="101" t="s">
        <v>398</v>
      </c>
      <c r="AD531" s="101" t="s">
        <v>403</v>
      </c>
      <c r="AE531" s="101" t="s">
        <v>6</v>
      </c>
      <c r="AF531" s="101" t="s">
        <v>400</v>
      </c>
      <c r="AI531" s="101" t="s">
        <v>760</v>
      </c>
    </row>
    <row r="532" spans="1:35">
      <c r="A532" s="246" t="s">
        <v>113</v>
      </c>
      <c r="B532" s="246" t="s">
        <v>78</v>
      </c>
      <c r="C532" s="246" t="s">
        <v>126</v>
      </c>
      <c r="D532" s="246" t="s">
        <v>339</v>
      </c>
      <c r="E532" s="246" t="s">
        <v>340</v>
      </c>
      <c r="F532" s="246" t="s">
        <v>279</v>
      </c>
      <c r="G532" s="132" t="s">
        <v>1354</v>
      </c>
      <c r="H532" s="132" t="s">
        <v>1355</v>
      </c>
      <c r="I532" s="132">
        <v>-2450.9899999999998</v>
      </c>
      <c r="J532" s="101" t="s">
        <v>889</v>
      </c>
      <c r="K532" s="245" t="s">
        <v>390</v>
      </c>
      <c r="L532" s="245">
        <v>43160</v>
      </c>
      <c r="M532" s="245" t="s">
        <v>391</v>
      </c>
      <c r="N532" s="101">
        <v>0</v>
      </c>
      <c r="O532" s="101" t="s">
        <v>392</v>
      </c>
      <c r="P532" s="101">
        <v>0</v>
      </c>
      <c r="Q532" s="101">
        <v>0</v>
      </c>
      <c r="R532" s="101" t="s">
        <v>393</v>
      </c>
      <c r="S532" s="101" t="s">
        <v>855</v>
      </c>
      <c r="T532" s="101" t="s">
        <v>394</v>
      </c>
      <c r="V532" s="245">
        <v>13697</v>
      </c>
      <c r="W532" s="101" t="s">
        <v>395</v>
      </c>
      <c r="X532" s="101" t="s">
        <v>795</v>
      </c>
      <c r="Y532" s="101" t="s">
        <v>396</v>
      </c>
      <c r="Z532" s="101" t="s">
        <v>402</v>
      </c>
      <c r="AA532" s="101" t="s">
        <v>78</v>
      </c>
      <c r="AB532" s="101">
        <v>4101000279</v>
      </c>
      <c r="AC532" s="101" t="s">
        <v>398</v>
      </c>
      <c r="AD532" s="101" t="s">
        <v>403</v>
      </c>
      <c r="AE532" s="101" t="s">
        <v>6</v>
      </c>
      <c r="AF532" s="101" t="s">
        <v>400</v>
      </c>
      <c r="AI532" s="101" t="s">
        <v>760</v>
      </c>
    </row>
    <row r="533" spans="1:35">
      <c r="A533" s="246" t="s">
        <v>113</v>
      </c>
      <c r="B533" s="246" t="s">
        <v>78</v>
      </c>
      <c r="C533" s="246" t="s">
        <v>126</v>
      </c>
      <c r="D533" s="246" t="s">
        <v>339</v>
      </c>
      <c r="E533" s="246" t="s">
        <v>340</v>
      </c>
      <c r="F533" s="246" t="s">
        <v>279</v>
      </c>
      <c r="G533" s="132" t="s">
        <v>1356</v>
      </c>
      <c r="H533" s="132" t="s">
        <v>1357</v>
      </c>
      <c r="I533" s="132">
        <v>-2888.9399999999996</v>
      </c>
      <c r="J533" s="101" t="s">
        <v>889</v>
      </c>
      <c r="K533" s="245" t="s">
        <v>390</v>
      </c>
      <c r="L533" s="245">
        <v>43193</v>
      </c>
      <c r="M533" s="245" t="s">
        <v>391</v>
      </c>
      <c r="N533" s="101">
        <v>0</v>
      </c>
      <c r="O533" s="101" t="s">
        <v>392</v>
      </c>
      <c r="P533" s="101">
        <v>0</v>
      </c>
      <c r="Q533" s="101">
        <v>0</v>
      </c>
      <c r="R533" s="101" t="s">
        <v>393</v>
      </c>
      <c r="S533" s="101" t="s">
        <v>855</v>
      </c>
      <c r="T533" s="101" t="s">
        <v>394</v>
      </c>
      <c r="V533" s="245">
        <v>13697</v>
      </c>
      <c r="W533" s="101" t="s">
        <v>395</v>
      </c>
      <c r="X533" s="101" t="s">
        <v>795</v>
      </c>
      <c r="Y533" s="101" t="s">
        <v>396</v>
      </c>
      <c r="Z533" s="101" t="s">
        <v>402</v>
      </c>
      <c r="AA533" s="101" t="s">
        <v>78</v>
      </c>
      <c r="AB533" s="101">
        <v>4101000279</v>
      </c>
      <c r="AC533" s="101" t="s">
        <v>398</v>
      </c>
      <c r="AD533" s="101" t="s">
        <v>403</v>
      </c>
      <c r="AE533" s="101" t="s">
        <v>6</v>
      </c>
      <c r="AF533" s="101" t="s">
        <v>400</v>
      </c>
      <c r="AI533" s="101" t="s">
        <v>760</v>
      </c>
    </row>
    <row r="534" spans="1:35">
      <c r="A534" s="246" t="s">
        <v>113</v>
      </c>
      <c r="B534" s="246" t="s">
        <v>78</v>
      </c>
      <c r="C534" s="246" t="s">
        <v>126</v>
      </c>
      <c r="D534" s="246" t="s">
        <v>339</v>
      </c>
      <c r="E534" s="246" t="s">
        <v>340</v>
      </c>
      <c r="F534" s="246" t="s">
        <v>279</v>
      </c>
      <c r="G534" s="132" t="s">
        <v>1354</v>
      </c>
      <c r="H534" s="132" t="s">
        <v>1355</v>
      </c>
      <c r="I534" s="132">
        <v>-2450.9899999999998</v>
      </c>
      <c r="J534" s="101" t="s">
        <v>889</v>
      </c>
      <c r="K534" s="245" t="s">
        <v>390</v>
      </c>
      <c r="L534" s="245">
        <v>43221</v>
      </c>
      <c r="M534" s="245" t="s">
        <v>391</v>
      </c>
      <c r="N534" s="101">
        <v>0</v>
      </c>
      <c r="O534" s="101" t="s">
        <v>392</v>
      </c>
      <c r="P534" s="101">
        <v>0</v>
      </c>
      <c r="Q534" s="101">
        <v>0</v>
      </c>
      <c r="R534" s="101" t="s">
        <v>393</v>
      </c>
      <c r="S534" s="101" t="s">
        <v>855</v>
      </c>
      <c r="T534" s="101" t="s">
        <v>394</v>
      </c>
      <c r="V534" s="245">
        <v>13697</v>
      </c>
      <c r="W534" s="101" t="s">
        <v>395</v>
      </c>
      <c r="X534" s="101" t="s">
        <v>795</v>
      </c>
      <c r="Y534" s="101" t="s">
        <v>396</v>
      </c>
      <c r="Z534" s="101" t="s">
        <v>402</v>
      </c>
      <c r="AA534" s="101" t="s">
        <v>78</v>
      </c>
      <c r="AB534" s="101">
        <v>4101000279</v>
      </c>
      <c r="AC534" s="101" t="s">
        <v>398</v>
      </c>
      <c r="AD534" s="101" t="s">
        <v>403</v>
      </c>
      <c r="AE534" s="101" t="s">
        <v>6</v>
      </c>
      <c r="AF534" s="101" t="s">
        <v>400</v>
      </c>
      <c r="AI534" s="101" t="s">
        <v>760</v>
      </c>
    </row>
    <row r="535" spans="1:35">
      <c r="A535" s="246" t="s">
        <v>107</v>
      </c>
      <c r="B535" s="246" t="s">
        <v>78</v>
      </c>
      <c r="C535" s="246" t="s">
        <v>126</v>
      </c>
      <c r="D535" s="246" t="s">
        <v>772</v>
      </c>
      <c r="E535" s="246" t="s">
        <v>773</v>
      </c>
      <c r="F535" s="246" t="s">
        <v>334</v>
      </c>
      <c r="G535" s="132" t="s">
        <v>875</v>
      </c>
      <c r="H535" s="132" t="s">
        <v>1358</v>
      </c>
      <c r="I535" s="132">
        <v>392.53</v>
      </c>
      <c r="J535" s="101" t="s">
        <v>889</v>
      </c>
      <c r="K535" s="245" t="s">
        <v>390</v>
      </c>
      <c r="L535" s="245">
        <v>42521</v>
      </c>
      <c r="M535" s="245" t="s">
        <v>391</v>
      </c>
      <c r="N535" s="101">
        <v>0</v>
      </c>
      <c r="O535" s="101" t="s">
        <v>392</v>
      </c>
      <c r="P535" s="101">
        <v>0</v>
      </c>
      <c r="Q535" s="101">
        <v>0</v>
      </c>
      <c r="R535" s="101" t="s">
        <v>393</v>
      </c>
      <c r="S535" s="101" t="s">
        <v>867</v>
      </c>
      <c r="T535" s="101" t="s">
        <v>394</v>
      </c>
      <c r="V535" s="245">
        <v>14248</v>
      </c>
      <c r="W535" s="101" t="s">
        <v>395</v>
      </c>
      <c r="X535" s="101" t="s">
        <v>795</v>
      </c>
      <c r="Y535" s="101" t="s">
        <v>396</v>
      </c>
      <c r="Z535" s="101" t="s">
        <v>402</v>
      </c>
      <c r="AA535" s="101" t="s">
        <v>78</v>
      </c>
      <c r="AB535" s="101">
        <v>4101000279</v>
      </c>
      <c r="AC535" s="101" t="s">
        <v>398</v>
      </c>
      <c r="AD535" s="101" t="s">
        <v>403</v>
      </c>
      <c r="AE535" s="101" t="s">
        <v>6</v>
      </c>
      <c r="AF535" s="101" t="s">
        <v>400</v>
      </c>
      <c r="AI535" s="101" t="s">
        <v>760</v>
      </c>
    </row>
    <row r="536" spans="1:35">
      <c r="A536" s="246" t="s">
        <v>109</v>
      </c>
      <c r="B536" s="246" t="s">
        <v>78</v>
      </c>
      <c r="C536" s="246" t="s">
        <v>126</v>
      </c>
      <c r="D536" s="246" t="s">
        <v>337</v>
      </c>
      <c r="E536" s="246" t="s">
        <v>336</v>
      </c>
      <c r="F536" s="246" t="s">
        <v>275</v>
      </c>
      <c r="G536" s="132" t="s">
        <v>1359</v>
      </c>
      <c r="H536" s="132" t="s">
        <v>1360</v>
      </c>
      <c r="I536" s="132">
        <v>353.75999999999993</v>
      </c>
      <c r="J536" s="101" t="s">
        <v>889</v>
      </c>
      <c r="K536" s="245" t="s">
        <v>390</v>
      </c>
      <c r="L536" s="245">
        <v>42551</v>
      </c>
      <c r="M536" s="245" t="s">
        <v>391</v>
      </c>
      <c r="N536" s="101">
        <v>0</v>
      </c>
      <c r="O536" s="101" t="s">
        <v>392</v>
      </c>
      <c r="P536" s="101">
        <v>0</v>
      </c>
      <c r="Q536" s="101">
        <v>0</v>
      </c>
      <c r="R536" s="101" t="s">
        <v>393</v>
      </c>
      <c r="S536" s="101" t="s">
        <v>867</v>
      </c>
      <c r="T536" s="101" t="s">
        <v>394</v>
      </c>
      <c r="V536" s="245">
        <v>14248</v>
      </c>
      <c r="W536" s="101" t="s">
        <v>395</v>
      </c>
      <c r="X536" s="101" t="s">
        <v>795</v>
      </c>
      <c r="Y536" s="101" t="s">
        <v>396</v>
      </c>
      <c r="Z536" s="101" t="s">
        <v>402</v>
      </c>
      <c r="AA536" s="101" t="s">
        <v>78</v>
      </c>
      <c r="AB536" s="101">
        <v>4101000279</v>
      </c>
      <c r="AC536" s="101" t="s">
        <v>398</v>
      </c>
      <c r="AD536" s="101" t="s">
        <v>403</v>
      </c>
      <c r="AE536" s="101" t="s">
        <v>6</v>
      </c>
      <c r="AF536" s="101" t="s">
        <v>400</v>
      </c>
      <c r="AI536" s="101" t="s">
        <v>760</v>
      </c>
    </row>
    <row r="537" spans="1:35">
      <c r="A537" s="246" t="s">
        <v>109</v>
      </c>
      <c r="B537" s="246" t="s">
        <v>78</v>
      </c>
      <c r="C537" s="246" t="s">
        <v>126</v>
      </c>
      <c r="D537" s="246" t="s">
        <v>337</v>
      </c>
      <c r="E537" s="246" t="s">
        <v>336</v>
      </c>
      <c r="F537" s="246" t="s">
        <v>275</v>
      </c>
      <c r="G537" s="132" t="s">
        <v>1361</v>
      </c>
      <c r="H537" s="132" t="s">
        <v>1362</v>
      </c>
      <c r="I537" s="132">
        <v>166.65</v>
      </c>
      <c r="J537" s="101" t="s">
        <v>889</v>
      </c>
      <c r="K537" s="245" t="s">
        <v>390</v>
      </c>
      <c r="L537" s="245">
        <v>42580</v>
      </c>
      <c r="M537" s="245" t="s">
        <v>391</v>
      </c>
      <c r="N537" s="101">
        <v>0</v>
      </c>
      <c r="O537" s="101" t="s">
        <v>392</v>
      </c>
      <c r="P537" s="101">
        <v>0</v>
      </c>
      <c r="Q537" s="101">
        <v>0</v>
      </c>
      <c r="R537" s="101" t="s">
        <v>393</v>
      </c>
      <c r="S537" s="101" t="s">
        <v>867</v>
      </c>
      <c r="T537" s="101" t="s">
        <v>394</v>
      </c>
      <c r="V537" s="245">
        <v>14248</v>
      </c>
      <c r="W537" s="101" t="s">
        <v>395</v>
      </c>
      <c r="X537" s="101" t="s">
        <v>795</v>
      </c>
      <c r="Y537" s="101" t="s">
        <v>396</v>
      </c>
      <c r="Z537" s="101" t="s">
        <v>402</v>
      </c>
      <c r="AA537" s="101" t="s">
        <v>78</v>
      </c>
      <c r="AB537" s="101">
        <v>4101000279</v>
      </c>
      <c r="AC537" s="101" t="s">
        <v>398</v>
      </c>
      <c r="AD537" s="101" t="s">
        <v>403</v>
      </c>
      <c r="AE537" s="101" t="s">
        <v>6</v>
      </c>
      <c r="AF537" s="101" t="s">
        <v>400</v>
      </c>
      <c r="AI537" s="101" t="s">
        <v>760</v>
      </c>
    </row>
    <row r="538" spans="1:35">
      <c r="A538" s="246" t="s">
        <v>110</v>
      </c>
      <c r="B538" s="246" t="s">
        <v>78</v>
      </c>
      <c r="C538" s="246" t="s">
        <v>126</v>
      </c>
      <c r="D538" s="246" t="s">
        <v>770</v>
      </c>
      <c r="E538" s="246" t="s">
        <v>771</v>
      </c>
      <c r="F538" s="246" t="s">
        <v>276</v>
      </c>
      <c r="G538" s="132" t="s">
        <v>1363</v>
      </c>
      <c r="H538" s="132" t="s">
        <v>1364</v>
      </c>
      <c r="I538" s="132">
        <v>156.16</v>
      </c>
      <c r="J538" s="101" t="s">
        <v>889</v>
      </c>
      <c r="K538" s="245" t="s">
        <v>390</v>
      </c>
      <c r="L538" s="245">
        <v>42613</v>
      </c>
      <c r="M538" s="245" t="s">
        <v>391</v>
      </c>
      <c r="N538" s="101">
        <v>0</v>
      </c>
      <c r="O538" s="101" t="s">
        <v>392</v>
      </c>
      <c r="P538" s="101">
        <v>0</v>
      </c>
      <c r="Q538" s="101">
        <v>0</v>
      </c>
      <c r="R538" s="101" t="s">
        <v>393</v>
      </c>
      <c r="S538" s="101" t="s">
        <v>867</v>
      </c>
      <c r="T538" s="101" t="s">
        <v>394</v>
      </c>
      <c r="V538" s="245">
        <v>14248</v>
      </c>
      <c r="W538" s="101" t="s">
        <v>395</v>
      </c>
      <c r="X538" s="101" t="s">
        <v>795</v>
      </c>
      <c r="Y538" s="101" t="s">
        <v>396</v>
      </c>
      <c r="Z538" s="101" t="s">
        <v>402</v>
      </c>
      <c r="AA538" s="101" t="s">
        <v>78</v>
      </c>
      <c r="AB538" s="101">
        <v>4101000279</v>
      </c>
      <c r="AC538" s="101" t="s">
        <v>398</v>
      </c>
      <c r="AD538" s="101" t="s">
        <v>403</v>
      </c>
      <c r="AE538" s="101" t="s">
        <v>6</v>
      </c>
      <c r="AF538" s="101" t="s">
        <v>400</v>
      </c>
      <c r="AI538" s="101" t="s">
        <v>760</v>
      </c>
    </row>
    <row r="539" spans="1:35">
      <c r="A539" s="246" t="s">
        <v>110</v>
      </c>
      <c r="B539" s="246" t="s">
        <v>78</v>
      </c>
      <c r="C539" s="246" t="s">
        <v>126</v>
      </c>
      <c r="D539" s="246" t="s">
        <v>770</v>
      </c>
      <c r="E539" s="246" t="s">
        <v>771</v>
      </c>
      <c r="F539" s="246" t="s">
        <v>276</v>
      </c>
      <c r="G539" s="132">
        <v>120</v>
      </c>
      <c r="H539" s="132" t="s">
        <v>1365</v>
      </c>
      <c r="I539" s="132">
        <v>119.99999999999999</v>
      </c>
      <c r="J539" s="101" t="s">
        <v>889</v>
      </c>
      <c r="K539" s="245" t="s">
        <v>390</v>
      </c>
      <c r="L539" s="245">
        <v>42643</v>
      </c>
      <c r="M539" s="245" t="s">
        <v>391</v>
      </c>
      <c r="N539" s="101">
        <v>0</v>
      </c>
      <c r="O539" s="101" t="s">
        <v>392</v>
      </c>
      <c r="P539" s="101">
        <v>0</v>
      </c>
      <c r="Q539" s="101">
        <v>0</v>
      </c>
      <c r="R539" s="101" t="s">
        <v>393</v>
      </c>
      <c r="S539" s="101" t="s">
        <v>867</v>
      </c>
      <c r="T539" s="101" t="s">
        <v>394</v>
      </c>
      <c r="V539" s="245">
        <v>14248</v>
      </c>
      <c r="W539" s="101" t="s">
        <v>395</v>
      </c>
      <c r="X539" s="101" t="s">
        <v>795</v>
      </c>
      <c r="Y539" s="101" t="s">
        <v>396</v>
      </c>
      <c r="Z539" s="101" t="s">
        <v>402</v>
      </c>
      <c r="AA539" s="101" t="s">
        <v>78</v>
      </c>
      <c r="AB539" s="101">
        <v>4101000279</v>
      </c>
      <c r="AC539" s="101" t="s">
        <v>398</v>
      </c>
      <c r="AD539" s="101" t="s">
        <v>403</v>
      </c>
      <c r="AE539" s="101" t="s">
        <v>6</v>
      </c>
      <c r="AF539" s="101" t="s">
        <v>400</v>
      </c>
      <c r="AI539" s="101" t="s">
        <v>760</v>
      </c>
    </row>
    <row r="540" spans="1:35">
      <c r="A540" s="246" t="s">
        <v>110</v>
      </c>
      <c r="B540" s="246" t="s">
        <v>78</v>
      </c>
      <c r="C540" s="246" t="s">
        <v>126</v>
      </c>
      <c r="D540" s="246" t="s">
        <v>770</v>
      </c>
      <c r="E540" s="246" t="s">
        <v>771</v>
      </c>
      <c r="F540" s="246" t="s">
        <v>276</v>
      </c>
      <c r="G540" s="132">
        <v>124</v>
      </c>
      <c r="H540" s="132" t="s">
        <v>1366</v>
      </c>
      <c r="I540" s="132">
        <v>123.99999999999999</v>
      </c>
      <c r="J540" s="101" t="s">
        <v>889</v>
      </c>
      <c r="K540" s="245" t="s">
        <v>390</v>
      </c>
      <c r="L540" s="245">
        <v>42674</v>
      </c>
      <c r="M540" s="245" t="s">
        <v>391</v>
      </c>
      <c r="N540" s="101">
        <v>0</v>
      </c>
      <c r="O540" s="101" t="s">
        <v>392</v>
      </c>
      <c r="P540" s="101">
        <v>0</v>
      </c>
      <c r="Q540" s="101">
        <v>0</v>
      </c>
      <c r="R540" s="101" t="s">
        <v>393</v>
      </c>
      <c r="S540" s="101" t="s">
        <v>867</v>
      </c>
      <c r="T540" s="101" t="s">
        <v>394</v>
      </c>
      <c r="V540" s="245">
        <v>14248</v>
      </c>
      <c r="W540" s="101" t="s">
        <v>395</v>
      </c>
      <c r="X540" s="101" t="s">
        <v>795</v>
      </c>
      <c r="Y540" s="101" t="s">
        <v>396</v>
      </c>
      <c r="Z540" s="101" t="s">
        <v>402</v>
      </c>
      <c r="AA540" s="101" t="s">
        <v>78</v>
      </c>
      <c r="AB540" s="101">
        <v>4101000279</v>
      </c>
      <c r="AC540" s="101" t="s">
        <v>398</v>
      </c>
      <c r="AD540" s="101" t="s">
        <v>403</v>
      </c>
      <c r="AE540" s="101" t="s">
        <v>6</v>
      </c>
      <c r="AF540" s="101" t="s">
        <v>400</v>
      </c>
      <c r="AI540" s="101" t="s">
        <v>760</v>
      </c>
    </row>
    <row r="541" spans="1:35">
      <c r="A541" s="246" t="s">
        <v>111</v>
      </c>
      <c r="B541" s="246" t="s">
        <v>78</v>
      </c>
      <c r="C541" s="246" t="s">
        <v>126</v>
      </c>
      <c r="D541" s="246" t="s">
        <v>768</v>
      </c>
      <c r="E541" s="246" t="s">
        <v>769</v>
      </c>
      <c r="F541" s="246" t="s">
        <v>277</v>
      </c>
      <c r="G541" s="132" t="s">
        <v>1367</v>
      </c>
      <c r="H541" s="132" t="s">
        <v>1368</v>
      </c>
      <c r="I541" s="132">
        <v>86.14</v>
      </c>
      <c r="J541" s="101" t="s">
        <v>889</v>
      </c>
      <c r="K541" s="245" t="s">
        <v>390</v>
      </c>
      <c r="L541" s="245">
        <v>42704</v>
      </c>
      <c r="M541" s="245" t="s">
        <v>391</v>
      </c>
      <c r="N541" s="101">
        <v>0</v>
      </c>
      <c r="O541" s="101" t="s">
        <v>392</v>
      </c>
      <c r="P541" s="101">
        <v>0</v>
      </c>
      <c r="Q541" s="101">
        <v>0</v>
      </c>
      <c r="R541" s="101" t="s">
        <v>393</v>
      </c>
      <c r="S541" s="101" t="s">
        <v>867</v>
      </c>
      <c r="T541" s="101" t="s">
        <v>394</v>
      </c>
      <c r="V541" s="245">
        <v>14248</v>
      </c>
      <c r="W541" s="101" t="s">
        <v>395</v>
      </c>
      <c r="X541" s="101" t="s">
        <v>795</v>
      </c>
      <c r="Y541" s="101" t="s">
        <v>396</v>
      </c>
      <c r="Z541" s="101" t="s">
        <v>402</v>
      </c>
      <c r="AA541" s="101" t="s">
        <v>78</v>
      </c>
      <c r="AB541" s="101">
        <v>4101000279</v>
      </c>
      <c r="AC541" s="101" t="s">
        <v>398</v>
      </c>
      <c r="AD541" s="101" t="s">
        <v>403</v>
      </c>
      <c r="AE541" s="101" t="s">
        <v>6</v>
      </c>
      <c r="AF541" s="101" t="s">
        <v>400</v>
      </c>
      <c r="AI541" s="101" t="s">
        <v>760</v>
      </c>
    </row>
    <row r="542" spans="1:35">
      <c r="A542" s="246" t="s">
        <v>111</v>
      </c>
      <c r="B542" s="246" t="s">
        <v>78</v>
      </c>
      <c r="C542" s="246" t="s">
        <v>126</v>
      </c>
      <c r="D542" s="246" t="s">
        <v>768</v>
      </c>
      <c r="E542" s="246" t="s">
        <v>769</v>
      </c>
      <c r="F542" s="246" t="s">
        <v>277</v>
      </c>
      <c r="G542" s="132" t="s">
        <v>1369</v>
      </c>
      <c r="H542" s="132" t="s">
        <v>1370</v>
      </c>
      <c r="I542" s="132">
        <v>56.519999999999996</v>
      </c>
      <c r="J542" s="101" t="s">
        <v>889</v>
      </c>
      <c r="K542" s="245" t="s">
        <v>390</v>
      </c>
      <c r="L542" s="245">
        <v>42734</v>
      </c>
      <c r="M542" s="245" t="s">
        <v>391</v>
      </c>
      <c r="N542" s="101">
        <v>0</v>
      </c>
      <c r="O542" s="101" t="s">
        <v>392</v>
      </c>
      <c r="P542" s="101">
        <v>0</v>
      </c>
      <c r="Q542" s="101">
        <v>0</v>
      </c>
      <c r="R542" s="101" t="s">
        <v>393</v>
      </c>
      <c r="S542" s="101" t="s">
        <v>867</v>
      </c>
      <c r="T542" s="101" t="s">
        <v>394</v>
      </c>
      <c r="V542" s="245">
        <v>14248</v>
      </c>
      <c r="W542" s="101" t="s">
        <v>395</v>
      </c>
      <c r="X542" s="101" t="s">
        <v>795</v>
      </c>
      <c r="Y542" s="101" t="s">
        <v>396</v>
      </c>
      <c r="Z542" s="101" t="s">
        <v>402</v>
      </c>
      <c r="AA542" s="101" t="s">
        <v>78</v>
      </c>
      <c r="AB542" s="101">
        <v>4101000279</v>
      </c>
      <c r="AC542" s="101" t="s">
        <v>398</v>
      </c>
      <c r="AD542" s="101" t="s">
        <v>403</v>
      </c>
      <c r="AE542" s="101" t="s">
        <v>6</v>
      </c>
      <c r="AF542" s="101" t="s">
        <v>400</v>
      </c>
      <c r="AI542" s="101" t="s">
        <v>760</v>
      </c>
    </row>
    <row r="543" spans="1:35">
      <c r="A543" s="246" t="s">
        <v>111</v>
      </c>
      <c r="B543" s="246" t="s">
        <v>78</v>
      </c>
      <c r="C543" s="246" t="s">
        <v>126</v>
      </c>
      <c r="D543" s="246" t="s">
        <v>768</v>
      </c>
      <c r="E543" s="246" t="s">
        <v>769</v>
      </c>
      <c r="F543" s="246" t="s">
        <v>277</v>
      </c>
      <c r="G543" s="132" t="s">
        <v>1371</v>
      </c>
      <c r="H543" s="132" t="s">
        <v>1372</v>
      </c>
      <c r="I543" s="132">
        <v>60.269999999999996</v>
      </c>
      <c r="J543" s="101" t="s">
        <v>889</v>
      </c>
      <c r="K543" s="245" t="s">
        <v>390</v>
      </c>
      <c r="L543" s="245">
        <v>42766</v>
      </c>
      <c r="M543" s="245" t="s">
        <v>391</v>
      </c>
      <c r="N543" s="101">
        <v>0</v>
      </c>
      <c r="O543" s="101" t="s">
        <v>392</v>
      </c>
      <c r="P543" s="101">
        <v>0</v>
      </c>
      <c r="Q543" s="101">
        <v>0</v>
      </c>
      <c r="R543" s="101" t="s">
        <v>393</v>
      </c>
      <c r="S543" s="101" t="s">
        <v>867</v>
      </c>
      <c r="T543" s="101" t="s">
        <v>394</v>
      </c>
      <c r="V543" s="245">
        <v>14248</v>
      </c>
      <c r="W543" s="101" t="s">
        <v>395</v>
      </c>
      <c r="X543" s="101" t="s">
        <v>795</v>
      </c>
      <c r="Y543" s="101" t="s">
        <v>396</v>
      </c>
      <c r="Z543" s="101" t="s">
        <v>402</v>
      </c>
      <c r="AA543" s="101" t="s">
        <v>78</v>
      </c>
      <c r="AB543" s="101">
        <v>4101000279</v>
      </c>
      <c r="AC543" s="101" t="s">
        <v>398</v>
      </c>
      <c r="AD543" s="101" t="s">
        <v>403</v>
      </c>
      <c r="AE543" s="101" t="s">
        <v>6</v>
      </c>
      <c r="AF543" s="101" t="s">
        <v>400</v>
      </c>
      <c r="AI543" s="101" t="s">
        <v>760</v>
      </c>
    </row>
    <row r="544" spans="1:35">
      <c r="A544" s="246" t="s">
        <v>111</v>
      </c>
      <c r="B544" s="246" t="s">
        <v>78</v>
      </c>
      <c r="C544" s="246" t="s">
        <v>126</v>
      </c>
      <c r="D544" s="246" t="s">
        <v>768</v>
      </c>
      <c r="E544" s="246" t="s">
        <v>769</v>
      </c>
      <c r="F544" s="246" t="s">
        <v>277</v>
      </c>
      <c r="G544" s="132" t="s">
        <v>1373</v>
      </c>
      <c r="H544" s="132" t="s">
        <v>1374</v>
      </c>
      <c r="I544" s="132">
        <v>15.72</v>
      </c>
      <c r="J544" s="101" t="s">
        <v>889</v>
      </c>
      <c r="K544" s="245" t="s">
        <v>390</v>
      </c>
      <c r="L544" s="245">
        <v>42794</v>
      </c>
      <c r="M544" s="245" t="s">
        <v>391</v>
      </c>
      <c r="N544" s="101">
        <v>0</v>
      </c>
      <c r="O544" s="101" t="s">
        <v>392</v>
      </c>
      <c r="P544" s="101">
        <v>0</v>
      </c>
      <c r="Q544" s="101">
        <v>0</v>
      </c>
      <c r="R544" s="101" t="s">
        <v>393</v>
      </c>
      <c r="S544" s="101" t="s">
        <v>867</v>
      </c>
      <c r="T544" s="101" t="s">
        <v>394</v>
      </c>
      <c r="V544" s="245">
        <v>14248</v>
      </c>
      <c r="W544" s="101" t="s">
        <v>395</v>
      </c>
      <c r="X544" s="101" t="s">
        <v>795</v>
      </c>
      <c r="Y544" s="101" t="s">
        <v>396</v>
      </c>
      <c r="Z544" s="101" t="s">
        <v>402</v>
      </c>
      <c r="AA544" s="101" t="s">
        <v>78</v>
      </c>
      <c r="AB544" s="101">
        <v>4101000279</v>
      </c>
      <c r="AC544" s="101" t="s">
        <v>398</v>
      </c>
      <c r="AD544" s="101" t="s">
        <v>403</v>
      </c>
      <c r="AE544" s="101" t="s">
        <v>6</v>
      </c>
      <c r="AF544" s="101" t="s">
        <v>400</v>
      </c>
      <c r="AI544" s="101" t="s">
        <v>760</v>
      </c>
    </row>
    <row r="545" spans="1:35">
      <c r="A545" s="246" t="s">
        <v>111</v>
      </c>
      <c r="B545" s="246" t="s">
        <v>78</v>
      </c>
      <c r="C545" s="246" t="s">
        <v>126</v>
      </c>
      <c r="D545" s="246" t="s">
        <v>768</v>
      </c>
      <c r="E545" s="246" t="s">
        <v>769</v>
      </c>
      <c r="F545" s="246" t="s">
        <v>277</v>
      </c>
      <c r="G545" s="132" t="s">
        <v>1375</v>
      </c>
      <c r="H545" s="132" t="s">
        <v>1376</v>
      </c>
      <c r="I545" s="132">
        <v>-18.149999999999999</v>
      </c>
      <c r="J545" s="101" t="s">
        <v>889</v>
      </c>
      <c r="K545" s="245" t="s">
        <v>390</v>
      </c>
      <c r="L545" s="245">
        <v>42825</v>
      </c>
      <c r="M545" s="245" t="s">
        <v>391</v>
      </c>
      <c r="N545" s="101">
        <v>0</v>
      </c>
      <c r="O545" s="101" t="s">
        <v>392</v>
      </c>
      <c r="P545" s="101">
        <v>0</v>
      </c>
      <c r="Q545" s="101">
        <v>0</v>
      </c>
      <c r="R545" s="101" t="s">
        <v>393</v>
      </c>
      <c r="S545" s="101" t="s">
        <v>867</v>
      </c>
      <c r="T545" s="101" t="s">
        <v>394</v>
      </c>
      <c r="V545" s="245">
        <v>14248</v>
      </c>
      <c r="W545" s="101" t="s">
        <v>395</v>
      </c>
      <c r="X545" s="101" t="s">
        <v>795</v>
      </c>
      <c r="Y545" s="101" t="s">
        <v>396</v>
      </c>
      <c r="Z545" s="101" t="s">
        <v>402</v>
      </c>
      <c r="AA545" s="101" t="s">
        <v>78</v>
      </c>
      <c r="AB545" s="101">
        <v>4101000279</v>
      </c>
      <c r="AC545" s="101" t="s">
        <v>398</v>
      </c>
      <c r="AD545" s="101" t="s">
        <v>403</v>
      </c>
      <c r="AE545" s="101" t="s">
        <v>6</v>
      </c>
      <c r="AF545" s="101" t="s">
        <v>400</v>
      </c>
      <c r="AI545" s="101" t="s">
        <v>760</v>
      </c>
    </row>
    <row r="546" spans="1:35">
      <c r="A546" s="246" t="s">
        <v>111</v>
      </c>
      <c r="B546" s="246" t="s">
        <v>78</v>
      </c>
      <c r="C546" s="246" t="s">
        <v>126</v>
      </c>
      <c r="D546" s="246" t="s">
        <v>768</v>
      </c>
      <c r="E546" s="246" t="s">
        <v>769</v>
      </c>
      <c r="F546" s="246" t="s">
        <v>277</v>
      </c>
      <c r="G546" s="132" t="s">
        <v>1377</v>
      </c>
      <c r="H546" s="132" t="s">
        <v>1378</v>
      </c>
      <c r="I546" s="132">
        <v>-16.38</v>
      </c>
      <c r="J546" s="101" t="s">
        <v>889</v>
      </c>
      <c r="K546" s="245" t="s">
        <v>390</v>
      </c>
      <c r="L546" s="245">
        <v>42853</v>
      </c>
      <c r="M546" s="245" t="s">
        <v>391</v>
      </c>
      <c r="N546" s="101">
        <v>0</v>
      </c>
      <c r="O546" s="101" t="s">
        <v>392</v>
      </c>
      <c r="P546" s="101">
        <v>0</v>
      </c>
      <c r="Q546" s="101">
        <v>0</v>
      </c>
      <c r="R546" s="101" t="s">
        <v>393</v>
      </c>
      <c r="S546" s="101" t="s">
        <v>867</v>
      </c>
      <c r="T546" s="101" t="s">
        <v>394</v>
      </c>
      <c r="V546" s="245">
        <v>14248</v>
      </c>
      <c r="W546" s="101" t="s">
        <v>395</v>
      </c>
      <c r="X546" s="101" t="s">
        <v>795</v>
      </c>
      <c r="Y546" s="101" t="s">
        <v>396</v>
      </c>
      <c r="Z546" s="101" t="s">
        <v>402</v>
      </c>
      <c r="AA546" s="101" t="s">
        <v>78</v>
      </c>
      <c r="AB546" s="101">
        <v>4101000279</v>
      </c>
      <c r="AC546" s="101" t="s">
        <v>398</v>
      </c>
      <c r="AD546" s="101" t="s">
        <v>403</v>
      </c>
      <c r="AE546" s="101" t="s">
        <v>6</v>
      </c>
      <c r="AF546" s="101" t="s">
        <v>400</v>
      </c>
      <c r="AI546" s="101" t="s">
        <v>760</v>
      </c>
    </row>
    <row r="547" spans="1:35">
      <c r="A547" s="246" t="s">
        <v>112</v>
      </c>
      <c r="B547" s="246" t="s">
        <v>78</v>
      </c>
      <c r="C547" s="246" t="s">
        <v>126</v>
      </c>
      <c r="D547" s="246" t="s">
        <v>341</v>
      </c>
      <c r="E547" s="246" t="s">
        <v>342</v>
      </c>
      <c r="F547" s="246" t="s">
        <v>278</v>
      </c>
      <c r="G547" s="132" t="s">
        <v>1379</v>
      </c>
      <c r="H547" s="132" t="s">
        <v>1380</v>
      </c>
      <c r="I547" s="132">
        <v>-65.429999999999993</v>
      </c>
      <c r="J547" s="101" t="s">
        <v>889</v>
      </c>
      <c r="K547" s="245" t="s">
        <v>390</v>
      </c>
      <c r="L547" s="245">
        <v>42886</v>
      </c>
      <c r="M547" s="245" t="s">
        <v>391</v>
      </c>
      <c r="N547" s="101">
        <v>0</v>
      </c>
      <c r="O547" s="101" t="s">
        <v>392</v>
      </c>
      <c r="P547" s="101">
        <v>0</v>
      </c>
      <c r="Q547" s="101">
        <v>0</v>
      </c>
      <c r="R547" s="101" t="s">
        <v>393</v>
      </c>
      <c r="S547" s="101" t="s">
        <v>867</v>
      </c>
      <c r="T547" s="101" t="s">
        <v>394</v>
      </c>
      <c r="V547" s="245">
        <v>14248</v>
      </c>
      <c r="W547" s="101" t="s">
        <v>395</v>
      </c>
      <c r="X547" s="101" t="s">
        <v>795</v>
      </c>
      <c r="Y547" s="101" t="s">
        <v>396</v>
      </c>
      <c r="Z547" s="101" t="s">
        <v>402</v>
      </c>
      <c r="AA547" s="101" t="s">
        <v>78</v>
      </c>
      <c r="AB547" s="101">
        <v>4101000279</v>
      </c>
      <c r="AC547" s="101" t="s">
        <v>398</v>
      </c>
      <c r="AD547" s="101" t="s">
        <v>403</v>
      </c>
      <c r="AE547" s="101" t="s">
        <v>6</v>
      </c>
      <c r="AF547" s="101" t="s">
        <v>400</v>
      </c>
      <c r="AI547" s="101" t="s">
        <v>760</v>
      </c>
    </row>
    <row r="548" spans="1:35">
      <c r="A548" s="246" t="s">
        <v>112</v>
      </c>
      <c r="B548" s="246" t="s">
        <v>78</v>
      </c>
      <c r="C548" s="246" t="s">
        <v>126</v>
      </c>
      <c r="D548" s="246" t="s">
        <v>341</v>
      </c>
      <c r="E548" s="246" t="s">
        <v>342</v>
      </c>
      <c r="F548" s="246" t="s">
        <v>278</v>
      </c>
      <c r="G548" s="132" t="s">
        <v>1381</v>
      </c>
      <c r="H548" s="132" t="s">
        <v>1382</v>
      </c>
      <c r="I548" s="132">
        <v>-90.34</v>
      </c>
      <c r="J548" s="101" t="s">
        <v>889</v>
      </c>
      <c r="K548" s="245" t="s">
        <v>390</v>
      </c>
      <c r="L548" s="245">
        <v>42916</v>
      </c>
      <c r="M548" s="245" t="s">
        <v>391</v>
      </c>
      <c r="N548" s="101">
        <v>0</v>
      </c>
      <c r="O548" s="101" t="s">
        <v>392</v>
      </c>
      <c r="P548" s="101">
        <v>0</v>
      </c>
      <c r="Q548" s="101">
        <v>0</v>
      </c>
      <c r="R548" s="101" t="s">
        <v>393</v>
      </c>
      <c r="S548" s="101" t="s">
        <v>867</v>
      </c>
      <c r="T548" s="101" t="s">
        <v>394</v>
      </c>
      <c r="V548" s="245">
        <v>14248</v>
      </c>
      <c r="W548" s="101" t="s">
        <v>395</v>
      </c>
      <c r="X548" s="101" t="s">
        <v>795</v>
      </c>
      <c r="Y548" s="101" t="s">
        <v>396</v>
      </c>
      <c r="Z548" s="101" t="s">
        <v>402</v>
      </c>
      <c r="AA548" s="101" t="s">
        <v>78</v>
      </c>
      <c r="AB548" s="101">
        <v>4101000279</v>
      </c>
      <c r="AC548" s="101" t="s">
        <v>398</v>
      </c>
      <c r="AD548" s="101" t="s">
        <v>403</v>
      </c>
      <c r="AE548" s="101" t="s">
        <v>6</v>
      </c>
      <c r="AF548" s="101" t="s">
        <v>400</v>
      </c>
      <c r="AI548" s="101" t="s">
        <v>760</v>
      </c>
    </row>
    <row r="549" spans="1:35">
      <c r="A549" s="246" t="s">
        <v>112</v>
      </c>
      <c r="B549" s="246" t="s">
        <v>78</v>
      </c>
      <c r="C549" s="246" t="s">
        <v>126</v>
      </c>
      <c r="D549" s="246" t="s">
        <v>341</v>
      </c>
      <c r="E549" s="246" t="s">
        <v>342</v>
      </c>
      <c r="F549" s="246" t="s">
        <v>278</v>
      </c>
      <c r="G549" s="132" t="s">
        <v>1383</v>
      </c>
      <c r="H549" s="132" t="s">
        <v>1384</v>
      </c>
      <c r="I549" s="132">
        <v>-93.36</v>
      </c>
      <c r="J549" s="101" t="s">
        <v>889</v>
      </c>
      <c r="K549" s="245" t="s">
        <v>390</v>
      </c>
      <c r="L549" s="245">
        <v>42947</v>
      </c>
      <c r="M549" s="245" t="s">
        <v>391</v>
      </c>
      <c r="N549" s="101">
        <v>0</v>
      </c>
      <c r="O549" s="101" t="s">
        <v>392</v>
      </c>
      <c r="P549" s="101">
        <v>0</v>
      </c>
      <c r="Q549" s="101">
        <v>0</v>
      </c>
      <c r="R549" s="101" t="s">
        <v>393</v>
      </c>
      <c r="S549" s="101" t="s">
        <v>867</v>
      </c>
      <c r="T549" s="101" t="s">
        <v>394</v>
      </c>
      <c r="V549" s="245">
        <v>14248</v>
      </c>
      <c r="W549" s="101" t="s">
        <v>395</v>
      </c>
      <c r="X549" s="101" t="s">
        <v>795</v>
      </c>
      <c r="Y549" s="101" t="s">
        <v>396</v>
      </c>
      <c r="Z549" s="101" t="s">
        <v>402</v>
      </c>
      <c r="AA549" s="101" t="s">
        <v>78</v>
      </c>
      <c r="AB549" s="101">
        <v>4101000279</v>
      </c>
      <c r="AC549" s="101" t="s">
        <v>398</v>
      </c>
      <c r="AD549" s="101" t="s">
        <v>403</v>
      </c>
      <c r="AE549" s="101" t="s">
        <v>6</v>
      </c>
      <c r="AF549" s="101" t="s">
        <v>400</v>
      </c>
      <c r="AI549" s="101" t="s">
        <v>760</v>
      </c>
    </row>
    <row r="550" spans="1:35">
      <c r="A550" s="246" t="s">
        <v>112</v>
      </c>
      <c r="B550" s="246" t="s">
        <v>78</v>
      </c>
      <c r="C550" s="246" t="s">
        <v>126</v>
      </c>
      <c r="D550" s="246" t="s">
        <v>341</v>
      </c>
      <c r="E550" s="246" t="s">
        <v>342</v>
      </c>
      <c r="F550" s="246" t="s">
        <v>278</v>
      </c>
      <c r="G550" s="132" t="s">
        <v>1383</v>
      </c>
      <c r="H550" s="132" t="s">
        <v>1384</v>
      </c>
      <c r="I550" s="132">
        <v>-93.36</v>
      </c>
      <c r="J550" s="101" t="s">
        <v>889</v>
      </c>
      <c r="K550" s="245" t="s">
        <v>390</v>
      </c>
      <c r="L550" s="245">
        <v>42978</v>
      </c>
      <c r="M550" s="245" t="s">
        <v>391</v>
      </c>
      <c r="N550" s="101">
        <v>0</v>
      </c>
      <c r="O550" s="101" t="s">
        <v>392</v>
      </c>
      <c r="P550" s="101">
        <v>0</v>
      </c>
      <c r="Q550" s="101">
        <v>0</v>
      </c>
      <c r="R550" s="101" t="s">
        <v>393</v>
      </c>
      <c r="S550" s="101" t="s">
        <v>867</v>
      </c>
      <c r="T550" s="101" t="s">
        <v>394</v>
      </c>
      <c r="V550" s="245">
        <v>14248</v>
      </c>
      <c r="W550" s="101" t="s">
        <v>395</v>
      </c>
      <c r="X550" s="101" t="s">
        <v>795</v>
      </c>
      <c r="Y550" s="101" t="s">
        <v>396</v>
      </c>
      <c r="Z550" s="101" t="s">
        <v>402</v>
      </c>
      <c r="AA550" s="101" t="s">
        <v>78</v>
      </c>
      <c r="AB550" s="101">
        <v>4101000279</v>
      </c>
      <c r="AC550" s="101" t="s">
        <v>398</v>
      </c>
      <c r="AD550" s="101" t="s">
        <v>403</v>
      </c>
      <c r="AE550" s="101" t="s">
        <v>6</v>
      </c>
      <c r="AF550" s="101" t="s">
        <v>400</v>
      </c>
      <c r="AI550" s="101" t="s">
        <v>760</v>
      </c>
    </row>
    <row r="551" spans="1:35">
      <c r="A551" s="246" t="s">
        <v>112</v>
      </c>
      <c r="B551" s="246" t="s">
        <v>78</v>
      </c>
      <c r="C551" s="246" t="s">
        <v>126</v>
      </c>
      <c r="D551" s="246" t="s">
        <v>341</v>
      </c>
      <c r="E551" s="246" t="s">
        <v>342</v>
      </c>
      <c r="F551" s="246" t="s">
        <v>278</v>
      </c>
      <c r="G551" s="132" t="s">
        <v>1385</v>
      </c>
      <c r="H551" s="132" t="s">
        <v>1386</v>
      </c>
      <c r="I551" s="132">
        <v>-87.33</v>
      </c>
      <c r="J551" s="101" t="s">
        <v>889</v>
      </c>
      <c r="K551" s="245" t="s">
        <v>390</v>
      </c>
      <c r="L551" s="245">
        <v>43007</v>
      </c>
      <c r="M551" s="245" t="s">
        <v>391</v>
      </c>
      <c r="N551" s="101">
        <v>0</v>
      </c>
      <c r="O551" s="101" t="s">
        <v>392</v>
      </c>
      <c r="P551" s="101">
        <v>0</v>
      </c>
      <c r="Q551" s="101">
        <v>0</v>
      </c>
      <c r="R551" s="101" t="s">
        <v>393</v>
      </c>
      <c r="S551" s="101" t="s">
        <v>867</v>
      </c>
      <c r="T551" s="101" t="s">
        <v>394</v>
      </c>
      <c r="V551" s="245">
        <v>14248</v>
      </c>
      <c r="W551" s="101" t="s">
        <v>395</v>
      </c>
      <c r="X551" s="101" t="s">
        <v>795</v>
      </c>
      <c r="Y551" s="101" t="s">
        <v>396</v>
      </c>
      <c r="Z551" s="101" t="s">
        <v>402</v>
      </c>
      <c r="AA551" s="101" t="s">
        <v>78</v>
      </c>
      <c r="AB551" s="101">
        <v>4101000279</v>
      </c>
      <c r="AC551" s="101" t="s">
        <v>398</v>
      </c>
      <c r="AD551" s="101" t="s">
        <v>403</v>
      </c>
      <c r="AE551" s="101" t="s">
        <v>6</v>
      </c>
      <c r="AF551" s="101" t="s">
        <v>400</v>
      </c>
      <c r="AI551" s="101" t="s">
        <v>760</v>
      </c>
    </row>
    <row r="552" spans="1:35">
      <c r="A552" s="246" t="s">
        <v>112</v>
      </c>
      <c r="B552" s="246" t="s">
        <v>78</v>
      </c>
      <c r="C552" s="246" t="s">
        <v>126</v>
      </c>
      <c r="D552" s="246" t="s">
        <v>341</v>
      </c>
      <c r="E552" s="246" t="s">
        <v>342</v>
      </c>
      <c r="F552" s="246" t="s">
        <v>278</v>
      </c>
      <c r="G552" s="132" t="s">
        <v>1387</v>
      </c>
      <c r="H552" s="132" t="s">
        <v>1388</v>
      </c>
      <c r="I552" s="132">
        <v>-96.38</v>
      </c>
      <c r="J552" s="101" t="s">
        <v>889</v>
      </c>
      <c r="K552" s="245" t="s">
        <v>390</v>
      </c>
      <c r="L552" s="245">
        <v>43039</v>
      </c>
      <c r="M552" s="245" t="s">
        <v>391</v>
      </c>
      <c r="N552" s="101">
        <v>0</v>
      </c>
      <c r="O552" s="101" t="s">
        <v>392</v>
      </c>
      <c r="P552" s="101">
        <v>0</v>
      </c>
      <c r="Q552" s="101">
        <v>0</v>
      </c>
      <c r="R552" s="101" t="s">
        <v>393</v>
      </c>
      <c r="S552" s="101" t="s">
        <v>867</v>
      </c>
      <c r="T552" s="101" t="s">
        <v>394</v>
      </c>
      <c r="V552" s="245">
        <v>14248</v>
      </c>
      <c r="W552" s="101" t="s">
        <v>395</v>
      </c>
      <c r="X552" s="101" t="s">
        <v>795</v>
      </c>
      <c r="Y552" s="101" t="s">
        <v>396</v>
      </c>
      <c r="Z552" s="101" t="s">
        <v>402</v>
      </c>
      <c r="AA552" s="101" t="s">
        <v>78</v>
      </c>
      <c r="AB552" s="101">
        <v>4101000279</v>
      </c>
      <c r="AC552" s="101" t="s">
        <v>398</v>
      </c>
      <c r="AD552" s="101" t="s">
        <v>403</v>
      </c>
      <c r="AE552" s="101" t="s">
        <v>6</v>
      </c>
      <c r="AF552" s="101" t="s">
        <v>400</v>
      </c>
      <c r="AI552" s="101" t="s">
        <v>760</v>
      </c>
    </row>
    <row r="553" spans="1:35">
      <c r="A553" s="246" t="s">
        <v>113</v>
      </c>
      <c r="B553" s="246" t="s">
        <v>78</v>
      </c>
      <c r="C553" s="246" t="s">
        <v>126</v>
      </c>
      <c r="D553" s="246" t="s">
        <v>339</v>
      </c>
      <c r="E553" s="246" t="s">
        <v>340</v>
      </c>
      <c r="F553" s="246" t="s">
        <v>279</v>
      </c>
      <c r="G553" s="132" t="s">
        <v>1381</v>
      </c>
      <c r="H553" s="132" t="s">
        <v>1382</v>
      </c>
      <c r="I553" s="132">
        <v>-90.34</v>
      </c>
      <c r="J553" s="101" t="s">
        <v>889</v>
      </c>
      <c r="K553" s="245" t="s">
        <v>390</v>
      </c>
      <c r="L553" s="245">
        <v>43069</v>
      </c>
      <c r="M553" s="245" t="s">
        <v>391</v>
      </c>
      <c r="N553" s="101">
        <v>0</v>
      </c>
      <c r="O553" s="101" t="s">
        <v>392</v>
      </c>
      <c r="P553" s="101">
        <v>0</v>
      </c>
      <c r="Q553" s="101">
        <v>0</v>
      </c>
      <c r="R553" s="101" t="s">
        <v>393</v>
      </c>
      <c r="S553" s="101" t="s">
        <v>867</v>
      </c>
      <c r="T553" s="101" t="s">
        <v>394</v>
      </c>
      <c r="V553" s="245">
        <v>14248</v>
      </c>
      <c r="W553" s="101" t="s">
        <v>395</v>
      </c>
      <c r="X553" s="101" t="s">
        <v>795</v>
      </c>
      <c r="Y553" s="101" t="s">
        <v>396</v>
      </c>
      <c r="Z553" s="101" t="s">
        <v>402</v>
      </c>
      <c r="AA553" s="101" t="s">
        <v>78</v>
      </c>
      <c r="AB553" s="101">
        <v>4101000279</v>
      </c>
      <c r="AC553" s="101" t="s">
        <v>398</v>
      </c>
      <c r="AD553" s="101" t="s">
        <v>403</v>
      </c>
      <c r="AE553" s="101" t="s">
        <v>6</v>
      </c>
      <c r="AF553" s="101" t="s">
        <v>400</v>
      </c>
      <c r="AI553" s="101" t="s">
        <v>760</v>
      </c>
    </row>
    <row r="554" spans="1:35">
      <c r="A554" s="246" t="s">
        <v>113</v>
      </c>
      <c r="B554" s="246" t="s">
        <v>78</v>
      </c>
      <c r="C554" s="246" t="s">
        <v>126</v>
      </c>
      <c r="D554" s="246" t="s">
        <v>339</v>
      </c>
      <c r="E554" s="246" t="s">
        <v>340</v>
      </c>
      <c r="F554" s="246" t="s">
        <v>279</v>
      </c>
      <c r="G554" s="132" t="s">
        <v>1385</v>
      </c>
      <c r="H554" s="132" t="s">
        <v>1386</v>
      </c>
      <c r="I554" s="132">
        <v>-87.33</v>
      </c>
      <c r="J554" s="101" t="s">
        <v>889</v>
      </c>
      <c r="K554" s="245" t="s">
        <v>390</v>
      </c>
      <c r="L554" s="245">
        <v>43098</v>
      </c>
      <c r="M554" s="245" t="s">
        <v>391</v>
      </c>
      <c r="N554" s="101">
        <v>0</v>
      </c>
      <c r="O554" s="101" t="s">
        <v>392</v>
      </c>
      <c r="P554" s="101">
        <v>0</v>
      </c>
      <c r="Q554" s="101">
        <v>0</v>
      </c>
      <c r="R554" s="101" t="s">
        <v>393</v>
      </c>
      <c r="S554" s="101" t="s">
        <v>867</v>
      </c>
      <c r="T554" s="101" t="s">
        <v>394</v>
      </c>
      <c r="V554" s="245">
        <v>14248</v>
      </c>
      <c r="W554" s="101" t="s">
        <v>395</v>
      </c>
      <c r="X554" s="101" t="s">
        <v>795</v>
      </c>
      <c r="Y554" s="101" t="s">
        <v>396</v>
      </c>
      <c r="Z554" s="101" t="s">
        <v>402</v>
      </c>
      <c r="AA554" s="101" t="s">
        <v>78</v>
      </c>
      <c r="AB554" s="101">
        <v>4101000279</v>
      </c>
      <c r="AC554" s="101" t="s">
        <v>398</v>
      </c>
      <c r="AD554" s="101" t="s">
        <v>403</v>
      </c>
      <c r="AE554" s="101" t="s">
        <v>6</v>
      </c>
      <c r="AF554" s="101" t="s">
        <v>400</v>
      </c>
      <c r="AI554" s="101" t="s">
        <v>760</v>
      </c>
    </row>
    <row r="555" spans="1:35">
      <c r="A555" s="246" t="s">
        <v>113</v>
      </c>
      <c r="B555" s="246" t="s">
        <v>78</v>
      </c>
      <c r="C555" s="246" t="s">
        <v>126</v>
      </c>
      <c r="D555" s="246" t="s">
        <v>339</v>
      </c>
      <c r="E555" s="246" t="s">
        <v>340</v>
      </c>
      <c r="F555" s="246" t="s">
        <v>279</v>
      </c>
      <c r="G555" s="132" t="s">
        <v>1389</v>
      </c>
      <c r="H555" s="132" t="s">
        <v>1390</v>
      </c>
      <c r="I555" s="132">
        <v>-99.4</v>
      </c>
      <c r="J555" s="101" t="s">
        <v>889</v>
      </c>
      <c r="K555" s="245" t="s">
        <v>390</v>
      </c>
      <c r="L555" s="245">
        <v>43131</v>
      </c>
      <c r="M555" s="245" t="s">
        <v>391</v>
      </c>
      <c r="N555" s="101">
        <v>0</v>
      </c>
      <c r="O555" s="101" t="s">
        <v>392</v>
      </c>
      <c r="P555" s="101">
        <v>0</v>
      </c>
      <c r="Q555" s="101">
        <v>0</v>
      </c>
      <c r="R555" s="101" t="s">
        <v>393</v>
      </c>
      <c r="S555" s="101" t="s">
        <v>867</v>
      </c>
      <c r="T555" s="101" t="s">
        <v>394</v>
      </c>
      <c r="V555" s="245">
        <v>14248</v>
      </c>
      <c r="W555" s="101" t="s">
        <v>395</v>
      </c>
      <c r="X555" s="101" t="s">
        <v>795</v>
      </c>
      <c r="Y555" s="101" t="s">
        <v>396</v>
      </c>
      <c r="Z555" s="101" t="s">
        <v>402</v>
      </c>
      <c r="AA555" s="101" t="s">
        <v>78</v>
      </c>
      <c r="AB555" s="101">
        <v>4101000279</v>
      </c>
      <c r="AC555" s="101" t="s">
        <v>398</v>
      </c>
      <c r="AD555" s="101" t="s">
        <v>403</v>
      </c>
      <c r="AE555" s="101" t="s">
        <v>6</v>
      </c>
      <c r="AF555" s="101" t="s">
        <v>400</v>
      </c>
      <c r="AI555" s="101" t="s">
        <v>760</v>
      </c>
    </row>
    <row r="556" spans="1:35">
      <c r="A556" s="246" t="s">
        <v>113</v>
      </c>
      <c r="B556" s="246" t="s">
        <v>78</v>
      </c>
      <c r="C556" s="246" t="s">
        <v>126</v>
      </c>
      <c r="D556" s="246" t="s">
        <v>339</v>
      </c>
      <c r="E556" s="246" t="s">
        <v>340</v>
      </c>
      <c r="F556" s="246" t="s">
        <v>279</v>
      </c>
      <c r="G556" s="132" t="s">
        <v>1391</v>
      </c>
      <c r="H556" s="132" t="s">
        <v>1392</v>
      </c>
      <c r="I556" s="132">
        <v>-84.31</v>
      </c>
      <c r="J556" s="101" t="s">
        <v>889</v>
      </c>
      <c r="K556" s="245" t="s">
        <v>390</v>
      </c>
      <c r="L556" s="245">
        <v>43159</v>
      </c>
      <c r="M556" s="245" t="s">
        <v>391</v>
      </c>
      <c r="N556" s="101">
        <v>0</v>
      </c>
      <c r="O556" s="101" t="s">
        <v>392</v>
      </c>
      <c r="P556" s="101">
        <v>0</v>
      </c>
      <c r="Q556" s="101">
        <v>0</v>
      </c>
      <c r="R556" s="101" t="s">
        <v>393</v>
      </c>
      <c r="S556" s="101" t="s">
        <v>867</v>
      </c>
      <c r="T556" s="101" t="s">
        <v>394</v>
      </c>
      <c r="V556" s="245">
        <v>14248</v>
      </c>
      <c r="W556" s="101" t="s">
        <v>395</v>
      </c>
      <c r="X556" s="101" t="s">
        <v>795</v>
      </c>
      <c r="Y556" s="101" t="s">
        <v>396</v>
      </c>
      <c r="Z556" s="101" t="s">
        <v>402</v>
      </c>
      <c r="AA556" s="101" t="s">
        <v>78</v>
      </c>
      <c r="AB556" s="101">
        <v>4101000279</v>
      </c>
      <c r="AC556" s="101" t="s">
        <v>398</v>
      </c>
      <c r="AD556" s="101" t="s">
        <v>403</v>
      </c>
      <c r="AE556" s="101" t="s">
        <v>6</v>
      </c>
      <c r="AF556" s="101" t="s">
        <v>400</v>
      </c>
      <c r="AI556" s="101" t="s">
        <v>760</v>
      </c>
    </row>
    <row r="557" spans="1:35">
      <c r="A557" s="246" t="s">
        <v>113</v>
      </c>
      <c r="B557" s="246" t="s">
        <v>78</v>
      </c>
      <c r="C557" s="246" t="s">
        <v>126</v>
      </c>
      <c r="D557" s="246" t="s">
        <v>339</v>
      </c>
      <c r="E557" s="246" t="s">
        <v>340</v>
      </c>
      <c r="F557" s="246" t="s">
        <v>279</v>
      </c>
      <c r="G557" s="132" t="s">
        <v>1385</v>
      </c>
      <c r="H557" s="132" t="s">
        <v>1386</v>
      </c>
      <c r="I557" s="132">
        <v>-87.33</v>
      </c>
      <c r="J557" s="101" t="s">
        <v>889</v>
      </c>
      <c r="K557" s="245" t="s">
        <v>390</v>
      </c>
      <c r="L557" s="245">
        <v>43188</v>
      </c>
      <c r="M557" s="245" t="s">
        <v>391</v>
      </c>
      <c r="N557" s="101">
        <v>0</v>
      </c>
      <c r="O557" s="101" t="s">
        <v>392</v>
      </c>
      <c r="P557" s="101">
        <v>0</v>
      </c>
      <c r="Q557" s="101">
        <v>0</v>
      </c>
      <c r="R557" s="101" t="s">
        <v>393</v>
      </c>
      <c r="S557" s="101" t="s">
        <v>867</v>
      </c>
      <c r="T557" s="101" t="s">
        <v>394</v>
      </c>
      <c r="V557" s="245">
        <v>14248</v>
      </c>
      <c r="W557" s="101" t="s">
        <v>395</v>
      </c>
      <c r="X557" s="101" t="s">
        <v>795</v>
      </c>
      <c r="Y557" s="101" t="s">
        <v>396</v>
      </c>
      <c r="Z557" s="101" t="s">
        <v>402</v>
      </c>
      <c r="AA557" s="101" t="s">
        <v>78</v>
      </c>
      <c r="AB557" s="101">
        <v>4101000279</v>
      </c>
      <c r="AC557" s="101" t="s">
        <v>398</v>
      </c>
      <c r="AD557" s="101" t="s">
        <v>403</v>
      </c>
      <c r="AE557" s="101" t="s">
        <v>6</v>
      </c>
      <c r="AF557" s="101" t="s">
        <v>400</v>
      </c>
      <c r="AI557" s="101" t="s">
        <v>760</v>
      </c>
    </row>
    <row r="558" spans="1:35">
      <c r="A558" s="246" t="s">
        <v>113</v>
      </c>
      <c r="B558" s="246" t="s">
        <v>78</v>
      </c>
      <c r="C558" s="246" t="s">
        <v>126</v>
      </c>
      <c r="D558" s="246" t="s">
        <v>339</v>
      </c>
      <c r="E558" s="246" t="s">
        <v>340</v>
      </c>
      <c r="F558" s="246" t="s">
        <v>279</v>
      </c>
      <c r="G558" s="132" t="s">
        <v>1387</v>
      </c>
      <c r="H558" s="132" t="s">
        <v>1388</v>
      </c>
      <c r="I558" s="132">
        <v>-96.38</v>
      </c>
      <c r="J558" s="101" t="s">
        <v>889</v>
      </c>
      <c r="K558" s="245" t="s">
        <v>390</v>
      </c>
      <c r="L558" s="245">
        <v>43220</v>
      </c>
      <c r="M558" s="245" t="s">
        <v>391</v>
      </c>
      <c r="N558" s="101">
        <v>0</v>
      </c>
      <c r="O558" s="101" t="s">
        <v>392</v>
      </c>
      <c r="P558" s="101">
        <v>0</v>
      </c>
      <c r="Q558" s="101">
        <v>0</v>
      </c>
      <c r="R558" s="101" t="s">
        <v>393</v>
      </c>
      <c r="S558" s="101" t="s">
        <v>867</v>
      </c>
      <c r="T558" s="101" t="s">
        <v>394</v>
      </c>
      <c r="V558" s="245">
        <v>14248</v>
      </c>
      <c r="W558" s="101" t="s">
        <v>395</v>
      </c>
      <c r="X558" s="101" t="s">
        <v>795</v>
      </c>
      <c r="Y558" s="101" t="s">
        <v>396</v>
      </c>
      <c r="Z558" s="101" t="s">
        <v>402</v>
      </c>
      <c r="AA558" s="101" t="s">
        <v>78</v>
      </c>
      <c r="AB558" s="101">
        <v>4101000279</v>
      </c>
      <c r="AC558" s="101" t="s">
        <v>398</v>
      </c>
      <c r="AD558" s="101" t="s">
        <v>403</v>
      </c>
      <c r="AE558" s="101" t="s">
        <v>6</v>
      </c>
      <c r="AF558" s="101" t="s">
        <v>400</v>
      </c>
      <c r="AI558" s="101" t="s">
        <v>760</v>
      </c>
    </row>
    <row r="559" spans="1:35">
      <c r="A559" s="246" t="s">
        <v>110</v>
      </c>
      <c r="B559" s="246" t="s">
        <v>78</v>
      </c>
      <c r="C559" s="246" t="s">
        <v>126</v>
      </c>
      <c r="D559" s="246" t="s">
        <v>770</v>
      </c>
      <c r="E559" s="246" t="s">
        <v>771</v>
      </c>
      <c r="F559" s="246"/>
      <c r="G559" s="132" t="s">
        <v>467</v>
      </c>
      <c r="H559" s="132" t="s">
        <v>1393</v>
      </c>
      <c r="I559" s="132">
        <v>-602622.22</v>
      </c>
      <c r="J559" s="101" t="s">
        <v>889</v>
      </c>
      <c r="K559" s="245" t="s">
        <v>390</v>
      </c>
      <c r="L559" s="245">
        <v>42674</v>
      </c>
      <c r="M559" s="245" t="s">
        <v>391</v>
      </c>
      <c r="N559" s="101">
        <v>0</v>
      </c>
      <c r="O559" s="101" t="s">
        <v>392</v>
      </c>
      <c r="P559" s="101">
        <v>0</v>
      </c>
      <c r="Q559" s="101">
        <v>0</v>
      </c>
      <c r="R559" s="101" t="s">
        <v>393</v>
      </c>
      <c r="S559" s="101" t="s">
        <v>468</v>
      </c>
      <c r="T559" s="101" t="s">
        <v>394</v>
      </c>
      <c r="V559" s="245">
        <v>11077</v>
      </c>
      <c r="W559" s="101" t="s">
        <v>469</v>
      </c>
      <c r="X559" s="101" t="s">
        <v>470</v>
      </c>
      <c r="Y559" s="101" t="s">
        <v>471</v>
      </c>
      <c r="Z559" s="101" t="s">
        <v>402</v>
      </c>
      <c r="AA559" s="101" t="s">
        <v>78</v>
      </c>
      <c r="AB559" s="101">
        <v>4101000279</v>
      </c>
      <c r="AC559" s="101" t="s">
        <v>398</v>
      </c>
      <c r="AD559" s="101" t="s">
        <v>403</v>
      </c>
      <c r="AE559" s="101" t="s">
        <v>75</v>
      </c>
      <c r="AF559" s="101" t="s">
        <v>400</v>
      </c>
      <c r="AI559" s="101" t="s">
        <v>760</v>
      </c>
    </row>
    <row r="560" spans="1:35">
      <c r="A560" s="246" t="s">
        <v>111</v>
      </c>
      <c r="B560" s="246" t="s">
        <v>78</v>
      </c>
      <c r="C560" s="246" t="s">
        <v>126</v>
      </c>
      <c r="D560" s="246" t="s">
        <v>768</v>
      </c>
      <c r="E560" s="246" t="s">
        <v>769</v>
      </c>
      <c r="F560" s="246"/>
      <c r="G560" s="132" t="s">
        <v>472</v>
      </c>
      <c r="H560" s="132" t="s">
        <v>1394</v>
      </c>
      <c r="I560" s="132">
        <v>-589377.78</v>
      </c>
      <c r="J560" s="101" t="s">
        <v>889</v>
      </c>
      <c r="K560" s="245" t="s">
        <v>390</v>
      </c>
      <c r="L560" s="245">
        <v>42853</v>
      </c>
      <c r="M560" s="245" t="s">
        <v>391</v>
      </c>
      <c r="N560" s="101">
        <v>0</v>
      </c>
      <c r="O560" s="101" t="s">
        <v>392</v>
      </c>
      <c r="P560" s="101">
        <v>0</v>
      </c>
      <c r="Q560" s="101">
        <v>0</v>
      </c>
      <c r="R560" s="101" t="s">
        <v>393</v>
      </c>
      <c r="S560" s="101" t="s">
        <v>468</v>
      </c>
      <c r="T560" s="101" t="s">
        <v>394</v>
      </c>
      <c r="V560" s="245">
        <v>11077</v>
      </c>
      <c r="W560" s="101" t="s">
        <v>469</v>
      </c>
      <c r="X560" s="101" t="s">
        <v>470</v>
      </c>
      <c r="Y560" s="101" t="s">
        <v>471</v>
      </c>
      <c r="Z560" s="101" t="s">
        <v>402</v>
      </c>
      <c r="AA560" s="101" t="s">
        <v>78</v>
      </c>
      <c r="AB560" s="101">
        <v>4101000279</v>
      </c>
      <c r="AC560" s="101" t="s">
        <v>398</v>
      </c>
      <c r="AD560" s="101" t="s">
        <v>403</v>
      </c>
      <c r="AE560" s="101" t="s">
        <v>75</v>
      </c>
      <c r="AF560" s="101" t="s">
        <v>400</v>
      </c>
      <c r="AI560" s="101" t="s">
        <v>760</v>
      </c>
    </row>
    <row r="561" spans="1:35">
      <c r="A561" s="246" t="s">
        <v>112</v>
      </c>
      <c r="B561" s="246" t="s">
        <v>78</v>
      </c>
      <c r="C561" s="246" t="s">
        <v>126</v>
      </c>
      <c r="D561" s="246" t="s">
        <v>341</v>
      </c>
      <c r="E561" s="246" t="s">
        <v>342</v>
      </c>
      <c r="F561" s="246"/>
      <c r="G561" s="132" t="s">
        <v>467</v>
      </c>
      <c r="H561" s="132" t="s">
        <v>1393</v>
      </c>
      <c r="I561" s="132">
        <v>-602622.22</v>
      </c>
      <c r="J561" s="101" t="s">
        <v>889</v>
      </c>
      <c r="K561" s="245" t="s">
        <v>390</v>
      </c>
      <c r="L561" s="245">
        <v>43038</v>
      </c>
      <c r="M561" s="245" t="s">
        <v>391</v>
      </c>
      <c r="N561" s="101">
        <v>0</v>
      </c>
      <c r="O561" s="101" t="s">
        <v>392</v>
      </c>
      <c r="P561" s="101">
        <v>0</v>
      </c>
      <c r="Q561" s="101">
        <v>0</v>
      </c>
      <c r="R561" s="101" t="s">
        <v>393</v>
      </c>
      <c r="S561" s="101" t="s">
        <v>468</v>
      </c>
      <c r="T561" s="101" t="s">
        <v>394</v>
      </c>
      <c r="V561" s="245">
        <v>11077</v>
      </c>
      <c r="W561" s="101" t="s">
        <v>469</v>
      </c>
      <c r="X561" s="101" t="s">
        <v>470</v>
      </c>
      <c r="Y561" s="101" t="s">
        <v>471</v>
      </c>
      <c r="Z561" s="101" t="s">
        <v>402</v>
      </c>
      <c r="AA561" s="101" t="s">
        <v>78</v>
      </c>
      <c r="AB561" s="101">
        <v>4101000279</v>
      </c>
      <c r="AC561" s="101" t="s">
        <v>398</v>
      </c>
      <c r="AD561" s="101" t="s">
        <v>403</v>
      </c>
      <c r="AE561" s="101" t="s">
        <v>75</v>
      </c>
      <c r="AF561" s="101" t="s">
        <v>400</v>
      </c>
      <c r="AI561" s="101" t="s">
        <v>760</v>
      </c>
    </row>
    <row r="562" spans="1:35">
      <c r="A562" s="246" t="s">
        <v>113</v>
      </c>
      <c r="B562" s="246" t="s">
        <v>78</v>
      </c>
      <c r="C562" s="246" t="s">
        <v>126</v>
      </c>
      <c r="D562" s="246" t="s">
        <v>339</v>
      </c>
      <c r="E562" s="246" t="s">
        <v>340</v>
      </c>
      <c r="F562" s="246"/>
      <c r="G562" s="132">
        <v>-596000</v>
      </c>
      <c r="H562" s="132" t="s">
        <v>1395</v>
      </c>
      <c r="I562" s="132">
        <v>-596000</v>
      </c>
      <c r="J562" s="101" t="s">
        <v>889</v>
      </c>
      <c r="K562" s="245" t="s">
        <v>390</v>
      </c>
      <c r="L562" s="245">
        <v>43220</v>
      </c>
      <c r="M562" s="245" t="s">
        <v>391</v>
      </c>
      <c r="N562" s="101">
        <v>0</v>
      </c>
      <c r="O562" s="101" t="s">
        <v>392</v>
      </c>
      <c r="P562" s="101">
        <v>0</v>
      </c>
      <c r="Q562" s="101">
        <v>0</v>
      </c>
      <c r="R562" s="101" t="s">
        <v>393</v>
      </c>
      <c r="S562" s="101" t="s">
        <v>468</v>
      </c>
      <c r="T562" s="101" t="s">
        <v>394</v>
      </c>
      <c r="V562" s="245">
        <v>11077</v>
      </c>
      <c r="W562" s="101" t="s">
        <v>469</v>
      </c>
      <c r="X562" s="101" t="s">
        <v>470</v>
      </c>
      <c r="Y562" s="101" t="s">
        <v>471</v>
      </c>
      <c r="Z562" s="101" t="s">
        <v>402</v>
      </c>
      <c r="AA562" s="101" t="s">
        <v>78</v>
      </c>
      <c r="AB562" s="101">
        <v>4101000279</v>
      </c>
      <c r="AC562" s="101" t="s">
        <v>398</v>
      </c>
      <c r="AD562" s="101" t="s">
        <v>403</v>
      </c>
      <c r="AE562" s="101" t="s">
        <v>75</v>
      </c>
      <c r="AF562" s="101" t="s">
        <v>400</v>
      </c>
      <c r="AI562" s="101" t="s">
        <v>760</v>
      </c>
    </row>
    <row r="563" spans="1:35">
      <c r="A563" s="246" t="s">
        <v>109</v>
      </c>
      <c r="B563" s="246" t="s">
        <v>78</v>
      </c>
      <c r="C563" s="246" t="s">
        <v>126</v>
      </c>
      <c r="D563" s="246" t="s">
        <v>337</v>
      </c>
      <c r="E563" s="246" t="s">
        <v>336</v>
      </c>
      <c r="F563" s="246"/>
      <c r="G563" s="132" t="s">
        <v>856</v>
      </c>
      <c r="H563" s="132" t="s">
        <v>1396</v>
      </c>
      <c r="I563" s="132">
        <v>80680.350000000006</v>
      </c>
      <c r="J563" s="101" t="s">
        <v>889</v>
      </c>
      <c r="K563" s="245" t="s">
        <v>390</v>
      </c>
      <c r="L563" s="245">
        <v>42580</v>
      </c>
      <c r="M563" s="245" t="s">
        <v>391</v>
      </c>
      <c r="N563" s="101">
        <v>0</v>
      </c>
      <c r="O563" s="101" t="s">
        <v>392</v>
      </c>
      <c r="P563" s="101">
        <v>0</v>
      </c>
      <c r="Q563" s="101">
        <v>0</v>
      </c>
      <c r="R563" s="101" t="s">
        <v>393</v>
      </c>
      <c r="S563" s="101" t="s">
        <v>468</v>
      </c>
      <c r="T563" s="101" t="s">
        <v>394</v>
      </c>
      <c r="V563" s="245">
        <v>11077</v>
      </c>
      <c r="W563" s="101" t="s">
        <v>469</v>
      </c>
      <c r="X563" s="101" t="s">
        <v>470</v>
      </c>
      <c r="Y563" s="101" t="s">
        <v>471</v>
      </c>
      <c r="Z563" s="101" t="s">
        <v>402</v>
      </c>
      <c r="AA563" s="101" t="s">
        <v>78</v>
      </c>
      <c r="AB563" s="101">
        <v>4101000279</v>
      </c>
      <c r="AC563" s="101" t="s">
        <v>398</v>
      </c>
      <c r="AD563" s="101" t="s">
        <v>403</v>
      </c>
      <c r="AE563" s="101" t="s">
        <v>75</v>
      </c>
      <c r="AF563" s="101" t="s">
        <v>400</v>
      </c>
      <c r="AI563" s="101" t="s">
        <v>760</v>
      </c>
    </row>
    <row r="564" spans="1:35">
      <c r="A564" s="246" t="s">
        <v>110</v>
      </c>
      <c r="B564" s="246" t="s">
        <v>78</v>
      </c>
      <c r="C564" s="246" t="s">
        <v>126</v>
      </c>
      <c r="D564" s="246" t="s">
        <v>770</v>
      </c>
      <c r="E564" s="246" t="s">
        <v>771</v>
      </c>
      <c r="F564" s="246"/>
      <c r="G564" s="132" t="s">
        <v>1397</v>
      </c>
      <c r="H564" s="132" t="s">
        <v>1398</v>
      </c>
      <c r="I564" s="132">
        <v>96140.24</v>
      </c>
      <c r="J564" s="101" t="s">
        <v>889</v>
      </c>
      <c r="K564" s="245" t="s">
        <v>390</v>
      </c>
      <c r="L564" s="245">
        <v>42674</v>
      </c>
      <c r="M564" s="245" t="s">
        <v>391</v>
      </c>
      <c r="N564" s="101">
        <v>0</v>
      </c>
      <c r="O564" s="101" t="s">
        <v>392</v>
      </c>
      <c r="P564" s="101">
        <v>0</v>
      </c>
      <c r="Q564" s="101">
        <v>0</v>
      </c>
      <c r="R564" s="101" t="s">
        <v>393</v>
      </c>
      <c r="S564" s="101" t="s">
        <v>468</v>
      </c>
      <c r="T564" s="101" t="s">
        <v>394</v>
      </c>
      <c r="V564" s="245">
        <v>11077</v>
      </c>
      <c r="W564" s="101" t="s">
        <v>469</v>
      </c>
      <c r="X564" s="101" t="s">
        <v>470</v>
      </c>
      <c r="Y564" s="101" t="s">
        <v>471</v>
      </c>
      <c r="Z564" s="101" t="s">
        <v>402</v>
      </c>
      <c r="AA564" s="101" t="s">
        <v>78</v>
      </c>
      <c r="AB564" s="101">
        <v>4101000279</v>
      </c>
      <c r="AC564" s="101" t="s">
        <v>398</v>
      </c>
      <c r="AD564" s="101" t="s">
        <v>403</v>
      </c>
      <c r="AE564" s="101" t="s">
        <v>75</v>
      </c>
      <c r="AF564" s="101" t="s">
        <v>400</v>
      </c>
      <c r="AI564" s="101" t="s">
        <v>760</v>
      </c>
    </row>
    <row r="565" spans="1:35">
      <c r="A565" s="246" t="s">
        <v>111</v>
      </c>
      <c r="B565" s="246" t="s">
        <v>78</v>
      </c>
      <c r="C565" s="246" t="s">
        <v>126</v>
      </c>
      <c r="D565" s="246" t="s">
        <v>768</v>
      </c>
      <c r="E565" s="246" t="s">
        <v>769</v>
      </c>
      <c r="F565" s="246"/>
      <c r="G565" s="132" t="s">
        <v>1399</v>
      </c>
      <c r="H565" s="132" t="s">
        <v>1400</v>
      </c>
      <c r="I565" s="132">
        <v>98448.11</v>
      </c>
      <c r="J565" s="101" t="s">
        <v>889</v>
      </c>
      <c r="K565" s="245" t="s">
        <v>390</v>
      </c>
      <c r="L565" s="245">
        <v>42765</v>
      </c>
      <c r="M565" s="245" t="s">
        <v>391</v>
      </c>
      <c r="N565" s="101">
        <v>0</v>
      </c>
      <c r="O565" s="101" t="s">
        <v>392</v>
      </c>
      <c r="P565" s="101">
        <v>0</v>
      </c>
      <c r="Q565" s="101">
        <v>0</v>
      </c>
      <c r="R565" s="101" t="s">
        <v>393</v>
      </c>
      <c r="S565" s="101" t="s">
        <v>468</v>
      </c>
      <c r="T565" s="101" t="s">
        <v>394</v>
      </c>
      <c r="V565" s="245">
        <v>11077</v>
      </c>
      <c r="W565" s="101" t="s">
        <v>469</v>
      </c>
      <c r="X565" s="101" t="s">
        <v>470</v>
      </c>
      <c r="Y565" s="101" t="s">
        <v>471</v>
      </c>
      <c r="Z565" s="101" t="s">
        <v>402</v>
      </c>
      <c r="AA565" s="101" t="s">
        <v>78</v>
      </c>
      <c r="AB565" s="101">
        <v>4101000279</v>
      </c>
      <c r="AC565" s="101" t="s">
        <v>398</v>
      </c>
      <c r="AD565" s="101" t="s">
        <v>403</v>
      </c>
      <c r="AE565" s="101" t="s">
        <v>75</v>
      </c>
      <c r="AF565" s="101" t="s">
        <v>400</v>
      </c>
      <c r="AI565" s="101" t="s">
        <v>760</v>
      </c>
    </row>
    <row r="566" spans="1:35">
      <c r="A566" s="246" t="s">
        <v>111</v>
      </c>
      <c r="B566" s="246" t="s">
        <v>78</v>
      </c>
      <c r="C566" s="246" t="s">
        <v>126</v>
      </c>
      <c r="D566" s="246" t="s">
        <v>768</v>
      </c>
      <c r="E566" s="246" t="s">
        <v>769</v>
      </c>
      <c r="F566" s="246"/>
      <c r="G566" s="132" t="s">
        <v>1401</v>
      </c>
      <c r="H566" s="132" t="s">
        <v>1402</v>
      </c>
      <c r="I566" s="132">
        <v>98179.540000000008</v>
      </c>
      <c r="J566" s="101" t="s">
        <v>889</v>
      </c>
      <c r="K566" s="245" t="s">
        <v>390</v>
      </c>
      <c r="L566" s="245">
        <v>42853</v>
      </c>
      <c r="M566" s="245" t="s">
        <v>391</v>
      </c>
      <c r="N566" s="101">
        <v>0</v>
      </c>
      <c r="O566" s="101" t="s">
        <v>392</v>
      </c>
      <c r="P566" s="101">
        <v>0</v>
      </c>
      <c r="Q566" s="101">
        <v>0</v>
      </c>
      <c r="R566" s="101" t="s">
        <v>393</v>
      </c>
      <c r="S566" s="101" t="s">
        <v>468</v>
      </c>
      <c r="T566" s="101" t="s">
        <v>394</v>
      </c>
      <c r="V566" s="245">
        <v>11077</v>
      </c>
      <c r="W566" s="101" t="s">
        <v>469</v>
      </c>
      <c r="X566" s="101" t="s">
        <v>470</v>
      </c>
      <c r="Y566" s="101" t="s">
        <v>471</v>
      </c>
      <c r="Z566" s="101" t="s">
        <v>402</v>
      </c>
      <c r="AA566" s="101" t="s">
        <v>78</v>
      </c>
      <c r="AB566" s="101">
        <v>4101000279</v>
      </c>
      <c r="AC566" s="101" t="s">
        <v>398</v>
      </c>
      <c r="AD566" s="101" t="s">
        <v>403</v>
      </c>
      <c r="AE566" s="101" t="s">
        <v>75</v>
      </c>
      <c r="AF566" s="101" t="s">
        <v>400</v>
      </c>
      <c r="AI566" s="101" t="s">
        <v>760</v>
      </c>
    </row>
    <row r="567" spans="1:35">
      <c r="A567" s="246" t="s">
        <v>112</v>
      </c>
      <c r="B567" s="246" t="s">
        <v>78</v>
      </c>
      <c r="C567" s="246" t="s">
        <v>126</v>
      </c>
      <c r="D567" s="246" t="s">
        <v>341</v>
      </c>
      <c r="E567" s="246" t="s">
        <v>342</v>
      </c>
      <c r="F567" s="246"/>
      <c r="G567" s="132" t="s">
        <v>1403</v>
      </c>
      <c r="H567" s="132" t="s">
        <v>1404</v>
      </c>
      <c r="I567" s="132">
        <v>123114.97</v>
      </c>
      <c r="J567" s="101" t="s">
        <v>889</v>
      </c>
      <c r="K567" s="245" t="s">
        <v>390</v>
      </c>
      <c r="L567" s="245">
        <v>42947</v>
      </c>
      <c r="M567" s="245" t="s">
        <v>391</v>
      </c>
      <c r="N567" s="101">
        <v>0</v>
      </c>
      <c r="O567" s="101" t="s">
        <v>392</v>
      </c>
      <c r="P567" s="101">
        <v>0</v>
      </c>
      <c r="Q567" s="101">
        <v>0</v>
      </c>
      <c r="R567" s="101" t="s">
        <v>393</v>
      </c>
      <c r="S567" s="101" t="s">
        <v>468</v>
      </c>
      <c r="T567" s="101" t="s">
        <v>394</v>
      </c>
      <c r="V567" s="245">
        <v>11077</v>
      </c>
      <c r="W567" s="101" t="s">
        <v>469</v>
      </c>
      <c r="X567" s="101" t="s">
        <v>470</v>
      </c>
      <c r="Y567" s="101" t="s">
        <v>471</v>
      </c>
      <c r="Z567" s="101" t="s">
        <v>402</v>
      </c>
      <c r="AA567" s="101" t="s">
        <v>78</v>
      </c>
      <c r="AB567" s="101">
        <v>4101000279</v>
      </c>
      <c r="AC567" s="101" t="s">
        <v>398</v>
      </c>
      <c r="AD567" s="101" t="s">
        <v>403</v>
      </c>
      <c r="AE567" s="101" t="s">
        <v>75</v>
      </c>
      <c r="AF567" s="101" t="s">
        <v>400</v>
      </c>
      <c r="AI567" s="101" t="s">
        <v>760</v>
      </c>
    </row>
    <row r="568" spans="1:35">
      <c r="A568" s="246" t="s">
        <v>112</v>
      </c>
      <c r="B568" s="246" t="s">
        <v>78</v>
      </c>
      <c r="C568" s="246" t="s">
        <v>126</v>
      </c>
      <c r="D568" s="246" t="s">
        <v>341</v>
      </c>
      <c r="E568" s="246" t="s">
        <v>342</v>
      </c>
      <c r="F568" s="246"/>
      <c r="G568" s="132" t="s">
        <v>1405</v>
      </c>
      <c r="H568" s="132" t="s">
        <v>1406</v>
      </c>
      <c r="I568" s="132">
        <v>122218.39</v>
      </c>
      <c r="J568" s="101" t="s">
        <v>889</v>
      </c>
      <c r="K568" s="245" t="s">
        <v>390</v>
      </c>
      <c r="L568" s="245">
        <v>43038</v>
      </c>
      <c r="M568" s="245" t="s">
        <v>391</v>
      </c>
      <c r="N568" s="101">
        <v>0</v>
      </c>
      <c r="O568" s="101" t="s">
        <v>392</v>
      </c>
      <c r="P568" s="101">
        <v>0</v>
      </c>
      <c r="Q568" s="101">
        <v>0</v>
      </c>
      <c r="R568" s="101" t="s">
        <v>393</v>
      </c>
      <c r="S568" s="101" t="s">
        <v>468</v>
      </c>
      <c r="T568" s="101" t="s">
        <v>394</v>
      </c>
      <c r="V568" s="245">
        <v>11077</v>
      </c>
      <c r="W568" s="101" t="s">
        <v>469</v>
      </c>
      <c r="X568" s="101" t="s">
        <v>470</v>
      </c>
      <c r="Y568" s="101" t="s">
        <v>471</v>
      </c>
      <c r="Z568" s="101" t="s">
        <v>402</v>
      </c>
      <c r="AA568" s="101" t="s">
        <v>78</v>
      </c>
      <c r="AB568" s="101">
        <v>4101000279</v>
      </c>
      <c r="AC568" s="101" t="s">
        <v>398</v>
      </c>
      <c r="AD568" s="101" t="s">
        <v>403</v>
      </c>
      <c r="AE568" s="101" t="s">
        <v>75</v>
      </c>
      <c r="AF568" s="101" t="s">
        <v>400</v>
      </c>
      <c r="AI568" s="101" t="s">
        <v>760</v>
      </c>
    </row>
    <row r="569" spans="1:35">
      <c r="A569" s="246" t="s">
        <v>113</v>
      </c>
      <c r="B569" s="246" t="s">
        <v>78</v>
      </c>
      <c r="C569" s="246" t="s">
        <v>126</v>
      </c>
      <c r="D569" s="246" t="s">
        <v>339</v>
      </c>
      <c r="E569" s="246" t="s">
        <v>340</v>
      </c>
      <c r="F569" s="246"/>
      <c r="G569" s="132" t="s">
        <v>1405</v>
      </c>
      <c r="H569" s="132" t="s">
        <v>1406</v>
      </c>
      <c r="I569" s="132">
        <v>122218.39</v>
      </c>
      <c r="J569" s="101" t="s">
        <v>889</v>
      </c>
      <c r="K569" s="245" t="s">
        <v>390</v>
      </c>
      <c r="L569" s="245">
        <v>43129</v>
      </c>
      <c r="M569" s="245" t="s">
        <v>391</v>
      </c>
      <c r="N569" s="101">
        <v>0</v>
      </c>
      <c r="O569" s="101" t="s">
        <v>392</v>
      </c>
      <c r="P569" s="101">
        <v>0</v>
      </c>
      <c r="Q569" s="101">
        <v>0</v>
      </c>
      <c r="R569" s="101" t="s">
        <v>393</v>
      </c>
      <c r="S569" s="101" t="s">
        <v>468</v>
      </c>
      <c r="T569" s="101" t="s">
        <v>394</v>
      </c>
      <c r="V569" s="245">
        <v>11077</v>
      </c>
      <c r="W569" s="101" t="s">
        <v>469</v>
      </c>
      <c r="X569" s="101" t="s">
        <v>470</v>
      </c>
      <c r="Y569" s="101" t="s">
        <v>471</v>
      </c>
      <c r="Z569" s="101" t="s">
        <v>402</v>
      </c>
      <c r="AA569" s="101" t="s">
        <v>78</v>
      </c>
      <c r="AB569" s="101">
        <v>4101000279</v>
      </c>
      <c r="AC569" s="101" t="s">
        <v>398</v>
      </c>
      <c r="AD569" s="101" t="s">
        <v>403</v>
      </c>
      <c r="AE569" s="101" t="s">
        <v>75</v>
      </c>
      <c r="AF569" s="101" t="s">
        <v>400</v>
      </c>
      <c r="AI569" s="101" t="s">
        <v>760</v>
      </c>
    </row>
    <row r="570" spans="1:35">
      <c r="A570" s="246" t="s">
        <v>113</v>
      </c>
      <c r="B570" s="246" t="s">
        <v>78</v>
      </c>
      <c r="C570" s="246" t="s">
        <v>126</v>
      </c>
      <c r="D570" s="246" t="s">
        <v>339</v>
      </c>
      <c r="E570" s="246" t="s">
        <v>340</v>
      </c>
      <c r="F570" s="246"/>
      <c r="G570" s="132" t="s">
        <v>1405</v>
      </c>
      <c r="H570" s="132" t="s">
        <v>1406</v>
      </c>
      <c r="I570" s="132">
        <v>122218.39</v>
      </c>
      <c r="J570" s="101" t="s">
        <v>889</v>
      </c>
      <c r="K570" s="245" t="s">
        <v>390</v>
      </c>
      <c r="L570" s="245">
        <v>43220</v>
      </c>
      <c r="M570" s="245" t="s">
        <v>391</v>
      </c>
      <c r="N570" s="101">
        <v>0</v>
      </c>
      <c r="O570" s="101" t="s">
        <v>392</v>
      </c>
      <c r="P570" s="101">
        <v>0</v>
      </c>
      <c r="Q570" s="101">
        <v>0</v>
      </c>
      <c r="R570" s="101" t="s">
        <v>393</v>
      </c>
      <c r="S570" s="101" t="s">
        <v>468</v>
      </c>
      <c r="T570" s="101" t="s">
        <v>394</v>
      </c>
      <c r="V570" s="245">
        <v>11077</v>
      </c>
      <c r="W570" s="101" t="s">
        <v>469</v>
      </c>
      <c r="X570" s="101" t="s">
        <v>470</v>
      </c>
      <c r="Y570" s="101" t="s">
        <v>471</v>
      </c>
      <c r="Z570" s="101" t="s">
        <v>402</v>
      </c>
      <c r="AA570" s="101" t="s">
        <v>78</v>
      </c>
      <c r="AB570" s="101">
        <v>4101000279</v>
      </c>
      <c r="AC570" s="101" t="s">
        <v>398</v>
      </c>
      <c r="AD570" s="101" t="s">
        <v>403</v>
      </c>
      <c r="AE570" s="101" t="s">
        <v>75</v>
      </c>
      <c r="AF570" s="101" t="s">
        <v>400</v>
      </c>
      <c r="AI570" s="101" t="s">
        <v>760</v>
      </c>
    </row>
    <row r="571" spans="1:35">
      <c r="A571" s="246" t="s">
        <v>109</v>
      </c>
      <c r="B571" s="246" t="s">
        <v>263</v>
      </c>
      <c r="C571" s="246" t="s">
        <v>126</v>
      </c>
      <c r="D571" s="246" t="s">
        <v>274</v>
      </c>
      <c r="E571" s="246" t="s">
        <v>275</v>
      </c>
      <c r="F571" s="246"/>
      <c r="G571" s="132">
        <v>9375</v>
      </c>
      <c r="H571" s="132" t="s">
        <v>1407</v>
      </c>
      <c r="I571" s="132">
        <v>9375</v>
      </c>
      <c r="J571" s="101" t="s">
        <v>889</v>
      </c>
      <c r="K571" s="245" t="s">
        <v>390</v>
      </c>
      <c r="L571" s="245">
        <v>42549</v>
      </c>
      <c r="M571" s="245" t="s">
        <v>391</v>
      </c>
      <c r="N571" s="101">
        <v>0</v>
      </c>
      <c r="O571" s="101" t="s">
        <v>392</v>
      </c>
      <c r="P571" s="101">
        <v>0</v>
      </c>
      <c r="Q571" s="101">
        <v>0</v>
      </c>
      <c r="R571" s="101" t="s">
        <v>393</v>
      </c>
      <c r="S571" s="101" t="s">
        <v>454</v>
      </c>
      <c r="T571" s="101" t="s">
        <v>394</v>
      </c>
      <c r="U571" s="101" t="s">
        <v>455</v>
      </c>
      <c r="V571" s="245">
        <v>42549</v>
      </c>
      <c r="W571" s="101" t="s">
        <v>424</v>
      </c>
      <c r="X571" s="101" t="s">
        <v>77</v>
      </c>
      <c r="Y571" s="101" t="s">
        <v>396</v>
      </c>
      <c r="Z571" s="101" t="s">
        <v>456</v>
      </c>
      <c r="AA571" s="101" t="s">
        <v>91</v>
      </c>
      <c r="AB571" s="101">
        <v>3101005792</v>
      </c>
      <c r="AC571" s="101" t="s">
        <v>419</v>
      </c>
      <c r="AD571" s="101" t="s">
        <v>457</v>
      </c>
      <c r="AE571" s="101" t="s">
        <v>75</v>
      </c>
      <c r="AF571" s="101" t="s">
        <v>400</v>
      </c>
      <c r="AI571" s="101" t="s">
        <v>760</v>
      </c>
    </row>
    <row r="572" spans="1:35">
      <c r="A572" s="246" t="s">
        <v>108</v>
      </c>
      <c r="B572" s="246" t="s">
        <v>66</v>
      </c>
      <c r="C572" s="246" t="s">
        <v>126</v>
      </c>
      <c r="D572" s="246" t="s">
        <v>280</v>
      </c>
      <c r="E572" s="246"/>
      <c r="F572" s="246"/>
      <c r="G572" s="132">
        <v>577500</v>
      </c>
      <c r="H572" s="132" t="s">
        <v>1408</v>
      </c>
      <c r="I572" s="132">
        <v>577500</v>
      </c>
      <c r="J572" s="101" t="s">
        <v>889</v>
      </c>
      <c r="K572" s="245" t="s">
        <v>390</v>
      </c>
      <c r="L572" s="245">
        <v>42530</v>
      </c>
      <c r="M572" s="245" t="s">
        <v>391</v>
      </c>
      <c r="N572" s="101">
        <v>0</v>
      </c>
      <c r="O572" s="101" t="s">
        <v>392</v>
      </c>
      <c r="P572" s="101">
        <v>0</v>
      </c>
      <c r="Q572" s="101">
        <v>0</v>
      </c>
      <c r="R572" s="101" t="s">
        <v>438</v>
      </c>
      <c r="S572" s="101">
        <v>148885</v>
      </c>
      <c r="T572" s="101" t="s">
        <v>394</v>
      </c>
      <c r="V572" s="245">
        <v>44904</v>
      </c>
      <c r="W572" s="101" t="s">
        <v>439</v>
      </c>
      <c r="X572" s="101" t="s">
        <v>76</v>
      </c>
      <c r="Y572" s="101" t="s">
        <v>392</v>
      </c>
      <c r="Z572" s="101" t="s">
        <v>430</v>
      </c>
      <c r="AA572" s="101" t="s">
        <v>397</v>
      </c>
      <c r="AB572" s="101">
        <v>5101000018</v>
      </c>
      <c r="AC572" s="101" t="s">
        <v>431</v>
      </c>
      <c r="AD572" s="101" t="s">
        <v>431</v>
      </c>
      <c r="AE572" s="101" t="s">
        <v>75</v>
      </c>
      <c r="AF572" s="101" t="s">
        <v>400</v>
      </c>
      <c r="AG572" s="101" t="s">
        <v>567</v>
      </c>
      <c r="AI572" s="101" t="s">
        <v>760</v>
      </c>
    </row>
    <row r="573" spans="1:35">
      <c r="A573" s="246" t="s">
        <v>111</v>
      </c>
      <c r="B573" s="246" t="s">
        <v>66</v>
      </c>
      <c r="C573" s="246" t="s">
        <v>126</v>
      </c>
      <c r="D573" s="246" t="s">
        <v>273</v>
      </c>
      <c r="E573" s="246"/>
      <c r="F573" s="246"/>
      <c r="G573" s="132">
        <v>577500</v>
      </c>
      <c r="H573" s="132" t="s">
        <v>1408</v>
      </c>
      <c r="I573" s="132">
        <v>577500</v>
      </c>
      <c r="J573" s="101" t="s">
        <v>889</v>
      </c>
      <c r="K573" s="245" t="s">
        <v>390</v>
      </c>
      <c r="L573" s="245">
        <v>42713</v>
      </c>
      <c r="M573" s="245" t="s">
        <v>391</v>
      </c>
      <c r="N573" s="101">
        <v>0</v>
      </c>
      <c r="O573" s="101" t="s">
        <v>392</v>
      </c>
      <c r="P573" s="101">
        <v>0</v>
      </c>
      <c r="Q573" s="101">
        <v>0</v>
      </c>
      <c r="R573" s="101" t="s">
        <v>438</v>
      </c>
      <c r="S573" s="101">
        <v>148885</v>
      </c>
      <c r="T573" s="101" t="s">
        <v>394</v>
      </c>
      <c r="V573" s="245">
        <v>44904</v>
      </c>
      <c r="W573" s="101" t="s">
        <v>439</v>
      </c>
      <c r="X573" s="101" t="s">
        <v>76</v>
      </c>
      <c r="Y573" s="101" t="s">
        <v>392</v>
      </c>
      <c r="Z573" s="101" t="s">
        <v>430</v>
      </c>
      <c r="AA573" s="101" t="s">
        <v>397</v>
      </c>
      <c r="AB573" s="101">
        <v>5101000018</v>
      </c>
      <c r="AC573" s="101" t="s">
        <v>431</v>
      </c>
      <c r="AD573" s="101" t="s">
        <v>431</v>
      </c>
      <c r="AE573" s="101" t="s">
        <v>75</v>
      </c>
      <c r="AF573" s="101" t="s">
        <v>400</v>
      </c>
      <c r="AG573" s="101" t="s">
        <v>567</v>
      </c>
      <c r="AI573" s="101" t="s">
        <v>760</v>
      </c>
    </row>
    <row r="574" spans="1:35">
      <c r="A574" s="246" t="s">
        <v>112</v>
      </c>
      <c r="B574" s="246" t="s">
        <v>66</v>
      </c>
      <c r="C574" s="246" t="s">
        <v>126</v>
      </c>
      <c r="D574" s="246" t="s">
        <v>270</v>
      </c>
      <c r="E574" s="246"/>
      <c r="F574" s="246"/>
      <c r="G574" s="132">
        <v>577500</v>
      </c>
      <c r="H574" s="132" t="s">
        <v>1408</v>
      </c>
      <c r="I574" s="132">
        <v>577500</v>
      </c>
      <c r="J574" s="101" t="s">
        <v>889</v>
      </c>
      <c r="K574" s="245" t="s">
        <v>390</v>
      </c>
      <c r="L574" s="245">
        <v>42895</v>
      </c>
      <c r="M574" s="245" t="s">
        <v>391</v>
      </c>
      <c r="N574" s="101">
        <v>0</v>
      </c>
      <c r="O574" s="101" t="s">
        <v>392</v>
      </c>
      <c r="P574" s="101">
        <v>0</v>
      </c>
      <c r="Q574" s="101">
        <v>0</v>
      </c>
      <c r="R574" s="101" t="s">
        <v>438</v>
      </c>
      <c r="S574" s="101">
        <v>148885</v>
      </c>
      <c r="T574" s="101" t="s">
        <v>394</v>
      </c>
      <c r="V574" s="245">
        <v>44904</v>
      </c>
      <c r="W574" s="101" t="s">
        <v>439</v>
      </c>
      <c r="X574" s="101" t="s">
        <v>76</v>
      </c>
      <c r="Y574" s="101" t="s">
        <v>392</v>
      </c>
      <c r="Z574" s="101" t="s">
        <v>430</v>
      </c>
      <c r="AA574" s="101" t="s">
        <v>397</v>
      </c>
      <c r="AB574" s="101">
        <v>5101000018</v>
      </c>
      <c r="AC574" s="101" t="s">
        <v>431</v>
      </c>
      <c r="AD574" s="101" t="s">
        <v>431</v>
      </c>
      <c r="AE574" s="101" t="s">
        <v>75</v>
      </c>
      <c r="AF574" s="101" t="s">
        <v>400</v>
      </c>
      <c r="AG574" s="101" t="s">
        <v>567</v>
      </c>
      <c r="AI574" s="101" t="s">
        <v>760</v>
      </c>
    </row>
    <row r="575" spans="1:35">
      <c r="A575" s="246" t="s">
        <v>113</v>
      </c>
      <c r="B575" s="246" t="s">
        <v>66</v>
      </c>
      <c r="C575" s="246" t="s">
        <v>126</v>
      </c>
      <c r="D575" s="246" t="s">
        <v>271</v>
      </c>
      <c r="E575" s="246"/>
      <c r="F575" s="246"/>
      <c r="G575" s="132">
        <v>577500</v>
      </c>
      <c r="H575" s="132" t="s">
        <v>1408</v>
      </c>
      <c r="I575" s="132">
        <v>577500</v>
      </c>
      <c r="J575" s="101" t="s">
        <v>889</v>
      </c>
      <c r="K575" s="245" t="s">
        <v>390</v>
      </c>
      <c r="L575" s="245">
        <v>43080</v>
      </c>
      <c r="M575" s="245" t="s">
        <v>391</v>
      </c>
      <c r="N575" s="101">
        <v>0</v>
      </c>
      <c r="O575" s="101" t="s">
        <v>392</v>
      </c>
      <c r="P575" s="101">
        <v>0</v>
      </c>
      <c r="Q575" s="101">
        <v>0</v>
      </c>
      <c r="R575" s="101" t="s">
        <v>438</v>
      </c>
      <c r="S575" s="101">
        <v>148885</v>
      </c>
      <c r="T575" s="101" t="s">
        <v>394</v>
      </c>
      <c r="V575" s="245">
        <v>44904</v>
      </c>
      <c r="W575" s="101" t="s">
        <v>439</v>
      </c>
      <c r="X575" s="101" t="s">
        <v>76</v>
      </c>
      <c r="Y575" s="101" t="s">
        <v>392</v>
      </c>
      <c r="Z575" s="101" t="s">
        <v>430</v>
      </c>
      <c r="AA575" s="101" t="s">
        <v>397</v>
      </c>
      <c r="AB575" s="101">
        <v>5101000018</v>
      </c>
      <c r="AC575" s="101" t="s">
        <v>431</v>
      </c>
      <c r="AD575" s="101" t="s">
        <v>431</v>
      </c>
      <c r="AE575" s="101" t="s">
        <v>75</v>
      </c>
      <c r="AF575" s="101" t="s">
        <v>400</v>
      </c>
      <c r="AG575" s="101" t="s">
        <v>567</v>
      </c>
      <c r="AI575" s="101" t="s">
        <v>760</v>
      </c>
    </row>
    <row r="576" spans="1:35">
      <c r="A576" s="246" t="s">
        <v>109</v>
      </c>
      <c r="B576" s="246" t="s">
        <v>66</v>
      </c>
      <c r="C576" s="246" t="s">
        <v>126</v>
      </c>
      <c r="D576" s="246" t="s">
        <v>272</v>
      </c>
      <c r="E576" s="246"/>
      <c r="F576" s="246"/>
      <c r="G576" s="132" t="s">
        <v>437</v>
      </c>
      <c r="H576" s="132" t="s">
        <v>1409</v>
      </c>
      <c r="I576" s="132">
        <v>32562.499999999996</v>
      </c>
      <c r="J576" s="101" t="s">
        <v>889</v>
      </c>
      <c r="K576" s="245" t="s">
        <v>390</v>
      </c>
      <c r="L576" s="245">
        <v>42541</v>
      </c>
      <c r="M576" s="245" t="s">
        <v>391</v>
      </c>
      <c r="N576" s="101">
        <v>1</v>
      </c>
      <c r="O576" s="101" t="s">
        <v>392</v>
      </c>
      <c r="P576" s="101">
        <v>0</v>
      </c>
      <c r="Q576" s="101">
        <v>0</v>
      </c>
      <c r="R576" s="101" t="s">
        <v>438</v>
      </c>
      <c r="S576" s="101">
        <v>148881</v>
      </c>
      <c r="T576" s="101" t="s">
        <v>394</v>
      </c>
      <c r="V576" s="245">
        <v>44914</v>
      </c>
      <c r="W576" s="101" t="s">
        <v>439</v>
      </c>
      <c r="X576" s="101" t="s">
        <v>76</v>
      </c>
      <c r="Y576" s="101" t="s">
        <v>392</v>
      </c>
      <c r="Z576" s="101" t="s">
        <v>430</v>
      </c>
      <c r="AA576" s="101" t="s">
        <v>397</v>
      </c>
      <c r="AB576" s="101">
        <v>5101000018</v>
      </c>
      <c r="AC576" s="101" t="s">
        <v>431</v>
      </c>
      <c r="AD576" s="101" t="s">
        <v>431</v>
      </c>
      <c r="AE576" s="101" t="s">
        <v>75</v>
      </c>
      <c r="AF576" s="101" t="s">
        <v>400</v>
      </c>
      <c r="AG576" s="101" t="s">
        <v>440</v>
      </c>
      <c r="AI576" s="101" t="s">
        <v>760</v>
      </c>
    </row>
    <row r="577" spans="1:35">
      <c r="A577" s="246" t="s">
        <v>111</v>
      </c>
      <c r="B577" s="246" t="s">
        <v>66</v>
      </c>
      <c r="C577" s="246" t="s">
        <v>126</v>
      </c>
      <c r="D577" s="246" t="s">
        <v>273</v>
      </c>
      <c r="E577" s="246"/>
      <c r="F577" s="246"/>
      <c r="G577" s="132" t="s">
        <v>437</v>
      </c>
      <c r="H577" s="132" t="s">
        <v>1409</v>
      </c>
      <c r="I577" s="132">
        <v>32562.499999999996</v>
      </c>
      <c r="J577" s="101" t="s">
        <v>889</v>
      </c>
      <c r="K577" s="245" t="s">
        <v>390</v>
      </c>
      <c r="L577" s="245">
        <v>42723</v>
      </c>
      <c r="M577" s="245" t="s">
        <v>391</v>
      </c>
      <c r="N577" s="101">
        <v>1</v>
      </c>
      <c r="O577" s="101" t="s">
        <v>392</v>
      </c>
      <c r="P577" s="101">
        <v>0</v>
      </c>
      <c r="Q577" s="101">
        <v>0</v>
      </c>
      <c r="R577" s="101" t="s">
        <v>438</v>
      </c>
      <c r="S577" s="101">
        <v>148881</v>
      </c>
      <c r="T577" s="101" t="s">
        <v>394</v>
      </c>
      <c r="V577" s="245">
        <v>44914</v>
      </c>
      <c r="W577" s="101" t="s">
        <v>439</v>
      </c>
      <c r="X577" s="101" t="s">
        <v>76</v>
      </c>
      <c r="Y577" s="101" t="s">
        <v>392</v>
      </c>
      <c r="Z577" s="101" t="s">
        <v>430</v>
      </c>
      <c r="AA577" s="101" t="s">
        <v>397</v>
      </c>
      <c r="AB577" s="101">
        <v>5101000018</v>
      </c>
      <c r="AC577" s="101" t="s">
        <v>431</v>
      </c>
      <c r="AD577" s="101" t="s">
        <v>431</v>
      </c>
      <c r="AE577" s="101" t="s">
        <v>75</v>
      </c>
      <c r="AF577" s="101" t="s">
        <v>400</v>
      </c>
      <c r="AG577" s="101" t="s">
        <v>440</v>
      </c>
      <c r="AI577" s="101" t="s">
        <v>760</v>
      </c>
    </row>
    <row r="578" spans="1:35">
      <c r="A578" s="246" t="s">
        <v>112</v>
      </c>
      <c r="B578" s="246" t="s">
        <v>66</v>
      </c>
      <c r="C578" s="246" t="s">
        <v>126</v>
      </c>
      <c r="D578" s="246" t="s">
        <v>270</v>
      </c>
      <c r="E578" s="246"/>
      <c r="F578" s="246"/>
      <c r="G578" s="132" t="s">
        <v>437</v>
      </c>
      <c r="H578" s="132" t="s">
        <v>1409</v>
      </c>
      <c r="I578" s="132">
        <v>32562.499999999996</v>
      </c>
      <c r="J578" s="101" t="s">
        <v>889</v>
      </c>
      <c r="K578" s="245" t="s">
        <v>390</v>
      </c>
      <c r="L578" s="245">
        <v>42905</v>
      </c>
      <c r="M578" s="245" t="s">
        <v>391</v>
      </c>
      <c r="N578" s="101">
        <v>1</v>
      </c>
      <c r="O578" s="101" t="s">
        <v>392</v>
      </c>
      <c r="P578" s="101">
        <v>0</v>
      </c>
      <c r="Q578" s="101">
        <v>0</v>
      </c>
      <c r="R578" s="101" t="s">
        <v>438</v>
      </c>
      <c r="S578" s="101">
        <v>148881</v>
      </c>
      <c r="T578" s="101" t="s">
        <v>394</v>
      </c>
      <c r="V578" s="245">
        <v>44914</v>
      </c>
      <c r="W578" s="101" t="s">
        <v>439</v>
      </c>
      <c r="X578" s="101" t="s">
        <v>76</v>
      </c>
      <c r="Y578" s="101" t="s">
        <v>392</v>
      </c>
      <c r="Z578" s="101" t="s">
        <v>430</v>
      </c>
      <c r="AA578" s="101" t="s">
        <v>397</v>
      </c>
      <c r="AB578" s="101">
        <v>5101000018</v>
      </c>
      <c r="AC578" s="101" t="s">
        <v>431</v>
      </c>
      <c r="AD578" s="101" t="s">
        <v>431</v>
      </c>
      <c r="AE578" s="101" t="s">
        <v>75</v>
      </c>
      <c r="AF578" s="101" t="s">
        <v>400</v>
      </c>
      <c r="AG578" s="101" t="s">
        <v>440</v>
      </c>
      <c r="AI578" s="101" t="s">
        <v>760</v>
      </c>
    </row>
    <row r="579" spans="1:35">
      <c r="A579" s="246" t="s">
        <v>113</v>
      </c>
      <c r="B579" s="246" t="s">
        <v>66</v>
      </c>
      <c r="C579" s="246" t="s">
        <v>126</v>
      </c>
      <c r="D579" s="246" t="s">
        <v>271</v>
      </c>
      <c r="E579" s="246"/>
      <c r="F579" s="246"/>
      <c r="G579" s="132" t="s">
        <v>437</v>
      </c>
      <c r="H579" s="132" t="s">
        <v>1409</v>
      </c>
      <c r="I579" s="132">
        <v>32562.499999999996</v>
      </c>
      <c r="J579" s="101" t="s">
        <v>889</v>
      </c>
      <c r="K579" s="245" t="s">
        <v>390</v>
      </c>
      <c r="L579" s="245">
        <v>43088</v>
      </c>
      <c r="M579" s="245" t="s">
        <v>391</v>
      </c>
      <c r="N579" s="101">
        <v>1</v>
      </c>
      <c r="O579" s="101" t="s">
        <v>392</v>
      </c>
      <c r="P579" s="101">
        <v>0</v>
      </c>
      <c r="Q579" s="101">
        <v>0</v>
      </c>
      <c r="R579" s="101" t="s">
        <v>438</v>
      </c>
      <c r="S579" s="101">
        <v>148881</v>
      </c>
      <c r="T579" s="101" t="s">
        <v>394</v>
      </c>
      <c r="V579" s="245">
        <v>44914</v>
      </c>
      <c r="W579" s="101" t="s">
        <v>439</v>
      </c>
      <c r="X579" s="101" t="s">
        <v>76</v>
      </c>
      <c r="Y579" s="101" t="s">
        <v>392</v>
      </c>
      <c r="Z579" s="101" t="s">
        <v>430</v>
      </c>
      <c r="AA579" s="101" t="s">
        <v>397</v>
      </c>
      <c r="AB579" s="101">
        <v>5101000018</v>
      </c>
      <c r="AC579" s="101" t="s">
        <v>431</v>
      </c>
      <c r="AD579" s="101" t="s">
        <v>431</v>
      </c>
      <c r="AE579" s="101" t="s">
        <v>75</v>
      </c>
      <c r="AF579" s="101" t="s">
        <v>400</v>
      </c>
      <c r="AG579" s="101" t="s">
        <v>440</v>
      </c>
      <c r="AI579" s="101" t="s">
        <v>760</v>
      </c>
    </row>
    <row r="580" spans="1:35">
      <c r="A580" s="246" t="s">
        <v>107</v>
      </c>
      <c r="B580" s="246" t="s">
        <v>78</v>
      </c>
      <c r="C580" s="246" t="s">
        <v>126</v>
      </c>
      <c r="D580" s="246" t="s">
        <v>772</v>
      </c>
      <c r="E580" s="246" t="s">
        <v>773</v>
      </c>
      <c r="F580" s="246" t="s">
        <v>334</v>
      </c>
      <c r="G580" s="132" t="s">
        <v>877</v>
      </c>
      <c r="H580" s="132" t="s">
        <v>1410</v>
      </c>
      <c r="I580" s="132">
        <v>2.54</v>
      </c>
      <c r="J580" s="101" t="s">
        <v>889</v>
      </c>
      <c r="K580" s="245" t="s">
        <v>390</v>
      </c>
      <c r="L580" s="245">
        <v>42521</v>
      </c>
      <c r="M580" s="245" t="s">
        <v>391</v>
      </c>
      <c r="N580" s="101">
        <v>0</v>
      </c>
      <c r="O580" s="101" t="s">
        <v>392</v>
      </c>
      <c r="P580" s="101">
        <v>0</v>
      </c>
      <c r="Q580" s="101">
        <v>0</v>
      </c>
      <c r="R580" s="101" t="s">
        <v>393</v>
      </c>
      <c r="S580" s="101" t="s">
        <v>876</v>
      </c>
      <c r="T580" s="101" t="s">
        <v>394</v>
      </c>
      <c r="V580" s="245">
        <v>14521</v>
      </c>
      <c r="W580" s="101" t="s">
        <v>395</v>
      </c>
      <c r="X580" s="101" t="s">
        <v>795</v>
      </c>
      <c r="Y580" s="101" t="s">
        <v>396</v>
      </c>
      <c r="Z580" s="101" t="s">
        <v>402</v>
      </c>
      <c r="AA580" s="101" t="s">
        <v>78</v>
      </c>
      <c r="AB580" s="101">
        <v>4101000279</v>
      </c>
      <c r="AC580" s="101" t="s">
        <v>398</v>
      </c>
      <c r="AD580" s="101" t="s">
        <v>403</v>
      </c>
      <c r="AE580" s="101" t="s">
        <v>6</v>
      </c>
      <c r="AF580" s="101" t="s">
        <v>400</v>
      </c>
      <c r="AI580" s="101" t="s">
        <v>760</v>
      </c>
    </row>
    <row r="581" spans="1:35">
      <c r="A581" s="246" t="s">
        <v>109</v>
      </c>
      <c r="B581" s="246" t="s">
        <v>78</v>
      </c>
      <c r="C581" s="246" t="s">
        <v>126</v>
      </c>
      <c r="D581" s="246" t="s">
        <v>337</v>
      </c>
      <c r="E581" s="246" t="s">
        <v>336</v>
      </c>
      <c r="F581" s="246" t="s">
        <v>275</v>
      </c>
      <c r="G581" s="132" t="s">
        <v>1411</v>
      </c>
      <c r="H581" s="132" t="s">
        <v>1412</v>
      </c>
      <c r="I581" s="132">
        <v>2.34</v>
      </c>
      <c r="J581" s="101" t="s">
        <v>889</v>
      </c>
      <c r="K581" s="245" t="s">
        <v>390</v>
      </c>
      <c r="L581" s="245">
        <v>42551</v>
      </c>
      <c r="M581" s="245" t="s">
        <v>391</v>
      </c>
      <c r="N581" s="101">
        <v>0</v>
      </c>
      <c r="O581" s="101" t="s">
        <v>392</v>
      </c>
      <c r="P581" s="101">
        <v>0</v>
      </c>
      <c r="Q581" s="101">
        <v>0</v>
      </c>
      <c r="R581" s="101" t="s">
        <v>393</v>
      </c>
      <c r="S581" s="101" t="s">
        <v>876</v>
      </c>
      <c r="T581" s="101" t="s">
        <v>394</v>
      </c>
      <c r="V581" s="245">
        <v>14521</v>
      </c>
      <c r="W581" s="101" t="s">
        <v>395</v>
      </c>
      <c r="X581" s="101" t="s">
        <v>795</v>
      </c>
      <c r="Y581" s="101" t="s">
        <v>396</v>
      </c>
      <c r="Z581" s="101" t="s">
        <v>402</v>
      </c>
      <c r="AA581" s="101" t="s">
        <v>78</v>
      </c>
      <c r="AB581" s="101">
        <v>4101000279</v>
      </c>
      <c r="AC581" s="101" t="s">
        <v>398</v>
      </c>
      <c r="AD581" s="101" t="s">
        <v>403</v>
      </c>
      <c r="AE581" s="101" t="s">
        <v>6</v>
      </c>
      <c r="AF581" s="101" t="s">
        <v>400</v>
      </c>
      <c r="AI581" s="101" t="s">
        <v>760</v>
      </c>
    </row>
    <row r="582" spans="1:35">
      <c r="A582" s="246" t="s">
        <v>109</v>
      </c>
      <c r="B582" s="246" t="s">
        <v>78</v>
      </c>
      <c r="C582" s="246" t="s">
        <v>126</v>
      </c>
      <c r="D582" s="246" t="s">
        <v>337</v>
      </c>
      <c r="E582" s="246" t="s">
        <v>336</v>
      </c>
      <c r="F582" s="246" t="s">
        <v>275</v>
      </c>
      <c r="G582" s="132" t="s">
        <v>1413</v>
      </c>
      <c r="H582" s="132" t="s">
        <v>1414</v>
      </c>
      <c r="I582" s="132">
        <v>2.2400000000000002</v>
      </c>
      <c r="J582" s="101" t="s">
        <v>889</v>
      </c>
      <c r="K582" s="245" t="s">
        <v>390</v>
      </c>
      <c r="L582" s="245">
        <v>42580</v>
      </c>
      <c r="M582" s="245" t="s">
        <v>391</v>
      </c>
      <c r="N582" s="101">
        <v>0</v>
      </c>
      <c r="O582" s="101" t="s">
        <v>392</v>
      </c>
      <c r="P582" s="101">
        <v>0</v>
      </c>
      <c r="Q582" s="101">
        <v>0</v>
      </c>
      <c r="R582" s="101" t="s">
        <v>393</v>
      </c>
      <c r="S582" s="101" t="s">
        <v>876</v>
      </c>
      <c r="T582" s="101" t="s">
        <v>394</v>
      </c>
      <c r="V582" s="245">
        <v>14521</v>
      </c>
      <c r="W582" s="101" t="s">
        <v>395</v>
      </c>
      <c r="X582" s="101" t="s">
        <v>795</v>
      </c>
      <c r="Y582" s="101" t="s">
        <v>396</v>
      </c>
      <c r="Z582" s="101" t="s">
        <v>402</v>
      </c>
      <c r="AA582" s="101" t="s">
        <v>78</v>
      </c>
      <c r="AB582" s="101">
        <v>4101000279</v>
      </c>
      <c r="AC582" s="101" t="s">
        <v>398</v>
      </c>
      <c r="AD582" s="101" t="s">
        <v>403</v>
      </c>
      <c r="AE582" s="101" t="s">
        <v>6</v>
      </c>
      <c r="AF582" s="101" t="s">
        <v>400</v>
      </c>
      <c r="AI582" s="101" t="s">
        <v>760</v>
      </c>
    </row>
    <row r="583" spans="1:35">
      <c r="A583" s="246" t="s">
        <v>110</v>
      </c>
      <c r="B583" s="246" t="s">
        <v>78</v>
      </c>
      <c r="C583" s="246" t="s">
        <v>126</v>
      </c>
      <c r="D583" s="246" t="s">
        <v>770</v>
      </c>
      <c r="E583" s="246" t="s">
        <v>771</v>
      </c>
      <c r="F583" s="246" t="s">
        <v>276</v>
      </c>
      <c r="G583" s="132" t="s">
        <v>1415</v>
      </c>
      <c r="H583" s="132" t="s">
        <v>1416</v>
      </c>
      <c r="I583" s="132">
        <v>2.3600000000000003</v>
      </c>
      <c r="J583" s="101" t="s">
        <v>889</v>
      </c>
      <c r="K583" s="245" t="s">
        <v>390</v>
      </c>
      <c r="L583" s="245">
        <v>42613</v>
      </c>
      <c r="M583" s="245" t="s">
        <v>391</v>
      </c>
      <c r="N583" s="101">
        <v>0</v>
      </c>
      <c r="O583" s="101" t="s">
        <v>392</v>
      </c>
      <c r="P583" s="101">
        <v>0</v>
      </c>
      <c r="Q583" s="101">
        <v>0</v>
      </c>
      <c r="R583" s="101" t="s">
        <v>393</v>
      </c>
      <c r="S583" s="101" t="s">
        <v>876</v>
      </c>
      <c r="T583" s="101" t="s">
        <v>394</v>
      </c>
      <c r="V583" s="245">
        <v>14521</v>
      </c>
      <c r="W583" s="101" t="s">
        <v>395</v>
      </c>
      <c r="X583" s="101" t="s">
        <v>795</v>
      </c>
      <c r="Y583" s="101" t="s">
        <v>396</v>
      </c>
      <c r="Z583" s="101" t="s">
        <v>402</v>
      </c>
      <c r="AA583" s="101" t="s">
        <v>78</v>
      </c>
      <c r="AB583" s="101">
        <v>4101000279</v>
      </c>
      <c r="AC583" s="101" t="s">
        <v>398</v>
      </c>
      <c r="AD583" s="101" t="s">
        <v>403</v>
      </c>
      <c r="AE583" s="101" t="s">
        <v>6</v>
      </c>
      <c r="AF583" s="101" t="s">
        <v>400</v>
      </c>
      <c r="AI583" s="101" t="s">
        <v>760</v>
      </c>
    </row>
    <row r="584" spans="1:35">
      <c r="A584" s="246" t="s">
        <v>110</v>
      </c>
      <c r="B584" s="246" t="s">
        <v>78</v>
      </c>
      <c r="C584" s="246" t="s">
        <v>126</v>
      </c>
      <c r="D584" s="246" t="s">
        <v>770</v>
      </c>
      <c r="E584" s="246" t="s">
        <v>771</v>
      </c>
      <c r="F584" s="246" t="s">
        <v>276</v>
      </c>
      <c r="G584" s="132" t="s">
        <v>1417</v>
      </c>
      <c r="H584" s="132" t="s">
        <v>1418</v>
      </c>
      <c r="I584" s="132">
        <v>2.02</v>
      </c>
      <c r="J584" s="101" t="s">
        <v>889</v>
      </c>
      <c r="K584" s="245" t="s">
        <v>390</v>
      </c>
      <c r="L584" s="245">
        <v>42643</v>
      </c>
      <c r="M584" s="245" t="s">
        <v>391</v>
      </c>
      <c r="N584" s="101">
        <v>0</v>
      </c>
      <c r="O584" s="101" t="s">
        <v>392</v>
      </c>
      <c r="P584" s="101">
        <v>0</v>
      </c>
      <c r="Q584" s="101">
        <v>0</v>
      </c>
      <c r="R584" s="101" t="s">
        <v>393</v>
      </c>
      <c r="S584" s="101" t="s">
        <v>876</v>
      </c>
      <c r="T584" s="101" t="s">
        <v>394</v>
      </c>
      <c r="V584" s="245">
        <v>14521</v>
      </c>
      <c r="W584" s="101" t="s">
        <v>395</v>
      </c>
      <c r="X584" s="101" t="s">
        <v>795</v>
      </c>
      <c r="Y584" s="101" t="s">
        <v>396</v>
      </c>
      <c r="Z584" s="101" t="s">
        <v>402</v>
      </c>
      <c r="AA584" s="101" t="s">
        <v>78</v>
      </c>
      <c r="AB584" s="101">
        <v>4101000279</v>
      </c>
      <c r="AC584" s="101" t="s">
        <v>398</v>
      </c>
      <c r="AD584" s="101" t="s">
        <v>403</v>
      </c>
      <c r="AE584" s="101" t="s">
        <v>6</v>
      </c>
      <c r="AF584" s="101" t="s">
        <v>400</v>
      </c>
      <c r="AI584" s="101" t="s">
        <v>760</v>
      </c>
    </row>
    <row r="585" spans="1:35">
      <c r="A585" s="246" t="s">
        <v>110</v>
      </c>
      <c r="B585" s="246" t="s">
        <v>78</v>
      </c>
      <c r="C585" s="246" t="s">
        <v>126</v>
      </c>
      <c r="D585" s="246" t="s">
        <v>770</v>
      </c>
      <c r="E585" s="246" t="s">
        <v>771</v>
      </c>
      <c r="F585" s="246" t="s">
        <v>276</v>
      </c>
      <c r="G585" s="132" t="s">
        <v>1419</v>
      </c>
      <c r="H585" s="132" t="s">
        <v>1420</v>
      </c>
      <c r="I585" s="132">
        <v>206.67</v>
      </c>
      <c r="J585" s="101" t="s">
        <v>889</v>
      </c>
      <c r="K585" s="245" t="s">
        <v>390</v>
      </c>
      <c r="L585" s="245">
        <v>42674</v>
      </c>
      <c r="M585" s="245" t="s">
        <v>391</v>
      </c>
      <c r="N585" s="101">
        <v>0</v>
      </c>
      <c r="O585" s="101" t="s">
        <v>392</v>
      </c>
      <c r="P585" s="101">
        <v>0</v>
      </c>
      <c r="Q585" s="101">
        <v>0</v>
      </c>
      <c r="R585" s="101" t="s">
        <v>393</v>
      </c>
      <c r="S585" s="101" t="s">
        <v>876</v>
      </c>
      <c r="T585" s="101" t="s">
        <v>394</v>
      </c>
      <c r="V585" s="245">
        <v>14521</v>
      </c>
      <c r="W585" s="101" t="s">
        <v>395</v>
      </c>
      <c r="X585" s="101" t="s">
        <v>795</v>
      </c>
      <c r="Y585" s="101" t="s">
        <v>396</v>
      </c>
      <c r="Z585" s="101" t="s">
        <v>402</v>
      </c>
      <c r="AA585" s="101" t="s">
        <v>78</v>
      </c>
      <c r="AB585" s="101">
        <v>4101000279</v>
      </c>
      <c r="AC585" s="101" t="s">
        <v>398</v>
      </c>
      <c r="AD585" s="101" t="s">
        <v>403</v>
      </c>
      <c r="AE585" s="101" t="s">
        <v>6</v>
      </c>
      <c r="AF585" s="101" t="s">
        <v>400</v>
      </c>
      <c r="AI585" s="101" t="s">
        <v>760</v>
      </c>
    </row>
    <row r="586" spans="1:35">
      <c r="A586" s="246" t="s">
        <v>111</v>
      </c>
      <c r="B586" s="246" t="s">
        <v>78</v>
      </c>
      <c r="C586" s="246" t="s">
        <v>126</v>
      </c>
      <c r="D586" s="246" t="s">
        <v>768</v>
      </c>
      <c r="E586" s="246" t="s">
        <v>769</v>
      </c>
      <c r="F586" s="246" t="s">
        <v>277</v>
      </c>
      <c r="G586" s="132" t="s">
        <v>1421</v>
      </c>
      <c r="H586" s="132" t="s">
        <v>1422</v>
      </c>
      <c r="I586" s="132">
        <v>181.18999999999997</v>
      </c>
      <c r="J586" s="101" t="s">
        <v>889</v>
      </c>
      <c r="K586" s="245" t="s">
        <v>390</v>
      </c>
      <c r="L586" s="245">
        <v>42704</v>
      </c>
      <c r="M586" s="245" t="s">
        <v>391</v>
      </c>
      <c r="N586" s="101">
        <v>0</v>
      </c>
      <c r="O586" s="101" t="s">
        <v>392</v>
      </c>
      <c r="P586" s="101">
        <v>0</v>
      </c>
      <c r="Q586" s="101">
        <v>0</v>
      </c>
      <c r="R586" s="101" t="s">
        <v>393</v>
      </c>
      <c r="S586" s="101" t="s">
        <v>876</v>
      </c>
      <c r="T586" s="101" t="s">
        <v>394</v>
      </c>
      <c r="V586" s="245">
        <v>14521</v>
      </c>
      <c r="W586" s="101" t="s">
        <v>395</v>
      </c>
      <c r="X586" s="101" t="s">
        <v>795</v>
      </c>
      <c r="Y586" s="101" t="s">
        <v>396</v>
      </c>
      <c r="Z586" s="101" t="s">
        <v>402</v>
      </c>
      <c r="AA586" s="101" t="s">
        <v>78</v>
      </c>
      <c r="AB586" s="101">
        <v>4101000279</v>
      </c>
      <c r="AC586" s="101" t="s">
        <v>398</v>
      </c>
      <c r="AD586" s="101" t="s">
        <v>403</v>
      </c>
      <c r="AE586" s="101" t="s">
        <v>6</v>
      </c>
      <c r="AF586" s="101" t="s">
        <v>400</v>
      </c>
      <c r="AI586" s="101" t="s">
        <v>760</v>
      </c>
    </row>
    <row r="587" spans="1:35">
      <c r="A587" s="246" t="s">
        <v>111</v>
      </c>
      <c r="B587" s="246" t="s">
        <v>78</v>
      </c>
      <c r="C587" s="246" t="s">
        <v>126</v>
      </c>
      <c r="D587" s="246" t="s">
        <v>768</v>
      </c>
      <c r="E587" s="246" t="s">
        <v>769</v>
      </c>
      <c r="F587" s="246" t="s">
        <v>277</v>
      </c>
      <c r="G587" s="132" t="s">
        <v>1423</v>
      </c>
      <c r="H587" s="132" t="s">
        <v>1424</v>
      </c>
      <c r="I587" s="132">
        <v>164.73000000000002</v>
      </c>
      <c r="J587" s="101" t="s">
        <v>889</v>
      </c>
      <c r="K587" s="245" t="s">
        <v>390</v>
      </c>
      <c r="L587" s="245">
        <v>42734</v>
      </c>
      <c r="M587" s="245" t="s">
        <v>391</v>
      </c>
      <c r="N587" s="101">
        <v>0</v>
      </c>
      <c r="O587" s="101" t="s">
        <v>392</v>
      </c>
      <c r="P587" s="101">
        <v>0</v>
      </c>
      <c r="Q587" s="101">
        <v>0</v>
      </c>
      <c r="R587" s="101" t="s">
        <v>393</v>
      </c>
      <c r="S587" s="101" t="s">
        <v>876</v>
      </c>
      <c r="T587" s="101" t="s">
        <v>394</v>
      </c>
      <c r="V587" s="245">
        <v>14521</v>
      </c>
      <c r="W587" s="101" t="s">
        <v>395</v>
      </c>
      <c r="X587" s="101" t="s">
        <v>795</v>
      </c>
      <c r="Y587" s="101" t="s">
        <v>396</v>
      </c>
      <c r="Z587" s="101" t="s">
        <v>402</v>
      </c>
      <c r="AA587" s="101" t="s">
        <v>78</v>
      </c>
      <c r="AB587" s="101">
        <v>4101000279</v>
      </c>
      <c r="AC587" s="101" t="s">
        <v>398</v>
      </c>
      <c r="AD587" s="101" t="s">
        <v>403</v>
      </c>
      <c r="AE587" s="101" t="s">
        <v>6</v>
      </c>
      <c r="AF587" s="101" t="s">
        <v>400</v>
      </c>
      <c r="AI587" s="101" t="s">
        <v>760</v>
      </c>
    </row>
    <row r="588" spans="1:35">
      <c r="A588" s="246" t="s">
        <v>111</v>
      </c>
      <c r="B588" s="246" t="s">
        <v>78</v>
      </c>
      <c r="C588" s="246" t="s">
        <v>126</v>
      </c>
      <c r="D588" s="246" t="s">
        <v>768</v>
      </c>
      <c r="E588" s="246" t="s">
        <v>769</v>
      </c>
      <c r="F588" s="246" t="s">
        <v>277</v>
      </c>
      <c r="G588" s="132" t="s">
        <v>1425</v>
      </c>
      <c r="H588" s="132" t="s">
        <v>1426</v>
      </c>
      <c r="I588" s="132">
        <v>175.71</v>
      </c>
      <c r="J588" s="101" t="s">
        <v>889</v>
      </c>
      <c r="K588" s="245" t="s">
        <v>390</v>
      </c>
      <c r="L588" s="245">
        <v>42766</v>
      </c>
      <c r="M588" s="245" t="s">
        <v>391</v>
      </c>
      <c r="N588" s="101">
        <v>0</v>
      </c>
      <c r="O588" s="101" t="s">
        <v>392</v>
      </c>
      <c r="P588" s="101">
        <v>0</v>
      </c>
      <c r="Q588" s="101">
        <v>0</v>
      </c>
      <c r="R588" s="101" t="s">
        <v>393</v>
      </c>
      <c r="S588" s="101" t="s">
        <v>876</v>
      </c>
      <c r="T588" s="101" t="s">
        <v>394</v>
      </c>
      <c r="V588" s="245">
        <v>14521</v>
      </c>
      <c r="W588" s="101" t="s">
        <v>395</v>
      </c>
      <c r="X588" s="101" t="s">
        <v>795</v>
      </c>
      <c r="Y588" s="101" t="s">
        <v>396</v>
      </c>
      <c r="Z588" s="101" t="s">
        <v>402</v>
      </c>
      <c r="AA588" s="101" t="s">
        <v>78</v>
      </c>
      <c r="AB588" s="101">
        <v>4101000279</v>
      </c>
      <c r="AC588" s="101" t="s">
        <v>398</v>
      </c>
      <c r="AD588" s="101" t="s">
        <v>403</v>
      </c>
      <c r="AE588" s="101" t="s">
        <v>6</v>
      </c>
      <c r="AF588" s="101" t="s">
        <v>400</v>
      </c>
      <c r="AI588" s="101" t="s">
        <v>760</v>
      </c>
    </row>
    <row r="589" spans="1:35">
      <c r="A589" s="246" t="s">
        <v>111</v>
      </c>
      <c r="B589" s="246" t="s">
        <v>78</v>
      </c>
      <c r="C589" s="246" t="s">
        <v>126</v>
      </c>
      <c r="D589" s="246" t="s">
        <v>768</v>
      </c>
      <c r="E589" s="246" t="s">
        <v>769</v>
      </c>
      <c r="F589" s="246" t="s">
        <v>277</v>
      </c>
      <c r="G589" s="132" t="s">
        <v>1427</v>
      </c>
      <c r="H589" s="132" t="s">
        <v>1428</v>
      </c>
      <c r="I589" s="132">
        <v>133.17999999999998</v>
      </c>
      <c r="J589" s="101" t="s">
        <v>889</v>
      </c>
      <c r="K589" s="245" t="s">
        <v>390</v>
      </c>
      <c r="L589" s="245">
        <v>42794</v>
      </c>
      <c r="M589" s="245" t="s">
        <v>391</v>
      </c>
      <c r="N589" s="101">
        <v>0</v>
      </c>
      <c r="O589" s="101" t="s">
        <v>392</v>
      </c>
      <c r="P589" s="101">
        <v>0</v>
      </c>
      <c r="Q589" s="101">
        <v>0</v>
      </c>
      <c r="R589" s="101" t="s">
        <v>393</v>
      </c>
      <c r="S589" s="101" t="s">
        <v>876</v>
      </c>
      <c r="T589" s="101" t="s">
        <v>394</v>
      </c>
      <c r="V589" s="245">
        <v>14521</v>
      </c>
      <c r="W589" s="101" t="s">
        <v>395</v>
      </c>
      <c r="X589" s="101" t="s">
        <v>795</v>
      </c>
      <c r="Y589" s="101" t="s">
        <v>396</v>
      </c>
      <c r="Z589" s="101" t="s">
        <v>402</v>
      </c>
      <c r="AA589" s="101" t="s">
        <v>78</v>
      </c>
      <c r="AB589" s="101">
        <v>4101000279</v>
      </c>
      <c r="AC589" s="101" t="s">
        <v>398</v>
      </c>
      <c r="AD589" s="101" t="s">
        <v>403</v>
      </c>
      <c r="AE589" s="101" t="s">
        <v>6</v>
      </c>
      <c r="AF589" s="101" t="s">
        <v>400</v>
      </c>
      <c r="AI589" s="101" t="s">
        <v>760</v>
      </c>
    </row>
    <row r="590" spans="1:35">
      <c r="A590" s="246" t="s">
        <v>111</v>
      </c>
      <c r="B590" s="246" t="s">
        <v>78</v>
      </c>
      <c r="C590" s="246" t="s">
        <v>126</v>
      </c>
      <c r="D590" s="246" t="s">
        <v>768</v>
      </c>
      <c r="E590" s="246" t="s">
        <v>769</v>
      </c>
      <c r="F590" s="246" t="s">
        <v>277</v>
      </c>
      <c r="G590" s="132" t="s">
        <v>1429</v>
      </c>
      <c r="H590" s="132" t="s">
        <v>1430</v>
      </c>
      <c r="I590" s="132">
        <v>127.69999999999999</v>
      </c>
      <c r="J590" s="101" t="s">
        <v>889</v>
      </c>
      <c r="K590" s="245" t="s">
        <v>390</v>
      </c>
      <c r="L590" s="245">
        <v>42825</v>
      </c>
      <c r="M590" s="245" t="s">
        <v>391</v>
      </c>
      <c r="N590" s="101">
        <v>0</v>
      </c>
      <c r="O590" s="101" t="s">
        <v>392</v>
      </c>
      <c r="P590" s="101">
        <v>0</v>
      </c>
      <c r="Q590" s="101">
        <v>0</v>
      </c>
      <c r="R590" s="101" t="s">
        <v>393</v>
      </c>
      <c r="S590" s="101" t="s">
        <v>876</v>
      </c>
      <c r="T590" s="101" t="s">
        <v>394</v>
      </c>
      <c r="V590" s="245">
        <v>14521</v>
      </c>
      <c r="W590" s="101" t="s">
        <v>395</v>
      </c>
      <c r="X590" s="101" t="s">
        <v>795</v>
      </c>
      <c r="Y590" s="101" t="s">
        <v>396</v>
      </c>
      <c r="Z590" s="101" t="s">
        <v>402</v>
      </c>
      <c r="AA590" s="101" t="s">
        <v>78</v>
      </c>
      <c r="AB590" s="101">
        <v>4101000279</v>
      </c>
      <c r="AC590" s="101" t="s">
        <v>398</v>
      </c>
      <c r="AD590" s="101" t="s">
        <v>403</v>
      </c>
      <c r="AE590" s="101" t="s">
        <v>6</v>
      </c>
      <c r="AF590" s="101" t="s">
        <v>400</v>
      </c>
      <c r="AI590" s="101" t="s">
        <v>760</v>
      </c>
    </row>
    <row r="591" spans="1:35">
      <c r="A591" s="246" t="s">
        <v>111</v>
      </c>
      <c r="B591" s="246" t="s">
        <v>78</v>
      </c>
      <c r="C591" s="246" t="s">
        <v>126</v>
      </c>
      <c r="D591" s="246" t="s">
        <v>768</v>
      </c>
      <c r="E591" s="246" t="s">
        <v>769</v>
      </c>
      <c r="F591" s="246" t="s">
        <v>277</v>
      </c>
      <c r="G591" s="132" t="s">
        <v>1431</v>
      </c>
      <c r="H591" s="132" t="s">
        <v>1432</v>
      </c>
      <c r="I591" s="132">
        <v>115.35</v>
      </c>
      <c r="J591" s="101" t="s">
        <v>889</v>
      </c>
      <c r="K591" s="245" t="s">
        <v>390</v>
      </c>
      <c r="L591" s="245">
        <v>42853</v>
      </c>
      <c r="M591" s="245" t="s">
        <v>391</v>
      </c>
      <c r="N591" s="101">
        <v>0</v>
      </c>
      <c r="O591" s="101" t="s">
        <v>392</v>
      </c>
      <c r="P591" s="101">
        <v>0</v>
      </c>
      <c r="Q591" s="101">
        <v>0</v>
      </c>
      <c r="R591" s="101" t="s">
        <v>393</v>
      </c>
      <c r="S591" s="101" t="s">
        <v>876</v>
      </c>
      <c r="T591" s="101" t="s">
        <v>394</v>
      </c>
      <c r="V591" s="245">
        <v>14521</v>
      </c>
      <c r="W591" s="101" t="s">
        <v>395</v>
      </c>
      <c r="X591" s="101" t="s">
        <v>795</v>
      </c>
      <c r="Y591" s="101" t="s">
        <v>396</v>
      </c>
      <c r="Z591" s="101" t="s">
        <v>402</v>
      </c>
      <c r="AA591" s="101" t="s">
        <v>78</v>
      </c>
      <c r="AB591" s="101">
        <v>4101000279</v>
      </c>
      <c r="AC591" s="101" t="s">
        <v>398</v>
      </c>
      <c r="AD591" s="101" t="s">
        <v>403</v>
      </c>
      <c r="AE591" s="101" t="s">
        <v>6</v>
      </c>
      <c r="AF591" s="101" t="s">
        <v>400</v>
      </c>
      <c r="AI591" s="101" t="s">
        <v>760</v>
      </c>
    </row>
    <row r="592" spans="1:35">
      <c r="A592" s="246" t="s">
        <v>112</v>
      </c>
      <c r="B592" s="246" t="s">
        <v>78</v>
      </c>
      <c r="C592" s="246" t="s">
        <v>126</v>
      </c>
      <c r="D592" s="246" t="s">
        <v>341</v>
      </c>
      <c r="E592" s="246" t="s">
        <v>342</v>
      </c>
      <c r="F592" s="246" t="s">
        <v>278</v>
      </c>
      <c r="G592" s="132" t="s">
        <v>1433</v>
      </c>
      <c r="H592" s="132" t="s">
        <v>1434</v>
      </c>
      <c r="I592" s="132">
        <v>110.32</v>
      </c>
      <c r="J592" s="101" t="s">
        <v>889</v>
      </c>
      <c r="K592" s="245" t="s">
        <v>390</v>
      </c>
      <c r="L592" s="245">
        <v>42886</v>
      </c>
      <c r="M592" s="245" t="s">
        <v>391</v>
      </c>
      <c r="N592" s="101">
        <v>0</v>
      </c>
      <c r="O592" s="101" t="s">
        <v>392</v>
      </c>
      <c r="P592" s="101">
        <v>0</v>
      </c>
      <c r="Q592" s="101">
        <v>0</v>
      </c>
      <c r="R592" s="101" t="s">
        <v>393</v>
      </c>
      <c r="S592" s="101" t="s">
        <v>876</v>
      </c>
      <c r="T592" s="101" t="s">
        <v>394</v>
      </c>
      <c r="V592" s="245">
        <v>14521</v>
      </c>
      <c r="W592" s="101" t="s">
        <v>395</v>
      </c>
      <c r="X592" s="101" t="s">
        <v>795</v>
      </c>
      <c r="Y592" s="101" t="s">
        <v>396</v>
      </c>
      <c r="Z592" s="101" t="s">
        <v>402</v>
      </c>
      <c r="AA592" s="101" t="s">
        <v>78</v>
      </c>
      <c r="AB592" s="101">
        <v>4101000279</v>
      </c>
      <c r="AC592" s="101" t="s">
        <v>398</v>
      </c>
      <c r="AD592" s="101" t="s">
        <v>403</v>
      </c>
      <c r="AE592" s="101" t="s">
        <v>6</v>
      </c>
      <c r="AF592" s="101" t="s">
        <v>400</v>
      </c>
      <c r="AI592" s="101" t="s">
        <v>760</v>
      </c>
    </row>
    <row r="593" spans="1:35">
      <c r="A593" s="246" t="s">
        <v>112</v>
      </c>
      <c r="B593" s="246" t="s">
        <v>78</v>
      </c>
      <c r="C593" s="246" t="s">
        <v>126</v>
      </c>
      <c r="D593" s="246" t="s">
        <v>341</v>
      </c>
      <c r="E593" s="246" t="s">
        <v>342</v>
      </c>
      <c r="F593" s="246" t="s">
        <v>278</v>
      </c>
      <c r="G593" s="132" t="s">
        <v>1435</v>
      </c>
      <c r="H593" s="132" t="s">
        <v>1436</v>
      </c>
      <c r="I593" s="132">
        <v>83.139999999999986</v>
      </c>
      <c r="J593" s="101" t="s">
        <v>889</v>
      </c>
      <c r="K593" s="245" t="s">
        <v>390</v>
      </c>
      <c r="L593" s="245">
        <v>42916</v>
      </c>
      <c r="M593" s="245" t="s">
        <v>391</v>
      </c>
      <c r="N593" s="101">
        <v>0</v>
      </c>
      <c r="O593" s="101" t="s">
        <v>392</v>
      </c>
      <c r="P593" s="101">
        <v>0</v>
      </c>
      <c r="Q593" s="101">
        <v>0</v>
      </c>
      <c r="R593" s="101" t="s">
        <v>393</v>
      </c>
      <c r="S593" s="101" t="s">
        <v>876</v>
      </c>
      <c r="T593" s="101" t="s">
        <v>394</v>
      </c>
      <c r="V593" s="245">
        <v>14521</v>
      </c>
      <c r="W593" s="101" t="s">
        <v>395</v>
      </c>
      <c r="X593" s="101" t="s">
        <v>795</v>
      </c>
      <c r="Y593" s="101" t="s">
        <v>396</v>
      </c>
      <c r="Z593" s="101" t="s">
        <v>402</v>
      </c>
      <c r="AA593" s="101" t="s">
        <v>78</v>
      </c>
      <c r="AB593" s="101">
        <v>4101000279</v>
      </c>
      <c r="AC593" s="101" t="s">
        <v>398</v>
      </c>
      <c r="AD593" s="101" t="s">
        <v>403</v>
      </c>
      <c r="AE593" s="101" t="s">
        <v>6</v>
      </c>
      <c r="AF593" s="101" t="s">
        <v>400</v>
      </c>
      <c r="AI593" s="101" t="s">
        <v>760</v>
      </c>
    </row>
    <row r="594" spans="1:35">
      <c r="A594" s="246" t="s">
        <v>112</v>
      </c>
      <c r="B594" s="246" t="s">
        <v>78</v>
      </c>
      <c r="C594" s="246" t="s">
        <v>126</v>
      </c>
      <c r="D594" s="246" t="s">
        <v>341</v>
      </c>
      <c r="E594" s="246" t="s">
        <v>342</v>
      </c>
      <c r="F594" s="246" t="s">
        <v>278</v>
      </c>
      <c r="G594" s="132" t="s">
        <v>1437</v>
      </c>
      <c r="H594" s="132" t="s">
        <v>1438</v>
      </c>
      <c r="I594" s="132">
        <v>85.91</v>
      </c>
      <c r="J594" s="101" t="s">
        <v>889</v>
      </c>
      <c r="K594" s="245" t="s">
        <v>390</v>
      </c>
      <c r="L594" s="245">
        <v>42947</v>
      </c>
      <c r="M594" s="245" t="s">
        <v>391</v>
      </c>
      <c r="N594" s="101">
        <v>0</v>
      </c>
      <c r="O594" s="101" t="s">
        <v>392</v>
      </c>
      <c r="P594" s="101">
        <v>0</v>
      </c>
      <c r="Q594" s="101">
        <v>0</v>
      </c>
      <c r="R594" s="101" t="s">
        <v>393</v>
      </c>
      <c r="S594" s="101" t="s">
        <v>876</v>
      </c>
      <c r="T594" s="101" t="s">
        <v>394</v>
      </c>
      <c r="V594" s="245">
        <v>14521</v>
      </c>
      <c r="W594" s="101" t="s">
        <v>395</v>
      </c>
      <c r="X594" s="101" t="s">
        <v>795</v>
      </c>
      <c r="Y594" s="101" t="s">
        <v>396</v>
      </c>
      <c r="Z594" s="101" t="s">
        <v>402</v>
      </c>
      <c r="AA594" s="101" t="s">
        <v>78</v>
      </c>
      <c r="AB594" s="101">
        <v>4101000279</v>
      </c>
      <c r="AC594" s="101" t="s">
        <v>398</v>
      </c>
      <c r="AD594" s="101" t="s">
        <v>403</v>
      </c>
      <c r="AE594" s="101" t="s">
        <v>6</v>
      </c>
      <c r="AF594" s="101" t="s">
        <v>400</v>
      </c>
      <c r="AI594" s="101" t="s">
        <v>760</v>
      </c>
    </row>
    <row r="595" spans="1:35">
      <c r="A595" s="246" t="s">
        <v>112</v>
      </c>
      <c r="B595" s="246" t="s">
        <v>78</v>
      </c>
      <c r="C595" s="246" t="s">
        <v>126</v>
      </c>
      <c r="D595" s="246" t="s">
        <v>341</v>
      </c>
      <c r="E595" s="246" t="s">
        <v>342</v>
      </c>
      <c r="F595" s="246" t="s">
        <v>278</v>
      </c>
      <c r="G595" s="132" t="s">
        <v>1437</v>
      </c>
      <c r="H595" s="132" t="s">
        <v>1438</v>
      </c>
      <c r="I595" s="132">
        <v>85.91</v>
      </c>
      <c r="J595" s="101" t="s">
        <v>889</v>
      </c>
      <c r="K595" s="245" t="s">
        <v>390</v>
      </c>
      <c r="L595" s="245">
        <v>42978</v>
      </c>
      <c r="M595" s="245" t="s">
        <v>391</v>
      </c>
      <c r="N595" s="101">
        <v>0</v>
      </c>
      <c r="O595" s="101" t="s">
        <v>392</v>
      </c>
      <c r="P595" s="101">
        <v>0</v>
      </c>
      <c r="Q595" s="101">
        <v>0</v>
      </c>
      <c r="R595" s="101" t="s">
        <v>393</v>
      </c>
      <c r="S595" s="101" t="s">
        <v>876</v>
      </c>
      <c r="T595" s="101" t="s">
        <v>394</v>
      </c>
      <c r="V595" s="245">
        <v>14521</v>
      </c>
      <c r="W595" s="101" t="s">
        <v>395</v>
      </c>
      <c r="X595" s="101" t="s">
        <v>795</v>
      </c>
      <c r="Y595" s="101" t="s">
        <v>396</v>
      </c>
      <c r="Z595" s="101" t="s">
        <v>402</v>
      </c>
      <c r="AA595" s="101" t="s">
        <v>78</v>
      </c>
      <c r="AB595" s="101">
        <v>4101000279</v>
      </c>
      <c r="AC595" s="101" t="s">
        <v>398</v>
      </c>
      <c r="AD595" s="101" t="s">
        <v>403</v>
      </c>
      <c r="AE595" s="101" t="s">
        <v>6</v>
      </c>
      <c r="AF595" s="101" t="s">
        <v>400</v>
      </c>
      <c r="AI595" s="101" t="s">
        <v>760</v>
      </c>
    </row>
    <row r="596" spans="1:35">
      <c r="A596" s="246" t="s">
        <v>112</v>
      </c>
      <c r="B596" s="246" t="s">
        <v>78</v>
      </c>
      <c r="C596" s="246" t="s">
        <v>126</v>
      </c>
      <c r="D596" s="246" t="s">
        <v>341</v>
      </c>
      <c r="E596" s="246" t="s">
        <v>342</v>
      </c>
      <c r="F596" s="246" t="s">
        <v>278</v>
      </c>
      <c r="G596" s="132" t="s">
        <v>1439</v>
      </c>
      <c r="H596" s="132" t="s">
        <v>1440</v>
      </c>
      <c r="I596" s="132">
        <v>80.37</v>
      </c>
      <c r="J596" s="101" t="s">
        <v>889</v>
      </c>
      <c r="K596" s="245" t="s">
        <v>390</v>
      </c>
      <c r="L596" s="245">
        <v>43007</v>
      </c>
      <c r="M596" s="245" t="s">
        <v>391</v>
      </c>
      <c r="N596" s="101">
        <v>0</v>
      </c>
      <c r="O596" s="101" t="s">
        <v>392</v>
      </c>
      <c r="P596" s="101">
        <v>0</v>
      </c>
      <c r="Q596" s="101">
        <v>0</v>
      </c>
      <c r="R596" s="101" t="s">
        <v>393</v>
      </c>
      <c r="S596" s="101" t="s">
        <v>876</v>
      </c>
      <c r="T596" s="101" t="s">
        <v>394</v>
      </c>
      <c r="V596" s="245">
        <v>14521</v>
      </c>
      <c r="W596" s="101" t="s">
        <v>395</v>
      </c>
      <c r="X596" s="101" t="s">
        <v>795</v>
      </c>
      <c r="Y596" s="101" t="s">
        <v>396</v>
      </c>
      <c r="Z596" s="101" t="s">
        <v>402</v>
      </c>
      <c r="AA596" s="101" t="s">
        <v>78</v>
      </c>
      <c r="AB596" s="101">
        <v>4101000279</v>
      </c>
      <c r="AC596" s="101" t="s">
        <v>398</v>
      </c>
      <c r="AD596" s="101" t="s">
        <v>403</v>
      </c>
      <c r="AE596" s="101" t="s">
        <v>6</v>
      </c>
      <c r="AF596" s="101" t="s">
        <v>400</v>
      </c>
      <c r="AI596" s="101" t="s">
        <v>760</v>
      </c>
    </row>
    <row r="597" spans="1:35">
      <c r="A597" s="246" t="s">
        <v>112</v>
      </c>
      <c r="B597" s="246" t="s">
        <v>78</v>
      </c>
      <c r="C597" s="246" t="s">
        <v>126</v>
      </c>
      <c r="D597" s="246" t="s">
        <v>341</v>
      </c>
      <c r="E597" s="246" t="s">
        <v>342</v>
      </c>
      <c r="F597" s="246" t="s">
        <v>278</v>
      </c>
      <c r="G597" s="132" t="s">
        <v>1441</v>
      </c>
      <c r="H597" s="132" t="s">
        <v>1442</v>
      </c>
      <c r="I597" s="132">
        <v>88.679999999999993</v>
      </c>
      <c r="J597" s="101" t="s">
        <v>889</v>
      </c>
      <c r="K597" s="245" t="s">
        <v>390</v>
      </c>
      <c r="L597" s="245">
        <v>43039</v>
      </c>
      <c r="M597" s="245" t="s">
        <v>391</v>
      </c>
      <c r="N597" s="101">
        <v>0</v>
      </c>
      <c r="O597" s="101" t="s">
        <v>392</v>
      </c>
      <c r="P597" s="101">
        <v>0</v>
      </c>
      <c r="Q597" s="101">
        <v>0</v>
      </c>
      <c r="R597" s="101" t="s">
        <v>393</v>
      </c>
      <c r="S597" s="101" t="s">
        <v>876</v>
      </c>
      <c r="T597" s="101" t="s">
        <v>394</v>
      </c>
      <c r="V597" s="245">
        <v>14521</v>
      </c>
      <c r="W597" s="101" t="s">
        <v>395</v>
      </c>
      <c r="X597" s="101" t="s">
        <v>795</v>
      </c>
      <c r="Y597" s="101" t="s">
        <v>396</v>
      </c>
      <c r="Z597" s="101" t="s">
        <v>402</v>
      </c>
      <c r="AA597" s="101" t="s">
        <v>78</v>
      </c>
      <c r="AB597" s="101">
        <v>4101000279</v>
      </c>
      <c r="AC597" s="101" t="s">
        <v>398</v>
      </c>
      <c r="AD597" s="101" t="s">
        <v>403</v>
      </c>
      <c r="AE597" s="101" t="s">
        <v>6</v>
      </c>
      <c r="AF597" s="101" t="s">
        <v>400</v>
      </c>
      <c r="AI597" s="101" t="s">
        <v>760</v>
      </c>
    </row>
    <row r="598" spans="1:35">
      <c r="A598" s="246" t="s">
        <v>113</v>
      </c>
      <c r="B598" s="246" t="s">
        <v>78</v>
      </c>
      <c r="C598" s="246" t="s">
        <v>126</v>
      </c>
      <c r="D598" s="246" t="s">
        <v>339</v>
      </c>
      <c r="E598" s="246" t="s">
        <v>340</v>
      </c>
      <c r="F598" s="246" t="s">
        <v>279</v>
      </c>
      <c r="G598" s="132" t="s">
        <v>1435</v>
      </c>
      <c r="H598" s="132" t="s">
        <v>1436</v>
      </c>
      <c r="I598" s="132">
        <v>83.139999999999986</v>
      </c>
      <c r="J598" s="101" t="s">
        <v>889</v>
      </c>
      <c r="K598" s="245" t="s">
        <v>390</v>
      </c>
      <c r="L598" s="245">
        <v>43069</v>
      </c>
      <c r="M598" s="245" t="s">
        <v>391</v>
      </c>
      <c r="N598" s="101">
        <v>0</v>
      </c>
      <c r="O598" s="101" t="s">
        <v>392</v>
      </c>
      <c r="P598" s="101">
        <v>0</v>
      </c>
      <c r="Q598" s="101">
        <v>0</v>
      </c>
      <c r="R598" s="101" t="s">
        <v>393</v>
      </c>
      <c r="S598" s="101" t="s">
        <v>876</v>
      </c>
      <c r="T598" s="101" t="s">
        <v>394</v>
      </c>
      <c r="V598" s="245">
        <v>14521</v>
      </c>
      <c r="W598" s="101" t="s">
        <v>395</v>
      </c>
      <c r="X598" s="101" t="s">
        <v>795</v>
      </c>
      <c r="Y598" s="101" t="s">
        <v>396</v>
      </c>
      <c r="Z598" s="101" t="s">
        <v>402</v>
      </c>
      <c r="AA598" s="101" t="s">
        <v>78</v>
      </c>
      <c r="AB598" s="101">
        <v>4101000279</v>
      </c>
      <c r="AC598" s="101" t="s">
        <v>398</v>
      </c>
      <c r="AD598" s="101" t="s">
        <v>403</v>
      </c>
      <c r="AE598" s="101" t="s">
        <v>6</v>
      </c>
      <c r="AF598" s="101" t="s">
        <v>400</v>
      </c>
      <c r="AI598" s="101" t="s">
        <v>760</v>
      </c>
    </row>
    <row r="599" spans="1:35">
      <c r="A599" s="246" t="s">
        <v>113</v>
      </c>
      <c r="B599" s="246" t="s">
        <v>78</v>
      </c>
      <c r="C599" s="246" t="s">
        <v>126</v>
      </c>
      <c r="D599" s="246" t="s">
        <v>339</v>
      </c>
      <c r="E599" s="246" t="s">
        <v>340</v>
      </c>
      <c r="F599" s="246" t="s">
        <v>279</v>
      </c>
      <c r="G599" s="132" t="s">
        <v>1439</v>
      </c>
      <c r="H599" s="132" t="s">
        <v>1440</v>
      </c>
      <c r="I599" s="132">
        <v>80.37</v>
      </c>
      <c r="J599" s="101" t="s">
        <v>889</v>
      </c>
      <c r="K599" s="245" t="s">
        <v>390</v>
      </c>
      <c r="L599" s="245">
        <v>43098</v>
      </c>
      <c r="M599" s="245" t="s">
        <v>391</v>
      </c>
      <c r="N599" s="101">
        <v>0</v>
      </c>
      <c r="O599" s="101" t="s">
        <v>392</v>
      </c>
      <c r="P599" s="101">
        <v>0</v>
      </c>
      <c r="Q599" s="101">
        <v>0</v>
      </c>
      <c r="R599" s="101" t="s">
        <v>393</v>
      </c>
      <c r="S599" s="101" t="s">
        <v>876</v>
      </c>
      <c r="T599" s="101" t="s">
        <v>394</v>
      </c>
      <c r="V599" s="245">
        <v>14521</v>
      </c>
      <c r="W599" s="101" t="s">
        <v>395</v>
      </c>
      <c r="X599" s="101" t="s">
        <v>795</v>
      </c>
      <c r="Y599" s="101" t="s">
        <v>396</v>
      </c>
      <c r="Z599" s="101" t="s">
        <v>402</v>
      </c>
      <c r="AA599" s="101" t="s">
        <v>78</v>
      </c>
      <c r="AB599" s="101">
        <v>4101000279</v>
      </c>
      <c r="AC599" s="101" t="s">
        <v>398</v>
      </c>
      <c r="AD599" s="101" t="s">
        <v>403</v>
      </c>
      <c r="AE599" s="101" t="s">
        <v>6</v>
      </c>
      <c r="AF599" s="101" t="s">
        <v>400</v>
      </c>
      <c r="AI599" s="101" t="s">
        <v>760</v>
      </c>
    </row>
    <row r="600" spans="1:35">
      <c r="A600" s="246" t="s">
        <v>113</v>
      </c>
      <c r="B600" s="246" t="s">
        <v>78</v>
      </c>
      <c r="C600" s="246" t="s">
        <v>126</v>
      </c>
      <c r="D600" s="246" t="s">
        <v>339</v>
      </c>
      <c r="E600" s="246" t="s">
        <v>340</v>
      </c>
      <c r="F600" s="246" t="s">
        <v>279</v>
      </c>
      <c r="G600" s="132" t="s">
        <v>1443</v>
      </c>
      <c r="H600" s="132" t="s">
        <v>1444</v>
      </c>
      <c r="I600" s="132">
        <v>91.44</v>
      </c>
      <c r="J600" s="101" t="s">
        <v>889</v>
      </c>
      <c r="K600" s="245" t="s">
        <v>390</v>
      </c>
      <c r="L600" s="245">
        <v>43131</v>
      </c>
      <c r="M600" s="245" t="s">
        <v>391</v>
      </c>
      <c r="N600" s="101">
        <v>0</v>
      </c>
      <c r="O600" s="101" t="s">
        <v>392</v>
      </c>
      <c r="P600" s="101">
        <v>0</v>
      </c>
      <c r="Q600" s="101">
        <v>0</v>
      </c>
      <c r="R600" s="101" t="s">
        <v>393</v>
      </c>
      <c r="S600" s="101" t="s">
        <v>876</v>
      </c>
      <c r="T600" s="101" t="s">
        <v>394</v>
      </c>
      <c r="V600" s="245">
        <v>14521</v>
      </c>
      <c r="W600" s="101" t="s">
        <v>395</v>
      </c>
      <c r="X600" s="101" t="s">
        <v>795</v>
      </c>
      <c r="Y600" s="101" t="s">
        <v>396</v>
      </c>
      <c r="Z600" s="101" t="s">
        <v>402</v>
      </c>
      <c r="AA600" s="101" t="s">
        <v>78</v>
      </c>
      <c r="AB600" s="101">
        <v>4101000279</v>
      </c>
      <c r="AC600" s="101" t="s">
        <v>398</v>
      </c>
      <c r="AD600" s="101" t="s">
        <v>403</v>
      </c>
      <c r="AE600" s="101" t="s">
        <v>6</v>
      </c>
      <c r="AF600" s="101" t="s">
        <v>400</v>
      </c>
      <c r="AI600" s="101" t="s">
        <v>760</v>
      </c>
    </row>
    <row r="601" spans="1:35">
      <c r="A601" s="246" t="s">
        <v>113</v>
      </c>
      <c r="B601" s="246" t="s">
        <v>78</v>
      </c>
      <c r="C601" s="246" t="s">
        <v>126</v>
      </c>
      <c r="D601" s="246" t="s">
        <v>339</v>
      </c>
      <c r="E601" s="246" t="s">
        <v>340</v>
      </c>
      <c r="F601" s="246" t="s">
        <v>279</v>
      </c>
      <c r="G601" s="132" t="s">
        <v>1445</v>
      </c>
      <c r="H601" s="132" t="s">
        <v>1446</v>
      </c>
      <c r="I601" s="132">
        <v>77.61</v>
      </c>
      <c r="J601" s="101" t="s">
        <v>889</v>
      </c>
      <c r="K601" s="245" t="s">
        <v>390</v>
      </c>
      <c r="L601" s="245">
        <v>43159</v>
      </c>
      <c r="M601" s="245" t="s">
        <v>391</v>
      </c>
      <c r="N601" s="101">
        <v>0</v>
      </c>
      <c r="O601" s="101" t="s">
        <v>392</v>
      </c>
      <c r="P601" s="101">
        <v>0</v>
      </c>
      <c r="Q601" s="101">
        <v>0</v>
      </c>
      <c r="R601" s="101" t="s">
        <v>393</v>
      </c>
      <c r="S601" s="101" t="s">
        <v>876</v>
      </c>
      <c r="T601" s="101" t="s">
        <v>394</v>
      </c>
      <c r="V601" s="245">
        <v>14521</v>
      </c>
      <c r="W601" s="101" t="s">
        <v>395</v>
      </c>
      <c r="X601" s="101" t="s">
        <v>795</v>
      </c>
      <c r="Y601" s="101" t="s">
        <v>396</v>
      </c>
      <c r="Z601" s="101" t="s">
        <v>402</v>
      </c>
      <c r="AA601" s="101" t="s">
        <v>78</v>
      </c>
      <c r="AB601" s="101">
        <v>4101000279</v>
      </c>
      <c r="AC601" s="101" t="s">
        <v>398</v>
      </c>
      <c r="AD601" s="101" t="s">
        <v>403</v>
      </c>
      <c r="AE601" s="101" t="s">
        <v>6</v>
      </c>
      <c r="AF601" s="101" t="s">
        <v>400</v>
      </c>
      <c r="AI601" s="101" t="s">
        <v>760</v>
      </c>
    </row>
    <row r="602" spans="1:35">
      <c r="A602" s="246" t="s">
        <v>113</v>
      </c>
      <c r="B602" s="246" t="s">
        <v>78</v>
      </c>
      <c r="C602" s="246" t="s">
        <v>126</v>
      </c>
      <c r="D602" s="246" t="s">
        <v>339</v>
      </c>
      <c r="E602" s="246" t="s">
        <v>340</v>
      </c>
      <c r="F602" s="246" t="s">
        <v>279</v>
      </c>
      <c r="G602" s="132" t="s">
        <v>1435</v>
      </c>
      <c r="H602" s="132" t="s">
        <v>1436</v>
      </c>
      <c r="I602" s="132">
        <v>83.139999999999986</v>
      </c>
      <c r="J602" s="101" t="s">
        <v>889</v>
      </c>
      <c r="K602" s="245" t="s">
        <v>390</v>
      </c>
      <c r="L602" s="245">
        <v>43189</v>
      </c>
      <c r="M602" s="245" t="s">
        <v>391</v>
      </c>
      <c r="N602" s="101">
        <v>0</v>
      </c>
      <c r="O602" s="101" t="s">
        <v>392</v>
      </c>
      <c r="P602" s="101">
        <v>0</v>
      </c>
      <c r="Q602" s="101">
        <v>0</v>
      </c>
      <c r="R602" s="101" t="s">
        <v>393</v>
      </c>
      <c r="S602" s="101" t="s">
        <v>876</v>
      </c>
      <c r="T602" s="101" t="s">
        <v>394</v>
      </c>
      <c r="V602" s="245">
        <v>14521</v>
      </c>
      <c r="W602" s="101" t="s">
        <v>395</v>
      </c>
      <c r="X602" s="101" t="s">
        <v>795</v>
      </c>
      <c r="Y602" s="101" t="s">
        <v>396</v>
      </c>
      <c r="Z602" s="101" t="s">
        <v>402</v>
      </c>
      <c r="AA602" s="101" t="s">
        <v>78</v>
      </c>
      <c r="AB602" s="101">
        <v>4101000279</v>
      </c>
      <c r="AC602" s="101" t="s">
        <v>398</v>
      </c>
      <c r="AD602" s="101" t="s">
        <v>403</v>
      </c>
      <c r="AE602" s="101" t="s">
        <v>6</v>
      </c>
      <c r="AF602" s="101" t="s">
        <v>400</v>
      </c>
      <c r="AI602" s="101" t="s">
        <v>760</v>
      </c>
    </row>
    <row r="603" spans="1:35">
      <c r="A603" s="246" t="s">
        <v>113</v>
      </c>
      <c r="B603" s="246" t="s">
        <v>78</v>
      </c>
      <c r="C603" s="246" t="s">
        <v>126</v>
      </c>
      <c r="D603" s="246" t="s">
        <v>339</v>
      </c>
      <c r="E603" s="246" t="s">
        <v>340</v>
      </c>
      <c r="F603" s="246" t="s">
        <v>279</v>
      </c>
      <c r="G603" s="132">
        <v>0</v>
      </c>
      <c r="H603" s="132">
        <v>0</v>
      </c>
      <c r="I603" s="132">
        <v>0</v>
      </c>
      <c r="J603" s="101" t="s">
        <v>889</v>
      </c>
      <c r="K603" s="245" t="s">
        <v>390</v>
      </c>
      <c r="L603" s="245">
        <v>43220</v>
      </c>
      <c r="M603" s="245" t="s">
        <v>391</v>
      </c>
      <c r="N603" s="101">
        <v>0</v>
      </c>
      <c r="O603" s="101" t="s">
        <v>392</v>
      </c>
      <c r="P603" s="101">
        <v>0</v>
      </c>
      <c r="Q603" s="101">
        <v>0</v>
      </c>
      <c r="R603" s="101" t="s">
        <v>393</v>
      </c>
      <c r="S603" s="101" t="s">
        <v>876</v>
      </c>
      <c r="T603" s="101" t="s">
        <v>394</v>
      </c>
      <c r="V603" s="245">
        <v>14521</v>
      </c>
      <c r="W603" s="101" t="s">
        <v>395</v>
      </c>
      <c r="X603" s="101" t="s">
        <v>795</v>
      </c>
      <c r="Y603" s="101" t="s">
        <v>396</v>
      </c>
      <c r="Z603" s="101" t="s">
        <v>402</v>
      </c>
      <c r="AA603" s="101" t="s">
        <v>78</v>
      </c>
      <c r="AB603" s="101">
        <v>4101000279</v>
      </c>
      <c r="AC603" s="101" t="s">
        <v>398</v>
      </c>
      <c r="AD603" s="101" t="s">
        <v>403</v>
      </c>
      <c r="AE603" s="101" t="s">
        <v>6</v>
      </c>
      <c r="AF603" s="101" t="s">
        <v>400</v>
      </c>
      <c r="AI603" s="101" t="s">
        <v>760</v>
      </c>
    </row>
    <row r="604" spans="1:35">
      <c r="A604" s="246" t="s">
        <v>107</v>
      </c>
      <c r="B604" s="246" t="s">
        <v>78</v>
      </c>
      <c r="C604" s="246" t="s">
        <v>126</v>
      </c>
      <c r="D604" s="246" t="s">
        <v>772</v>
      </c>
      <c r="E604" s="246" t="s">
        <v>773</v>
      </c>
      <c r="F604" s="246" t="s">
        <v>334</v>
      </c>
      <c r="G604" s="132" t="s">
        <v>865</v>
      </c>
      <c r="H604" s="132" t="s">
        <v>1447</v>
      </c>
      <c r="I604" s="132">
        <v>29.77</v>
      </c>
      <c r="J604" s="101" t="s">
        <v>889</v>
      </c>
      <c r="K604" s="245" t="s">
        <v>390</v>
      </c>
      <c r="L604" s="245">
        <v>42521</v>
      </c>
      <c r="M604" s="245" t="s">
        <v>391</v>
      </c>
      <c r="N604" s="101">
        <v>0</v>
      </c>
      <c r="O604" s="101" t="s">
        <v>392</v>
      </c>
      <c r="P604" s="101">
        <v>0</v>
      </c>
      <c r="Q604" s="101">
        <v>0</v>
      </c>
      <c r="R604" s="101" t="s">
        <v>393</v>
      </c>
      <c r="S604" s="101" t="s">
        <v>861</v>
      </c>
      <c r="T604" s="101" t="s">
        <v>394</v>
      </c>
      <c r="V604" s="245">
        <v>14427</v>
      </c>
      <c r="W604" s="101" t="s">
        <v>395</v>
      </c>
      <c r="X604" s="101" t="s">
        <v>795</v>
      </c>
      <c r="Y604" s="101" t="s">
        <v>396</v>
      </c>
      <c r="Z604" s="101" t="s">
        <v>402</v>
      </c>
      <c r="AA604" s="101" t="s">
        <v>78</v>
      </c>
      <c r="AB604" s="101">
        <v>4101000279</v>
      </c>
      <c r="AC604" s="101" t="s">
        <v>398</v>
      </c>
      <c r="AD604" s="101" t="s">
        <v>403</v>
      </c>
      <c r="AE604" s="101" t="s">
        <v>6</v>
      </c>
      <c r="AF604" s="101" t="s">
        <v>400</v>
      </c>
      <c r="AI604" s="101" t="s">
        <v>760</v>
      </c>
    </row>
    <row r="605" spans="1:35">
      <c r="A605" s="246" t="s">
        <v>109</v>
      </c>
      <c r="B605" s="246" t="s">
        <v>78</v>
      </c>
      <c r="C605" s="246" t="s">
        <v>126</v>
      </c>
      <c r="D605" s="246" t="s">
        <v>337</v>
      </c>
      <c r="E605" s="246" t="s">
        <v>336</v>
      </c>
      <c r="F605" s="246" t="s">
        <v>275</v>
      </c>
      <c r="G605" s="132" t="s">
        <v>1448</v>
      </c>
      <c r="H605" s="132" t="s">
        <v>1449</v>
      </c>
      <c r="I605" s="132">
        <v>24.93</v>
      </c>
      <c r="J605" s="101" t="s">
        <v>889</v>
      </c>
      <c r="K605" s="245" t="s">
        <v>390</v>
      </c>
      <c r="L605" s="245">
        <v>42551</v>
      </c>
      <c r="M605" s="245" t="s">
        <v>391</v>
      </c>
      <c r="N605" s="101">
        <v>0</v>
      </c>
      <c r="O605" s="101" t="s">
        <v>392</v>
      </c>
      <c r="P605" s="101">
        <v>0</v>
      </c>
      <c r="Q605" s="101">
        <v>0</v>
      </c>
      <c r="R605" s="101" t="s">
        <v>393</v>
      </c>
      <c r="S605" s="101" t="s">
        <v>861</v>
      </c>
      <c r="T605" s="101" t="s">
        <v>394</v>
      </c>
      <c r="V605" s="245">
        <v>14427</v>
      </c>
      <c r="W605" s="101" t="s">
        <v>395</v>
      </c>
      <c r="X605" s="101" t="s">
        <v>795</v>
      </c>
      <c r="Y605" s="101" t="s">
        <v>396</v>
      </c>
      <c r="Z605" s="101" t="s">
        <v>402</v>
      </c>
      <c r="AA605" s="101" t="s">
        <v>78</v>
      </c>
      <c r="AB605" s="101">
        <v>4101000279</v>
      </c>
      <c r="AC605" s="101" t="s">
        <v>398</v>
      </c>
      <c r="AD605" s="101" t="s">
        <v>403</v>
      </c>
      <c r="AE605" s="101" t="s">
        <v>6</v>
      </c>
      <c r="AF605" s="101" t="s">
        <v>400</v>
      </c>
      <c r="AI605" s="101" t="s">
        <v>760</v>
      </c>
    </row>
    <row r="606" spans="1:35">
      <c r="A606" s="246" t="s">
        <v>109</v>
      </c>
      <c r="B606" s="246" t="s">
        <v>78</v>
      </c>
      <c r="C606" s="246" t="s">
        <v>126</v>
      </c>
      <c r="D606" s="246" t="s">
        <v>337</v>
      </c>
      <c r="E606" s="246" t="s">
        <v>336</v>
      </c>
      <c r="F606" s="246" t="s">
        <v>275</v>
      </c>
      <c r="G606" s="132" t="s">
        <v>1450</v>
      </c>
      <c r="H606" s="132" t="s">
        <v>1451</v>
      </c>
      <c r="I606" s="132">
        <v>12.069999999999999</v>
      </c>
      <c r="J606" s="101" t="s">
        <v>889</v>
      </c>
      <c r="K606" s="245" t="s">
        <v>390</v>
      </c>
      <c r="L606" s="245">
        <v>42580</v>
      </c>
      <c r="M606" s="245" t="s">
        <v>391</v>
      </c>
      <c r="N606" s="101">
        <v>0</v>
      </c>
      <c r="O606" s="101" t="s">
        <v>392</v>
      </c>
      <c r="P606" s="101">
        <v>0</v>
      </c>
      <c r="Q606" s="101">
        <v>0</v>
      </c>
      <c r="R606" s="101" t="s">
        <v>393</v>
      </c>
      <c r="S606" s="101" t="s">
        <v>861</v>
      </c>
      <c r="T606" s="101" t="s">
        <v>394</v>
      </c>
      <c r="V606" s="245">
        <v>14427</v>
      </c>
      <c r="W606" s="101" t="s">
        <v>395</v>
      </c>
      <c r="X606" s="101" t="s">
        <v>795</v>
      </c>
      <c r="Y606" s="101" t="s">
        <v>396</v>
      </c>
      <c r="Z606" s="101" t="s">
        <v>402</v>
      </c>
      <c r="AA606" s="101" t="s">
        <v>78</v>
      </c>
      <c r="AB606" s="101">
        <v>4101000279</v>
      </c>
      <c r="AC606" s="101" t="s">
        <v>398</v>
      </c>
      <c r="AD606" s="101" t="s">
        <v>403</v>
      </c>
      <c r="AE606" s="101" t="s">
        <v>6</v>
      </c>
      <c r="AF606" s="101" t="s">
        <v>400</v>
      </c>
      <c r="AI606" s="101" t="s">
        <v>760</v>
      </c>
    </row>
    <row r="607" spans="1:35">
      <c r="A607" s="246" t="s">
        <v>110</v>
      </c>
      <c r="B607" s="246" t="s">
        <v>78</v>
      </c>
      <c r="C607" s="246" t="s">
        <v>126</v>
      </c>
      <c r="D607" s="246" t="s">
        <v>770</v>
      </c>
      <c r="E607" s="246" t="s">
        <v>771</v>
      </c>
      <c r="F607" s="246" t="s">
        <v>276</v>
      </c>
      <c r="G607" s="132" t="s">
        <v>1415</v>
      </c>
      <c r="H607" s="132" t="s">
        <v>1416</v>
      </c>
      <c r="I607" s="132">
        <v>2.3600000000000003</v>
      </c>
      <c r="J607" s="101" t="s">
        <v>889</v>
      </c>
      <c r="K607" s="245" t="s">
        <v>390</v>
      </c>
      <c r="L607" s="245">
        <v>42613</v>
      </c>
      <c r="M607" s="245" t="s">
        <v>391</v>
      </c>
      <c r="N607" s="101">
        <v>0</v>
      </c>
      <c r="O607" s="101" t="s">
        <v>392</v>
      </c>
      <c r="P607" s="101">
        <v>0</v>
      </c>
      <c r="Q607" s="101">
        <v>0</v>
      </c>
      <c r="R607" s="101" t="s">
        <v>393</v>
      </c>
      <c r="S607" s="101" t="s">
        <v>861</v>
      </c>
      <c r="T607" s="101" t="s">
        <v>394</v>
      </c>
      <c r="V607" s="245">
        <v>14427</v>
      </c>
      <c r="W607" s="101" t="s">
        <v>395</v>
      </c>
      <c r="X607" s="101" t="s">
        <v>795</v>
      </c>
      <c r="Y607" s="101" t="s">
        <v>396</v>
      </c>
      <c r="Z607" s="101" t="s">
        <v>402</v>
      </c>
      <c r="AA607" s="101" t="s">
        <v>78</v>
      </c>
      <c r="AB607" s="101">
        <v>4101000279</v>
      </c>
      <c r="AC607" s="101" t="s">
        <v>398</v>
      </c>
      <c r="AD607" s="101" t="s">
        <v>403</v>
      </c>
      <c r="AE607" s="101" t="s">
        <v>6</v>
      </c>
      <c r="AF607" s="101" t="s">
        <v>400</v>
      </c>
      <c r="AI607" s="101" t="s">
        <v>760</v>
      </c>
    </row>
    <row r="608" spans="1:35">
      <c r="A608" s="246" t="s">
        <v>110</v>
      </c>
      <c r="B608" s="246" t="s">
        <v>78</v>
      </c>
      <c r="C608" s="246" t="s">
        <v>126</v>
      </c>
      <c r="D608" s="246" t="s">
        <v>770</v>
      </c>
      <c r="E608" s="246" t="s">
        <v>771</v>
      </c>
      <c r="F608" s="246" t="s">
        <v>276</v>
      </c>
      <c r="G608" s="132" t="s">
        <v>1452</v>
      </c>
      <c r="H608" s="132" t="s">
        <v>1453</v>
      </c>
      <c r="I608" s="132">
        <v>-4.79</v>
      </c>
      <c r="J608" s="101" t="s">
        <v>889</v>
      </c>
      <c r="K608" s="245" t="s">
        <v>390</v>
      </c>
      <c r="L608" s="245">
        <v>42643</v>
      </c>
      <c r="M608" s="245" t="s">
        <v>391</v>
      </c>
      <c r="N608" s="101">
        <v>0</v>
      </c>
      <c r="O608" s="101" t="s">
        <v>392</v>
      </c>
      <c r="P608" s="101">
        <v>0</v>
      </c>
      <c r="Q608" s="101">
        <v>0</v>
      </c>
      <c r="R608" s="101" t="s">
        <v>393</v>
      </c>
      <c r="S608" s="101" t="s">
        <v>861</v>
      </c>
      <c r="T608" s="101" t="s">
        <v>394</v>
      </c>
      <c r="V608" s="245">
        <v>14427</v>
      </c>
      <c r="W608" s="101" t="s">
        <v>395</v>
      </c>
      <c r="X608" s="101" t="s">
        <v>795</v>
      </c>
      <c r="Y608" s="101" t="s">
        <v>396</v>
      </c>
      <c r="Z608" s="101" t="s">
        <v>402</v>
      </c>
      <c r="AA608" s="101" t="s">
        <v>78</v>
      </c>
      <c r="AB608" s="101">
        <v>4101000279</v>
      </c>
      <c r="AC608" s="101" t="s">
        <v>398</v>
      </c>
      <c r="AD608" s="101" t="s">
        <v>403</v>
      </c>
      <c r="AE608" s="101" t="s">
        <v>6</v>
      </c>
      <c r="AF608" s="101" t="s">
        <v>400</v>
      </c>
      <c r="AI608" s="101" t="s">
        <v>760</v>
      </c>
    </row>
    <row r="609" spans="1:35">
      <c r="A609" s="246" t="s">
        <v>102</v>
      </c>
      <c r="B609" s="246" t="s">
        <v>66</v>
      </c>
      <c r="C609" s="246" t="s">
        <v>126</v>
      </c>
      <c r="D609" s="246" t="s">
        <v>1776</v>
      </c>
      <c r="E609" s="246"/>
      <c r="F609" s="246" t="s">
        <v>1772</v>
      </c>
      <c r="G609" s="132">
        <v>21000</v>
      </c>
      <c r="H609" s="132" t="s">
        <v>1454</v>
      </c>
      <c r="I609" s="132">
        <v>21000</v>
      </c>
      <c r="J609" s="101" t="s">
        <v>889</v>
      </c>
      <c r="K609" s="245" t="s">
        <v>390</v>
      </c>
      <c r="L609" s="245">
        <v>42503</v>
      </c>
      <c r="M609" s="245" t="s">
        <v>391</v>
      </c>
      <c r="N609" s="101">
        <v>0</v>
      </c>
      <c r="O609" s="101" t="s">
        <v>392</v>
      </c>
      <c r="P609" s="101">
        <v>0</v>
      </c>
      <c r="Q609" s="101">
        <v>0</v>
      </c>
      <c r="R609" s="101" t="s">
        <v>393</v>
      </c>
      <c r="S609" s="101" t="s">
        <v>565</v>
      </c>
      <c r="T609" s="101" t="s">
        <v>394</v>
      </c>
      <c r="V609" s="245">
        <v>42503</v>
      </c>
      <c r="W609" s="101" t="s">
        <v>424</v>
      </c>
      <c r="X609" s="101" t="s">
        <v>77</v>
      </c>
      <c r="Y609" s="101" t="s">
        <v>396</v>
      </c>
      <c r="Z609" s="101" t="s">
        <v>566</v>
      </c>
      <c r="AA609" s="101" t="s">
        <v>397</v>
      </c>
      <c r="AB609" s="101">
        <v>5101000018</v>
      </c>
      <c r="AC609" s="101" t="s">
        <v>419</v>
      </c>
      <c r="AD609" s="101" t="s">
        <v>95</v>
      </c>
      <c r="AE609" s="101" t="s">
        <v>6</v>
      </c>
      <c r="AF609" s="101" t="s">
        <v>400</v>
      </c>
      <c r="AG609" s="101" t="s">
        <v>427</v>
      </c>
      <c r="AI609" s="101" t="s">
        <v>760</v>
      </c>
    </row>
    <row r="610" spans="1:35">
      <c r="A610" s="246" t="s">
        <v>102</v>
      </c>
      <c r="B610" s="246" t="s">
        <v>66</v>
      </c>
      <c r="C610" s="246" t="s">
        <v>67</v>
      </c>
      <c r="D610" s="246" t="s">
        <v>1777</v>
      </c>
      <c r="E610" s="246"/>
      <c r="F610" s="246" t="s">
        <v>1772</v>
      </c>
      <c r="G610" s="132">
        <v>9000000</v>
      </c>
      <c r="H610" s="132" t="s">
        <v>1455</v>
      </c>
      <c r="I610" s="132">
        <v>9000000</v>
      </c>
      <c r="J610" s="101" t="s">
        <v>889</v>
      </c>
      <c r="K610" s="245" t="s">
        <v>390</v>
      </c>
      <c r="L610" s="245">
        <v>42503</v>
      </c>
      <c r="M610" s="245" t="s">
        <v>421</v>
      </c>
      <c r="N610" s="101">
        <v>0</v>
      </c>
      <c r="O610" s="101" t="s">
        <v>392</v>
      </c>
      <c r="P610" s="101">
        <v>0</v>
      </c>
      <c r="Q610" s="101">
        <v>0</v>
      </c>
      <c r="R610" s="101" t="s">
        <v>393</v>
      </c>
      <c r="S610" s="101" t="s">
        <v>565</v>
      </c>
      <c r="T610" s="101" t="s">
        <v>394</v>
      </c>
      <c r="V610" s="245">
        <v>42503</v>
      </c>
      <c r="W610" s="101" t="s">
        <v>424</v>
      </c>
      <c r="X610" s="101" t="s">
        <v>77</v>
      </c>
      <c r="Y610" s="101" t="s">
        <v>396</v>
      </c>
      <c r="Z610" s="101" t="s">
        <v>566</v>
      </c>
      <c r="AA610" s="101" t="s">
        <v>397</v>
      </c>
      <c r="AB610" s="101">
        <v>5101000018</v>
      </c>
      <c r="AC610" s="101" t="s">
        <v>419</v>
      </c>
      <c r="AD610" s="101" t="s">
        <v>95</v>
      </c>
      <c r="AE610" s="101" t="s">
        <v>6</v>
      </c>
      <c r="AF610" s="101" t="s">
        <v>400</v>
      </c>
      <c r="AG610" s="101" t="s">
        <v>427</v>
      </c>
      <c r="AI610" s="101" t="s">
        <v>760</v>
      </c>
    </row>
    <row r="611" spans="1:35">
      <c r="A611" s="246" t="s">
        <v>109</v>
      </c>
      <c r="B611" s="246" t="s">
        <v>66</v>
      </c>
      <c r="C611" s="246" t="s">
        <v>126</v>
      </c>
      <c r="D611" s="246" t="s">
        <v>272</v>
      </c>
      <c r="E611" s="246"/>
      <c r="F611" s="246"/>
      <c r="G611" s="132">
        <v>715000</v>
      </c>
      <c r="H611" s="132" t="s">
        <v>1456</v>
      </c>
      <c r="I611" s="132">
        <v>714999.99999999988</v>
      </c>
      <c r="J611" s="101" t="s">
        <v>889</v>
      </c>
      <c r="K611" s="245" t="s">
        <v>390</v>
      </c>
      <c r="L611" s="245">
        <v>42569</v>
      </c>
      <c r="M611" s="245" t="s">
        <v>391</v>
      </c>
      <c r="N611" s="101">
        <v>0</v>
      </c>
      <c r="O611" s="101" t="s">
        <v>392</v>
      </c>
      <c r="P611" s="101">
        <v>0</v>
      </c>
      <c r="Q611" s="101">
        <v>0</v>
      </c>
      <c r="R611" s="101" t="s">
        <v>438</v>
      </c>
      <c r="S611" s="101">
        <v>148897</v>
      </c>
      <c r="T611" s="101" t="s">
        <v>394</v>
      </c>
      <c r="V611" s="245">
        <v>42569</v>
      </c>
      <c r="W611" s="101" t="s">
        <v>441</v>
      </c>
      <c r="X611" s="101" t="s">
        <v>76</v>
      </c>
      <c r="Y611" s="101" t="s">
        <v>392</v>
      </c>
      <c r="Z611" s="101" t="s">
        <v>430</v>
      </c>
      <c r="AA611" s="101" t="s">
        <v>397</v>
      </c>
      <c r="AB611" s="101">
        <v>5101000018</v>
      </c>
      <c r="AC611" s="101" t="s">
        <v>431</v>
      </c>
      <c r="AD611" s="101" t="s">
        <v>431</v>
      </c>
      <c r="AE611" s="101" t="s">
        <v>75</v>
      </c>
      <c r="AF611" s="101" t="s">
        <v>400</v>
      </c>
      <c r="AG611" s="101" t="s">
        <v>443</v>
      </c>
      <c r="AI611" s="101" t="s">
        <v>760</v>
      </c>
    </row>
    <row r="612" spans="1:35">
      <c r="A612" s="246" t="s">
        <v>109</v>
      </c>
      <c r="B612" s="246" t="s">
        <v>66</v>
      </c>
      <c r="C612" s="246" t="s">
        <v>116</v>
      </c>
      <c r="D612" s="246" t="s">
        <v>338</v>
      </c>
      <c r="E612" s="246"/>
      <c r="F612" s="246"/>
      <c r="G612" s="132">
        <v>26000000</v>
      </c>
      <c r="H612" s="132" t="s">
        <v>1457</v>
      </c>
      <c r="I612" s="132">
        <v>26000000</v>
      </c>
      <c r="J612" s="101" t="s">
        <v>889</v>
      </c>
      <c r="K612" s="245" t="s">
        <v>390</v>
      </c>
      <c r="L612" s="245">
        <v>42569</v>
      </c>
      <c r="M612" s="245" t="s">
        <v>421</v>
      </c>
      <c r="N612" s="101">
        <v>0</v>
      </c>
      <c r="O612" s="101" t="s">
        <v>392</v>
      </c>
      <c r="P612" s="101">
        <v>0</v>
      </c>
      <c r="Q612" s="101">
        <v>0</v>
      </c>
      <c r="R612" s="101" t="s">
        <v>438</v>
      </c>
      <c r="S612" s="101">
        <v>148897</v>
      </c>
      <c r="T612" s="101" t="s">
        <v>394</v>
      </c>
      <c r="V612" s="245">
        <v>42569</v>
      </c>
      <c r="W612" s="101" t="s">
        <v>441</v>
      </c>
      <c r="X612" s="101" t="s">
        <v>76</v>
      </c>
      <c r="Y612" s="101" t="s">
        <v>392</v>
      </c>
      <c r="Z612" s="101" t="s">
        <v>430</v>
      </c>
      <c r="AA612" s="101" t="s">
        <v>397</v>
      </c>
      <c r="AB612" s="101">
        <v>5101000018</v>
      </c>
      <c r="AC612" s="101" t="s">
        <v>431</v>
      </c>
      <c r="AD612" s="101" t="s">
        <v>431</v>
      </c>
      <c r="AE612" s="101" t="s">
        <v>75</v>
      </c>
      <c r="AF612" s="101" t="s">
        <v>400</v>
      </c>
      <c r="AG612" s="101" t="s">
        <v>443</v>
      </c>
      <c r="AI612" s="101" t="s">
        <v>760</v>
      </c>
    </row>
    <row r="613" spans="1:35">
      <c r="A613" s="246" t="s">
        <v>101</v>
      </c>
      <c r="B613" s="246" t="s">
        <v>78</v>
      </c>
      <c r="C613" s="246" t="s">
        <v>761</v>
      </c>
      <c r="D613" s="246" t="s">
        <v>1770</v>
      </c>
      <c r="E613" s="246" t="s">
        <v>765</v>
      </c>
      <c r="F613" s="246"/>
      <c r="G613" s="132">
        <v>100000000</v>
      </c>
      <c r="H613" s="132" t="s">
        <v>1458</v>
      </c>
      <c r="I613" s="132">
        <v>100000000</v>
      </c>
      <c r="J613" s="101" t="s">
        <v>889</v>
      </c>
      <c r="K613" s="245" t="s">
        <v>390</v>
      </c>
      <c r="L613" s="245">
        <v>42502</v>
      </c>
      <c r="M613" s="245" t="s">
        <v>421</v>
      </c>
      <c r="N613" s="101">
        <v>0</v>
      </c>
      <c r="O613" s="101" t="s">
        <v>392</v>
      </c>
      <c r="P613" s="101">
        <v>0</v>
      </c>
      <c r="Q613" s="101">
        <v>0</v>
      </c>
      <c r="R613" s="101" t="s">
        <v>393</v>
      </c>
      <c r="S613" s="101" t="s">
        <v>1459</v>
      </c>
      <c r="T613" s="101" t="s">
        <v>394</v>
      </c>
      <c r="V613" s="245">
        <v>42594</v>
      </c>
      <c r="W613" s="101" t="s">
        <v>417</v>
      </c>
      <c r="X613" s="101" t="s">
        <v>709</v>
      </c>
      <c r="Y613" s="101" t="s">
        <v>471</v>
      </c>
      <c r="Z613" s="101" t="s">
        <v>418</v>
      </c>
      <c r="AA613" s="101" t="s">
        <v>78</v>
      </c>
      <c r="AB613" s="101">
        <v>4101000279</v>
      </c>
      <c r="AC613" s="101" t="s">
        <v>419</v>
      </c>
      <c r="AD613" s="101" t="s">
        <v>420</v>
      </c>
      <c r="AE613" s="101" t="s">
        <v>75</v>
      </c>
      <c r="AF613" s="101" t="s">
        <v>400</v>
      </c>
      <c r="AI613" s="101" t="s">
        <v>760</v>
      </c>
    </row>
    <row r="614" spans="1:35">
      <c r="A614" s="246" t="s">
        <v>110</v>
      </c>
      <c r="B614" s="246" t="s">
        <v>78</v>
      </c>
      <c r="C614" s="246" t="s">
        <v>126</v>
      </c>
      <c r="D614" s="246" t="s">
        <v>770</v>
      </c>
      <c r="E614" s="246" t="s">
        <v>771</v>
      </c>
      <c r="F614" s="246"/>
      <c r="G614" s="132">
        <v>-220340</v>
      </c>
      <c r="H614" s="132" t="s">
        <v>1460</v>
      </c>
      <c r="I614" s="132">
        <v>-220340</v>
      </c>
      <c r="J614" s="101" t="s">
        <v>889</v>
      </c>
      <c r="K614" s="245" t="s">
        <v>390</v>
      </c>
      <c r="L614" s="245">
        <v>42594</v>
      </c>
      <c r="M614" s="245" t="s">
        <v>391</v>
      </c>
      <c r="N614" s="101">
        <v>0</v>
      </c>
      <c r="O614" s="101" t="s">
        <v>392</v>
      </c>
      <c r="P614" s="101">
        <v>0</v>
      </c>
      <c r="Q614" s="101">
        <v>0</v>
      </c>
      <c r="R614" s="101" t="s">
        <v>393</v>
      </c>
      <c r="S614" s="101" t="s">
        <v>1459</v>
      </c>
      <c r="T614" s="101" t="s">
        <v>394</v>
      </c>
      <c r="V614" s="245">
        <v>42594</v>
      </c>
      <c r="W614" s="101" t="s">
        <v>417</v>
      </c>
      <c r="X614" s="101" t="s">
        <v>709</v>
      </c>
      <c r="Y614" s="101" t="s">
        <v>471</v>
      </c>
      <c r="Z614" s="101" t="s">
        <v>418</v>
      </c>
      <c r="AA614" s="101" t="s">
        <v>78</v>
      </c>
      <c r="AB614" s="101">
        <v>4101000279</v>
      </c>
      <c r="AC614" s="101" t="s">
        <v>419</v>
      </c>
      <c r="AD614" s="101" t="s">
        <v>420</v>
      </c>
      <c r="AE614" s="101" t="s">
        <v>75</v>
      </c>
      <c r="AF614" s="101" t="s">
        <v>400</v>
      </c>
      <c r="AI614" s="101" t="s">
        <v>760</v>
      </c>
    </row>
    <row r="615" spans="1:35">
      <c r="A615" s="246" t="s">
        <v>110</v>
      </c>
      <c r="B615" s="246" t="s">
        <v>78</v>
      </c>
      <c r="C615" s="246" t="s">
        <v>761</v>
      </c>
      <c r="D615" s="246" t="s">
        <v>1778</v>
      </c>
      <c r="E615" s="246" t="s">
        <v>771</v>
      </c>
      <c r="F615" s="246"/>
      <c r="G615" s="132">
        <v>-100000000</v>
      </c>
      <c r="H615" s="132" t="s">
        <v>964</v>
      </c>
      <c r="I615" s="132">
        <v>-100000000</v>
      </c>
      <c r="J615" s="101" t="s">
        <v>889</v>
      </c>
      <c r="K615" s="245" t="s">
        <v>390</v>
      </c>
      <c r="L615" s="245">
        <v>42594</v>
      </c>
      <c r="M615" s="245" t="s">
        <v>421</v>
      </c>
      <c r="N615" s="101">
        <v>0</v>
      </c>
      <c r="O615" s="101" t="s">
        <v>392</v>
      </c>
      <c r="P615" s="101">
        <v>0</v>
      </c>
      <c r="Q615" s="101">
        <v>0</v>
      </c>
      <c r="R615" s="101" t="s">
        <v>393</v>
      </c>
      <c r="S615" s="101" t="s">
        <v>1459</v>
      </c>
      <c r="T615" s="101" t="s">
        <v>394</v>
      </c>
      <c r="V615" s="245">
        <v>42594</v>
      </c>
      <c r="W615" s="101" t="s">
        <v>417</v>
      </c>
      <c r="X615" s="101" t="s">
        <v>709</v>
      </c>
      <c r="Y615" s="101" t="s">
        <v>471</v>
      </c>
      <c r="Z615" s="101" t="s">
        <v>418</v>
      </c>
      <c r="AA615" s="101" t="s">
        <v>78</v>
      </c>
      <c r="AB615" s="101">
        <v>4101000279</v>
      </c>
      <c r="AC615" s="101" t="s">
        <v>419</v>
      </c>
      <c r="AD615" s="101" t="s">
        <v>420</v>
      </c>
      <c r="AE615" s="101" t="s">
        <v>75</v>
      </c>
      <c r="AF615" s="101" t="s">
        <v>400</v>
      </c>
      <c r="AI615" s="101" t="s">
        <v>760</v>
      </c>
    </row>
    <row r="616" spans="1:35">
      <c r="A616" s="246" t="s">
        <v>110</v>
      </c>
      <c r="B616" s="246" t="s">
        <v>78</v>
      </c>
      <c r="C616" s="246" t="s">
        <v>126</v>
      </c>
      <c r="D616" s="246" t="s">
        <v>770</v>
      </c>
      <c r="E616" s="246" t="s">
        <v>771</v>
      </c>
      <c r="F616" s="246"/>
      <c r="G616" s="132">
        <v>-291225</v>
      </c>
      <c r="H616" s="132" t="s">
        <v>1461</v>
      </c>
      <c r="I616" s="132">
        <v>-291225</v>
      </c>
      <c r="J616" s="101" t="s">
        <v>889</v>
      </c>
      <c r="K616" s="245" t="s">
        <v>390</v>
      </c>
      <c r="L616" s="245">
        <v>42597</v>
      </c>
      <c r="M616" s="245" t="s">
        <v>391</v>
      </c>
      <c r="N616" s="101">
        <v>0</v>
      </c>
      <c r="O616" s="101" t="s">
        <v>392</v>
      </c>
      <c r="P616" s="101">
        <v>0</v>
      </c>
      <c r="Q616" s="101">
        <v>0</v>
      </c>
      <c r="R616" s="101" t="s">
        <v>450</v>
      </c>
      <c r="S616" s="101">
        <v>194053</v>
      </c>
      <c r="T616" s="101" t="s">
        <v>394</v>
      </c>
      <c r="V616" s="245">
        <v>46980</v>
      </c>
      <c r="W616" s="101" t="s">
        <v>411</v>
      </c>
      <c r="X616" s="101" t="s">
        <v>77</v>
      </c>
      <c r="Y616" s="101" t="s">
        <v>392</v>
      </c>
      <c r="Z616" s="101" t="s">
        <v>430</v>
      </c>
      <c r="AA616" s="101" t="s">
        <v>78</v>
      </c>
      <c r="AB616" s="101">
        <v>4101000279</v>
      </c>
      <c r="AC616" s="101" t="s">
        <v>431</v>
      </c>
      <c r="AD616" s="101" t="s">
        <v>431</v>
      </c>
      <c r="AE616" s="101" t="s">
        <v>75</v>
      </c>
      <c r="AF616" s="101" t="s">
        <v>400</v>
      </c>
      <c r="AG616" s="101" t="s">
        <v>452</v>
      </c>
      <c r="AI616" s="101" t="s">
        <v>760</v>
      </c>
    </row>
    <row r="617" spans="1:35">
      <c r="A617" s="246" t="s">
        <v>111</v>
      </c>
      <c r="B617" s="246" t="s">
        <v>78</v>
      </c>
      <c r="C617" s="246" t="s">
        <v>126</v>
      </c>
      <c r="D617" s="246" t="s">
        <v>768</v>
      </c>
      <c r="E617" s="246" t="s">
        <v>769</v>
      </c>
      <c r="F617" s="246"/>
      <c r="G617" s="132">
        <v>-291225</v>
      </c>
      <c r="H617" s="132" t="s">
        <v>1461</v>
      </c>
      <c r="I617" s="132">
        <v>-291225</v>
      </c>
      <c r="J617" s="101" t="s">
        <v>889</v>
      </c>
      <c r="K617" s="245" t="s">
        <v>390</v>
      </c>
      <c r="L617" s="245">
        <v>42781</v>
      </c>
      <c r="M617" s="245" t="s">
        <v>391</v>
      </c>
      <c r="N617" s="101">
        <v>0</v>
      </c>
      <c r="O617" s="101" t="s">
        <v>392</v>
      </c>
      <c r="P617" s="101">
        <v>0</v>
      </c>
      <c r="Q617" s="101">
        <v>0</v>
      </c>
      <c r="R617" s="101" t="s">
        <v>450</v>
      </c>
      <c r="S617" s="101">
        <v>194053</v>
      </c>
      <c r="T617" s="101" t="s">
        <v>394</v>
      </c>
      <c r="V617" s="245">
        <v>46980</v>
      </c>
      <c r="W617" s="101" t="s">
        <v>411</v>
      </c>
      <c r="X617" s="101" t="s">
        <v>77</v>
      </c>
      <c r="Y617" s="101" t="s">
        <v>392</v>
      </c>
      <c r="Z617" s="101" t="s">
        <v>430</v>
      </c>
      <c r="AA617" s="101" t="s">
        <v>78</v>
      </c>
      <c r="AB617" s="101">
        <v>4101000279</v>
      </c>
      <c r="AC617" s="101" t="s">
        <v>431</v>
      </c>
      <c r="AD617" s="101" t="s">
        <v>431</v>
      </c>
      <c r="AE617" s="101" t="s">
        <v>75</v>
      </c>
      <c r="AF617" s="101" t="s">
        <v>400</v>
      </c>
      <c r="AG617" s="101" t="s">
        <v>452</v>
      </c>
      <c r="AI617" s="101" t="s">
        <v>760</v>
      </c>
    </row>
    <row r="618" spans="1:35">
      <c r="A618" s="246" t="s">
        <v>112</v>
      </c>
      <c r="B618" s="246" t="s">
        <v>78</v>
      </c>
      <c r="C618" s="246" t="s">
        <v>126</v>
      </c>
      <c r="D618" s="246" t="s">
        <v>341</v>
      </c>
      <c r="E618" s="246" t="s">
        <v>342</v>
      </c>
      <c r="F618" s="246"/>
      <c r="G618" s="132">
        <v>-291225</v>
      </c>
      <c r="H618" s="132" t="s">
        <v>1461</v>
      </c>
      <c r="I618" s="132">
        <v>-291225</v>
      </c>
      <c r="J618" s="101" t="s">
        <v>889</v>
      </c>
      <c r="K618" s="245" t="s">
        <v>390</v>
      </c>
      <c r="L618" s="245">
        <v>42962</v>
      </c>
      <c r="M618" s="245" t="s">
        <v>391</v>
      </c>
      <c r="N618" s="101">
        <v>0</v>
      </c>
      <c r="O618" s="101" t="s">
        <v>392</v>
      </c>
      <c r="P618" s="101">
        <v>0</v>
      </c>
      <c r="Q618" s="101">
        <v>0</v>
      </c>
      <c r="R618" s="101" t="s">
        <v>450</v>
      </c>
      <c r="S618" s="101">
        <v>194053</v>
      </c>
      <c r="T618" s="101" t="s">
        <v>394</v>
      </c>
      <c r="V618" s="245">
        <v>46980</v>
      </c>
      <c r="W618" s="101" t="s">
        <v>411</v>
      </c>
      <c r="X618" s="101" t="s">
        <v>77</v>
      </c>
      <c r="Y618" s="101" t="s">
        <v>392</v>
      </c>
      <c r="Z618" s="101" t="s">
        <v>430</v>
      </c>
      <c r="AA618" s="101" t="s">
        <v>78</v>
      </c>
      <c r="AB618" s="101">
        <v>4101000279</v>
      </c>
      <c r="AC618" s="101" t="s">
        <v>431</v>
      </c>
      <c r="AD618" s="101" t="s">
        <v>431</v>
      </c>
      <c r="AE618" s="101" t="s">
        <v>75</v>
      </c>
      <c r="AF618" s="101" t="s">
        <v>400</v>
      </c>
      <c r="AG618" s="101" t="s">
        <v>452</v>
      </c>
      <c r="AI618" s="101" t="s">
        <v>760</v>
      </c>
    </row>
    <row r="619" spans="1:35">
      <c r="A619" s="246" t="s">
        <v>113</v>
      </c>
      <c r="B619" s="246" t="s">
        <v>78</v>
      </c>
      <c r="C619" s="246" t="s">
        <v>126</v>
      </c>
      <c r="D619" s="246" t="s">
        <v>339</v>
      </c>
      <c r="E619" s="246" t="s">
        <v>340</v>
      </c>
      <c r="F619" s="246"/>
      <c r="G619" s="132">
        <v>-291225</v>
      </c>
      <c r="H619" s="132" t="s">
        <v>1461</v>
      </c>
      <c r="I619" s="132">
        <v>-291225</v>
      </c>
      <c r="J619" s="101" t="s">
        <v>889</v>
      </c>
      <c r="K619" s="245" t="s">
        <v>390</v>
      </c>
      <c r="L619" s="245">
        <v>43146</v>
      </c>
      <c r="M619" s="245" t="s">
        <v>391</v>
      </c>
      <c r="N619" s="101">
        <v>0</v>
      </c>
      <c r="O619" s="101" t="s">
        <v>392</v>
      </c>
      <c r="P619" s="101">
        <v>0</v>
      </c>
      <c r="Q619" s="101">
        <v>0</v>
      </c>
      <c r="R619" s="101" t="s">
        <v>450</v>
      </c>
      <c r="S619" s="101">
        <v>194053</v>
      </c>
      <c r="T619" s="101" t="s">
        <v>394</v>
      </c>
      <c r="V619" s="245">
        <v>46980</v>
      </c>
      <c r="W619" s="101" t="s">
        <v>411</v>
      </c>
      <c r="X619" s="101" t="s">
        <v>77</v>
      </c>
      <c r="Y619" s="101" t="s">
        <v>392</v>
      </c>
      <c r="Z619" s="101" t="s">
        <v>430</v>
      </c>
      <c r="AA619" s="101" t="s">
        <v>78</v>
      </c>
      <c r="AB619" s="101">
        <v>4101000279</v>
      </c>
      <c r="AC619" s="101" t="s">
        <v>431</v>
      </c>
      <c r="AD619" s="101" t="s">
        <v>431</v>
      </c>
      <c r="AE619" s="101" t="s">
        <v>75</v>
      </c>
      <c r="AF619" s="101" t="s">
        <v>400</v>
      </c>
      <c r="AG619" s="101" t="s">
        <v>452</v>
      </c>
      <c r="AI619" s="101" t="s">
        <v>760</v>
      </c>
    </row>
    <row r="620" spans="1:35">
      <c r="A620" s="246" t="s">
        <v>110</v>
      </c>
      <c r="B620" s="246" t="s">
        <v>78</v>
      </c>
      <c r="C620" s="246" t="s">
        <v>126</v>
      </c>
      <c r="D620" s="246" t="s">
        <v>770</v>
      </c>
      <c r="E620" s="246" t="s">
        <v>771</v>
      </c>
      <c r="F620" s="246"/>
      <c r="G620" s="132">
        <v>-401500</v>
      </c>
      <c r="H620" s="132" t="s">
        <v>1462</v>
      </c>
      <c r="I620" s="132">
        <v>-401500</v>
      </c>
      <c r="J620" s="101" t="s">
        <v>889</v>
      </c>
      <c r="K620" s="245" t="s">
        <v>390</v>
      </c>
      <c r="L620" s="245">
        <v>42597</v>
      </c>
      <c r="M620" s="245" t="s">
        <v>391</v>
      </c>
      <c r="N620" s="101">
        <v>0</v>
      </c>
      <c r="O620" s="101" t="s">
        <v>392</v>
      </c>
      <c r="P620" s="101">
        <v>0</v>
      </c>
      <c r="Q620" s="101">
        <v>0</v>
      </c>
      <c r="R620" s="101" t="s">
        <v>450</v>
      </c>
      <c r="S620" s="101">
        <v>194070</v>
      </c>
      <c r="T620" s="101" t="s">
        <v>394</v>
      </c>
      <c r="V620" s="245">
        <v>46980</v>
      </c>
      <c r="W620" s="101" t="s">
        <v>411</v>
      </c>
      <c r="X620" s="101" t="s">
        <v>77</v>
      </c>
      <c r="Y620" s="101" t="s">
        <v>392</v>
      </c>
      <c r="Z620" s="101" t="s">
        <v>430</v>
      </c>
      <c r="AA620" s="101" t="s">
        <v>78</v>
      </c>
      <c r="AB620" s="101">
        <v>4101000279</v>
      </c>
      <c r="AC620" s="101" t="s">
        <v>431</v>
      </c>
      <c r="AD620" s="101" t="s">
        <v>431</v>
      </c>
      <c r="AE620" s="101" t="s">
        <v>75</v>
      </c>
      <c r="AF620" s="101" t="s">
        <v>400</v>
      </c>
      <c r="AG620" s="101" t="s">
        <v>452</v>
      </c>
      <c r="AI620" s="101" t="s">
        <v>760</v>
      </c>
    </row>
    <row r="621" spans="1:35">
      <c r="A621" s="246" t="s">
        <v>111</v>
      </c>
      <c r="B621" s="246" t="s">
        <v>78</v>
      </c>
      <c r="C621" s="246" t="s">
        <v>126</v>
      </c>
      <c r="D621" s="246" t="s">
        <v>768</v>
      </c>
      <c r="E621" s="246" t="s">
        <v>769</v>
      </c>
      <c r="F621" s="246"/>
      <c r="G621" s="132">
        <v>-401500</v>
      </c>
      <c r="H621" s="132" t="s">
        <v>1462</v>
      </c>
      <c r="I621" s="132">
        <v>-401500</v>
      </c>
      <c r="J621" s="101" t="s">
        <v>889</v>
      </c>
      <c r="K621" s="245" t="s">
        <v>390</v>
      </c>
      <c r="L621" s="245">
        <v>42781</v>
      </c>
      <c r="M621" s="245" t="s">
        <v>391</v>
      </c>
      <c r="N621" s="101">
        <v>0</v>
      </c>
      <c r="O621" s="101" t="s">
        <v>392</v>
      </c>
      <c r="P621" s="101">
        <v>0</v>
      </c>
      <c r="Q621" s="101">
        <v>0</v>
      </c>
      <c r="R621" s="101" t="s">
        <v>450</v>
      </c>
      <c r="S621" s="101">
        <v>194070</v>
      </c>
      <c r="T621" s="101" t="s">
        <v>394</v>
      </c>
      <c r="V621" s="245">
        <v>46980</v>
      </c>
      <c r="W621" s="101" t="s">
        <v>411</v>
      </c>
      <c r="X621" s="101" t="s">
        <v>77</v>
      </c>
      <c r="Y621" s="101" t="s">
        <v>392</v>
      </c>
      <c r="Z621" s="101" t="s">
        <v>430</v>
      </c>
      <c r="AA621" s="101" t="s">
        <v>78</v>
      </c>
      <c r="AB621" s="101">
        <v>4101000279</v>
      </c>
      <c r="AC621" s="101" t="s">
        <v>431</v>
      </c>
      <c r="AD621" s="101" t="s">
        <v>431</v>
      </c>
      <c r="AE621" s="101" t="s">
        <v>75</v>
      </c>
      <c r="AF621" s="101" t="s">
        <v>400</v>
      </c>
      <c r="AG621" s="101" t="s">
        <v>452</v>
      </c>
      <c r="AI621" s="101" t="s">
        <v>760</v>
      </c>
    </row>
    <row r="622" spans="1:35">
      <c r="A622" s="246" t="s">
        <v>112</v>
      </c>
      <c r="B622" s="246" t="s">
        <v>78</v>
      </c>
      <c r="C622" s="246" t="s">
        <v>126</v>
      </c>
      <c r="D622" s="246" t="s">
        <v>341</v>
      </c>
      <c r="E622" s="246" t="s">
        <v>342</v>
      </c>
      <c r="F622" s="246"/>
      <c r="G622" s="132">
        <v>-401500</v>
      </c>
      <c r="H622" s="132" t="s">
        <v>1462</v>
      </c>
      <c r="I622" s="132">
        <v>-401500</v>
      </c>
      <c r="J622" s="101" t="s">
        <v>889</v>
      </c>
      <c r="K622" s="245" t="s">
        <v>390</v>
      </c>
      <c r="L622" s="245">
        <v>42962</v>
      </c>
      <c r="M622" s="245" t="s">
        <v>391</v>
      </c>
      <c r="N622" s="101">
        <v>0</v>
      </c>
      <c r="O622" s="101" t="s">
        <v>392</v>
      </c>
      <c r="P622" s="101">
        <v>0</v>
      </c>
      <c r="Q622" s="101">
        <v>0</v>
      </c>
      <c r="R622" s="101" t="s">
        <v>450</v>
      </c>
      <c r="S622" s="101">
        <v>194070</v>
      </c>
      <c r="T622" s="101" t="s">
        <v>394</v>
      </c>
      <c r="V622" s="245">
        <v>46980</v>
      </c>
      <c r="W622" s="101" t="s">
        <v>411</v>
      </c>
      <c r="X622" s="101" t="s">
        <v>77</v>
      </c>
      <c r="Y622" s="101" t="s">
        <v>392</v>
      </c>
      <c r="Z622" s="101" t="s">
        <v>430</v>
      </c>
      <c r="AA622" s="101" t="s">
        <v>78</v>
      </c>
      <c r="AB622" s="101">
        <v>4101000279</v>
      </c>
      <c r="AC622" s="101" t="s">
        <v>431</v>
      </c>
      <c r="AD622" s="101" t="s">
        <v>431</v>
      </c>
      <c r="AE622" s="101" t="s">
        <v>75</v>
      </c>
      <c r="AF622" s="101" t="s">
        <v>400</v>
      </c>
      <c r="AG622" s="101" t="s">
        <v>452</v>
      </c>
      <c r="AI622" s="101" t="s">
        <v>760</v>
      </c>
    </row>
    <row r="623" spans="1:35">
      <c r="A623" s="246" t="s">
        <v>113</v>
      </c>
      <c r="B623" s="246" t="s">
        <v>78</v>
      </c>
      <c r="C623" s="246" t="s">
        <v>126</v>
      </c>
      <c r="D623" s="246" t="s">
        <v>339</v>
      </c>
      <c r="E623" s="246" t="s">
        <v>340</v>
      </c>
      <c r="F623" s="246"/>
      <c r="G623" s="132">
        <v>-401500</v>
      </c>
      <c r="H623" s="132" t="s">
        <v>1462</v>
      </c>
      <c r="I623" s="132">
        <v>-401500</v>
      </c>
      <c r="J623" s="101" t="s">
        <v>889</v>
      </c>
      <c r="K623" s="245" t="s">
        <v>390</v>
      </c>
      <c r="L623" s="245">
        <v>43146</v>
      </c>
      <c r="M623" s="245" t="s">
        <v>391</v>
      </c>
      <c r="N623" s="101">
        <v>0</v>
      </c>
      <c r="O623" s="101" t="s">
        <v>392</v>
      </c>
      <c r="P623" s="101">
        <v>0</v>
      </c>
      <c r="Q623" s="101">
        <v>0</v>
      </c>
      <c r="R623" s="101" t="s">
        <v>450</v>
      </c>
      <c r="S623" s="101">
        <v>194070</v>
      </c>
      <c r="T623" s="101" t="s">
        <v>394</v>
      </c>
      <c r="V623" s="245">
        <v>46980</v>
      </c>
      <c r="W623" s="101" t="s">
        <v>411</v>
      </c>
      <c r="X623" s="101" t="s">
        <v>77</v>
      </c>
      <c r="Y623" s="101" t="s">
        <v>392</v>
      </c>
      <c r="Z623" s="101" t="s">
        <v>430</v>
      </c>
      <c r="AA623" s="101" t="s">
        <v>78</v>
      </c>
      <c r="AB623" s="101">
        <v>4101000279</v>
      </c>
      <c r="AC623" s="101" t="s">
        <v>431</v>
      </c>
      <c r="AD623" s="101" t="s">
        <v>431</v>
      </c>
      <c r="AE623" s="101" t="s">
        <v>75</v>
      </c>
      <c r="AF623" s="101" t="s">
        <v>400</v>
      </c>
      <c r="AG623" s="101" t="s">
        <v>452</v>
      </c>
      <c r="AI623" s="101" t="s">
        <v>760</v>
      </c>
    </row>
    <row r="624" spans="1:35">
      <c r="A624" s="246" t="s">
        <v>109</v>
      </c>
      <c r="B624" s="246" t="s">
        <v>66</v>
      </c>
      <c r="C624" s="246" t="s">
        <v>126</v>
      </c>
      <c r="D624" s="246" t="s">
        <v>272</v>
      </c>
      <c r="E624" s="246"/>
      <c r="F624" s="246"/>
      <c r="G624" s="132">
        <v>0</v>
      </c>
      <c r="H624" s="132">
        <v>0</v>
      </c>
      <c r="I624" s="132">
        <v>0</v>
      </c>
      <c r="J624" s="101" t="s">
        <v>889</v>
      </c>
      <c r="K624" s="245" t="s">
        <v>390</v>
      </c>
      <c r="L624" s="245">
        <v>42583</v>
      </c>
      <c r="M624" s="245" t="s">
        <v>391</v>
      </c>
      <c r="N624" s="101">
        <v>0</v>
      </c>
      <c r="O624" s="101" t="s">
        <v>392</v>
      </c>
      <c r="P624" s="101">
        <v>0</v>
      </c>
      <c r="Q624" s="101">
        <v>0</v>
      </c>
      <c r="R624" s="101" t="s">
        <v>626</v>
      </c>
      <c r="S624" s="101">
        <v>190368</v>
      </c>
      <c r="T624" s="101" t="s">
        <v>394</v>
      </c>
      <c r="V624" s="245">
        <v>45227</v>
      </c>
      <c r="W624" s="101" t="s">
        <v>424</v>
      </c>
      <c r="X624" s="101" t="s">
        <v>429</v>
      </c>
      <c r="Y624" s="101" t="s">
        <v>392</v>
      </c>
      <c r="Z624" s="101" t="s">
        <v>430</v>
      </c>
      <c r="AA624" s="101" t="s">
        <v>755</v>
      </c>
      <c r="AB624" s="101">
        <v>101002330</v>
      </c>
      <c r="AC624" s="101" t="s">
        <v>431</v>
      </c>
      <c r="AD624" s="101" t="s">
        <v>431</v>
      </c>
      <c r="AE624" s="101" t="s">
        <v>75</v>
      </c>
      <c r="AF624" s="101" t="s">
        <v>400</v>
      </c>
      <c r="AG624" s="101" t="s">
        <v>629</v>
      </c>
      <c r="AI624" s="101" t="s">
        <v>760</v>
      </c>
    </row>
    <row r="625" spans="1:35">
      <c r="A625" s="246" t="s">
        <v>110</v>
      </c>
      <c r="B625" s="246" t="s">
        <v>66</v>
      </c>
      <c r="C625" s="246" t="s">
        <v>126</v>
      </c>
      <c r="D625" s="246" t="s">
        <v>281</v>
      </c>
      <c r="E625" s="246"/>
      <c r="F625" s="246"/>
      <c r="G625" s="132">
        <v>0</v>
      </c>
      <c r="H625" s="132">
        <v>0</v>
      </c>
      <c r="I625" s="132">
        <v>0</v>
      </c>
      <c r="J625" s="101" t="s">
        <v>889</v>
      </c>
      <c r="K625" s="245" t="s">
        <v>390</v>
      </c>
      <c r="L625" s="245">
        <v>42675</v>
      </c>
      <c r="M625" s="245" t="s">
        <v>391</v>
      </c>
      <c r="N625" s="101">
        <v>0</v>
      </c>
      <c r="O625" s="101" t="s">
        <v>392</v>
      </c>
      <c r="P625" s="101">
        <v>0</v>
      </c>
      <c r="Q625" s="101">
        <v>0</v>
      </c>
      <c r="R625" s="101" t="s">
        <v>626</v>
      </c>
      <c r="S625" s="101">
        <v>190368</v>
      </c>
      <c r="T625" s="101" t="s">
        <v>394</v>
      </c>
      <c r="V625" s="245">
        <v>45227</v>
      </c>
      <c r="W625" s="101" t="s">
        <v>424</v>
      </c>
      <c r="X625" s="101" t="s">
        <v>429</v>
      </c>
      <c r="Y625" s="101" t="s">
        <v>392</v>
      </c>
      <c r="Z625" s="101" t="s">
        <v>430</v>
      </c>
      <c r="AA625" s="101" t="s">
        <v>755</v>
      </c>
      <c r="AB625" s="101">
        <v>101002330</v>
      </c>
      <c r="AC625" s="101" t="s">
        <v>431</v>
      </c>
      <c r="AD625" s="101" t="s">
        <v>431</v>
      </c>
      <c r="AE625" s="101" t="s">
        <v>75</v>
      </c>
      <c r="AF625" s="101" t="s">
        <v>400</v>
      </c>
      <c r="AG625" s="101" t="s">
        <v>629</v>
      </c>
      <c r="AI625" s="101" t="s">
        <v>760</v>
      </c>
    </row>
    <row r="626" spans="1:35">
      <c r="A626" s="246" t="s">
        <v>111</v>
      </c>
      <c r="B626" s="246" t="s">
        <v>66</v>
      </c>
      <c r="C626" s="246" t="s">
        <v>126</v>
      </c>
      <c r="D626" s="246" t="s">
        <v>273</v>
      </c>
      <c r="E626" s="246"/>
      <c r="F626" s="246"/>
      <c r="G626" s="132">
        <v>0</v>
      </c>
      <c r="H626" s="132">
        <v>0</v>
      </c>
      <c r="I626" s="132">
        <v>0</v>
      </c>
      <c r="J626" s="101" t="s">
        <v>889</v>
      </c>
      <c r="K626" s="245" t="s">
        <v>390</v>
      </c>
      <c r="L626" s="245">
        <v>42767</v>
      </c>
      <c r="M626" s="245" t="s">
        <v>391</v>
      </c>
      <c r="N626" s="101">
        <v>0</v>
      </c>
      <c r="O626" s="101" t="s">
        <v>392</v>
      </c>
      <c r="P626" s="101">
        <v>0</v>
      </c>
      <c r="Q626" s="101">
        <v>0</v>
      </c>
      <c r="R626" s="101" t="s">
        <v>626</v>
      </c>
      <c r="S626" s="101">
        <v>190368</v>
      </c>
      <c r="T626" s="101" t="s">
        <v>394</v>
      </c>
      <c r="V626" s="245">
        <v>45227</v>
      </c>
      <c r="W626" s="101" t="s">
        <v>424</v>
      </c>
      <c r="X626" s="101" t="s">
        <v>429</v>
      </c>
      <c r="Y626" s="101" t="s">
        <v>392</v>
      </c>
      <c r="Z626" s="101" t="s">
        <v>430</v>
      </c>
      <c r="AA626" s="101" t="s">
        <v>755</v>
      </c>
      <c r="AB626" s="101">
        <v>101002330</v>
      </c>
      <c r="AC626" s="101" t="s">
        <v>431</v>
      </c>
      <c r="AD626" s="101" t="s">
        <v>431</v>
      </c>
      <c r="AE626" s="101" t="s">
        <v>75</v>
      </c>
      <c r="AF626" s="101" t="s">
        <v>400</v>
      </c>
      <c r="AG626" s="101" t="s">
        <v>629</v>
      </c>
      <c r="AI626" s="101" t="s">
        <v>760</v>
      </c>
    </row>
    <row r="627" spans="1:35">
      <c r="A627" s="246" t="s">
        <v>111</v>
      </c>
      <c r="B627" s="246" t="s">
        <v>66</v>
      </c>
      <c r="C627" s="246" t="s">
        <v>126</v>
      </c>
      <c r="D627" s="246" t="s">
        <v>273</v>
      </c>
      <c r="E627" s="246"/>
      <c r="F627" s="246"/>
      <c r="G627" s="132">
        <v>0</v>
      </c>
      <c r="H627" s="132">
        <v>0</v>
      </c>
      <c r="I627" s="132">
        <v>0</v>
      </c>
      <c r="J627" s="101" t="s">
        <v>889</v>
      </c>
      <c r="K627" s="245" t="s">
        <v>390</v>
      </c>
      <c r="L627" s="245">
        <v>42856</v>
      </c>
      <c r="M627" s="245" t="s">
        <v>391</v>
      </c>
      <c r="N627" s="101">
        <v>0</v>
      </c>
      <c r="O627" s="101" t="s">
        <v>392</v>
      </c>
      <c r="P627" s="101">
        <v>0</v>
      </c>
      <c r="Q627" s="101">
        <v>0</v>
      </c>
      <c r="R627" s="101" t="s">
        <v>626</v>
      </c>
      <c r="S627" s="101">
        <v>190368</v>
      </c>
      <c r="T627" s="101" t="s">
        <v>394</v>
      </c>
      <c r="V627" s="245">
        <v>45227</v>
      </c>
      <c r="W627" s="101" t="s">
        <v>424</v>
      </c>
      <c r="X627" s="101" t="s">
        <v>429</v>
      </c>
      <c r="Y627" s="101" t="s">
        <v>392</v>
      </c>
      <c r="Z627" s="101" t="s">
        <v>430</v>
      </c>
      <c r="AA627" s="101" t="s">
        <v>755</v>
      </c>
      <c r="AB627" s="101">
        <v>101002330</v>
      </c>
      <c r="AC627" s="101" t="s">
        <v>431</v>
      </c>
      <c r="AD627" s="101" t="s">
        <v>431</v>
      </c>
      <c r="AE627" s="101" t="s">
        <v>75</v>
      </c>
      <c r="AF627" s="101" t="s">
        <v>400</v>
      </c>
      <c r="AG627" s="101" t="s">
        <v>629</v>
      </c>
      <c r="AI627" s="101" t="s">
        <v>760</v>
      </c>
    </row>
    <row r="628" spans="1:35">
      <c r="A628" s="246" t="s">
        <v>112</v>
      </c>
      <c r="B628" s="246" t="s">
        <v>66</v>
      </c>
      <c r="C628" s="246" t="s">
        <v>126</v>
      </c>
      <c r="D628" s="246" t="s">
        <v>270</v>
      </c>
      <c r="E628" s="246"/>
      <c r="F628" s="246"/>
      <c r="G628" s="132">
        <v>0</v>
      </c>
      <c r="H628" s="132">
        <v>0</v>
      </c>
      <c r="I628" s="132">
        <v>0</v>
      </c>
      <c r="J628" s="101" t="s">
        <v>889</v>
      </c>
      <c r="K628" s="245" t="s">
        <v>390</v>
      </c>
      <c r="L628" s="245">
        <v>42948</v>
      </c>
      <c r="M628" s="245" t="s">
        <v>391</v>
      </c>
      <c r="N628" s="101">
        <v>0</v>
      </c>
      <c r="O628" s="101" t="s">
        <v>392</v>
      </c>
      <c r="P628" s="101">
        <v>0</v>
      </c>
      <c r="Q628" s="101">
        <v>0</v>
      </c>
      <c r="R628" s="101" t="s">
        <v>626</v>
      </c>
      <c r="S628" s="101">
        <v>190368</v>
      </c>
      <c r="T628" s="101" t="s">
        <v>394</v>
      </c>
      <c r="V628" s="245">
        <v>45227</v>
      </c>
      <c r="W628" s="101" t="s">
        <v>424</v>
      </c>
      <c r="X628" s="101" t="s">
        <v>429</v>
      </c>
      <c r="Y628" s="101" t="s">
        <v>392</v>
      </c>
      <c r="Z628" s="101" t="s">
        <v>430</v>
      </c>
      <c r="AA628" s="101" t="s">
        <v>755</v>
      </c>
      <c r="AB628" s="101">
        <v>101002330</v>
      </c>
      <c r="AC628" s="101" t="s">
        <v>431</v>
      </c>
      <c r="AD628" s="101" t="s">
        <v>431</v>
      </c>
      <c r="AE628" s="101" t="s">
        <v>75</v>
      </c>
      <c r="AF628" s="101" t="s">
        <v>400</v>
      </c>
      <c r="AG628" s="101" t="s">
        <v>629</v>
      </c>
      <c r="AI628" s="101" t="s">
        <v>760</v>
      </c>
    </row>
    <row r="629" spans="1:35">
      <c r="A629" s="246" t="s">
        <v>112</v>
      </c>
      <c r="B629" s="246" t="s">
        <v>66</v>
      </c>
      <c r="C629" s="246" t="s">
        <v>126</v>
      </c>
      <c r="D629" s="246" t="s">
        <v>270</v>
      </c>
      <c r="E629" s="246"/>
      <c r="F629" s="246"/>
      <c r="G629" s="132">
        <v>0</v>
      </c>
      <c r="H629" s="132">
        <v>0</v>
      </c>
      <c r="I629" s="132">
        <v>0</v>
      </c>
      <c r="J629" s="101" t="s">
        <v>889</v>
      </c>
      <c r="K629" s="245" t="s">
        <v>390</v>
      </c>
      <c r="L629" s="245">
        <v>43040</v>
      </c>
      <c r="M629" s="245" t="s">
        <v>391</v>
      </c>
      <c r="N629" s="101">
        <v>0</v>
      </c>
      <c r="O629" s="101" t="s">
        <v>392</v>
      </c>
      <c r="P629" s="101">
        <v>0</v>
      </c>
      <c r="Q629" s="101">
        <v>0</v>
      </c>
      <c r="R629" s="101" t="s">
        <v>626</v>
      </c>
      <c r="S629" s="101">
        <v>190368</v>
      </c>
      <c r="T629" s="101" t="s">
        <v>394</v>
      </c>
      <c r="V629" s="245">
        <v>45227</v>
      </c>
      <c r="W629" s="101" t="s">
        <v>424</v>
      </c>
      <c r="X629" s="101" t="s">
        <v>429</v>
      </c>
      <c r="Y629" s="101" t="s">
        <v>392</v>
      </c>
      <c r="Z629" s="101" t="s">
        <v>430</v>
      </c>
      <c r="AA629" s="101" t="s">
        <v>755</v>
      </c>
      <c r="AB629" s="101">
        <v>101002330</v>
      </c>
      <c r="AC629" s="101" t="s">
        <v>431</v>
      </c>
      <c r="AD629" s="101" t="s">
        <v>431</v>
      </c>
      <c r="AE629" s="101" t="s">
        <v>75</v>
      </c>
      <c r="AF629" s="101" t="s">
        <v>400</v>
      </c>
      <c r="AG629" s="101" t="s">
        <v>629</v>
      </c>
      <c r="AI629" s="101" t="s">
        <v>760</v>
      </c>
    </row>
    <row r="630" spans="1:35">
      <c r="A630" s="246" t="s">
        <v>113</v>
      </c>
      <c r="B630" s="246" t="s">
        <v>66</v>
      </c>
      <c r="C630" s="246" t="s">
        <v>126</v>
      </c>
      <c r="D630" s="246" t="s">
        <v>271</v>
      </c>
      <c r="E630" s="246"/>
      <c r="F630" s="246"/>
      <c r="G630" s="132">
        <v>0</v>
      </c>
      <c r="H630" s="132">
        <v>0</v>
      </c>
      <c r="I630" s="132">
        <v>0</v>
      </c>
      <c r="J630" s="101" t="s">
        <v>889</v>
      </c>
      <c r="K630" s="245" t="s">
        <v>390</v>
      </c>
      <c r="L630" s="245">
        <v>43132</v>
      </c>
      <c r="M630" s="245" t="s">
        <v>391</v>
      </c>
      <c r="N630" s="101">
        <v>0</v>
      </c>
      <c r="O630" s="101" t="s">
        <v>392</v>
      </c>
      <c r="P630" s="101">
        <v>0</v>
      </c>
      <c r="Q630" s="101">
        <v>0</v>
      </c>
      <c r="R630" s="101" t="s">
        <v>626</v>
      </c>
      <c r="S630" s="101">
        <v>190368</v>
      </c>
      <c r="T630" s="101" t="s">
        <v>394</v>
      </c>
      <c r="V630" s="245">
        <v>45227</v>
      </c>
      <c r="W630" s="101" t="s">
        <v>424</v>
      </c>
      <c r="X630" s="101" t="s">
        <v>429</v>
      </c>
      <c r="Y630" s="101" t="s">
        <v>392</v>
      </c>
      <c r="Z630" s="101" t="s">
        <v>430</v>
      </c>
      <c r="AA630" s="101" t="s">
        <v>755</v>
      </c>
      <c r="AB630" s="101">
        <v>101002330</v>
      </c>
      <c r="AC630" s="101" t="s">
        <v>431</v>
      </c>
      <c r="AD630" s="101" t="s">
        <v>431</v>
      </c>
      <c r="AE630" s="101" t="s">
        <v>75</v>
      </c>
      <c r="AF630" s="101" t="s">
        <v>400</v>
      </c>
      <c r="AG630" s="101" t="s">
        <v>629</v>
      </c>
      <c r="AI630" s="101" t="s">
        <v>760</v>
      </c>
    </row>
    <row r="631" spans="1:35">
      <c r="A631" s="246" t="s">
        <v>113</v>
      </c>
      <c r="B631" s="246" t="s">
        <v>66</v>
      </c>
      <c r="C631" s="246" t="s">
        <v>126</v>
      </c>
      <c r="D631" s="246" t="s">
        <v>271</v>
      </c>
      <c r="E631" s="246"/>
      <c r="F631" s="246"/>
      <c r="G631" s="132">
        <v>0</v>
      </c>
      <c r="H631" s="132">
        <v>0</v>
      </c>
      <c r="I631" s="132">
        <v>0</v>
      </c>
      <c r="J631" s="101" t="s">
        <v>889</v>
      </c>
      <c r="K631" s="245" t="s">
        <v>390</v>
      </c>
      <c r="L631" s="245">
        <v>43221</v>
      </c>
      <c r="M631" s="245" t="s">
        <v>391</v>
      </c>
      <c r="N631" s="101">
        <v>0</v>
      </c>
      <c r="O631" s="101" t="s">
        <v>392</v>
      </c>
      <c r="P631" s="101">
        <v>0</v>
      </c>
      <c r="Q631" s="101">
        <v>0</v>
      </c>
      <c r="R631" s="101" t="s">
        <v>626</v>
      </c>
      <c r="S631" s="101">
        <v>190368</v>
      </c>
      <c r="T631" s="101" t="s">
        <v>394</v>
      </c>
      <c r="V631" s="245">
        <v>45227</v>
      </c>
      <c r="W631" s="101" t="s">
        <v>424</v>
      </c>
      <c r="X631" s="101" t="s">
        <v>429</v>
      </c>
      <c r="Y631" s="101" t="s">
        <v>392</v>
      </c>
      <c r="Z631" s="101" t="s">
        <v>430</v>
      </c>
      <c r="AA631" s="101" t="s">
        <v>755</v>
      </c>
      <c r="AB631" s="101">
        <v>101002330</v>
      </c>
      <c r="AC631" s="101" t="s">
        <v>431</v>
      </c>
      <c r="AD631" s="101" t="s">
        <v>431</v>
      </c>
      <c r="AE631" s="101" t="s">
        <v>75</v>
      </c>
      <c r="AF631" s="101" t="s">
        <v>400</v>
      </c>
      <c r="AG631" s="101" t="s">
        <v>629</v>
      </c>
      <c r="AI631" s="101" t="s">
        <v>760</v>
      </c>
    </row>
    <row r="632" spans="1:35">
      <c r="A632" s="246" t="s">
        <v>103</v>
      </c>
      <c r="B632" s="246" t="s">
        <v>66</v>
      </c>
      <c r="C632" s="246" t="s">
        <v>126</v>
      </c>
      <c r="D632" s="246" t="s">
        <v>1774</v>
      </c>
      <c r="E632" s="246"/>
      <c r="F632" s="246"/>
      <c r="G632" s="132" t="s">
        <v>405</v>
      </c>
      <c r="H632" s="132" t="s">
        <v>1463</v>
      </c>
      <c r="I632" s="132">
        <v>242612.5</v>
      </c>
      <c r="J632" s="101" t="s">
        <v>889</v>
      </c>
      <c r="K632" s="245" t="s">
        <v>390</v>
      </c>
      <c r="L632" s="245">
        <v>42506</v>
      </c>
      <c r="M632" s="245" t="s">
        <v>391</v>
      </c>
      <c r="N632" s="101">
        <v>0</v>
      </c>
      <c r="O632" s="101" t="s">
        <v>392</v>
      </c>
      <c r="P632" s="101">
        <v>0</v>
      </c>
      <c r="Q632" s="101">
        <v>0</v>
      </c>
      <c r="R632" s="101" t="s">
        <v>406</v>
      </c>
      <c r="S632" s="101" t="s">
        <v>407</v>
      </c>
      <c r="T632" s="101" t="s">
        <v>394</v>
      </c>
      <c r="V632" s="245">
        <v>42870</v>
      </c>
      <c r="W632" s="101" t="s">
        <v>395</v>
      </c>
      <c r="X632" s="101" t="s">
        <v>408</v>
      </c>
      <c r="Y632" s="101" t="s">
        <v>392</v>
      </c>
      <c r="Z632" s="101" t="s">
        <v>402</v>
      </c>
      <c r="AA632" s="101" t="s">
        <v>409</v>
      </c>
      <c r="AB632" s="101">
        <v>1101000267</v>
      </c>
      <c r="AC632" s="101" t="s">
        <v>398</v>
      </c>
      <c r="AD632" s="101" t="s">
        <v>399</v>
      </c>
      <c r="AE632" s="101" t="s">
        <v>75</v>
      </c>
      <c r="AF632" s="101" t="s">
        <v>400</v>
      </c>
      <c r="AI632" s="101" t="s">
        <v>760</v>
      </c>
    </row>
    <row r="633" spans="1:35">
      <c r="A633" s="246" t="s">
        <v>110</v>
      </c>
      <c r="B633" s="246" t="s">
        <v>66</v>
      </c>
      <c r="C633" s="246" t="s">
        <v>126</v>
      </c>
      <c r="D633" s="246" t="s">
        <v>281</v>
      </c>
      <c r="E633" s="246"/>
      <c r="F633" s="246"/>
      <c r="G633" s="132" t="s">
        <v>1464</v>
      </c>
      <c r="H633" s="132" t="s">
        <v>1465</v>
      </c>
      <c r="I633" s="132">
        <v>243288.03</v>
      </c>
      <c r="J633" s="101" t="s">
        <v>889</v>
      </c>
      <c r="K633" s="245" t="s">
        <v>390</v>
      </c>
      <c r="L633" s="245">
        <v>42597</v>
      </c>
      <c r="M633" s="245" t="s">
        <v>391</v>
      </c>
      <c r="N633" s="101">
        <v>0</v>
      </c>
      <c r="O633" s="101" t="s">
        <v>392</v>
      </c>
      <c r="P633" s="101">
        <v>0</v>
      </c>
      <c r="Q633" s="101">
        <v>0</v>
      </c>
      <c r="R633" s="101" t="s">
        <v>406</v>
      </c>
      <c r="S633" s="101" t="s">
        <v>407</v>
      </c>
      <c r="T633" s="101" t="s">
        <v>394</v>
      </c>
      <c r="V633" s="245">
        <v>42870</v>
      </c>
      <c r="W633" s="101" t="s">
        <v>395</v>
      </c>
      <c r="X633" s="101" t="s">
        <v>408</v>
      </c>
      <c r="Y633" s="101" t="s">
        <v>392</v>
      </c>
      <c r="Z633" s="101" t="s">
        <v>402</v>
      </c>
      <c r="AA633" s="101" t="s">
        <v>409</v>
      </c>
      <c r="AB633" s="101">
        <v>1101000267</v>
      </c>
      <c r="AC633" s="101" t="s">
        <v>398</v>
      </c>
      <c r="AD633" s="101" t="s">
        <v>399</v>
      </c>
      <c r="AE633" s="101" t="s">
        <v>75</v>
      </c>
      <c r="AF633" s="101" t="s">
        <v>400</v>
      </c>
      <c r="AI633" s="101" t="s">
        <v>760</v>
      </c>
    </row>
    <row r="634" spans="1:35">
      <c r="A634" s="246" t="s">
        <v>111</v>
      </c>
      <c r="B634" s="246" t="s">
        <v>66</v>
      </c>
      <c r="C634" s="246" t="s">
        <v>126</v>
      </c>
      <c r="D634" s="246" t="s">
        <v>273</v>
      </c>
      <c r="E634" s="246"/>
      <c r="F634" s="246"/>
      <c r="G634" s="132" t="s">
        <v>1466</v>
      </c>
      <c r="H634" s="132" t="s">
        <v>1467</v>
      </c>
      <c r="I634" s="132">
        <v>241859.78</v>
      </c>
      <c r="J634" s="101" t="s">
        <v>889</v>
      </c>
      <c r="K634" s="245" t="s">
        <v>390</v>
      </c>
      <c r="L634" s="245">
        <v>42689</v>
      </c>
      <c r="M634" s="245" t="s">
        <v>391</v>
      </c>
      <c r="N634" s="101">
        <v>0</v>
      </c>
      <c r="O634" s="101" t="s">
        <v>392</v>
      </c>
      <c r="P634" s="101">
        <v>0</v>
      </c>
      <c r="Q634" s="101">
        <v>0</v>
      </c>
      <c r="R634" s="101" t="s">
        <v>406</v>
      </c>
      <c r="S634" s="101" t="s">
        <v>407</v>
      </c>
      <c r="T634" s="101" t="s">
        <v>394</v>
      </c>
      <c r="V634" s="245">
        <v>42870</v>
      </c>
      <c r="W634" s="101" t="s">
        <v>395</v>
      </c>
      <c r="X634" s="101" t="s">
        <v>408</v>
      </c>
      <c r="Y634" s="101" t="s">
        <v>392</v>
      </c>
      <c r="Z634" s="101" t="s">
        <v>402</v>
      </c>
      <c r="AA634" s="101" t="s">
        <v>409</v>
      </c>
      <c r="AB634" s="101">
        <v>1101000267</v>
      </c>
      <c r="AC634" s="101" t="s">
        <v>398</v>
      </c>
      <c r="AD634" s="101" t="s">
        <v>399</v>
      </c>
      <c r="AE634" s="101" t="s">
        <v>75</v>
      </c>
      <c r="AF634" s="101" t="s">
        <v>400</v>
      </c>
      <c r="AI634" s="101" t="s">
        <v>760</v>
      </c>
    </row>
    <row r="635" spans="1:35">
      <c r="A635" s="246" t="s">
        <v>111</v>
      </c>
      <c r="B635" s="246" t="s">
        <v>66</v>
      </c>
      <c r="C635" s="246" t="s">
        <v>126</v>
      </c>
      <c r="D635" s="246" t="s">
        <v>273</v>
      </c>
      <c r="E635" s="246"/>
      <c r="F635" s="246"/>
      <c r="G635" s="132" t="s">
        <v>1468</v>
      </c>
      <c r="H635" s="132" t="s">
        <v>1469</v>
      </c>
      <c r="I635" s="132">
        <v>236953.97</v>
      </c>
      <c r="J635" s="101" t="s">
        <v>889</v>
      </c>
      <c r="K635" s="245" t="s">
        <v>390</v>
      </c>
      <c r="L635" s="245">
        <v>42781</v>
      </c>
      <c r="M635" s="245" t="s">
        <v>391</v>
      </c>
      <c r="N635" s="101">
        <v>0</v>
      </c>
      <c r="O635" s="101" t="s">
        <v>392</v>
      </c>
      <c r="P635" s="101">
        <v>0</v>
      </c>
      <c r="Q635" s="101">
        <v>0</v>
      </c>
      <c r="R635" s="101" t="s">
        <v>406</v>
      </c>
      <c r="S635" s="101" t="s">
        <v>407</v>
      </c>
      <c r="T635" s="101" t="s">
        <v>394</v>
      </c>
      <c r="V635" s="245">
        <v>42870</v>
      </c>
      <c r="W635" s="101" t="s">
        <v>395</v>
      </c>
      <c r="X635" s="101" t="s">
        <v>408</v>
      </c>
      <c r="Y635" s="101" t="s">
        <v>392</v>
      </c>
      <c r="Z635" s="101" t="s">
        <v>402</v>
      </c>
      <c r="AA635" s="101" t="s">
        <v>409</v>
      </c>
      <c r="AB635" s="101">
        <v>1101000267</v>
      </c>
      <c r="AC635" s="101" t="s">
        <v>398</v>
      </c>
      <c r="AD635" s="101" t="s">
        <v>399</v>
      </c>
      <c r="AE635" s="101" t="s">
        <v>75</v>
      </c>
      <c r="AF635" s="101" t="s">
        <v>400</v>
      </c>
      <c r="AI635" s="101" t="s">
        <v>760</v>
      </c>
    </row>
    <row r="636" spans="1:35">
      <c r="A636" s="246" t="s">
        <v>112</v>
      </c>
      <c r="B636" s="246" t="s">
        <v>66</v>
      </c>
      <c r="C636" s="246" t="s">
        <v>126</v>
      </c>
      <c r="D636" s="246" t="s">
        <v>270</v>
      </c>
      <c r="E636" s="246"/>
      <c r="F636" s="246"/>
      <c r="G636" s="132" t="s">
        <v>1470</v>
      </c>
      <c r="H636" s="132" t="s">
        <v>1471</v>
      </c>
      <c r="I636" s="132">
        <v>227994.86000000002</v>
      </c>
      <c r="J636" s="101" t="s">
        <v>889</v>
      </c>
      <c r="K636" s="245" t="s">
        <v>390</v>
      </c>
      <c r="L636" s="245">
        <v>42870</v>
      </c>
      <c r="M636" s="245" t="s">
        <v>391</v>
      </c>
      <c r="N636" s="101">
        <v>0</v>
      </c>
      <c r="O636" s="101" t="s">
        <v>392</v>
      </c>
      <c r="P636" s="101">
        <v>0</v>
      </c>
      <c r="Q636" s="101">
        <v>0</v>
      </c>
      <c r="R636" s="101" t="s">
        <v>406</v>
      </c>
      <c r="S636" s="101" t="s">
        <v>407</v>
      </c>
      <c r="T636" s="101" t="s">
        <v>394</v>
      </c>
      <c r="V636" s="245">
        <v>42870</v>
      </c>
      <c r="W636" s="101" t="s">
        <v>395</v>
      </c>
      <c r="X636" s="101" t="s">
        <v>408</v>
      </c>
      <c r="Y636" s="101" t="s">
        <v>392</v>
      </c>
      <c r="Z636" s="101" t="s">
        <v>402</v>
      </c>
      <c r="AA636" s="101" t="s">
        <v>409</v>
      </c>
      <c r="AB636" s="101">
        <v>1101000267</v>
      </c>
      <c r="AC636" s="101" t="s">
        <v>398</v>
      </c>
      <c r="AD636" s="101" t="s">
        <v>399</v>
      </c>
      <c r="AE636" s="101" t="s">
        <v>75</v>
      </c>
      <c r="AF636" s="101" t="s">
        <v>400</v>
      </c>
      <c r="AI636" s="101" t="s">
        <v>760</v>
      </c>
    </row>
    <row r="637" spans="1:35">
      <c r="A637" s="246" t="s">
        <v>109</v>
      </c>
      <c r="B637" s="246" t="s">
        <v>66</v>
      </c>
      <c r="C637" s="246" t="s">
        <v>126</v>
      </c>
      <c r="D637" s="246" t="s">
        <v>272</v>
      </c>
      <c r="E637" s="246"/>
      <c r="F637" s="246"/>
      <c r="G637" s="132">
        <v>7500</v>
      </c>
      <c r="H637" s="132" t="s">
        <v>1472</v>
      </c>
      <c r="I637" s="132">
        <v>7500</v>
      </c>
      <c r="J637" s="101" t="s">
        <v>889</v>
      </c>
      <c r="K637" s="245" t="s">
        <v>390</v>
      </c>
      <c r="L637" s="245">
        <v>42536</v>
      </c>
      <c r="M637" s="245" t="s">
        <v>391</v>
      </c>
      <c r="N637" s="101">
        <v>0</v>
      </c>
      <c r="O637" s="101" t="s">
        <v>392</v>
      </c>
      <c r="P637" s="101">
        <v>0</v>
      </c>
      <c r="Q637" s="101">
        <v>0</v>
      </c>
      <c r="R637" s="101" t="s">
        <v>450</v>
      </c>
      <c r="S637" s="101">
        <v>193040</v>
      </c>
      <c r="T637" s="101" t="s">
        <v>394</v>
      </c>
      <c r="V637" s="245">
        <v>42536</v>
      </c>
      <c r="W637" s="101" t="s">
        <v>441</v>
      </c>
      <c r="X637" s="101" t="s">
        <v>76</v>
      </c>
      <c r="Y637" s="101" t="s">
        <v>392</v>
      </c>
      <c r="Z637" s="101" t="s">
        <v>430</v>
      </c>
      <c r="AA637" s="101" t="s">
        <v>531</v>
      </c>
      <c r="AB637" s="101">
        <v>3101053435</v>
      </c>
      <c r="AC637" s="101" t="s">
        <v>431</v>
      </c>
      <c r="AD637" s="101" t="s">
        <v>431</v>
      </c>
      <c r="AE637" s="101" t="s">
        <v>75</v>
      </c>
      <c r="AF637" s="101" t="s">
        <v>400</v>
      </c>
      <c r="AG637" s="101" t="s">
        <v>532</v>
      </c>
      <c r="AI637" s="101" t="s">
        <v>760</v>
      </c>
    </row>
    <row r="638" spans="1:35">
      <c r="A638" s="246" t="s">
        <v>109</v>
      </c>
      <c r="B638" s="246" t="s">
        <v>66</v>
      </c>
      <c r="C638" s="246" t="s">
        <v>116</v>
      </c>
      <c r="D638" s="246" t="s">
        <v>338</v>
      </c>
      <c r="E638" s="246"/>
      <c r="F638" s="246"/>
      <c r="G638" s="132">
        <v>3000000</v>
      </c>
      <c r="H638" s="132" t="s">
        <v>1473</v>
      </c>
      <c r="I638" s="132">
        <v>3000000</v>
      </c>
      <c r="J638" s="101" t="s">
        <v>889</v>
      </c>
      <c r="K638" s="245" t="s">
        <v>390</v>
      </c>
      <c r="L638" s="245">
        <v>42536</v>
      </c>
      <c r="M638" s="245" t="s">
        <v>421</v>
      </c>
      <c r="N638" s="101">
        <v>0</v>
      </c>
      <c r="O638" s="101" t="s">
        <v>392</v>
      </c>
      <c r="P638" s="101">
        <v>0</v>
      </c>
      <c r="Q638" s="101">
        <v>0</v>
      </c>
      <c r="R638" s="101" t="s">
        <v>450</v>
      </c>
      <c r="S638" s="101">
        <v>193040</v>
      </c>
      <c r="T638" s="101" t="s">
        <v>394</v>
      </c>
      <c r="V638" s="245">
        <v>42536</v>
      </c>
      <c r="W638" s="101" t="s">
        <v>441</v>
      </c>
      <c r="X638" s="101" t="s">
        <v>76</v>
      </c>
      <c r="Y638" s="101" t="s">
        <v>392</v>
      </c>
      <c r="Z638" s="101" t="s">
        <v>430</v>
      </c>
      <c r="AA638" s="101" t="s">
        <v>531</v>
      </c>
      <c r="AB638" s="101">
        <v>3101053435</v>
      </c>
      <c r="AC638" s="101" t="s">
        <v>431</v>
      </c>
      <c r="AD638" s="101" t="s">
        <v>431</v>
      </c>
      <c r="AE638" s="101" t="s">
        <v>75</v>
      </c>
      <c r="AF638" s="101" t="s">
        <v>400</v>
      </c>
      <c r="AG638" s="101" t="s">
        <v>532</v>
      </c>
      <c r="AI638" s="101" t="s">
        <v>760</v>
      </c>
    </row>
    <row r="639" spans="1:35">
      <c r="A639" s="246" t="s">
        <v>109</v>
      </c>
      <c r="B639" s="246" t="s">
        <v>66</v>
      </c>
      <c r="C639" s="246" t="s">
        <v>126</v>
      </c>
      <c r="D639" s="246" t="s">
        <v>272</v>
      </c>
      <c r="E639" s="246"/>
      <c r="F639" s="246"/>
      <c r="G639" s="132">
        <v>65000</v>
      </c>
      <c r="H639" s="132" t="s">
        <v>1474</v>
      </c>
      <c r="I639" s="132">
        <v>65000</v>
      </c>
      <c r="J639" s="101" t="s">
        <v>889</v>
      </c>
      <c r="K639" s="245" t="s">
        <v>390</v>
      </c>
      <c r="L639" s="245">
        <v>42536</v>
      </c>
      <c r="M639" s="245" t="s">
        <v>391</v>
      </c>
      <c r="N639" s="101">
        <v>0</v>
      </c>
      <c r="O639" s="101" t="s">
        <v>392</v>
      </c>
      <c r="P639" s="101">
        <v>0</v>
      </c>
      <c r="Q639" s="101">
        <v>0</v>
      </c>
      <c r="R639" s="101" t="s">
        <v>450</v>
      </c>
      <c r="S639" s="101">
        <v>193087</v>
      </c>
      <c r="T639" s="101" t="s">
        <v>394</v>
      </c>
      <c r="V639" s="245">
        <v>42536</v>
      </c>
      <c r="W639" s="101" t="s">
        <v>441</v>
      </c>
      <c r="X639" s="101" t="s">
        <v>76</v>
      </c>
      <c r="Y639" s="101" t="s">
        <v>392</v>
      </c>
      <c r="Z639" s="101" t="s">
        <v>430</v>
      </c>
      <c r="AA639" s="101" t="s">
        <v>531</v>
      </c>
      <c r="AB639" s="101">
        <v>3101053435</v>
      </c>
      <c r="AC639" s="101" t="s">
        <v>431</v>
      </c>
      <c r="AD639" s="101" t="s">
        <v>431</v>
      </c>
      <c r="AE639" s="101" t="s">
        <v>75</v>
      </c>
      <c r="AF639" s="101" t="s">
        <v>400</v>
      </c>
      <c r="AG639" s="101" t="s">
        <v>532</v>
      </c>
      <c r="AI639" s="101" t="s">
        <v>760</v>
      </c>
    </row>
    <row r="640" spans="1:35">
      <c r="A640" s="246" t="s">
        <v>109</v>
      </c>
      <c r="B640" s="246" t="s">
        <v>66</v>
      </c>
      <c r="C640" s="246" t="s">
        <v>116</v>
      </c>
      <c r="D640" s="246" t="s">
        <v>338</v>
      </c>
      <c r="E640" s="246"/>
      <c r="F640" s="246"/>
      <c r="G640" s="132">
        <v>26000000</v>
      </c>
      <c r="H640" s="132" t="s">
        <v>1457</v>
      </c>
      <c r="I640" s="132">
        <v>26000000</v>
      </c>
      <c r="J640" s="101" t="s">
        <v>889</v>
      </c>
      <c r="K640" s="245" t="s">
        <v>390</v>
      </c>
      <c r="L640" s="245">
        <v>42536</v>
      </c>
      <c r="M640" s="245" t="s">
        <v>421</v>
      </c>
      <c r="N640" s="101">
        <v>0</v>
      </c>
      <c r="O640" s="101" t="s">
        <v>392</v>
      </c>
      <c r="P640" s="101">
        <v>0</v>
      </c>
      <c r="Q640" s="101">
        <v>0</v>
      </c>
      <c r="R640" s="101" t="s">
        <v>450</v>
      </c>
      <c r="S640" s="101">
        <v>193087</v>
      </c>
      <c r="T640" s="101" t="s">
        <v>394</v>
      </c>
      <c r="V640" s="245">
        <v>42536</v>
      </c>
      <c r="W640" s="101" t="s">
        <v>441</v>
      </c>
      <c r="X640" s="101" t="s">
        <v>76</v>
      </c>
      <c r="Y640" s="101" t="s">
        <v>392</v>
      </c>
      <c r="Z640" s="101" t="s">
        <v>430</v>
      </c>
      <c r="AA640" s="101" t="s">
        <v>531</v>
      </c>
      <c r="AB640" s="101">
        <v>3101053435</v>
      </c>
      <c r="AC640" s="101" t="s">
        <v>431</v>
      </c>
      <c r="AD640" s="101" t="s">
        <v>431</v>
      </c>
      <c r="AE640" s="101" t="s">
        <v>75</v>
      </c>
      <c r="AF640" s="101" t="s">
        <v>400</v>
      </c>
      <c r="AG640" s="101" t="s">
        <v>532</v>
      </c>
      <c r="AI640" s="101" t="s">
        <v>760</v>
      </c>
    </row>
    <row r="641" spans="1:35">
      <c r="A641" s="246" t="s">
        <v>107</v>
      </c>
      <c r="B641" s="246" t="s">
        <v>66</v>
      </c>
      <c r="C641" s="246" t="s">
        <v>126</v>
      </c>
      <c r="D641" s="246" t="s">
        <v>1769</v>
      </c>
      <c r="E641" s="246"/>
      <c r="F641" s="246"/>
      <c r="G641" s="132" t="s">
        <v>838</v>
      </c>
      <c r="H641" s="132" t="s">
        <v>1475</v>
      </c>
      <c r="I641" s="132">
        <v>-132684.68</v>
      </c>
      <c r="J641" s="101" t="s">
        <v>889</v>
      </c>
      <c r="K641" s="245" t="s">
        <v>390</v>
      </c>
      <c r="L641" s="245">
        <v>42522</v>
      </c>
      <c r="M641" s="245" t="s">
        <v>391</v>
      </c>
      <c r="N641" s="101">
        <v>0</v>
      </c>
      <c r="O641" s="101" t="s">
        <v>392</v>
      </c>
      <c r="P641" s="101">
        <v>0</v>
      </c>
      <c r="Q641" s="101">
        <v>0</v>
      </c>
      <c r="R641" s="101" t="s">
        <v>422</v>
      </c>
      <c r="S641" s="101" t="s">
        <v>637</v>
      </c>
      <c r="T641" s="101" t="s">
        <v>394</v>
      </c>
      <c r="U641" s="101" t="s">
        <v>84</v>
      </c>
      <c r="V641" s="245">
        <v>46600</v>
      </c>
      <c r="W641" s="101" t="s">
        <v>417</v>
      </c>
      <c r="X641" s="101" t="s">
        <v>76</v>
      </c>
      <c r="Y641" s="101" t="s">
        <v>392</v>
      </c>
      <c r="Z641" s="101" t="s">
        <v>412</v>
      </c>
      <c r="AA641" s="101" t="s">
        <v>638</v>
      </c>
      <c r="AB641" s="101">
        <v>3101051675</v>
      </c>
      <c r="AC641" s="101" t="s">
        <v>414</v>
      </c>
      <c r="AD641" s="101" t="s">
        <v>79</v>
      </c>
      <c r="AE641" s="101" t="s">
        <v>75</v>
      </c>
      <c r="AF641" s="101" t="s">
        <v>400</v>
      </c>
      <c r="AI641" s="101" t="s">
        <v>172</v>
      </c>
    </row>
    <row r="642" spans="1:35">
      <c r="A642" s="246" t="s">
        <v>107</v>
      </c>
      <c r="B642" s="246" t="s">
        <v>66</v>
      </c>
      <c r="C642" s="246" t="s">
        <v>264</v>
      </c>
      <c r="D642" s="246" t="s">
        <v>1775</v>
      </c>
      <c r="E642" s="246"/>
      <c r="F642" s="246"/>
      <c r="G642" s="132">
        <v>3267000</v>
      </c>
      <c r="H642" s="132" t="s">
        <v>1476</v>
      </c>
      <c r="I642" s="132">
        <v>3267000</v>
      </c>
      <c r="J642" s="101" t="s">
        <v>889</v>
      </c>
      <c r="K642" s="245" t="s">
        <v>390</v>
      </c>
      <c r="L642" s="245">
        <v>42522</v>
      </c>
      <c r="M642" s="245" t="s">
        <v>421</v>
      </c>
      <c r="N642" s="101">
        <v>0</v>
      </c>
      <c r="O642" s="101" t="s">
        <v>392</v>
      </c>
      <c r="P642" s="101">
        <v>0</v>
      </c>
      <c r="Q642" s="101">
        <v>0</v>
      </c>
      <c r="R642" s="101" t="s">
        <v>410</v>
      </c>
      <c r="S642" s="101" t="s">
        <v>637</v>
      </c>
      <c r="T642" s="101" t="s">
        <v>394</v>
      </c>
      <c r="U642" s="101" t="s">
        <v>84</v>
      </c>
      <c r="V642" s="245">
        <v>46600</v>
      </c>
      <c r="W642" s="101" t="s">
        <v>417</v>
      </c>
      <c r="X642" s="101" t="s">
        <v>76</v>
      </c>
      <c r="Y642" s="101" t="s">
        <v>392</v>
      </c>
      <c r="Z642" s="101" t="s">
        <v>412</v>
      </c>
      <c r="AA642" s="101" t="s">
        <v>638</v>
      </c>
      <c r="AB642" s="101">
        <v>3101051675</v>
      </c>
      <c r="AC642" s="101" t="s">
        <v>414</v>
      </c>
      <c r="AD642" s="101" t="s">
        <v>79</v>
      </c>
      <c r="AE642" s="101" t="s">
        <v>75</v>
      </c>
      <c r="AF642" s="101" t="s">
        <v>400</v>
      </c>
      <c r="AI642" s="101" t="s">
        <v>172</v>
      </c>
    </row>
    <row r="643" spans="1:35">
      <c r="A643" s="246" t="s">
        <v>109</v>
      </c>
      <c r="B643" s="246" t="s">
        <v>66</v>
      </c>
      <c r="C643" s="246" t="s">
        <v>126</v>
      </c>
      <c r="D643" s="246" t="s">
        <v>272</v>
      </c>
      <c r="E643" s="246"/>
      <c r="F643" s="246"/>
      <c r="G643" s="132" t="s">
        <v>839</v>
      </c>
      <c r="H643" s="132" t="s">
        <v>1477</v>
      </c>
      <c r="I643" s="132">
        <v>-148113.09</v>
      </c>
      <c r="J643" s="101" t="s">
        <v>889</v>
      </c>
      <c r="K643" s="245" t="s">
        <v>390</v>
      </c>
      <c r="L643" s="245">
        <v>42552</v>
      </c>
      <c r="M643" s="245" t="s">
        <v>391</v>
      </c>
      <c r="N643" s="101">
        <v>0</v>
      </c>
      <c r="O643" s="101" t="s">
        <v>392</v>
      </c>
      <c r="P643" s="101">
        <v>0</v>
      </c>
      <c r="Q643" s="101">
        <v>0</v>
      </c>
      <c r="R643" s="101" t="s">
        <v>422</v>
      </c>
      <c r="S643" s="101" t="s">
        <v>637</v>
      </c>
      <c r="T643" s="101" t="s">
        <v>394</v>
      </c>
      <c r="U643" s="101" t="s">
        <v>84</v>
      </c>
      <c r="V643" s="245">
        <v>46600</v>
      </c>
      <c r="W643" s="101" t="s">
        <v>417</v>
      </c>
      <c r="X643" s="101" t="s">
        <v>76</v>
      </c>
      <c r="Y643" s="101" t="s">
        <v>392</v>
      </c>
      <c r="Z643" s="101" t="s">
        <v>412</v>
      </c>
      <c r="AA643" s="101" t="s">
        <v>638</v>
      </c>
      <c r="AB643" s="101">
        <v>3101051675</v>
      </c>
      <c r="AC643" s="101" t="s">
        <v>414</v>
      </c>
      <c r="AD643" s="101" t="s">
        <v>79</v>
      </c>
      <c r="AE643" s="101" t="s">
        <v>75</v>
      </c>
      <c r="AF643" s="101" t="s">
        <v>400</v>
      </c>
      <c r="AI643" s="101" t="s">
        <v>172</v>
      </c>
    </row>
    <row r="644" spans="1:35">
      <c r="A644" s="246" t="s">
        <v>109</v>
      </c>
      <c r="B644" s="246" t="s">
        <v>66</v>
      </c>
      <c r="C644" s="246" t="s">
        <v>264</v>
      </c>
      <c r="D644" s="246" t="s">
        <v>288</v>
      </c>
      <c r="E644" s="246"/>
      <c r="F644" s="246"/>
      <c r="G644" s="132">
        <v>3375900</v>
      </c>
      <c r="H644" s="132" t="s">
        <v>1478</v>
      </c>
      <c r="I644" s="132">
        <v>3375900</v>
      </c>
      <c r="J644" s="101" t="s">
        <v>889</v>
      </c>
      <c r="K644" s="245" t="s">
        <v>390</v>
      </c>
      <c r="L644" s="245">
        <v>42552</v>
      </c>
      <c r="M644" s="245" t="s">
        <v>421</v>
      </c>
      <c r="N644" s="101">
        <v>0</v>
      </c>
      <c r="O644" s="101" t="s">
        <v>392</v>
      </c>
      <c r="P644" s="101">
        <v>0</v>
      </c>
      <c r="Q644" s="101">
        <v>0</v>
      </c>
      <c r="R644" s="101" t="s">
        <v>410</v>
      </c>
      <c r="S644" s="101" t="s">
        <v>637</v>
      </c>
      <c r="T644" s="101" t="s">
        <v>394</v>
      </c>
      <c r="U644" s="101" t="s">
        <v>84</v>
      </c>
      <c r="V644" s="245">
        <v>46600</v>
      </c>
      <c r="W644" s="101" t="s">
        <v>417</v>
      </c>
      <c r="X644" s="101" t="s">
        <v>76</v>
      </c>
      <c r="Y644" s="101" t="s">
        <v>392</v>
      </c>
      <c r="Z644" s="101" t="s">
        <v>412</v>
      </c>
      <c r="AA644" s="101" t="s">
        <v>638</v>
      </c>
      <c r="AB644" s="101">
        <v>3101051675</v>
      </c>
      <c r="AC644" s="101" t="s">
        <v>414</v>
      </c>
      <c r="AD644" s="101" t="s">
        <v>79</v>
      </c>
      <c r="AE644" s="101" t="s">
        <v>75</v>
      </c>
      <c r="AF644" s="101" t="s">
        <v>400</v>
      </c>
      <c r="AI644" s="101" t="s">
        <v>172</v>
      </c>
    </row>
    <row r="645" spans="1:35">
      <c r="A645" s="246" t="s">
        <v>109</v>
      </c>
      <c r="B645" s="246" t="s">
        <v>66</v>
      </c>
      <c r="C645" s="246" t="s">
        <v>126</v>
      </c>
      <c r="D645" s="246" t="s">
        <v>272</v>
      </c>
      <c r="E645" s="246"/>
      <c r="F645" s="246"/>
      <c r="G645" s="132" t="s">
        <v>840</v>
      </c>
      <c r="H645" s="132" t="s">
        <v>1479</v>
      </c>
      <c r="I645" s="132">
        <v>-164055.77999999997</v>
      </c>
      <c r="J645" s="101" t="s">
        <v>889</v>
      </c>
      <c r="K645" s="245" t="s">
        <v>390</v>
      </c>
      <c r="L645" s="245">
        <v>42583</v>
      </c>
      <c r="M645" s="245" t="s">
        <v>391</v>
      </c>
      <c r="N645" s="101">
        <v>0</v>
      </c>
      <c r="O645" s="101" t="s">
        <v>392</v>
      </c>
      <c r="P645" s="101">
        <v>0</v>
      </c>
      <c r="Q645" s="101">
        <v>0</v>
      </c>
      <c r="R645" s="101" t="s">
        <v>422</v>
      </c>
      <c r="S645" s="101" t="s">
        <v>637</v>
      </c>
      <c r="T645" s="101" t="s">
        <v>394</v>
      </c>
      <c r="U645" s="101" t="s">
        <v>84</v>
      </c>
      <c r="V645" s="245">
        <v>46600</v>
      </c>
      <c r="W645" s="101" t="s">
        <v>417</v>
      </c>
      <c r="X645" s="101" t="s">
        <v>76</v>
      </c>
      <c r="Y645" s="101" t="s">
        <v>392</v>
      </c>
      <c r="Z645" s="101" t="s">
        <v>412</v>
      </c>
      <c r="AA645" s="101" t="s">
        <v>638</v>
      </c>
      <c r="AB645" s="101">
        <v>3101051675</v>
      </c>
      <c r="AC645" s="101" t="s">
        <v>414</v>
      </c>
      <c r="AD645" s="101" t="s">
        <v>79</v>
      </c>
      <c r="AE645" s="101" t="s">
        <v>75</v>
      </c>
      <c r="AF645" s="101" t="s">
        <v>400</v>
      </c>
      <c r="AI645" s="101" t="s">
        <v>172</v>
      </c>
    </row>
    <row r="646" spans="1:35">
      <c r="A646" s="246" t="s">
        <v>109</v>
      </c>
      <c r="B646" s="246" t="s">
        <v>66</v>
      </c>
      <c r="C646" s="246" t="s">
        <v>264</v>
      </c>
      <c r="D646" s="246" t="s">
        <v>288</v>
      </c>
      <c r="E646" s="246"/>
      <c r="F646" s="246"/>
      <c r="G646" s="132">
        <v>3267000</v>
      </c>
      <c r="H646" s="132" t="s">
        <v>1476</v>
      </c>
      <c r="I646" s="132">
        <v>3267000</v>
      </c>
      <c r="J646" s="101" t="s">
        <v>889</v>
      </c>
      <c r="K646" s="245" t="s">
        <v>390</v>
      </c>
      <c r="L646" s="245">
        <v>42583</v>
      </c>
      <c r="M646" s="245" t="s">
        <v>421</v>
      </c>
      <c r="N646" s="101">
        <v>0</v>
      </c>
      <c r="O646" s="101" t="s">
        <v>392</v>
      </c>
      <c r="P646" s="101">
        <v>0</v>
      </c>
      <c r="Q646" s="101">
        <v>0</v>
      </c>
      <c r="R646" s="101" t="s">
        <v>410</v>
      </c>
      <c r="S646" s="101" t="s">
        <v>637</v>
      </c>
      <c r="T646" s="101" t="s">
        <v>394</v>
      </c>
      <c r="U646" s="101" t="s">
        <v>84</v>
      </c>
      <c r="V646" s="245">
        <v>46600</v>
      </c>
      <c r="W646" s="101" t="s">
        <v>417</v>
      </c>
      <c r="X646" s="101" t="s">
        <v>76</v>
      </c>
      <c r="Y646" s="101" t="s">
        <v>392</v>
      </c>
      <c r="Z646" s="101" t="s">
        <v>412</v>
      </c>
      <c r="AA646" s="101" t="s">
        <v>638</v>
      </c>
      <c r="AB646" s="101">
        <v>3101051675</v>
      </c>
      <c r="AC646" s="101" t="s">
        <v>414</v>
      </c>
      <c r="AD646" s="101" t="s">
        <v>79</v>
      </c>
      <c r="AE646" s="101" t="s">
        <v>75</v>
      </c>
      <c r="AF646" s="101" t="s">
        <v>400</v>
      </c>
      <c r="AI646" s="101" t="s">
        <v>172</v>
      </c>
    </row>
    <row r="647" spans="1:35">
      <c r="A647" s="246" t="s">
        <v>109</v>
      </c>
      <c r="B647" s="246" t="s">
        <v>66</v>
      </c>
      <c r="C647" s="246" t="s">
        <v>264</v>
      </c>
      <c r="D647" s="246" t="s">
        <v>288</v>
      </c>
      <c r="E647" s="246"/>
      <c r="F647" s="246"/>
      <c r="G647" s="132" t="s">
        <v>639</v>
      </c>
      <c r="H647" s="132" t="s">
        <v>1480</v>
      </c>
      <c r="I647" s="132">
        <v>-37896333.899999999</v>
      </c>
      <c r="J647" s="101" t="s">
        <v>889</v>
      </c>
      <c r="K647" s="245" t="s">
        <v>390</v>
      </c>
      <c r="L647" s="245">
        <v>42584</v>
      </c>
      <c r="M647" s="245" t="s">
        <v>421</v>
      </c>
      <c r="N647" s="101">
        <v>0</v>
      </c>
      <c r="O647" s="101" t="s">
        <v>392</v>
      </c>
      <c r="P647" s="101">
        <v>0</v>
      </c>
      <c r="Q647" s="101">
        <v>0</v>
      </c>
      <c r="R647" s="101" t="s">
        <v>422</v>
      </c>
      <c r="S647" s="101" t="s">
        <v>637</v>
      </c>
      <c r="T647" s="101" t="s">
        <v>394</v>
      </c>
      <c r="U647" s="101" t="s">
        <v>84</v>
      </c>
      <c r="V647" s="245">
        <v>46600</v>
      </c>
      <c r="W647" s="101" t="s">
        <v>417</v>
      </c>
      <c r="X647" s="101" t="s">
        <v>76</v>
      </c>
      <c r="Y647" s="101" t="s">
        <v>392</v>
      </c>
      <c r="Z647" s="101" t="s">
        <v>412</v>
      </c>
      <c r="AA647" s="101" t="s">
        <v>638</v>
      </c>
      <c r="AB647" s="101">
        <v>3101051675</v>
      </c>
      <c r="AC647" s="101" t="s">
        <v>414</v>
      </c>
      <c r="AD647" s="101" t="s">
        <v>79</v>
      </c>
      <c r="AE647" s="101" t="s">
        <v>75</v>
      </c>
      <c r="AF647" s="101" t="s">
        <v>400</v>
      </c>
      <c r="AI647" s="101" t="s">
        <v>172</v>
      </c>
    </row>
    <row r="648" spans="1:35">
      <c r="A648" s="246" t="s">
        <v>110</v>
      </c>
      <c r="B648" s="246" t="s">
        <v>66</v>
      </c>
      <c r="C648" s="246" t="s">
        <v>126</v>
      </c>
      <c r="D648" s="246" t="s">
        <v>281</v>
      </c>
      <c r="E648" s="246"/>
      <c r="F648" s="246"/>
      <c r="G648" s="132" t="s">
        <v>841</v>
      </c>
      <c r="H648" s="132" t="s">
        <v>1481</v>
      </c>
      <c r="I648" s="132">
        <v>-6484.2699999999995</v>
      </c>
      <c r="J648" s="101" t="s">
        <v>889</v>
      </c>
      <c r="K648" s="245" t="s">
        <v>390</v>
      </c>
      <c r="L648" s="245">
        <v>42614</v>
      </c>
      <c r="M648" s="245" t="s">
        <v>391</v>
      </c>
      <c r="N648" s="101">
        <v>0</v>
      </c>
      <c r="O648" s="101" t="s">
        <v>392</v>
      </c>
      <c r="P648" s="101">
        <v>0</v>
      </c>
      <c r="Q648" s="101">
        <v>0</v>
      </c>
      <c r="R648" s="101" t="s">
        <v>422</v>
      </c>
      <c r="S648" s="101" t="s">
        <v>637</v>
      </c>
      <c r="T648" s="101" t="s">
        <v>394</v>
      </c>
      <c r="U648" s="101" t="s">
        <v>84</v>
      </c>
      <c r="V648" s="245">
        <v>46600</v>
      </c>
      <c r="W648" s="101" t="s">
        <v>417</v>
      </c>
      <c r="X648" s="101" t="s">
        <v>76</v>
      </c>
      <c r="Y648" s="101" t="s">
        <v>392</v>
      </c>
      <c r="Z648" s="101" t="s">
        <v>412</v>
      </c>
      <c r="AA648" s="101" t="s">
        <v>638</v>
      </c>
      <c r="AB648" s="101">
        <v>3101051675</v>
      </c>
      <c r="AC648" s="101" t="s">
        <v>414</v>
      </c>
      <c r="AD648" s="101" t="s">
        <v>79</v>
      </c>
      <c r="AE648" s="101" t="s">
        <v>75</v>
      </c>
      <c r="AF648" s="101" t="s">
        <v>400</v>
      </c>
      <c r="AI648" s="101" t="s">
        <v>172</v>
      </c>
    </row>
    <row r="649" spans="1:35">
      <c r="A649" s="246" t="s">
        <v>110</v>
      </c>
      <c r="B649" s="246" t="s">
        <v>66</v>
      </c>
      <c r="C649" s="246" t="s">
        <v>264</v>
      </c>
      <c r="D649" s="246" t="s">
        <v>289</v>
      </c>
      <c r="E649" s="246"/>
      <c r="F649" s="246"/>
      <c r="G649" s="132">
        <v>3375900</v>
      </c>
      <c r="H649" s="132" t="s">
        <v>1478</v>
      </c>
      <c r="I649" s="132">
        <v>3375900</v>
      </c>
      <c r="J649" s="101" t="s">
        <v>889</v>
      </c>
      <c r="K649" s="245" t="s">
        <v>390</v>
      </c>
      <c r="L649" s="245">
        <v>42614</v>
      </c>
      <c r="M649" s="245" t="s">
        <v>421</v>
      </c>
      <c r="N649" s="101">
        <v>0</v>
      </c>
      <c r="O649" s="101" t="s">
        <v>392</v>
      </c>
      <c r="P649" s="101">
        <v>0</v>
      </c>
      <c r="Q649" s="101">
        <v>0</v>
      </c>
      <c r="R649" s="101" t="s">
        <v>410</v>
      </c>
      <c r="S649" s="101" t="s">
        <v>637</v>
      </c>
      <c r="T649" s="101" t="s">
        <v>394</v>
      </c>
      <c r="U649" s="101" t="s">
        <v>84</v>
      </c>
      <c r="V649" s="245">
        <v>46600</v>
      </c>
      <c r="W649" s="101" t="s">
        <v>417</v>
      </c>
      <c r="X649" s="101" t="s">
        <v>76</v>
      </c>
      <c r="Y649" s="101" t="s">
        <v>392</v>
      </c>
      <c r="Z649" s="101" t="s">
        <v>412</v>
      </c>
      <c r="AA649" s="101" t="s">
        <v>638</v>
      </c>
      <c r="AB649" s="101">
        <v>3101051675</v>
      </c>
      <c r="AC649" s="101" t="s">
        <v>414</v>
      </c>
      <c r="AD649" s="101" t="s">
        <v>79</v>
      </c>
      <c r="AE649" s="101" t="s">
        <v>75</v>
      </c>
      <c r="AF649" s="101" t="s">
        <v>400</v>
      </c>
      <c r="AI649" s="101" t="s">
        <v>172</v>
      </c>
    </row>
    <row r="650" spans="1:35">
      <c r="A650" s="246" t="s">
        <v>110</v>
      </c>
      <c r="B650" s="246" t="s">
        <v>66</v>
      </c>
      <c r="C650" s="246" t="s">
        <v>126</v>
      </c>
      <c r="D650" s="246" t="s">
        <v>281</v>
      </c>
      <c r="E650" s="246"/>
      <c r="F650" s="246"/>
      <c r="G650" s="132" t="s">
        <v>830</v>
      </c>
      <c r="H650" s="132" t="s">
        <v>1482</v>
      </c>
      <c r="I650" s="132">
        <v>-16461.439999999999</v>
      </c>
      <c r="J650" s="101" t="s">
        <v>889</v>
      </c>
      <c r="K650" s="245" t="s">
        <v>390</v>
      </c>
      <c r="L650" s="245">
        <v>42644</v>
      </c>
      <c r="M650" s="245" t="s">
        <v>391</v>
      </c>
      <c r="N650" s="101">
        <v>0</v>
      </c>
      <c r="O650" s="101" t="s">
        <v>392</v>
      </c>
      <c r="P650" s="101">
        <v>0</v>
      </c>
      <c r="Q650" s="101">
        <v>0</v>
      </c>
      <c r="R650" s="101" t="s">
        <v>422</v>
      </c>
      <c r="S650" s="101" t="s">
        <v>637</v>
      </c>
      <c r="T650" s="101" t="s">
        <v>394</v>
      </c>
      <c r="U650" s="101" t="s">
        <v>84</v>
      </c>
      <c r="V650" s="245">
        <v>46600</v>
      </c>
      <c r="W650" s="101" t="s">
        <v>417</v>
      </c>
      <c r="X650" s="101" t="s">
        <v>76</v>
      </c>
      <c r="Y650" s="101" t="s">
        <v>392</v>
      </c>
      <c r="Z650" s="101" t="s">
        <v>412</v>
      </c>
      <c r="AA650" s="101" t="s">
        <v>638</v>
      </c>
      <c r="AB650" s="101">
        <v>3101051675</v>
      </c>
      <c r="AC650" s="101" t="s">
        <v>414</v>
      </c>
      <c r="AD650" s="101" t="s">
        <v>79</v>
      </c>
      <c r="AE650" s="101" t="s">
        <v>75</v>
      </c>
      <c r="AF650" s="101" t="s">
        <v>400</v>
      </c>
      <c r="AI650" s="101" t="s">
        <v>172</v>
      </c>
    </row>
    <row r="651" spans="1:35">
      <c r="A651" s="246" t="s">
        <v>110</v>
      </c>
      <c r="B651" s="246" t="s">
        <v>66</v>
      </c>
      <c r="C651" s="246" t="s">
        <v>264</v>
      </c>
      <c r="D651" s="246" t="s">
        <v>289</v>
      </c>
      <c r="E651" s="246"/>
      <c r="F651" s="246"/>
      <c r="G651" s="132">
        <v>3375900</v>
      </c>
      <c r="H651" s="132" t="s">
        <v>1478</v>
      </c>
      <c r="I651" s="132">
        <v>3375900</v>
      </c>
      <c r="J651" s="101" t="s">
        <v>889</v>
      </c>
      <c r="K651" s="245" t="s">
        <v>390</v>
      </c>
      <c r="L651" s="245">
        <v>42644</v>
      </c>
      <c r="M651" s="245" t="s">
        <v>421</v>
      </c>
      <c r="N651" s="101">
        <v>0</v>
      </c>
      <c r="O651" s="101" t="s">
        <v>392</v>
      </c>
      <c r="P651" s="101">
        <v>0</v>
      </c>
      <c r="Q651" s="101">
        <v>0</v>
      </c>
      <c r="R651" s="101" t="s">
        <v>410</v>
      </c>
      <c r="S651" s="101" t="s">
        <v>637</v>
      </c>
      <c r="T651" s="101" t="s">
        <v>394</v>
      </c>
      <c r="U651" s="101" t="s">
        <v>84</v>
      </c>
      <c r="V651" s="245">
        <v>46600</v>
      </c>
      <c r="W651" s="101" t="s">
        <v>417</v>
      </c>
      <c r="X651" s="101" t="s">
        <v>76</v>
      </c>
      <c r="Y651" s="101" t="s">
        <v>392</v>
      </c>
      <c r="Z651" s="101" t="s">
        <v>412</v>
      </c>
      <c r="AA651" s="101" t="s">
        <v>638</v>
      </c>
      <c r="AB651" s="101">
        <v>3101051675</v>
      </c>
      <c r="AC651" s="101" t="s">
        <v>414</v>
      </c>
      <c r="AD651" s="101" t="s">
        <v>79</v>
      </c>
      <c r="AE651" s="101" t="s">
        <v>75</v>
      </c>
      <c r="AF651" s="101" t="s">
        <v>400</v>
      </c>
      <c r="AI651" s="101" t="s">
        <v>172</v>
      </c>
    </row>
    <row r="652" spans="1:35">
      <c r="A652" s="246" t="s">
        <v>110</v>
      </c>
      <c r="B652" s="246" t="s">
        <v>66</v>
      </c>
      <c r="C652" s="246" t="s">
        <v>126</v>
      </c>
      <c r="D652" s="246" t="s">
        <v>281</v>
      </c>
      <c r="E652" s="246"/>
      <c r="F652" s="246"/>
      <c r="G652" s="132" t="s">
        <v>831</v>
      </c>
      <c r="H652" s="132" t="s">
        <v>1483</v>
      </c>
      <c r="I652" s="132">
        <v>-32404.12</v>
      </c>
      <c r="J652" s="101" t="s">
        <v>889</v>
      </c>
      <c r="K652" s="245" t="s">
        <v>390</v>
      </c>
      <c r="L652" s="245">
        <v>42675</v>
      </c>
      <c r="M652" s="245" t="s">
        <v>391</v>
      </c>
      <c r="N652" s="101">
        <v>0</v>
      </c>
      <c r="O652" s="101" t="s">
        <v>392</v>
      </c>
      <c r="P652" s="101">
        <v>0</v>
      </c>
      <c r="Q652" s="101">
        <v>0</v>
      </c>
      <c r="R652" s="101" t="s">
        <v>422</v>
      </c>
      <c r="S652" s="101" t="s">
        <v>637</v>
      </c>
      <c r="T652" s="101" t="s">
        <v>394</v>
      </c>
      <c r="U652" s="101" t="s">
        <v>84</v>
      </c>
      <c r="V652" s="245">
        <v>46600</v>
      </c>
      <c r="W652" s="101" t="s">
        <v>417</v>
      </c>
      <c r="X652" s="101" t="s">
        <v>76</v>
      </c>
      <c r="Y652" s="101" t="s">
        <v>392</v>
      </c>
      <c r="Z652" s="101" t="s">
        <v>412</v>
      </c>
      <c r="AA652" s="101" t="s">
        <v>638</v>
      </c>
      <c r="AB652" s="101">
        <v>3101051675</v>
      </c>
      <c r="AC652" s="101" t="s">
        <v>414</v>
      </c>
      <c r="AD652" s="101" t="s">
        <v>79</v>
      </c>
      <c r="AE652" s="101" t="s">
        <v>75</v>
      </c>
      <c r="AF652" s="101" t="s">
        <v>400</v>
      </c>
      <c r="AI652" s="101" t="s">
        <v>172</v>
      </c>
    </row>
    <row r="653" spans="1:35">
      <c r="A653" s="246" t="s">
        <v>110</v>
      </c>
      <c r="B653" s="246" t="s">
        <v>66</v>
      </c>
      <c r="C653" s="246" t="s">
        <v>264</v>
      </c>
      <c r="D653" s="246" t="s">
        <v>289</v>
      </c>
      <c r="E653" s="246"/>
      <c r="F653" s="246"/>
      <c r="G653" s="132">
        <v>3267000</v>
      </c>
      <c r="H653" s="132" t="s">
        <v>1476</v>
      </c>
      <c r="I653" s="132">
        <v>3267000</v>
      </c>
      <c r="J653" s="101" t="s">
        <v>889</v>
      </c>
      <c r="K653" s="245" t="s">
        <v>390</v>
      </c>
      <c r="L653" s="245">
        <v>42675</v>
      </c>
      <c r="M653" s="245" t="s">
        <v>421</v>
      </c>
      <c r="N653" s="101">
        <v>0</v>
      </c>
      <c r="O653" s="101" t="s">
        <v>392</v>
      </c>
      <c r="P653" s="101">
        <v>0</v>
      </c>
      <c r="Q653" s="101">
        <v>0</v>
      </c>
      <c r="R653" s="101" t="s">
        <v>410</v>
      </c>
      <c r="S653" s="101" t="s">
        <v>637</v>
      </c>
      <c r="T653" s="101" t="s">
        <v>394</v>
      </c>
      <c r="U653" s="101" t="s">
        <v>84</v>
      </c>
      <c r="V653" s="245">
        <v>46600</v>
      </c>
      <c r="W653" s="101" t="s">
        <v>417</v>
      </c>
      <c r="X653" s="101" t="s">
        <v>76</v>
      </c>
      <c r="Y653" s="101" t="s">
        <v>392</v>
      </c>
      <c r="Z653" s="101" t="s">
        <v>412</v>
      </c>
      <c r="AA653" s="101" t="s">
        <v>638</v>
      </c>
      <c r="AB653" s="101">
        <v>3101051675</v>
      </c>
      <c r="AC653" s="101" t="s">
        <v>414</v>
      </c>
      <c r="AD653" s="101" t="s">
        <v>79</v>
      </c>
      <c r="AE653" s="101" t="s">
        <v>75</v>
      </c>
      <c r="AF653" s="101" t="s">
        <v>400</v>
      </c>
      <c r="AI653" s="101" t="s">
        <v>172</v>
      </c>
    </row>
    <row r="654" spans="1:35">
      <c r="A654" s="246" t="s">
        <v>111</v>
      </c>
      <c r="B654" s="246" t="s">
        <v>66</v>
      </c>
      <c r="C654" s="246" t="s">
        <v>126</v>
      </c>
      <c r="D654" s="246" t="s">
        <v>273</v>
      </c>
      <c r="E654" s="246"/>
      <c r="F654" s="246"/>
      <c r="G654" s="132" t="s">
        <v>832</v>
      </c>
      <c r="H654" s="132" t="s">
        <v>1484</v>
      </c>
      <c r="I654" s="132">
        <v>-47832.53</v>
      </c>
      <c r="J654" s="101" t="s">
        <v>889</v>
      </c>
      <c r="K654" s="245" t="s">
        <v>390</v>
      </c>
      <c r="L654" s="245">
        <v>42705</v>
      </c>
      <c r="M654" s="245" t="s">
        <v>391</v>
      </c>
      <c r="N654" s="101">
        <v>0</v>
      </c>
      <c r="O654" s="101" t="s">
        <v>392</v>
      </c>
      <c r="P654" s="101">
        <v>0</v>
      </c>
      <c r="Q654" s="101">
        <v>0</v>
      </c>
      <c r="R654" s="101" t="s">
        <v>422</v>
      </c>
      <c r="S654" s="101" t="s">
        <v>637</v>
      </c>
      <c r="T654" s="101" t="s">
        <v>394</v>
      </c>
      <c r="U654" s="101" t="s">
        <v>84</v>
      </c>
      <c r="V654" s="245">
        <v>46600</v>
      </c>
      <c r="W654" s="101" t="s">
        <v>417</v>
      </c>
      <c r="X654" s="101" t="s">
        <v>76</v>
      </c>
      <c r="Y654" s="101" t="s">
        <v>392</v>
      </c>
      <c r="Z654" s="101" t="s">
        <v>412</v>
      </c>
      <c r="AA654" s="101" t="s">
        <v>638</v>
      </c>
      <c r="AB654" s="101">
        <v>3101051675</v>
      </c>
      <c r="AC654" s="101" t="s">
        <v>414</v>
      </c>
      <c r="AD654" s="101" t="s">
        <v>79</v>
      </c>
      <c r="AE654" s="101" t="s">
        <v>75</v>
      </c>
      <c r="AF654" s="101" t="s">
        <v>400</v>
      </c>
      <c r="AI654" s="101" t="s">
        <v>172</v>
      </c>
    </row>
    <row r="655" spans="1:35">
      <c r="A655" s="246" t="s">
        <v>111</v>
      </c>
      <c r="B655" s="246" t="s">
        <v>66</v>
      </c>
      <c r="C655" s="246" t="s">
        <v>264</v>
      </c>
      <c r="D655" s="246" t="s">
        <v>284</v>
      </c>
      <c r="E655" s="246"/>
      <c r="F655" s="246"/>
      <c r="G655" s="132">
        <v>3375900</v>
      </c>
      <c r="H655" s="132" t="s">
        <v>1478</v>
      </c>
      <c r="I655" s="132">
        <v>3375900</v>
      </c>
      <c r="J655" s="101" t="s">
        <v>889</v>
      </c>
      <c r="K655" s="245" t="s">
        <v>390</v>
      </c>
      <c r="L655" s="245">
        <v>42705</v>
      </c>
      <c r="M655" s="245" t="s">
        <v>421</v>
      </c>
      <c r="N655" s="101">
        <v>0</v>
      </c>
      <c r="O655" s="101" t="s">
        <v>392</v>
      </c>
      <c r="P655" s="101">
        <v>0</v>
      </c>
      <c r="Q655" s="101">
        <v>0</v>
      </c>
      <c r="R655" s="101" t="s">
        <v>410</v>
      </c>
      <c r="S655" s="101" t="s">
        <v>637</v>
      </c>
      <c r="T655" s="101" t="s">
        <v>394</v>
      </c>
      <c r="U655" s="101" t="s">
        <v>84</v>
      </c>
      <c r="V655" s="245">
        <v>46600</v>
      </c>
      <c r="W655" s="101" t="s">
        <v>417</v>
      </c>
      <c r="X655" s="101" t="s">
        <v>76</v>
      </c>
      <c r="Y655" s="101" t="s">
        <v>392</v>
      </c>
      <c r="Z655" s="101" t="s">
        <v>412</v>
      </c>
      <c r="AA655" s="101" t="s">
        <v>638</v>
      </c>
      <c r="AB655" s="101">
        <v>3101051675</v>
      </c>
      <c r="AC655" s="101" t="s">
        <v>414</v>
      </c>
      <c r="AD655" s="101" t="s">
        <v>79</v>
      </c>
      <c r="AE655" s="101" t="s">
        <v>75</v>
      </c>
      <c r="AF655" s="101" t="s">
        <v>400</v>
      </c>
      <c r="AI655" s="101" t="s">
        <v>172</v>
      </c>
    </row>
    <row r="656" spans="1:35">
      <c r="A656" s="246" t="s">
        <v>111</v>
      </c>
      <c r="B656" s="246" t="s">
        <v>66</v>
      </c>
      <c r="C656" s="246" t="s">
        <v>126</v>
      </c>
      <c r="D656" s="246" t="s">
        <v>273</v>
      </c>
      <c r="E656" s="246"/>
      <c r="F656" s="246"/>
      <c r="G656" s="132" t="s">
        <v>833</v>
      </c>
      <c r="H656" s="132" t="s">
        <v>1485</v>
      </c>
      <c r="I656" s="132">
        <v>-63775.219999999994</v>
      </c>
      <c r="J656" s="101" t="s">
        <v>889</v>
      </c>
      <c r="K656" s="245" t="s">
        <v>390</v>
      </c>
      <c r="L656" s="245">
        <v>42736</v>
      </c>
      <c r="M656" s="245" t="s">
        <v>391</v>
      </c>
      <c r="N656" s="101">
        <v>0</v>
      </c>
      <c r="O656" s="101" t="s">
        <v>392</v>
      </c>
      <c r="P656" s="101">
        <v>0</v>
      </c>
      <c r="Q656" s="101">
        <v>0</v>
      </c>
      <c r="R656" s="101" t="s">
        <v>422</v>
      </c>
      <c r="S656" s="101" t="s">
        <v>637</v>
      </c>
      <c r="T656" s="101" t="s">
        <v>394</v>
      </c>
      <c r="U656" s="101" t="s">
        <v>84</v>
      </c>
      <c r="V656" s="245">
        <v>46600</v>
      </c>
      <c r="W656" s="101" t="s">
        <v>417</v>
      </c>
      <c r="X656" s="101" t="s">
        <v>76</v>
      </c>
      <c r="Y656" s="101" t="s">
        <v>392</v>
      </c>
      <c r="Z656" s="101" t="s">
        <v>412</v>
      </c>
      <c r="AA656" s="101" t="s">
        <v>638</v>
      </c>
      <c r="AB656" s="101">
        <v>3101051675</v>
      </c>
      <c r="AC656" s="101" t="s">
        <v>414</v>
      </c>
      <c r="AD656" s="101" t="s">
        <v>79</v>
      </c>
      <c r="AE656" s="101" t="s">
        <v>75</v>
      </c>
      <c r="AF656" s="101" t="s">
        <v>400</v>
      </c>
      <c r="AI656" s="101" t="s">
        <v>172</v>
      </c>
    </row>
    <row r="657" spans="1:35">
      <c r="A657" s="246" t="s">
        <v>111</v>
      </c>
      <c r="B657" s="246" t="s">
        <v>66</v>
      </c>
      <c r="C657" s="246" t="s">
        <v>264</v>
      </c>
      <c r="D657" s="246" t="s">
        <v>284</v>
      </c>
      <c r="E657" s="246"/>
      <c r="F657" s="246"/>
      <c r="G657" s="132">
        <v>4573800</v>
      </c>
      <c r="H657" s="132" t="s">
        <v>1486</v>
      </c>
      <c r="I657" s="132">
        <v>4573800</v>
      </c>
      <c r="J657" s="101" t="s">
        <v>889</v>
      </c>
      <c r="K657" s="245" t="s">
        <v>390</v>
      </c>
      <c r="L657" s="245">
        <v>42736</v>
      </c>
      <c r="M657" s="245" t="s">
        <v>421</v>
      </c>
      <c r="N657" s="101">
        <v>0</v>
      </c>
      <c r="O657" s="101" t="s">
        <v>392</v>
      </c>
      <c r="P657" s="101">
        <v>0</v>
      </c>
      <c r="Q657" s="101">
        <v>0</v>
      </c>
      <c r="R657" s="101" t="s">
        <v>410</v>
      </c>
      <c r="S657" s="101" t="s">
        <v>637</v>
      </c>
      <c r="T657" s="101" t="s">
        <v>394</v>
      </c>
      <c r="U657" s="101" t="s">
        <v>84</v>
      </c>
      <c r="V657" s="245">
        <v>46600</v>
      </c>
      <c r="W657" s="101" t="s">
        <v>417</v>
      </c>
      <c r="X657" s="101" t="s">
        <v>76</v>
      </c>
      <c r="Y657" s="101" t="s">
        <v>392</v>
      </c>
      <c r="Z657" s="101" t="s">
        <v>412</v>
      </c>
      <c r="AA657" s="101" t="s">
        <v>638</v>
      </c>
      <c r="AB657" s="101">
        <v>3101051675</v>
      </c>
      <c r="AC657" s="101" t="s">
        <v>414</v>
      </c>
      <c r="AD657" s="101" t="s">
        <v>79</v>
      </c>
      <c r="AE657" s="101" t="s">
        <v>75</v>
      </c>
      <c r="AF657" s="101" t="s">
        <v>400</v>
      </c>
      <c r="AI657" s="101" t="s">
        <v>172</v>
      </c>
    </row>
    <row r="658" spans="1:35">
      <c r="A658" s="246" t="s">
        <v>111</v>
      </c>
      <c r="B658" s="246" t="s">
        <v>66</v>
      </c>
      <c r="C658" s="246" t="s">
        <v>126</v>
      </c>
      <c r="D658" s="246" t="s">
        <v>273</v>
      </c>
      <c r="E658" s="246"/>
      <c r="F658" s="246"/>
      <c r="G658" s="132" t="s">
        <v>834</v>
      </c>
      <c r="H658" s="132" t="s">
        <v>1487</v>
      </c>
      <c r="I658" s="132">
        <v>-85374.989999999991</v>
      </c>
      <c r="J658" s="101" t="s">
        <v>889</v>
      </c>
      <c r="K658" s="245" t="s">
        <v>390</v>
      </c>
      <c r="L658" s="245">
        <v>42767</v>
      </c>
      <c r="M658" s="245" t="s">
        <v>391</v>
      </c>
      <c r="N658" s="101">
        <v>0</v>
      </c>
      <c r="O658" s="101" t="s">
        <v>392</v>
      </c>
      <c r="P658" s="101">
        <v>0</v>
      </c>
      <c r="Q658" s="101">
        <v>0</v>
      </c>
      <c r="R658" s="101" t="s">
        <v>422</v>
      </c>
      <c r="S658" s="101" t="s">
        <v>637</v>
      </c>
      <c r="T658" s="101" t="s">
        <v>394</v>
      </c>
      <c r="U658" s="101" t="s">
        <v>84</v>
      </c>
      <c r="V658" s="245">
        <v>46600</v>
      </c>
      <c r="W658" s="101" t="s">
        <v>417</v>
      </c>
      <c r="X658" s="101" t="s">
        <v>76</v>
      </c>
      <c r="Y658" s="101" t="s">
        <v>392</v>
      </c>
      <c r="Z658" s="101" t="s">
        <v>412</v>
      </c>
      <c r="AA658" s="101" t="s">
        <v>638</v>
      </c>
      <c r="AB658" s="101">
        <v>3101051675</v>
      </c>
      <c r="AC658" s="101" t="s">
        <v>414</v>
      </c>
      <c r="AD658" s="101" t="s">
        <v>79</v>
      </c>
      <c r="AE658" s="101" t="s">
        <v>75</v>
      </c>
      <c r="AF658" s="101" t="s">
        <v>400</v>
      </c>
      <c r="AI658" s="101" t="s">
        <v>172</v>
      </c>
    </row>
    <row r="659" spans="1:35">
      <c r="A659" s="246" t="s">
        <v>111</v>
      </c>
      <c r="B659" s="246" t="s">
        <v>66</v>
      </c>
      <c r="C659" s="246" t="s">
        <v>264</v>
      </c>
      <c r="D659" s="246" t="s">
        <v>284</v>
      </c>
      <c r="E659" s="246"/>
      <c r="F659" s="246"/>
      <c r="G659" s="132">
        <v>4951320</v>
      </c>
      <c r="H659" s="132" t="s">
        <v>1488</v>
      </c>
      <c r="I659" s="132">
        <v>4951320</v>
      </c>
      <c r="J659" s="101" t="s">
        <v>889</v>
      </c>
      <c r="K659" s="245" t="s">
        <v>390</v>
      </c>
      <c r="L659" s="245">
        <v>42767</v>
      </c>
      <c r="M659" s="245" t="s">
        <v>421</v>
      </c>
      <c r="N659" s="101">
        <v>0</v>
      </c>
      <c r="O659" s="101" t="s">
        <v>392</v>
      </c>
      <c r="P659" s="101">
        <v>0</v>
      </c>
      <c r="Q659" s="101">
        <v>0</v>
      </c>
      <c r="R659" s="101" t="s">
        <v>410</v>
      </c>
      <c r="S659" s="101" t="s">
        <v>637</v>
      </c>
      <c r="T659" s="101" t="s">
        <v>394</v>
      </c>
      <c r="U659" s="101" t="s">
        <v>84</v>
      </c>
      <c r="V659" s="245">
        <v>46600</v>
      </c>
      <c r="W659" s="101" t="s">
        <v>417</v>
      </c>
      <c r="X659" s="101" t="s">
        <v>76</v>
      </c>
      <c r="Y659" s="101" t="s">
        <v>392</v>
      </c>
      <c r="Z659" s="101" t="s">
        <v>412</v>
      </c>
      <c r="AA659" s="101" t="s">
        <v>638</v>
      </c>
      <c r="AB659" s="101">
        <v>3101051675</v>
      </c>
      <c r="AC659" s="101" t="s">
        <v>414</v>
      </c>
      <c r="AD659" s="101" t="s">
        <v>79</v>
      </c>
      <c r="AE659" s="101" t="s">
        <v>75</v>
      </c>
      <c r="AF659" s="101" t="s">
        <v>400</v>
      </c>
      <c r="AI659" s="101" t="s">
        <v>172</v>
      </c>
    </row>
    <row r="660" spans="1:35">
      <c r="A660" s="246" t="s">
        <v>111</v>
      </c>
      <c r="B660" s="246" t="s">
        <v>66</v>
      </c>
      <c r="C660" s="246" t="s">
        <v>264</v>
      </c>
      <c r="D660" s="246" t="s">
        <v>284</v>
      </c>
      <c r="E660" s="246"/>
      <c r="F660" s="246"/>
      <c r="G660" s="132" t="s">
        <v>640</v>
      </c>
      <c r="H660" s="132" t="s">
        <v>1489</v>
      </c>
      <c r="I660" s="132">
        <v>-8888156.25</v>
      </c>
      <c r="J660" s="101" t="s">
        <v>889</v>
      </c>
      <c r="K660" s="245" t="s">
        <v>390</v>
      </c>
      <c r="L660" s="245">
        <v>42768</v>
      </c>
      <c r="M660" s="245" t="s">
        <v>421</v>
      </c>
      <c r="N660" s="101">
        <v>0</v>
      </c>
      <c r="O660" s="101" t="s">
        <v>392</v>
      </c>
      <c r="P660" s="101">
        <v>0</v>
      </c>
      <c r="Q660" s="101">
        <v>0</v>
      </c>
      <c r="R660" s="101" t="s">
        <v>422</v>
      </c>
      <c r="S660" s="101" t="s">
        <v>637</v>
      </c>
      <c r="T660" s="101" t="s">
        <v>394</v>
      </c>
      <c r="U660" s="101" t="s">
        <v>84</v>
      </c>
      <c r="V660" s="245">
        <v>46600</v>
      </c>
      <c r="W660" s="101" t="s">
        <v>417</v>
      </c>
      <c r="X660" s="101" t="s">
        <v>76</v>
      </c>
      <c r="Y660" s="101" t="s">
        <v>392</v>
      </c>
      <c r="Z660" s="101" t="s">
        <v>412</v>
      </c>
      <c r="AA660" s="101" t="s">
        <v>638</v>
      </c>
      <c r="AB660" s="101">
        <v>3101051675</v>
      </c>
      <c r="AC660" s="101" t="s">
        <v>414</v>
      </c>
      <c r="AD660" s="101" t="s">
        <v>79</v>
      </c>
      <c r="AE660" s="101" t="s">
        <v>75</v>
      </c>
      <c r="AF660" s="101" t="s">
        <v>400</v>
      </c>
      <c r="AI660" s="101" t="s">
        <v>172</v>
      </c>
    </row>
    <row r="661" spans="1:35">
      <c r="A661" s="246" t="s">
        <v>111</v>
      </c>
      <c r="B661" s="246" t="s">
        <v>66</v>
      </c>
      <c r="C661" s="246" t="s">
        <v>126</v>
      </c>
      <c r="D661" s="246" t="s">
        <v>273</v>
      </c>
      <c r="E661" s="246"/>
      <c r="F661" s="246"/>
      <c r="G661" s="132" t="s">
        <v>842</v>
      </c>
      <c r="H661" s="132" t="s">
        <v>1490</v>
      </c>
      <c r="I661" s="132">
        <v>-68182.42</v>
      </c>
      <c r="J661" s="101" t="s">
        <v>889</v>
      </c>
      <c r="K661" s="245" t="s">
        <v>390</v>
      </c>
      <c r="L661" s="245">
        <v>42795</v>
      </c>
      <c r="M661" s="245" t="s">
        <v>391</v>
      </c>
      <c r="N661" s="101">
        <v>0</v>
      </c>
      <c r="O661" s="101" t="s">
        <v>392</v>
      </c>
      <c r="P661" s="101">
        <v>0</v>
      </c>
      <c r="Q661" s="101">
        <v>0</v>
      </c>
      <c r="R661" s="101" t="s">
        <v>422</v>
      </c>
      <c r="S661" s="101" t="s">
        <v>637</v>
      </c>
      <c r="T661" s="101" t="s">
        <v>394</v>
      </c>
      <c r="U661" s="101" t="s">
        <v>84</v>
      </c>
      <c r="V661" s="245">
        <v>46600</v>
      </c>
      <c r="W661" s="101" t="s">
        <v>417</v>
      </c>
      <c r="X661" s="101" t="s">
        <v>76</v>
      </c>
      <c r="Y661" s="101" t="s">
        <v>392</v>
      </c>
      <c r="Z661" s="101" t="s">
        <v>412</v>
      </c>
      <c r="AA661" s="101" t="s">
        <v>638</v>
      </c>
      <c r="AB661" s="101">
        <v>3101051675</v>
      </c>
      <c r="AC661" s="101" t="s">
        <v>414</v>
      </c>
      <c r="AD661" s="101" t="s">
        <v>79</v>
      </c>
      <c r="AE661" s="101" t="s">
        <v>75</v>
      </c>
      <c r="AF661" s="101" t="s">
        <v>400</v>
      </c>
      <c r="AI661" s="101" t="s">
        <v>172</v>
      </c>
    </row>
    <row r="662" spans="1:35">
      <c r="A662" s="246" t="s">
        <v>111</v>
      </c>
      <c r="B662" s="246" t="s">
        <v>66</v>
      </c>
      <c r="C662" s="246" t="s">
        <v>264</v>
      </c>
      <c r="D662" s="246" t="s">
        <v>284</v>
      </c>
      <c r="E662" s="246"/>
      <c r="F662" s="246"/>
      <c r="G662" s="132">
        <v>4951320</v>
      </c>
      <c r="H662" s="132" t="s">
        <v>1488</v>
      </c>
      <c r="I662" s="132">
        <v>4951320</v>
      </c>
      <c r="J662" s="101" t="s">
        <v>889</v>
      </c>
      <c r="K662" s="245" t="s">
        <v>390</v>
      </c>
      <c r="L662" s="245">
        <v>42795</v>
      </c>
      <c r="M662" s="245" t="s">
        <v>421</v>
      </c>
      <c r="N662" s="101">
        <v>0</v>
      </c>
      <c r="O662" s="101" t="s">
        <v>392</v>
      </c>
      <c r="P662" s="101">
        <v>0</v>
      </c>
      <c r="Q662" s="101">
        <v>0</v>
      </c>
      <c r="R662" s="101" t="s">
        <v>410</v>
      </c>
      <c r="S662" s="101" t="s">
        <v>637</v>
      </c>
      <c r="T662" s="101" t="s">
        <v>394</v>
      </c>
      <c r="U662" s="101" t="s">
        <v>84</v>
      </c>
      <c r="V662" s="245">
        <v>46600</v>
      </c>
      <c r="W662" s="101" t="s">
        <v>417</v>
      </c>
      <c r="X662" s="101" t="s">
        <v>76</v>
      </c>
      <c r="Y662" s="101" t="s">
        <v>392</v>
      </c>
      <c r="Z662" s="101" t="s">
        <v>412</v>
      </c>
      <c r="AA662" s="101" t="s">
        <v>638</v>
      </c>
      <c r="AB662" s="101">
        <v>3101051675</v>
      </c>
      <c r="AC662" s="101" t="s">
        <v>414</v>
      </c>
      <c r="AD662" s="101" t="s">
        <v>79</v>
      </c>
      <c r="AE662" s="101" t="s">
        <v>75</v>
      </c>
      <c r="AF662" s="101" t="s">
        <v>400</v>
      </c>
      <c r="AI662" s="101" t="s">
        <v>172</v>
      </c>
    </row>
    <row r="663" spans="1:35">
      <c r="A663" s="246" t="s">
        <v>111</v>
      </c>
      <c r="B663" s="246" t="s">
        <v>66</v>
      </c>
      <c r="C663" s="246" t="s">
        <v>126</v>
      </c>
      <c r="D663" s="246" t="s">
        <v>273</v>
      </c>
      <c r="E663" s="246"/>
      <c r="F663" s="246"/>
      <c r="G663" s="132" t="s">
        <v>843</v>
      </c>
      <c r="H663" s="132" t="s">
        <v>1491</v>
      </c>
      <c r="I663" s="132">
        <v>-90165.89</v>
      </c>
      <c r="J663" s="101" t="s">
        <v>889</v>
      </c>
      <c r="K663" s="245" t="s">
        <v>390</v>
      </c>
      <c r="L663" s="245">
        <v>42826</v>
      </c>
      <c r="M663" s="245" t="s">
        <v>391</v>
      </c>
      <c r="N663" s="101">
        <v>0</v>
      </c>
      <c r="O663" s="101" t="s">
        <v>392</v>
      </c>
      <c r="P663" s="101">
        <v>0</v>
      </c>
      <c r="Q663" s="101">
        <v>0</v>
      </c>
      <c r="R663" s="101" t="s">
        <v>422</v>
      </c>
      <c r="S663" s="101" t="s">
        <v>637</v>
      </c>
      <c r="T663" s="101" t="s">
        <v>394</v>
      </c>
      <c r="U663" s="101" t="s">
        <v>84</v>
      </c>
      <c r="V663" s="245">
        <v>46600</v>
      </c>
      <c r="W663" s="101" t="s">
        <v>417</v>
      </c>
      <c r="X663" s="101" t="s">
        <v>76</v>
      </c>
      <c r="Y663" s="101" t="s">
        <v>392</v>
      </c>
      <c r="Z663" s="101" t="s">
        <v>412</v>
      </c>
      <c r="AA663" s="101" t="s">
        <v>638</v>
      </c>
      <c r="AB663" s="101">
        <v>3101051675</v>
      </c>
      <c r="AC663" s="101" t="s">
        <v>414</v>
      </c>
      <c r="AD663" s="101" t="s">
        <v>79</v>
      </c>
      <c r="AE663" s="101" t="s">
        <v>75</v>
      </c>
      <c r="AF663" s="101" t="s">
        <v>400</v>
      </c>
      <c r="AI663" s="101" t="s">
        <v>172</v>
      </c>
    </row>
    <row r="664" spans="1:35">
      <c r="A664" s="246" t="s">
        <v>111</v>
      </c>
      <c r="B664" s="246" t="s">
        <v>66</v>
      </c>
      <c r="C664" s="246" t="s">
        <v>264</v>
      </c>
      <c r="D664" s="246" t="s">
        <v>284</v>
      </c>
      <c r="E664" s="246"/>
      <c r="F664" s="246"/>
      <c r="G664" s="132">
        <v>4472160</v>
      </c>
      <c r="H664" s="132" t="s">
        <v>1492</v>
      </c>
      <c r="I664" s="132">
        <v>4472160</v>
      </c>
      <c r="J664" s="101" t="s">
        <v>889</v>
      </c>
      <c r="K664" s="245" t="s">
        <v>390</v>
      </c>
      <c r="L664" s="245">
        <v>42826</v>
      </c>
      <c r="M664" s="245" t="s">
        <v>421</v>
      </c>
      <c r="N664" s="101">
        <v>0</v>
      </c>
      <c r="O664" s="101" t="s">
        <v>392</v>
      </c>
      <c r="P664" s="101">
        <v>0</v>
      </c>
      <c r="Q664" s="101">
        <v>0</v>
      </c>
      <c r="R664" s="101" t="s">
        <v>410</v>
      </c>
      <c r="S664" s="101" t="s">
        <v>637</v>
      </c>
      <c r="T664" s="101" t="s">
        <v>394</v>
      </c>
      <c r="U664" s="101" t="s">
        <v>84</v>
      </c>
      <c r="V664" s="245">
        <v>46600</v>
      </c>
      <c r="W664" s="101" t="s">
        <v>417</v>
      </c>
      <c r="X664" s="101" t="s">
        <v>76</v>
      </c>
      <c r="Y664" s="101" t="s">
        <v>392</v>
      </c>
      <c r="Z664" s="101" t="s">
        <v>412</v>
      </c>
      <c r="AA664" s="101" t="s">
        <v>638</v>
      </c>
      <c r="AB664" s="101">
        <v>3101051675</v>
      </c>
      <c r="AC664" s="101" t="s">
        <v>414</v>
      </c>
      <c r="AD664" s="101" t="s">
        <v>79</v>
      </c>
      <c r="AE664" s="101" t="s">
        <v>75</v>
      </c>
      <c r="AF664" s="101" t="s">
        <v>400</v>
      </c>
      <c r="AI664" s="101" t="s">
        <v>172</v>
      </c>
    </row>
    <row r="665" spans="1:35">
      <c r="A665" s="246" t="s">
        <v>111</v>
      </c>
      <c r="B665" s="246" t="s">
        <v>66</v>
      </c>
      <c r="C665" s="246" t="s">
        <v>126</v>
      </c>
      <c r="D665" s="246" t="s">
        <v>273</v>
      </c>
      <c r="E665" s="246"/>
      <c r="F665" s="246"/>
      <c r="G665" s="132" t="s">
        <v>846</v>
      </c>
      <c r="H665" s="132" t="s">
        <v>1493</v>
      </c>
      <c r="I665" s="132">
        <v>-111285.66</v>
      </c>
      <c r="J665" s="101" t="s">
        <v>889</v>
      </c>
      <c r="K665" s="245" t="s">
        <v>390</v>
      </c>
      <c r="L665" s="245">
        <v>42856</v>
      </c>
      <c r="M665" s="245" t="s">
        <v>391</v>
      </c>
      <c r="N665" s="101">
        <v>0</v>
      </c>
      <c r="O665" s="101" t="s">
        <v>392</v>
      </c>
      <c r="P665" s="101">
        <v>0</v>
      </c>
      <c r="Q665" s="101">
        <v>0</v>
      </c>
      <c r="R665" s="101" t="s">
        <v>422</v>
      </c>
      <c r="S665" s="101" t="s">
        <v>637</v>
      </c>
      <c r="T665" s="101" t="s">
        <v>394</v>
      </c>
      <c r="U665" s="101" t="s">
        <v>84</v>
      </c>
      <c r="V665" s="245">
        <v>46600</v>
      </c>
      <c r="W665" s="101" t="s">
        <v>417</v>
      </c>
      <c r="X665" s="101" t="s">
        <v>76</v>
      </c>
      <c r="Y665" s="101" t="s">
        <v>392</v>
      </c>
      <c r="Z665" s="101" t="s">
        <v>412</v>
      </c>
      <c r="AA665" s="101" t="s">
        <v>638</v>
      </c>
      <c r="AB665" s="101">
        <v>3101051675</v>
      </c>
      <c r="AC665" s="101" t="s">
        <v>414</v>
      </c>
      <c r="AD665" s="101" t="s">
        <v>79</v>
      </c>
      <c r="AE665" s="101" t="s">
        <v>75</v>
      </c>
      <c r="AF665" s="101" t="s">
        <v>400</v>
      </c>
      <c r="AI665" s="101" t="s">
        <v>172</v>
      </c>
    </row>
    <row r="666" spans="1:35">
      <c r="A666" s="246" t="s">
        <v>111</v>
      </c>
      <c r="B666" s="246" t="s">
        <v>66</v>
      </c>
      <c r="C666" s="246" t="s">
        <v>264</v>
      </c>
      <c r="D666" s="246" t="s">
        <v>284</v>
      </c>
      <c r="E666" s="246"/>
      <c r="F666" s="246"/>
      <c r="G666" s="132">
        <v>4726260</v>
      </c>
      <c r="H666" s="132" t="s">
        <v>1494</v>
      </c>
      <c r="I666" s="132">
        <v>4726260</v>
      </c>
      <c r="J666" s="101" t="s">
        <v>889</v>
      </c>
      <c r="K666" s="245" t="s">
        <v>390</v>
      </c>
      <c r="L666" s="245">
        <v>42856</v>
      </c>
      <c r="M666" s="245" t="s">
        <v>421</v>
      </c>
      <c r="N666" s="101">
        <v>0</v>
      </c>
      <c r="O666" s="101" t="s">
        <v>392</v>
      </c>
      <c r="P666" s="101">
        <v>0</v>
      </c>
      <c r="Q666" s="101">
        <v>0</v>
      </c>
      <c r="R666" s="101" t="s">
        <v>410</v>
      </c>
      <c r="S666" s="101" t="s">
        <v>637</v>
      </c>
      <c r="T666" s="101" t="s">
        <v>394</v>
      </c>
      <c r="U666" s="101" t="s">
        <v>84</v>
      </c>
      <c r="V666" s="245">
        <v>46600</v>
      </c>
      <c r="W666" s="101" t="s">
        <v>417</v>
      </c>
      <c r="X666" s="101" t="s">
        <v>76</v>
      </c>
      <c r="Y666" s="101" t="s">
        <v>392</v>
      </c>
      <c r="Z666" s="101" t="s">
        <v>412</v>
      </c>
      <c r="AA666" s="101" t="s">
        <v>638</v>
      </c>
      <c r="AB666" s="101">
        <v>3101051675</v>
      </c>
      <c r="AC666" s="101" t="s">
        <v>414</v>
      </c>
      <c r="AD666" s="101" t="s">
        <v>79</v>
      </c>
      <c r="AE666" s="101" t="s">
        <v>75</v>
      </c>
      <c r="AF666" s="101" t="s">
        <v>400</v>
      </c>
      <c r="AI666" s="101" t="s">
        <v>172</v>
      </c>
    </row>
    <row r="667" spans="1:35">
      <c r="A667" s="246" t="s">
        <v>112</v>
      </c>
      <c r="B667" s="246" t="s">
        <v>66</v>
      </c>
      <c r="C667" s="246" t="s">
        <v>126</v>
      </c>
      <c r="D667" s="246" t="s">
        <v>270</v>
      </c>
      <c r="E667" s="246"/>
      <c r="F667" s="246"/>
      <c r="G667" s="132" t="s">
        <v>847</v>
      </c>
      <c r="H667" s="132" t="s">
        <v>1495</v>
      </c>
      <c r="I667" s="132">
        <v>-133605.43</v>
      </c>
      <c r="J667" s="101" t="s">
        <v>889</v>
      </c>
      <c r="K667" s="245" t="s">
        <v>390</v>
      </c>
      <c r="L667" s="245">
        <v>42887</v>
      </c>
      <c r="M667" s="245" t="s">
        <v>391</v>
      </c>
      <c r="N667" s="101">
        <v>0</v>
      </c>
      <c r="O667" s="101" t="s">
        <v>392</v>
      </c>
      <c r="P667" s="101">
        <v>0</v>
      </c>
      <c r="Q667" s="101">
        <v>0</v>
      </c>
      <c r="R667" s="101" t="s">
        <v>422</v>
      </c>
      <c r="S667" s="101" t="s">
        <v>637</v>
      </c>
      <c r="T667" s="101" t="s">
        <v>394</v>
      </c>
      <c r="U667" s="101" t="s">
        <v>84</v>
      </c>
      <c r="V667" s="245">
        <v>46600</v>
      </c>
      <c r="W667" s="101" t="s">
        <v>417</v>
      </c>
      <c r="X667" s="101" t="s">
        <v>76</v>
      </c>
      <c r="Y667" s="101" t="s">
        <v>392</v>
      </c>
      <c r="Z667" s="101" t="s">
        <v>412</v>
      </c>
      <c r="AA667" s="101" t="s">
        <v>638</v>
      </c>
      <c r="AB667" s="101">
        <v>3101051675</v>
      </c>
      <c r="AC667" s="101" t="s">
        <v>414</v>
      </c>
      <c r="AD667" s="101" t="s">
        <v>79</v>
      </c>
      <c r="AE667" s="101" t="s">
        <v>75</v>
      </c>
      <c r="AF667" s="101" t="s">
        <v>400</v>
      </c>
      <c r="AI667" s="101" t="s">
        <v>172</v>
      </c>
    </row>
    <row r="668" spans="1:35">
      <c r="A668" s="246" t="s">
        <v>112</v>
      </c>
      <c r="B668" s="246" t="s">
        <v>66</v>
      </c>
      <c r="C668" s="246" t="s">
        <v>264</v>
      </c>
      <c r="D668" s="246" t="s">
        <v>290</v>
      </c>
      <c r="E668" s="246"/>
      <c r="F668" s="246"/>
      <c r="G668" s="132">
        <v>3267000</v>
      </c>
      <c r="H668" s="132" t="s">
        <v>1476</v>
      </c>
      <c r="I668" s="132">
        <v>3267000</v>
      </c>
      <c r="J668" s="101" t="s">
        <v>889</v>
      </c>
      <c r="K668" s="245" t="s">
        <v>390</v>
      </c>
      <c r="L668" s="245">
        <v>42887</v>
      </c>
      <c r="M668" s="245" t="s">
        <v>421</v>
      </c>
      <c r="N668" s="101">
        <v>0</v>
      </c>
      <c r="O668" s="101" t="s">
        <v>392</v>
      </c>
      <c r="P668" s="101">
        <v>0</v>
      </c>
      <c r="Q668" s="101">
        <v>0</v>
      </c>
      <c r="R668" s="101" t="s">
        <v>410</v>
      </c>
      <c r="S668" s="101" t="s">
        <v>637</v>
      </c>
      <c r="T668" s="101" t="s">
        <v>394</v>
      </c>
      <c r="U668" s="101" t="s">
        <v>84</v>
      </c>
      <c r="V668" s="245">
        <v>46600</v>
      </c>
      <c r="W668" s="101" t="s">
        <v>417</v>
      </c>
      <c r="X668" s="101" t="s">
        <v>76</v>
      </c>
      <c r="Y668" s="101" t="s">
        <v>392</v>
      </c>
      <c r="Z668" s="101" t="s">
        <v>412</v>
      </c>
      <c r="AA668" s="101" t="s">
        <v>638</v>
      </c>
      <c r="AB668" s="101">
        <v>3101051675</v>
      </c>
      <c r="AC668" s="101" t="s">
        <v>414</v>
      </c>
      <c r="AD668" s="101" t="s">
        <v>79</v>
      </c>
      <c r="AE668" s="101" t="s">
        <v>75</v>
      </c>
      <c r="AF668" s="101" t="s">
        <v>400</v>
      </c>
      <c r="AI668" s="101" t="s">
        <v>172</v>
      </c>
    </row>
    <row r="669" spans="1:35">
      <c r="A669" s="246" t="s">
        <v>112</v>
      </c>
      <c r="B669" s="246" t="s">
        <v>66</v>
      </c>
      <c r="C669" s="246" t="s">
        <v>126</v>
      </c>
      <c r="D669" s="246" t="s">
        <v>270</v>
      </c>
      <c r="E669" s="246"/>
      <c r="F669" s="246"/>
      <c r="G669" s="132" t="s">
        <v>848</v>
      </c>
      <c r="H669" s="132" t="s">
        <v>1496</v>
      </c>
      <c r="I669" s="132">
        <v>-149033.84</v>
      </c>
      <c r="J669" s="101" t="s">
        <v>889</v>
      </c>
      <c r="K669" s="245" t="s">
        <v>390</v>
      </c>
      <c r="L669" s="245">
        <v>42917</v>
      </c>
      <c r="M669" s="245" t="s">
        <v>391</v>
      </c>
      <c r="N669" s="101">
        <v>0</v>
      </c>
      <c r="O669" s="101" t="s">
        <v>392</v>
      </c>
      <c r="P669" s="101">
        <v>0</v>
      </c>
      <c r="Q669" s="101">
        <v>0</v>
      </c>
      <c r="R669" s="101" t="s">
        <v>422</v>
      </c>
      <c r="S669" s="101" t="s">
        <v>637</v>
      </c>
      <c r="T669" s="101" t="s">
        <v>394</v>
      </c>
      <c r="U669" s="101" t="s">
        <v>84</v>
      </c>
      <c r="V669" s="245">
        <v>46600</v>
      </c>
      <c r="W669" s="101" t="s">
        <v>417</v>
      </c>
      <c r="X669" s="101" t="s">
        <v>76</v>
      </c>
      <c r="Y669" s="101" t="s">
        <v>392</v>
      </c>
      <c r="Z669" s="101" t="s">
        <v>412</v>
      </c>
      <c r="AA669" s="101" t="s">
        <v>638</v>
      </c>
      <c r="AB669" s="101">
        <v>3101051675</v>
      </c>
      <c r="AC669" s="101" t="s">
        <v>414</v>
      </c>
      <c r="AD669" s="101" t="s">
        <v>79</v>
      </c>
      <c r="AE669" s="101" t="s">
        <v>75</v>
      </c>
      <c r="AF669" s="101" t="s">
        <v>400</v>
      </c>
      <c r="AI669" s="101" t="s">
        <v>172</v>
      </c>
    </row>
    <row r="670" spans="1:35">
      <c r="A670" s="246" t="s">
        <v>112</v>
      </c>
      <c r="B670" s="246" t="s">
        <v>66</v>
      </c>
      <c r="C670" s="246" t="s">
        <v>264</v>
      </c>
      <c r="D670" s="246" t="s">
        <v>290</v>
      </c>
      <c r="E670" s="246"/>
      <c r="F670" s="246"/>
      <c r="G670" s="132">
        <v>3375900</v>
      </c>
      <c r="H670" s="132" t="s">
        <v>1478</v>
      </c>
      <c r="I670" s="132">
        <v>3375900</v>
      </c>
      <c r="J670" s="101" t="s">
        <v>889</v>
      </c>
      <c r="K670" s="245" t="s">
        <v>390</v>
      </c>
      <c r="L670" s="245">
        <v>42917</v>
      </c>
      <c r="M670" s="245" t="s">
        <v>421</v>
      </c>
      <c r="N670" s="101">
        <v>0</v>
      </c>
      <c r="O670" s="101" t="s">
        <v>392</v>
      </c>
      <c r="P670" s="101">
        <v>0</v>
      </c>
      <c r="Q670" s="101">
        <v>0</v>
      </c>
      <c r="R670" s="101" t="s">
        <v>410</v>
      </c>
      <c r="S670" s="101" t="s">
        <v>637</v>
      </c>
      <c r="T670" s="101" t="s">
        <v>394</v>
      </c>
      <c r="U670" s="101" t="s">
        <v>84</v>
      </c>
      <c r="V670" s="245">
        <v>46600</v>
      </c>
      <c r="W670" s="101" t="s">
        <v>417</v>
      </c>
      <c r="X670" s="101" t="s">
        <v>76</v>
      </c>
      <c r="Y670" s="101" t="s">
        <v>392</v>
      </c>
      <c r="Z670" s="101" t="s">
        <v>412</v>
      </c>
      <c r="AA670" s="101" t="s">
        <v>638</v>
      </c>
      <c r="AB670" s="101">
        <v>3101051675</v>
      </c>
      <c r="AC670" s="101" t="s">
        <v>414</v>
      </c>
      <c r="AD670" s="101" t="s">
        <v>79</v>
      </c>
      <c r="AE670" s="101" t="s">
        <v>75</v>
      </c>
      <c r="AF670" s="101" t="s">
        <v>400</v>
      </c>
      <c r="AI670" s="101" t="s">
        <v>172</v>
      </c>
    </row>
    <row r="671" spans="1:35">
      <c r="A671" s="246" t="s">
        <v>112</v>
      </c>
      <c r="B671" s="246" t="s">
        <v>66</v>
      </c>
      <c r="C671" s="246" t="s">
        <v>126</v>
      </c>
      <c r="D671" s="246" t="s">
        <v>270</v>
      </c>
      <c r="E671" s="246"/>
      <c r="F671" s="246"/>
      <c r="G671" s="132" t="s">
        <v>849</v>
      </c>
      <c r="H671" s="132" t="s">
        <v>1497</v>
      </c>
      <c r="I671" s="132">
        <v>-164976.51999999999</v>
      </c>
      <c r="J671" s="101" t="s">
        <v>889</v>
      </c>
      <c r="K671" s="245" t="s">
        <v>390</v>
      </c>
      <c r="L671" s="245">
        <v>42948</v>
      </c>
      <c r="M671" s="245" t="s">
        <v>391</v>
      </c>
      <c r="N671" s="101">
        <v>0</v>
      </c>
      <c r="O671" s="101" t="s">
        <v>392</v>
      </c>
      <c r="P671" s="101">
        <v>0</v>
      </c>
      <c r="Q671" s="101">
        <v>0</v>
      </c>
      <c r="R671" s="101" t="s">
        <v>422</v>
      </c>
      <c r="S671" s="101" t="s">
        <v>637</v>
      </c>
      <c r="T671" s="101" t="s">
        <v>394</v>
      </c>
      <c r="U671" s="101" t="s">
        <v>84</v>
      </c>
      <c r="V671" s="245">
        <v>46600</v>
      </c>
      <c r="W671" s="101" t="s">
        <v>417</v>
      </c>
      <c r="X671" s="101" t="s">
        <v>76</v>
      </c>
      <c r="Y671" s="101" t="s">
        <v>392</v>
      </c>
      <c r="Z671" s="101" t="s">
        <v>412</v>
      </c>
      <c r="AA671" s="101" t="s">
        <v>638</v>
      </c>
      <c r="AB671" s="101">
        <v>3101051675</v>
      </c>
      <c r="AC671" s="101" t="s">
        <v>414</v>
      </c>
      <c r="AD671" s="101" t="s">
        <v>79</v>
      </c>
      <c r="AE671" s="101" t="s">
        <v>75</v>
      </c>
      <c r="AF671" s="101" t="s">
        <v>400</v>
      </c>
      <c r="AI671" s="101" t="s">
        <v>172</v>
      </c>
    </row>
    <row r="672" spans="1:35">
      <c r="A672" s="246" t="s">
        <v>112</v>
      </c>
      <c r="B672" s="246" t="s">
        <v>66</v>
      </c>
      <c r="C672" s="246" t="s">
        <v>264</v>
      </c>
      <c r="D672" s="246" t="s">
        <v>290</v>
      </c>
      <c r="E672" s="246"/>
      <c r="F672" s="246"/>
      <c r="G672" s="132">
        <v>3267000</v>
      </c>
      <c r="H672" s="132" t="s">
        <v>1476</v>
      </c>
      <c r="I672" s="132">
        <v>3267000</v>
      </c>
      <c r="J672" s="101" t="s">
        <v>889</v>
      </c>
      <c r="K672" s="245" t="s">
        <v>390</v>
      </c>
      <c r="L672" s="245">
        <v>42948</v>
      </c>
      <c r="M672" s="245" t="s">
        <v>421</v>
      </c>
      <c r="N672" s="101">
        <v>0</v>
      </c>
      <c r="O672" s="101" t="s">
        <v>392</v>
      </c>
      <c r="P672" s="101">
        <v>0</v>
      </c>
      <c r="Q672" s="101">
        <v>0</v>
      </c>
      <c r="R672" s="101" t="s">
        <v>410</v>
      </c>
      <c r="S672" s="101" t="s">
        <v>637</v>
      </c>
      <c r="T672" s="101" t="s">
        <v>394</v>
      </c>
      <c r="U672" s="101" t="s">
        <v>84</v>
      </c>
      <c r="V672" s="245">
        <v>46600</v>
      </c>
      <c r="W672" s="101" t="s">
        <v>417</v>
      </c>
      <c r="X672" s="101" t="s">
        <v>76</v>
      </c>
      <c r="Y672" s="101" t="s">
        <v>392</v>
      </c>
      <c r="Z672" s="101" t="s">
        <v>412</v>
      </c>
      <c r="AA672" s="101" t="s">
        <v>638</v>
      </c>
      <c r="AB672" s="101">
        <v>3101051675</v>
      </c>
      <c r="AC672" s="101" t="s">
        <v>414</v>
      </c>
      <c r="AD672" s="101" t="s">
        <v>79</v>
      </c>
      <c r="AE672" s="101" t="s">
        <v>75</v>
      </c>
      <c r="AF672" s="101" t="s">
        <v>400</v>
      </c>
      <c r="AI672" s="101" t="s">
        <v>172</v>
      </c>
    </row>
    <row r="673" spans="1:35">
      <c r="A673" s="246" t="s">
        <v>112</v>
      </c>
      <c r="B673" s="246" t="s">
        <v>66</v>
      </c>
      <c r="C673" s="246" t="s">
        <v>264</v>
      </c>
      <c r="D673" s="246" t="s">
        <v>290</v>
      </c>
      <c r="E673" s="246"/>
      <c r="F673" s="246"/>
      <c r="G673" s="132" t="s">
        <v>641</v>
      </c>
      <c r="H673" s="132" t="s">
        <v>1498</v>
      </c>
      <c r="I673" s="132">
        <v>-38091303.75</v>
      </c>
      <c r="J673" s="101" t="s">
        <v>889</v>
      </c>
      <c r="K673" s="245" t="s">
        <v>390</v>
      </c>
      <c r="L673" s="245">
        <v>42949</v>
      </c>
      <c r="M673" s="245" t="s">
        <v>421</v>
      </c>
      <c r="N673" s="101">
        <v>0</v>
      </c>
      <c r="O673" s="101" t="s">
        <v>392</v>
      </c>
      <c r="P673" s="101">
        <v>0</v>
      </c>
      <c r="Q673" s="101">
        <v>0</v>
      </c>
      <c r="R673" s="101" t="s">
        <v>422</v>
      </c>
      <c r="S673" s="101" t="s">
        <v>637</v>
      </c>
      <c r="T673" s="101" t="s">
        <v>394</v>
      </c>
      <c r="U673" s="101" t="s">
        <v>84</v>
      </c>
      <c r="V673" s="245">
        <v>46600</v>
      </c>
      <c r="W673" s="101" t="s">
        <v>417</v>
      </c>
      <c r="X673" s="101" t="s">
        <v>76</v>
      </c>
      <c r="Y673" s="101" t="s">
        <v>392</v>
      </c>
      <c r="Z673" s="101" t="s">
        <v>412</v>
      </c>
      <c r="AA673" s="101" t="s">
        <v>638</v>
      </c>
      <c r="AB673" s="101">
        <v>3101051675</v>
      </c>
      <c r="AC673" s="101" t="s">
        <v>414</v>
      </c>
      <c r="AD673" s="101" t="s">
        <v>79</v>
      </c>
      <c r="AE673" s="101" t="s">
        <v>75</v>
      </c>
      <c r="AF673" s="101" t="s">
        <v>400</v>
      </c>
      <c r="AI673" s="101" t="s">
        <v>172</v>
      </c>
    </row>
    <row r="674" spans="1:35">
      <c r="A674" s="246" t="s">
        <v>112</v>
      </c>
      <c r="B674" s="246" t="s">
        <v>66</v>
      </c>
      <c r="C674" s="246" t="s">
        <v>126</v>
      </c>
      <c r="D674" s="246" t="s">
        <v>270</v>
      </c>
      <c r="E674" s="246"/>
      <c r="F674" s="246"/>
      <c r="G674" s="132" t="s">
        <v>850</v>
      </c>
      <c r="H674" s="132" t="s">
        <v>1499</v>
      </c>
      <c r="I674" s="132">
        <v>-6514.96</v>
      </c>
      <c r="J674" s="101" t="s">
        <v>889</v>
      </c>
      <c r="K674" s="245" t="s">
        <v>390</v>
      </c>
      <c r="L674" s="245">
        <v>42979</v>
      </c>
      <c r="M674" s="245" t="s">
        <v>391</v>
      </c>
      <c r="N674" s="101">
        <v>0</v>
      </c>
      <c r="O674" s="101" t="s">
        <v>392</v>
      </c>
      <c r="P674" s="101">
        <v>0</v>
      </c>
      <c r="Q674" s="101">
        <v>0</v>
      </c>
      <c r="R674" s="101" t="s">
        <v>422</v>
      </c>
      <c r="S674" s="101" t="s">
        <v>637</v>
      </c>
      <c r="T674" s="101" t="s">
        <v>394</v>
      </c>
      <c r="U674" s="101" t="s">
        <v>84</v>
      </c>
      <c r="V674" s="245">
        <v>46600</v>
      </c>
      <c r="W674" s="101" t="s">
        <v>417</v>
      </c>
      <c r="X674" s="101" t="s">
        <v>76</v>
      </c>
      <c r="Y674" s="101" t="s">
        <v>392</v>
      </c>
      <c r="Z674" s="101" t="s">
        <v>412</v>
      </c>
      <c r="AA674" s="101" t="s">
        <v>638</v>
      </c>
      <c r="AB674" s="101">
        <v>3101051675</v>
      </c>
      <c r="AC674" s="101" t="s">
        <v>414</v>
      </c>
      <c r="AD674" s="101" t="s">
        <v>79</v>
      </c>
      <c r="AE674" s="101" t="s">
        <v>75</v>
      </c>
      <c r="AF674" s="101" t="s">
        <v>400</v>
      </c>
      <c r="AI674" s="101" t="s">
        <v>172</v>
      </c>
    </row>
    <row r="675" spans="1:35">
      <c r="A675" s="246" t="s">
        <v>112</v>
      </c>
      <c r="B675" s="246" t="s">
        <v>66</v>
      </c>
      <c r="C675" s="246" t="s">
        <v>264</v>
      </c>
      <c r="D675" s="246" t="s">
        <v>290</v>
      </c>
      <c r="E675" s="246"/>
      <c r="F675" s="246"/>
      <c r="G675" s="132">
        <v>3375900</v>
      </c>
      <c r="H675" s="132" t="s">
        <v>1478</v>
      </c>
      <c r="I675" s="132">
        <v>3375900</v>
      </c>
      <c r="J675" s="101" t="s">
        <v>889</v>
      </c>
      <c r="K675" s="245" t="s">
        <v>390</v>
      </c>
      <c r="L675" s="245">
        <v>42979</v>
      </c>
      <c r="M675" s="245" t="s">
        <v>421</v>
      </c>
      <c r="N675" s="101">
        <v>0</v>
      </c>
      <c r="O675" s="101" t="s">
        <v>392</v>
      </c>
      <c r="P675" s="101">
        <v>0</v>
      </c>
      <c r="Q675" s="101">
        <v>0</v>
      </c>
      <c r="R675" s="101" t="s">
        <v>410</v>
      </c>
      <c r="S675" s="101" t="s">
        <v>637</v>
      </c>
      <c r="T675" s="101" t="s">
        <v>394</v>
      </c>
      <c r="U675" s="101" t="s">
        <v>84</v>
      </c>
      <c r="V675" s="245">
        <v>46600</v>
      </c>
      <c r="W675" s="101" t="s">
        <v>417</v>
      </c>
      <c r="X675" s="101" t="s">
        <v>76</v>
      </c>
      <c r="Y675" s="101" t="s">
        <v>392</v>
      </c>
      <c r="Z675" s="101" t="s">
        <v>412</v>
      </c>
      <c r="AA675" s="101" t="s">
        <v>638</v>
      </c>
      <c r="AB675" s="101">
        <v>3101051675</v>
      </c>
      <c r="AC675" s="101" t="s">
        <v>414</v>
      </c>
      <c r="AD675" s="101" t="s">
        <v>79</v>
      </c>
      <c r="AE675" s="101" t="s">
        <v>75</v>
      </c>
      <c r="AF675" s="101" t="s">
        <v>400</v>
      </c>
      <c r="AI675" s="101" t="s">
        <v>172</v>
      </c>
    </row>
    <row r="676" spans="1:35">
      <c r="A676" s="246" t="s">
        <v>112</v>
      </c>
      <c r="B676" s="246" t="s">
        <v>66</v>
      </c>
      <c r="C676" s="246" t="s">
        <v>126</v>
      </c>
      <c r="D676" s="246" t="s">
        <v>270</v>
      </c>
      <c r="E676" s="246"/>
      <c r="F676" s="246"/>
      <c r="G676" s="132" t="s">
        <v>830</v>
      </c>
      <c r="H676" s="132" t="s">
        <v>1482</v>
      </c>
      <c r="I676" s="132">
        <v>-16461.439999999999</v>
      </c>
      <c r="J676" s="101" t="s">
        <v>889</v>
      </c>
      <c r="K676" s="245" t="s">
        <v>390</v>
      </c>
      <c r="L676" s="245">
        <v>43009</v>
      </c>
      <c r="M676" s="245" t="s">
        <v>391</v>
      </c>
      <c r="N676" s="101">
        <v>0</v>
      </c>
      <c r="O676" s="101" t="s">
        <v>392</v>
      </c>
      <c r="P676" s="101">
        <v>0</v>
      </c>
      <c r="Q676" s="101">
        <v>0</v>
      </c>
      <c r="R676" s="101" t="s">
        <v>422</v>
      </c>
      <c r="S676" s="101" t="s">
        <v>637</v>
      </c>
      <c r="T676" s="101" t="s">
        <v>394</v>
      </c>
      <c r="U676" s="101" t="s">
        <v>84</v>
      </c>
      <c r="V676" s="245">
        <v>46600</v>
      </c>
      <c r="W676" s="101" t="s">
        <v>417</v>
      </c>
      <c r="X676" s="101" t="s">
        <v>76</v>
      </c>
      <c r="Y676" s="101" t="s">
        <v>392</v>
      </c>
      <c r="Z676" s="101" t="s">
        <v>412</v>
      </c>
      <c r="AA676" s="101" t="s">
        <v>638</v>
      </c>
      <c r="AB676" s="101">
        <v>3101051675</v>
      </c>
      <c r="AC676" s="101" t="s">
        <v>414</v>
      </c>
      <c r="AD676" s="101" t="s">
        <v>79</v>
      </c>
      <c r="AE676" s="101" t="s">
        <v>75</v>
      </c>
      <c r="AF676" s="101" t="s">
        <v>400</v>
      </c>
      <c r="AI676" s="101" t="s">
        <v>172</v>
      </c>
    </row>
    <row r="677" spans="1:35">
      <c r="A677" s="246" t="s">
        <v>112</v>
      </c>
      <c r="B677" s="246" t="s">
        <v>66</v>
      </c>
      <c r="C677" s="246" t="s">
        <v>264</v>
      </c>
      <c r="D677" s="246" t="s">
        <v>290</v>
      </c>
      <c r="E677" s="246"/>
      <c r="F677" s="246"/>
      <c r="G677" s="132">
        <v>3375900</v>
      </c>
      <c r="H677" s="132" t="s">
        <v>1478</v>
      </c>
      <c r="I677" s="132">
        <v>3375900</v>
      </c>
      <c r="J677" s="101" t="s">
        <v>889</v>
      </c>
      <c r="K677" s="245" t="s">
        <v>390</v>
      </c>
      <c r="L677" s="245">
        <v>43009</v>
      </c>
      <c r="M677" s="245" t="s">
        <v>421</v>
      </c>
      <c r="N677" s="101">
        <v>0</v>
      </c>
      <c r="O677" s="101" t="s">
        <v>392</v>
      </c>
      <c r="P677" s="101">
        <v>0</v>
      </c>
      <c r="Q677" s="101">
        <v>0</v>
      </c>
      <c r="R677" s="101" t="s">
        <v>410</v>
      </c>
      <c r="S677" s="101" t="s">
        <v>637</v>
      </c>
      <c r="T677" s="101" t="s">
        <v>394</v>
      </c>
      <c r="U677" s="101" t="s">
        <v>84</v>
      </c>
      <c r="V677" s="245">
        <v>46600</v>
      </c>
      <c r="W677" s="101" t="s">
        <v>417</v>
      </c>
      <c r="X677" s="101" t="s">
        <v>76</v>
      </c>
      <c r="Y677" s="101" t="s">
        <v>392</v>
      </c>
      <c r="Z677" s="101" t="s">
        <v>412</v>
      </c>
      <c r="AA677" s="101" t="s">
        <v>638</v>
      </c>
      <c r="AB677" s="101">
        <v>3101051675</v>
      </c>
      <c r="AC677" s="101" t="s">
        <v>414</v>
      </c>
      <c r="AD677" s="101" t="s">
        <v>79</v>
      </c>
      <c r="AE677" s="101" t="s">
        <v>75</v>
      </c>
      <c r="AF677" s="101" t="s">
        <v>400</v>
      </c>
      <c r="AI677" s="101" t="s">
        <v>172</v>
      </c>
    </row>
    <row r="678" spans="1:35">
      <c r="A678" s="246" t="s">
        <v>112</v>
      </c>
      <c r="B678" s="246" t="s">
        <v>66</v>
      </c>
      <c r="C678" s="246" t="s">
        <v>126</v>
      </c>
      <c r="D678" s="246" t="s">
        <v>270</v>
      </c>
      <c r="E678" s="246"/>
      <c r="F678" s="246"/>
      <c r="G678" s="132" t="s">
        <v>831</v>
      </c>
      <c r="H678" s="132" t="s">
        <v>1483</v>
      </c>
      <c r="I678" s="132">
        <v>-32404.12</v>
      </c>
      <c r="J678" s="101" t="s">
        <v>889</v>
      </c>
      <c r="K678" s="245" t="s">
        <v>390</v>
      </c>
      <c r="L678" s="245">
        <v>43040</v>
      </c>
      <c r="M678" s="245" t="s">
        <v>391</v>
      </c>
      <c r="N678" s="101">
        <v>0</v>
      </c>
      <c r="O678" s="101" t="s">
        <v>392</v>
      </c>
      <c r="P678" s="101">
        <v>0</v>
      </c>
      <c r="Q678" s="101">
        <v>0</v>
      </c>
      <c r="R678" s="101" t="s">
        <v>422</v>
      </c>
      <c r="S678" s="101" t="s">
        <v>637</v>
      </c>
      <c r="T678" s="101" t="s">
        <v>394</v>
      </c>
      <c r="U678" s="101" t="s">
        <v>84</v>
      </c>
      <c r="V678" s="245">
        <v>46600</v>
      </c>
      <c r="W678" s="101" t="s">
        <v>417</v>
      </c>
      <c r="X678" s="101" t="s">
        <v>76</v>
      </c>
      <c r="Y678" s="101" t="s">
        <v>392</v>
      </c>
      <c r="Z678" s="101" t="s">
        <v>412</v>
      </c>
      <c r="AA678" s="101" t="s">
        <v>638</v>
      </c>
      <c r="AB678" s="101">
        <v>3101051675</v>
      </c>
      <c r="AC678" s="101" t="s">
        <v>414</v>
      </c>
      <c r="AD678" s="101" t="s">
        <v>79</v>
      </c>
      <c r="AE678" s="101" t="s">
        <v>75</v>
      </c>
      <c r="AF678" s="101" t="s">
        <v>400</v>
      </c>
      <c r="AI678" s="101" t="s">
        <v>172</v>
      </c>
    </row>
    <row r="679" spans="1:35">
      <c r="A679" s="246" t="s">
        <v>112</v>
      </c>
      <c r="B679" s="246" t="s">
        <v>66</v>
      </c>
      <c r="C679" s="246" t="s">
        <v>264</v>
      </c>
      <c r="D679" s="246" t="s">
        <v>290</v>
      </c>
      <c r="E679" s="246"/>
      <c r="F679" s="246"/>
      <c r="G679" s="132">
        <v>3267000</v>
      </c>
      <c r="H679" s="132" t="s">
        <v>1476</v>
      </c>
      <c r="I679" s="132">
        <v>3267000</v>
      </c>
      <c r="J679" s="101" t="s">
        <v>889</v>
      </c>
      <c r="K679" s="245" t="s">
        <v>390</v>
      </c>
      <c r="L679" s="245">
        <v>43040</v>
      </c>
      <c r="M679" s="245" t="s">
        <v>421</v>
      </c>
      <c r="N679" s="101">
        <v>0</v>
      </c>
      <c r="O679" s="101" t="s">
        <v>392</v>
      </c>
      <c r="P679" s="101">
        <v>0</v>
      </c>
      <c r="Q679" s="101">
        <v>0</v>
      </c>
      <c r="R679" s="101" t="s">
        <v>410</v>
      </c>
      <c r="S679" s="101" t="s">
        <v>637</v>
      </c>
      <c r="T679" s="101" t="s">
        <v>394</v>
      </c>
      <c r="U679" s="101" t="s">
        <v>84</v>
      </c>
      <c r="V679" s="245">
        <v>46600</v>
      </c>
      <c r="W679" s="101" t="s">
        <v>417</v>
      </c>
      <c r="X679" s="101" t="s">
        <v>76</v>
      </c>
      <c r="Y679" s="101" t="s">
        <v>392</v>
      </c>
      <c r="Z679" s="101" t="s">
        <v>412</v>
      </c>
      <c r="AA679" s="101" t="s">
        <v>638</v>
      </c>
      <c r="AB679" s="101">
        <v>3101051675</v>
      </c>
      <c r="AC679" s="101" t="s">
        <v>414</v>
      </c>
      <c r="AD679" s="101" t="s">
        <v>79</v>
      </c>
      <c r="AE679" s="101" t="s">
        <v>75</v>
      </c>
      <c r="AF679" s="101" t="s">
        <v>400</v>
      </c>
      <c r="AI679" s="101" t="s">
        <v>172</v>
      </c>
    </row>
    <row r="680" spans="1:35">
      <c r="A680" s="246" t="s">
        <v>113</v>
      </c>
      <c r="B680" s="246" t="s">
        <v>66</v>
      </c>
      <c r="C680" s="246" t="s">
        <v>126</v>
      </c>
      <c r="D680" s="246" t="s">
        <v>271</v>
      </c>
      <c r="E680" s="246"/>
      <c r="F680" s="246"/>
      <c r="G680" s="132" t="s">
        <v>832</v>
      </c>
      <c r="H680" s="132" t="s">
        <v>1484</v>
      </c>
      <c r="I680" s="132">
        <v>-47832.53</v>
      </c>
      <c r="J680" s="101" t="s">
        <v>889</v>
      </c>
      <c r="K680" s="245" t="s">
        <v>390</v>
      </c>
      <c r="L680" s="245">
        <v>43070</v>
      </c>
      <c r="M680" s="245" t="s">
        <v>391</v>
      </c>
      <c r="N680" s="101">
        <v>0</v>
      </c>
      <c r="O680" s="101" t="s">
        <v>392</v>
      </c>
      <c r="P680" s="101">
        <v>0</v>
      </c>
      <c r="Q680" s="101">
        <v>0</v>
      </c>
      <c r="R680" s="101" t="s">
        <v>422</v>
      </c>
      <c r="S680" s="101" t="s">
        <v>637</v>
      </c>
      <c r="T680" s="101" t="s">
        <v>394</v>
      </c>
      <c r="U680" s="101" t="s">
        <v>84</v>
      </c>
      <c r="V680" s="245">
        <v>46600</v>
      </c>
      <c r="W680" s="101" t="s">
        <v>417</v>
      </c>
      <c r="X680" s="101" t="s">
        <v>76</v>
      </c>
      <c r="Y680" s="101" t="s">
        <v>392</v>
      </c>
      <c r="Z680" s="101" t="s">
        <v>412</v>
      </c>
      <c r="AA680" s="101" t="s">
        <v>638</v>
      </c>
      <c r="AB680" s="101">
        <v>3101051675</v>
      </c>
      <c r="AC680" s="101" t="s">
        <v>414</v>
      </c>
      <c r="AD680" s="101" t="s">
        <v>79</v>
      </c>
      <c r="AE680" s="101" t="s">
        <v>75</v>
      </c>
      <c r="AF680" s="101" t="s">
        <v>400</v>
      </c>
      <c r="AI680" s="101" t="s">
        <v>172</v>
      </c>
    </row>
    <row r="681" spans="1:35">
      <c r="A681" s="246" t="s">
        <v>113</v>
      </c>
      <c r="B681" s="246" t="s">
        <v>66</v>
      </c>
      <c r="C681" s="246" t="s">
        <v>264</v>
      </c>
      <c r="D681" s="246" t="s">
        <v>285</v>
      </c>
      <c r="E681" s="246"/>
      <c r="F681" s="246"/>
      <c r="G681" s="132">
        <v>3375900</v>
      </c>
      <c r="H681" s="132" t="s">
        <v>1478</v>
      </c>
      <c r="I681" s="132">
        <v>3375900</v>
      </c>
      <c r="J681" s="101" t="s">
        <v>889</v>
      </c>
      <c r="K681" s="245" t="s">
        <v>390</v>
      </c>
      <c r="L681" s="245">
        <v>43070</v>
      </c>
      <c r="M681" s="245" t="s">
        <v>421</v>
      </c>
      <c r="N681" s="101">
        <v>0</v>
      </c>
      <c r="O681" s="101" t="s">
        <v>392</v>
      </c>
      <c r="P681" s="101">
        <v>0</v>
      </c>
      <c r="Q681" s="101">
        <v>0</v>
      </c>
      <c r="R681" s="101" t="s">
        <v>410</v>
      </c>
      <c r="S681" s="101" t="s">
        <v>637</v>
      </c>
      <c r="T681" s="101" t="s">
        <v>394</v>
      </c>
      <c r="U681" s="101" t="s">
        <v>84</v>
      </c>
      <c r="V681" s="245">
        <v>46600</v>
      </c>
      <c r="W681" s="101" t="s">
        <v>417</v>
      </c>
      <c r="X681" s="101" t="s">
        <v>76</v>
      </c>
      <c r="Y681" s="101" t="s">
        <v>392</v>
      </c>
      <c r="Z681" s="101" t="s">
        <v>412</v>
      </c>
      <c r="AA681" s="101" t="s">
        <v>638</v>
      </c>
      <c r="AB681" s="101">
        <v>3101051675</v>
      </c>
      <c r="AC681" s="101" t="s">
        <v>414</v>
      </c>
      <c r="AD681" s="101" t="s">
        <v>79</v>
      </c>
      <c r="AE681" s="101" t="s">
        <v>75</v>
      </c>
      <c r="AF681" s="101" t="s">
        <v>400</v>
      </c>
      <c r="AI681" s="101" t="s">
        <v>172</v>
      </c>
    </row>
    <row r="682" spans="1:35">
      <c r="A682" s="246" t="s">
        <v>113</v>
      </c>
      <c r="B682" s="246" t="s">
        <v>66</v>
      </c>
      <c r="C682" s="246" t="s">
        <v>126</v>
      </c>
      <c r="D682" s="246" t="s">
        <v>271</v>
      </c>
      <c r="E682" s="246"/>
      <c r="F682" s="246"/>
      <c r="G682" s="132" t="s">
        <v>833</v>
      </c>
      <c r="H682" s="132" t="s">
        <v>1485</v>
      </c>
      <c r="I682" s="132">
        <v>-63775.219999999994</v>
      </c>
      <c r="J682" s="101" t="s">
        <v>889</v>
      </c>
      <c r="K682" s="245" t="s">
        <v>390</v>
      </c>
      <c r="L682" s="245">
        <v>43101</v>
      </c>
      <c r="M682" s="245" t="s">
        <v>391</v>
      </c>
      <c r="N682" s="101">
        <v>0</v>
      </c>
      <c r="O682" s="101" t="s">
        <v>392</v>
      </c>
      <c r="P682" s="101">
        <v>0</v>
      </c>
      <c r="Q682" s="101">
        <v>0</v>
      </c>
      <c r="R682" s="101" t="s">
        <v>422</v>
      </c>
      <c r="S682" s="101" t="s">
        <v>637</v>
      </c>
      <c r="T682" s="101" t="s">
        <v>394</v>
      </c>
      <c r="U682" s="101" t="s">
        <v>84</v>
      </c>
      <c r="V682" s="245">
        <v>46600</v>
      </c>
      <c r="W682" s="101" t="s">
        <v>417</v>
      </c>
      <c r="X682" s="101" t="s">
        <v>76</v>
      </c>
      <c r="Y682" s="101" t="s">
        <v>392</v>
      </c>
      <c r="Z682" s="101" t="s">
        <v>412</v>
      </c>
      <c r="AA682" s="101" t="s">
        <v>638</v>
      </c>
      <c r="AB682" s="101">
        <v>3101051675</v>
      </c>
      <c r="AC682" s="101" t="s">
        <v>414</v>
      </c>
      <c r="AD682" s="101" t="s">
        <v>79</v>
      </c>
      <c r="AE682" s="101" t="s">
        <v>75</v>
      </c>
      <c r="AF682" s="101" t="s">
        <v>400</v>
      </c>
      <c r="AI682" s="101" t="s">
        <v>172</v>
      </c>
    </row>
    <row r="683" spans="1:35">
      <c r="A683" s="246" t="s">
        <v>113</v>
      </c>
      <c r="B683" s="246" t="s">
        <v>66</v>
      </c>
      <c r="C683" s="246" t="s">
        <v>264</v>
      </c>
      <c r="D683" s="246" t="s">
        <v>285</v>
      </c>
      <c r="E683" s="246"/>
      <c r="F683" s="246"/>
      <c r="G683" s="132">
        <v>4573800</v>
      </c>
      <c r="H683" s="132" t="s">
        <v>1486</v>
      </c>
      <c r="I683" s="132">
        <v>4573800</v>
      </c>
      <c r="J683" s="101" t="s">
        <v>889</v>
      </c>
      <c r="K683" s="245" t="s">
        <v>390</v>
      </c>
      <c r="L683" s="245">
        <v>43101</v>
      </c>
      <c r="M683" s="245" t="s">
        <v>421</v>
      </c>
      <c r="N683" s="101">
        <v>0</v>
      </c>
      <c r="O683" s="101" t="s">
        <v>392</v>
      </c>
      <c r="P683" s="101">
        <v>0</v>
      </c>
      <c r="Q683" s="101">
        <v>0</v>
      </c>
      <c r="R683" s="101" t="s">
        <v>410</v>
      </c>
      <c r="S683" s="101" t="s">
        <v>637</v>
      </c>
      <c r="T683" s="101" t="s">
        <v>394</v>
      </c>
      <c r="U683" s="101" t="s">
        <v>84</v>
      </c>
      <c r="V683" s="245">
        <v>46600</v>
      </c>
      <c r="W683" s="101" t="s">
        <v>417</v>
      </c>
      <c r="X683" s="101" t="s">
        <v>76</v>
      </c>
      <c r="Y683" s="101" t="s">
        <v>392</v>
      </c>
      <c r="Z683" s="101" t="s">
        <v>412</v>
      </c>
      <c r="AA683" s="101" t="s">
        <v>638</v>
      </c>
      <c r="AB683" s="101">
        <v>3101051675</v>
      </c>
      <c r="AC683" s="101" t="s">
        <v>414</v>
      </c>
      <c r="AD683" s="101" t="s">
        <v>79</v>
      </c>
      <c r="AE683" s="101" t="s">
        <v>75</v>
      </c>
      <c r="AF683" s="101" t="s">
        <v>400</v>
      </c>
      <c r="AI683" s="101" t="s">
        <v>172</v>
      </c>
    </row>
    <row r="684" spans="1:35">
      <c r="A684" s="246" t="s">
        <v>113</v>
      </c>
      <c r="B684" s="246" t="s">
        <v>66</v>
      </c>
      <c r="C684" s="246" t="s">
        <v>126</v>
      </c>
      <c r="D684" s="246" t="s">
        <v>271</v>
      </c>
      <c r="E684" s="246"/>
      <c r="F684" s="246"/>
      <c r="G684" s="132" t="s">
        <v>834</v>
      </c>
      <c r="H684" s="132" t="s">
        <v>1487</v>
      </c>
      <c r="I684" s="132">
        <v>-85374.989999999991</v>
      </c>
      <c r="J684" s="101" t="s">
        <v>889</v>
      </c>
      <c r="K684" s="245" t="s">
        <v>390</v>
      </c>
      <c r="L684" s="245">
        <v>43132</v>
      </c>
      <c r="M684" s="245" t="s">
        <v>391</v>
      </c>
      <c r="N684" s="101">
        <v>0</v>
      </c>
      <c r="O684" s="101" t="s">
        <v>392</v>
      </c>
      <c r="P684" s="101">
        <v>0</v>
      </c>
      <c r="Q684" s="101">
        <v>0</v>
      </c>
      <c r="R684" s="101" t="s">
        <v>422</v>
      </c>
      <c r="S684" s="101" t="s">
        <v>637</v>
      </c>
      <c r="T684" s="101" t="s">
        <v>394</v>
      </c>
      <c r="U684" s="101" t="s">
        <v>84</v>
      </c>
      <c r="V684" s="245">
        <v>46600</v>
      </c>
      <c r="W684" s="101" t="s">
        <v>417</v>
      </c>
      <c r="X684" s="101" t="s">
        <v>76</v>
      </c>
      <c r="Y684" s="101" t="s">
        <v>392</v>
      </c>
      <c r="Z684" s="101" t="s">
        <v>412</v>
      </c>
      <c r="AA684" s="101" t="s">
        <v>638</v>
      </c>
      <c r="AB684" s="101">
        <v>3101051675</v>
      </c>
      <c r="AC684" s="101" t="s">
        <v>414</v>
      </c>
      <c r="AD684" s="101" t="s">
        <v>79</v>
      </c>
      <c r="AE684" s="101" t="s">
        <v>75</v>
      </c>
      <c r="AF684" s="101" t="s">
        <v>400</v>
      </c>
      <c r="AI684" s="101" t="s">
        <v>172</v>
      </c>
    </row>
    <row r="685" spans="1:35">
      <c r="A685" s="246" t="s">
        <v>113</v>
      </c>
      <c r="B685" s="246" t="s">
        <v>66</v>
      </c>
      <c r="C685" s="246" t="s">
        <v>264</v>
      </c>
      <c r="D685" s="246" t="s">
        <v>285</v>
      </c>
      <c r="E685" s="246"/>
      <c r="F685" s="246"/>
      <c r="G685" s="132">
        <v>4951320</v>
      </c>
      <c r="H685" s="132" t="s">
        <v>1488</v>
      </c>
      <c r="I685" s="132">
        <v>4951320</v>
      </c>
      <c r="J685" s="101" t="s">
        <v>889</v>
      </c>
      <c r="K685" s="245" t="s">
        <v>390</v>
      </c>
      <c r="L685" s="245">
        <v>43132</v>
      </c>
      <c r="M685" s="245" t="s">
        <v>421</v>
      </c>
      <c r="N685" s="101">
        <v>0</v>
      </c>
      <c r="O685" s="101" t="s">
        <v>392</v>
      </c>
      <c r="P685" s="101">
        <v>0</v>
      </c>
      <c r="Q685" s="101">
        <v>0</v>
      </c>
      <c r="R685" s="101" t="s">
        <v>410</v>
      </c>
      <c r="S685" s="101" t="s">
        <v>637</v>
      </c>
      <c r="T685" s="101" t="s">
        <v>394</v>
      </c>
      <c r="U685" s="101" t="s">
        <v>84</v>
      </c>
      <c r="V685" s="245">
        <v>46600</v>
      </c>
      <c r="W685" s="101" t="s">
        <v>417</v>
      </c>
      <c r="X685" s="101" t="s">
        <v>76</v>
      </c>
      <c r="Y685" s="101" t="s">
        <v>392</v>
      </c>
      <c r="Z685" s="101" t="s">
        <v>412</v>
      </c>
      <c r="AA685" s="101" t="s">
        <v>638</v>
      </c>
      <c r="AB685" s="101">
        <v>3101051675</v>
      </c>
      <c r="AC685" s="101" t="s">
        <v>414</v>
      </c>
      <c r="AD685" s="101" t="s">
        <v>79</v>
      </c>
      <c r="AE685" s="101" t="s">
        <v>75</v>
      </c>
      <c r="AF685" s="101" t="s">
        <v>400</v>
      </c>
      <c r="AI685" s="101" t="s">
        <v>172</v>
      </c>
    </row>
    <row r="686" spans="1:35">
      <c r="A686" s="246" t="s">
        <v>113</v>
      </c>
      <c r="B686" s="246" t="s">
        <v>66</v>
      </c>
      <c r="C686" s="246" t="s">
        <v>264</v>
      </c>
      <c r="D686" s="246" t="s">
        <v>285</v>
      </c>
      <c r="E686" s="246"/>
      <c r="F686" s="246"/>
      <c r="G686" s="132" t="s">
        <v>642</v>
      </c>
      <c r="H686" s="132" t="s">
        <v>1500</v>
      </c>
      <c r="I686" s="132">
        <v>-8102231.2499999991</v>
      </c>
      <c r="J686" s="101" t="s">
        <v>889</v>
      </c>
      <c r="K686" s="245" t="s">
        <v>390</v>
      </c>
      <c r="L686" s="245">
        <v>43133</v>
      </c>
      <c r="M686" s="245" t="s">
        <v>421</v>
      </c>
      <c r="N686" s="101">
        <v>0</v>
      </c>
      <c r="O686" s="101" t="s">
        <v>392</v>
      </c>
      <c r="P686" s="101">
        <v>0</v>
      </c>
      <c r="Q686" s="101">
        <v>0</v>
      </c>
      <c r="R686" s="101" t="s">
        <v>422</v>
      </c>
      <c r="S686" s="101" t="s">
        <v>637</v>
      </c>
      <c r="T686" s="101" t="s">
        <v>394</v>
      </c>
      <c r="U686" s="101" t="s">
        <v>84</v>
      </c>
      <c r="V686" s="245">
        <v>46600</v>
      </c>
      <c r="W686" s="101" t="s">
        <v>417</v>
      </c>
      <c r="X686" s="101" t="s">
        <v>76</v>
      </c>
      <c r="Y686" s="101" t="s">
        <v>392</v>
      </c>
      <c r="Z686" s="101" t="s">
        <v>412</v>
      </c>
      <c r="AA686" s="101" t="s">
        <v>638</v>
      </c>
      <c r="AB686" s="101">
        <v>3101051675</v>
      </c>
      <c r="AC686" s="101" t="s">
        <v>414</v>
      </c>
      <c r="AD686" s="101" t="s">
        <v>79</v>
      </c>
      <c r="AE686" s="101" t="s">
        <v>75</v>
      </c>
      <c r="AF686" s="101" t="s">
        <v>400</v>
      </c>
      <c r="AI686" s="101" t="s">
        <v>172</v>
      </c>
    </row>
    <row r="687" spans="1:35">
      <c r="A687" s="246" t="s">
        <v>113</v>
      </c>
      <c r="B687" s="246" t="s">
        <v>66</v>
      </c>
      <c r="C687" s="246" t="s">
        <v>126</v>
      </c>
      <c r="D687" s="246" t="s">
        <v>271</v>
      </c>
      <c r="E687" s="246"/>
      <c r="F687" s="246"/>
      <c r="G687" s="132" t="s">
        <v>835</v>
      </c>
      <c r="H687" s="132" t="s">
        <v>1501</v>
      </c>
      <c r="I687" s="132">
        <v>-71770.23</v>
      </c>
      <c r="J687" s="101" t="s">
        <v>889</v>
      </c>
      <c r="K687" s="245" t="s">
        <v>390</v>
      </c>
      <c r="L687" s="245">
        <v>43160</v>
      </c>
      <c r="M687" s="245" t="s">
        <v>391</v>
      </c>
      <c r="N687" s="101">
        <v>0</v>
      </c>
      <c r="O687" s="101" t="s">
        <v>392</v>
      </c>
      <c r="P687" s="101">
        <v>0</v>
      </c>
      <c r="Q687" s="101">
        <v>0</v>
      </c>
      <c r="R687" s="101" t="s">
        <v>422</v>
      </c>
      <c r="S687" s="101" t="s">
        <v>637</v>
      </c>
      <c r="T687" s="101" t="s">
        <v>394</v>
      </c>
      <c r="U687" s="101" t="s">
        <v>84</v>
      </c>
      <c r="V687" s="245">
        <v>46600</v>
      </c>
      <c r="W687" s="101" t="s">
        <v>417</v>
      </c>
      <c r="X687" s="101" t="s">
        <v>76</v>
      </c>
      <c r="Y687" s="101" t="s">
        <v>392</v>
      </c>
      <c r="Z687" s="101" t="s">
        <v>412</v>
      </c>
      <c r="AA687" s="101" t="s">
        <v>638</v>
      </c>
      <c r="AB687" s="101">
        <v>3101051675</v>
      </c>
      <c r="AC687" s="101" t="s">
        <v>414</v>
      </c>
      <c r="AD687" s="101" t="s">
        <v>79</v>
      </c>
      <c r="AE687" s="101" t="s">
        <v>75</v>
      </c>
      <c r="AF687" s="101" t="s">
        <v>400</v>
      </c>
      <c r="AI687" s="101" t="s">
        <v>172</v>
      </c>
    </row>
    <row r="688" spans="1:35">
      <c r="A688" s="246" t="s">
        <v>113</v>
      </c>
      <c r="B688" s="246" t="s">
        <v>66</v>
      </c>
      <c r="C688" s="246" t="s">
        <v>264</v>
      </c>
      <c r="D688" s="246" t="s">
        <v>285</v>
      </c>
      <c r="E688" s="246"/>
      <c r="F688" s="246"/>
      <c r="G688" s="132">
        <v>4951320</v>
      </c>
      <c r="H688" s="132" t="s">
        <v>1488</v>
      </c>
      <c r="I688" s="132">
        <v>4951320</v>
      </c>
      <c r="J688" s="101" t="s">
        <v>889</v>
      </c>
      <c r="K688" s="245" t="s">
        <v>390</v>
      </c>
      <c r="L688" s="245">
        <v>43160</v>
      </c>
      <c r="M688" s="245" t="s">
        <v>421</v>
      </c>
      <c r="N688" s="101">
        <v>0</v>
      </c>
      <c r="O688" s="101" t="s">
        <v>392</v>
      </c>
      <c r="P688" s="101">
        <v>0</v>
      </c>
      <c r="Q688" s="101">
        <v>0</v>
      </c>
      <c r="R688" s="101" t="s">
        <v>410</v>
      </c>
      <c r="S688" s="101" t="s">
        <v>637</v>
      </c>
      <c r="T688" s="101" t="s">
        <v>394</v>
      </c>
      <c r="U688" s="101" t="s">
        <v>84</v>
      </c>
      <c r="V688" s="245">
        <v>46600</v>
      </c>
      <c r="W688" s="101" t="s">
        <v>417</v>
      </c>
      <c r="X688" s="101" t="s">
        <v>76</v>
      </c>
      <c r="Y688" s="101" t="s">
        <v>392</v>
      </c>
      <c r="Z688" s="101" t="s">
        <v>412</v>
      </c>
      <c r="AA688" s="101" t="s">
        <v>638</v>
      </c>
      <c r="AB688" s="101">
        <v>3101051675</v>
      </c>
      <c r="AC688" s="101" t="s">
        <v>414</v>
      </c>
      <c r="AD688" s="101" t="s">
        <v>79</v>
      </c>
      <c r="AE688" s="101" t="s">
        <v>75</v>
      </c>
      <c r="AF688" s="101" t="s">
        <v>400</v>
      </c>
      <c r="AI688" s="101" t="s">
        <v>172</v>
      </c>
    </row>
    <row r="689" spans="1:35">
      <c r="A689" s="246" t="s">
        <v>113</v>
      </c>
      <c r="B689" s="246" t="s">
        <v>66</v>
      </c>
      <c r="C689" s="246" t="s">
        <v>126</v>
      </c>
      <c r="D689" s="246" t="s">
        <v>271</v>
      </c>
      <c r="E689" s="246"/>
      <c r="F689" s="246"/>
      <c r="G689" s="132" t="s">
        <v>836</v>
      </c>
      <c r="H689" s="132" t="s">
        <v>1502</v>
      </c>
      <c r="I689" s="132">
        <v>-93877.42</v>
      </c>
      <c r="J689" s="101" t="s">
        <v>889</v>
      </c>
      <c r="K689" s="245" t="s">
        <v>390</v>
      </c>
      <c r="L689" s="245">
        <v>43191</v>
      </c>
      <c r="M689" s="245" t="s">
        <v>391</v>
      </c>
      <c r="N689" s="101">
        <v>0</v>
      </c>
      <c r="O689" s="101" t="s">
        <v>392</v>
      </c>
      <c r="P689" s="101">
        <v>0</v>
      </c>
      <c r="Q689" s="101">
        <v>0</v>
      </c>
      <c r="R689" s="101" t="s">
        <v>422</v>
      </c>
      <c r="S689" s="101" t="s">
        <v>637</v>
      </c>
      <c r="T689" s="101" t="s">
        <v>394</v>
      </c>
      <c r="U689" s="101" t="s">
        <v>84</v>
      </c>
      <c r="V689" s="245">
        <v>46600</v>
      </c>
      <c r="W689" s="101" t="s">
        <v>417</v>
      </c>
      <c r="X689" s="101" t="s">
        <v>76</v>
      </c>
      <c r="Y689" s="101" t="s">
        <v>392</v>
      </c>
      <c r="Z689" s="101" t="s">
        <v>412</v>
      </c>
      <c r="AA689" s="101" t="s">
        <v>638</v>
      </c>
      <c r="AB689" s="101">
        <v>3101051675</v>
      </c>
      <c r="AC689" s="101" t="s">
        <v>414</v>
      </c>
      <c r="AD689" s="101" t="s">
        <v>79</v>
      </c>
      <c r="AE689" s="101" t="s">
        <v>75</v>
      </c>
      <c r="AF689" s="101" t="s">
        <v>400</v>
      </c>
      <c r="AI689" s="101" t="s">
        <v>172</v>
      </c>
    </row>
    <row r="690" spans="1:35">
      <c r="A690" s="246" t="s">
        <v>113</v>
      </c>
      <c r="B690" s="246" t="s">
        <v>66</v>
      </c>
      <c r="C690" s="246" t="s">
        <v>264</v>
      </c>
      <c r="D690" s="246" t="s">
        <v>285</v>
      </c>
      <c r="E690" s="246"/>
      <c r="F690" s="246"/>
      <c r="G690" s="132">
        <v>4472160</v>
      </c>
      <c r="H690" s="132" t="s">
        <v>1492</v>
      </c>
      <c r="I690" s="132">
        <v>4472160</v>
      </c>
      <c r="J690" s="101" t="s">
        <v>889</v>
      </c>
      <c r="K690" s="245" t="s">
        <v>390</v>
      </c>
      <c r="L690" s="245">
        <v>43191</v>
      </c>
      <c r="M690" s="245" t="s">
        <v>421</v>
      </c>
      <c r="N690" s="101">
        <v>0</v>
      </c>
      <c r="O690" s="101" t="s">
        <v>392</v>
      </c>
      <c r="P690" s="101">
        <v>0</v>
      </c>
      <c r="Q690" s="101">
        <v>0</v>
      </c>
      <c r="R690" s="101" t="s">
        <v>410</v>
      </c>
      <c r="S690" s="101" t="s">
        <v>637</v>
      </c>
      <c r="T690" s="101" t="s">
        <v>394</v>
      </c>
      <c r="U690" s="101" t="s">
        <v>84</v>
      </c>
      <c r="V690" s="245">
        <v>46600</v>
      </c>
      <c r="W690" s="101" t="s">
        <v>417</v>
      </c>
      <c r="X690" s="101" t="s">
        <v>76</v>
      </c>
      <c r="Y690" s="101" t="s">
        <v>392</v>
      </c>
      <c r="Z690" s="101" t="s">
        <v>412</v>
      </c>
      <c r="AA690" s="101" t="s">
        <v>638</v>
      </c>
      <c r="AB690" s="101">
        <v>3101051675</v>
      </c>
      <c r="AC690" s="101" t="s">
        <v>414</v>
      </c>
      <c r="AD690" s="101" t="s">
        <v>79</v>
      </c>
      <c r="AE690" s="101" t="s">
        <v>75</v>
      </c>
      <c r="AF690" s="101" t="s">
        <v>400</v>
      </c>
      <c r="AI690" s="101" t="s">
        <v>172</v>
      </c>
    </row>
    <row r="691" spans="1:35">
      <c r="A691" s="246" t="s">
        <v>113</v>
      </c>
      <c r="B691" s="246" t="s">
        <v>66</v>
      </c>
      <c r="C691" s="246" t="s">
        <v>126</v>
      </c>
      <c r="D691" s="246" t="s">
        <v>271</v>
      </c>
      <c r="E691" s="246"/>
      <c r="F691" s="246"/>
      <c r="G691" s="132" t="s">
        <v>837</v>
      </c>
      <c r="H691" s="132" t="s">
        <v>1503</v>
      </c>
      <c r="I691" s="132">
        <v>-114997.19999999998</v>
      </c>
      <c r="J691" s="101" t="s">
        <v>889</v>
      </c>
      <c r="K691" s="245" t="s">
        <v>390</v>
      </c>
      <c r="L691" s="245">
        <v>43221</v>
      </c>
      <c r="M691" s="245" t="s">
        <v>391</v>
      </c>
      <c r="N691" s="101">
        <v>0</v>
      </c>
      <c r="O691" s="101" t="s">
        <v>392</v>
      </c>
      <c r="P691" s="101">
        <v>0</v>
      </c>
      <c r="Q691" s="101">
        <v>0</v>
      </c>
      <c r="R691" s="101" t="s">
        <v>422</v>
      </c>
      <c r="S691" s="101" t="s">
        <v>637</v>
      </c>
      <c r="T691" s="101" t="s">
        <v>394</v>
      </c>
      <c r="U691" s="101" t="s">
        <v>84</v>
      </c>
      <c r="V691" s="245">
        <v>46600</v>
      </c>
      <c r="W691" s="101" t="s">
        <v>417</v>
      </c>
      <c r="X691" s="101" t="s">
        <v>76</v>
      </c>
      <c r="Y691" s="101" t="s">
        <v>392</v>
      </c>
      <c r="Z691" s="101" t="s">
        <v>412</v>
      </c>
      <c r="AA691" s="101" t="s">
        <v>638</v>
      </c>
      <c r="AB691" s="101">
        <v>3101051675</v>
      </c>
      <c r="AC691" s="101" t="s">
        <v>414</v>
      </c>
      <c r="AD691" s="101" t="s">
        <v>79</v>
      </c>
      <c r="AE691" s="101" t="s">
        <v>75</v>
      </c>
      <c r="AF691" s="101" t="s">
        <v>400</v>
      </c>
      <c r="AI691" s="101" t="s">
        <v>172</v>
      </c>
    </row>
    <row r="692" spans="1:35">
      <c r="A692" s="246" t="s">
        <v>113</v>
      </c>
      <c r="B692" s="246" t="s">
        <v>66</v>
      </c>
      <c r="C692" s="246" t="s">
        <v>264</v>
      </c>
      <c r="D692" s="246" t="s">
        <v>285</v>
      </c>
      <c r="E692" s="246"/>
      <c r="F692" s="246"/>
      <c r="G692" s="132">
        <v>4726260</v>
      </c>
      <c r="H692" s="132" t="s">
        <v>1494</v>
      </c>
      <c r="I692" s="132">
        <v>4726260</v>
      </c>
      <c r="J692" s="101" t="s">
        <v>889</v>
      </c>
      <c r="K692" s="245" t="s">
        <v>390</v>
      </c>
      <c r="L692" s="245">
        <v>43221</v>
      </c>
      <c r="M692" s="245" t="s">
        <v>421</v>
      </c>
      <c r="N692" s="101">
        <v>0</v>
      </c>
      <c r="O692" s="101" t="s">
        <v>392</v>
      </c>
      <c r="P692" s="101">
        <v>0</v>
      </c>
      <c r="Q692" s="101">
        <v>0</v>
      </c>
      <c r="R692" s="101" t="s">
        <v>410</v>
      </c>
      <c r="S692" s="101" t="s">
        <v>637</v>
      </c>
      <c r="T692" s="101" t="s">
        <v>394</v>
      </c>
      <c r="U692" s="101" t="s">
        <v>84</v>
      </c>
      <c r="V692" s="245">
        <v>46600</v>
      </c>
      <c r="W692" s="101" t="s">
        <v>417</v>
      </c>
      <c r="X692" s="101" t="s">
        <v>76</v>
      </c>
      <c r="Y692" s="101" t="s">
        <v>392</v>
      </c>
      <c r="Z692" s="101" t="s">
        <v>412</v>
      </c>
      <c r="AA692" s="101" t="s">
        <v>638</v>
      </c>
      <c r="AB692" s="101">
        <v>3101051675</v>
      </c>
      <c r="AC692" s="101" t="s">
        <v>414</v>
      </c>
      <c r="AD692" s="101" t="s">
        <v>79</v>
      </c>
      <c r="AE692" s="101" t="s">
        <v>75</v>
      </c>
      <c r="AF692" s="101" t="s">
        <v>400</v>
      </c>
      <c r="AI692" s="101" t="s">
        <v>172</v>
      </c>
    </row>
    <row r="693" spans="1:35">
      <c r="A693" s="246" t="s">
        <v>109</v>
      </c>
      <c r="B693" s="246" t="s">
        <v>66</v>
      </c>
      <c r="C693" s="246" t="s">
        <v>126</v>
      </c>
      <c r="D693" s="246" t="s">
        <v>272</v>
      </c>
      <c r="E693" s="246"/>
      <c r="F693" s="246"/>
      <c r="G693" s="132">
        <v>37500</v>
      </c>
      <c r="H693" s="132" t="s">
        <v>1504</v>
      </c>
      <c r="I693" s="132">
        <v>37500</v>
      </c>
      <c r="J693" s="101" t="s">
        <v>889</v>
      </c>
      <c r="K693" s="245" t="s">
        <v>390</v>
      </c>
      <c r="L693" s="245">
        <v>42536</v>
      </c>
      <c r="M693" s="245" t="s">
        <v>391</v>
      </c>
      <c r="N693" s="101">
        <v>0</v>
      </c>
      <c r="O693" s="101" t="s">
        <v>392</v>
      </c>
      <c r="P693" s="101">
        <v>0</v>
      </c>
      <c r="Q693" s="101">
        <v>0</v>
      </c>
      <c r="R693" s="101" t="s">
        <v>450</v>
      </c>
      <c r="S693" s="101">
        <v>193008</v>
      </c>
      <c r="T693" s="101" t="s">
        <v>394</v>
      </c>
      <c r="V693" s="245">
        <v>42536</v>
      </c>
      <c r="W693" s="101" t="s">
        <v>441</v>
      </c>
      <c r="X693" s="101" t="s">
        <v>76</v>
      </c>
      <c r="Y693" s="101" t="s">
        <v>392</v>
      </c>
      <c r="Z693" s="101" t="s">
        <v>430</v>
      </c>
      <c r="AA693" s="101" t="s">
        <v>531</v>
      </c>
      <c r="AB693" s="101">
        <v>3101053435</v>
      </c>
      <c r="AC693" s="101" t="s">
        <v>431</v>
      </c>
      <c r="AD693" s="101" t="s">
        <v>431</v>
      </c>
      <c r="AE693" s="101" t="s">
        <v>75</v>
      </c>
      <c r="AF693" s="101" t="s">
        <v>400</v>
      </c>
      <c r="AG693" s="101" t="s">
        <v>532</v>
      </c>
      <c r="AI693" s="101" t="s">
        <v>760</v>
      </c>
    </row>
    <row r="694" spans="1:35">
      <c r="A694" s="246" t="s">
        <v>109</v>
      </c>
      <c r="B694" s="246" t="s">
        <v>66</v>
      </c>
      <c r="C694" s="246" t="s">
        <v>116</v>
      </c>
      <c r="D694" s="246" t="s">
        <v>338</v>
      </c>
      <c r="E694" s="246"/>
      <c r="F694" s="246"/>
      <c r="G694" s="132">
        <v>15000000</v>
      </c>
      <c r="H694" s="132" t="s">
        <v>1505</v>
      </c>
      <c r="I694" s="132">
        <v>15000000</v>
      </c>
      <c r="J694" s="101" t="s">
        <v>889</v>
      </c>
      <c r="K694" s="245" t="s">
        <v>390</v>
      </c>
      <c r="L694" s="245">
        <v>42536</v>
      </c>
      <c r="M694" s="245" t="s">
        <v>421</v>
      </c>
      <c r="N694" s="101">
        <v>0</v>
      </c>
      <c r="O694" s="101" t="s">
        <v>392</v>
      </c>
      <c r="P694" s="101">
        <v>0</v>
      </c>
      <c r="Q694" s="101">
        <v>0</v>
      </c>
      <c r="R694" s="101" t="s">
        <v>450</v>
      </c>
      <c r="S694" s="101">
        <v>193008</v>
      </c>
      <c r="T694" s="101" t="s">
        <v>394</v>
      </c>
      <c r="V694" s="245">
        <v>42536</v>
      </c>
      <c r="W694" s="101" t="s">
        <v>441</v>
      </c>
      <c r="X694" s="101" t="s">
        <v>76</v>
      </c>
      <c r="Y694" s="101" t="s">
        <v>392</v>
      </c>
      <c r="Z694" s="101" t="s">
        <v>430</v>
      </c>
      <c r="AA694" s="101" t="s">
        <v>531</v>
      </c>
      <c r="AB694" s="101">
        <v>3101053435</v>
      </c>
      <c r="AC694" s="101" t="s">
        <v>431</v>
      </c>
      <c r="AD694" s="101" t="s">
        <v>431</v>
      </c>
      <c r="AE694" s="101" t="s">
        <v>75</v>
      </c>
      <c r="AF694" s="101" t="s">
        <v>400</v>
      </c>
      <c r="AG694" s="101" t="s">
        <v>532</v>
      </c>
      <c r="AI694" s="101" t="s">
        <v>760</v>
      </c>
    </row>
    <row r="695" spans="1:35">
      <c r="A695" s="246" t="s">
        <v>108</v>
      </c>
      <c r="B695" s="246" t="s">
        <v>66</v>
      </c>
      <c r="C695" s="246" t="s">
        <v>126</v>
      </c>
      <c r="D695" s="246" t="s">
        <v>280</v>
      </c>
      <c r="E695" s="246"/>
      <c r="F695" s="246"/>
      <c r="G695" s="132">
        <v>131250</v>
      </c>
      <c r="H695" s="132" t="s">
        <v>1506</v>
      </c>
      <c r="I695" s="132">
        <v>131250</v>
      </c>
      <c r="J695" s="101" t="s">
        <v>889</v>
      </c>
      <c r="K695" s="245" t="s">
        <v>390</v>
      </c>
      <c r="L695" s="245">
        <v>42530</v>
      </c>
      <c r="M695" s="245" t="s">
        <v>391</v>
      </c>
      <c r="N695" s="101">
        <v>0</v>
      </c>
      <c r="O695" s="101" t="s">
        <v>392</v>
      </c>
      <c r="P695" s="101">
        <v>0</v>
      </c>
      <c r="Q695" s="101">
        <v>0</v>
      </c>
      <c r="R695" s="101" t="s">
        <v>438</v>
      </c>
      <c r="S695" s="101">
        <v>162110</v>
      </c>
      <c r="T695" s="101" t="s">
        <v>394</v>
      </c>
      <c r="V695" s="245">
        <v>44904</v>
      </c>
      <c r="W695" s="101" t="s">
        <v>718</v>
      </c>
      <c r="X695" s="101" t="s">
        <v>76</v>
      </c>
      <c r="Y695" s="101" t="s">
        <v>392</v>
      </c>
      <c r="Z695" s="101" t="s">
        <v>430</v>
      </c>
      <c r="AA695" s="101" t="s">
        <v>451</v>
      </c>
      <c r="AB695" s="101">
        <v>1101005009</v>
      </c>
      <c r="AC695" s="101" t="s">
        <v>431</v>
      </c>
      <c r="AD695" s="101" t="s">
        <v>431</v>
      </c>
      <c r="AE695" s="101" t="s">
        <v>75</v>
      </c>
      <c r="AF695" s="101" t="s">
        <v>400</v>
      </c>
      <c r="AG695" s="101" t="s">
        <v>567</v>
      </c>
      <c r="AI695" s="101" t="s">
        <v>760</v>
      </c>
    </row>
    <row r="696" spans="1:35">
      <c r="A696" s="246" t="s">
        <v>111</v>
      </c>
      <c r="B696" s="246" t="s">
        <v>66</v>
      </c>
      <c r="C696" s="246" t="s">
        <v>126</v>
      </c>
      <c r="D696" s="246" t="s">
        <v>273</v>
      </c>
      <c r="E696" s="246"/>
      <c r="F696" s="246"/>
      <c r="G696" s="132">
        <v>131250</v>
      </c>
      <c r="H696" s="132" t="s">
        <v>1506</v>
      </c>
      <c r="I696" s="132">
        <v>131250</v>
      </c>
      <c r="J696" s="101" t="s">
        <v>889</v>
      </c>
      <c r="K696" s="245" t="s">
        <v>390</v>
      </c>
      <c r="L696" s="245">
        <v>42713</v>
      </c>
      <c r="M696" s="245" t="s">
        <v>391</v>
      </c>
      <c r="N696" s="101">
        <v>0</v>
      </c>
      <c r="O696" s="101" t="s">
        <v>392</v>
      </c>
      <c r="P696" s="101">
        <v>0</v>
      </c>
      <c r="Q696" s="101">
        <v>0</v>
      </c>
      <c r="R696" s="101" t="s">
        <v>438</v>
      </c>
      <c r="S696" s="101">
        <v>162110</v>
      </c>
      <c r="T696" s="101" t="s">
        <v>394</v>
      </c>
      <c r="V696" s="245">
        <v>44904</v>
      </c>
      <c r="W696" s="101" t="s">
        <v>718</v>
      </c>
      <c r="X696" s="101" t="s">
        <v>76</v>
      </c>
      <c r="Y696" s="101" t="s">
        <v>392</v>
      </c>
      <c r="Z696" s="101" t="s">
        <v>430</v>
      </c>
      <c r="AA696" s="101" t="s">
        <v>451</v>
      </c>
      <c r="AB696" s="101">
        <v>1101005009</v>
      </c>
      <c r="AC696" s="101" t="s">
        <v>431</v>
      </c>
      <c r="AD696" s="101" t="s">
        <v>431</v>
      </c>
      <c r="AE696" s="101" t="s">
        <v>75</v>
      </c>
      <c r="AF696" s="101" t="s">
        <v>400</v>
      </c>
      <c r="AG696" s="101" t="s">
        <v>567</v>
      </c>
      <c r="AI696" s="101" t="s">
        <v>760</v>
      </c>
    </row>
    <row r="697" spans="1:35">
      <c r="A697" s="246" t="s">
        <v>112</v>
      </c>
      <c r="B697" s="246" t="s">
        <v>66</v>
      </c>
      <c r="C697" s="246" t="s">
        <v>126</v>
      </c>
      <c r="D697" s="246" t="s">
        <v>270</v>
      </c>
      <c r="E697" s="246"/>
      <c r="F697" s="246"/>
      <c r="G697" s="132">
        <v>131250</v>
      </c>
      <c r="H697" s="132" t="s">
        <v>1506</v>
      </c>
      <c r="I697" s="132">
        <v>131250</v>
      </c>
      <c r="J697" s="101" t="s">
        <v>889</v>
      </c>
      <c r="K697" s="245" t="s">
        <v>390</v>
      </c>
      <c r="L697" s="245">
        <v>42895</v>
      </c>
      <c r="M697" s="245" t="s">
        <v>391</v>
      </c>
      <c r="N697" s="101">
        <v>0</v>
      </c>
      <c r="O697" s="101" t="s">
        <v>392</v>
      </c>
      <c r="P697" s="101">
        <v>0</v>
      </c>
      <c r="Q697" s="101">
        <v>0</v>
      </c>
      <c r="R697" s="101" t="s">
        <v>438</v>
      </c>
      <c r="S697" s="101">
        <v>162110</v>
      </c>
      <c r="T697" s="101" t="s">
        <v>394</v>
      </c>
      <c r="V697" s="245">
        <v>44904</v>
      </c>
      <c r="W697" s="101" t="s">
        <v>718</v>
      </c>
      <c r="X697" s="101" t="s">
        <v>76</v>
      </c>
      <c r="Y697" s="101" t="s">
        <v>392</v>
      </c>
      <c r="Z697" s="101" t="s">
        <v>430</v>
      </c>
      <c r="AA697" s="101" t="s">
        <v>451</v>
      </c>
      <c r="AB697" s="101">
        <v>1101005009</v>
      </c>
      <c r="AC697" s="101" t="s">
        <v>431</v>
      </c>
      <c r="AD697" s="101" t="s">
        <v>431</v>
      </c>
      <c r="AE697" s="101" t="s">
        <v>75</v>
      </c>
      <c r="AF697" s="101" t="s">
        <v>400</v>
      </c>
      <c r="AG697" s="101" t="s">
        <v>567</v>
      </c>
      <c r="AI697" s="101" t="s">
        <v>760</v>
      </c>
    </row>
    <row r="698" spans="1:35">
      <c r="A698" s="246" t="s">
        <v>113</v>
      </c>
      <c r="B698" s="246" t="s">
        <v>66</v>
      </c>
      <c r="C698" s="246" t="s">
        <v>126</v>
      </c>
      <c r="D698" s="246" t="s">
        <v>271</v>
      </c>
      <c r="E698" s="246"/>
      <c r="F698" s="246"/>
      <c r="G698" s="132">
        <v>131250</v>
      </c>
      <c r="H698" s="132" t="s">
        <v>1506</v>
      </c>
      <c r="I698" s="132">
        <v>131250</v>
      </c>
      <c r="J698" s="101" t="s">
        <v>889</v>
      </c>
      <c r="K698" s="245" t="s">
        <v>390</v>
      </c>
      <c r="L698" s="245">
        <v>43080</v>
      </c>
      <c r="M698" s="245" t="s">
        <v>391</v>
      </c>
      <c r="N698" s="101">
        <v>0</v>
      </c>
      <c r="O698" s="101" t="s">
        <v>392</v>
      </c>
      <c r="P698" s="101">
        <v>0</v>
      </c>
      <c r="Q698" s="101">
        <v>0</v>
      </c>
      <c r="R698" s="101" t="s">
        <v>438</v>
      </c>
      <c r="S698" s="101">
        <v>162110</v>
      </c>
      <c r="T698" s="101" t="s">
        <v>394</v>
      </c>
      <c r="V698" s="245">
        <v>44904</v>
      </c>
      <c r="W698" s="101" t="s">
        <v>718</v>
      </c>
      <c r="X698" s="101" t="s">
        <v>76</v>
      </c>
      <c r="Y698" s="101" t="s">
        <v>392</v>
      </c>
      <c r="Z698" s="101" t="s">
        <v>430</v>
      </c>
      <c r="AA698" s="101" t="s">
        <v>451</v>
      </c>
      <c r="AB698" s="101">
        <v>1101005009</v>
      </c>
      <c r="AC698" s="101" t="s">
        <v>431</v>
      </c>
      <c r="AD698" s="101" t="s">
        <v>431</v>
      </c>
      <c r="AE698" s="101" t="s">
        <v>75</v>
      </c>
      <c r="AF698" s="101" t="s">
        <v>400</v>
      </c>
      <c r="AG698" s="101" t="s">
        <v>567</v>
      </c>
      <c r="AI698" s="101" t="s">
        <v>760</v>
      </c>
    </row>
    <row r="699" spans="1:35">
      <c r="A699" s="246" t="s">
        <v>106</v>
      </c>
      <c r="B699" s="246" t="s">
        <v>78</v>
      </c>
      <c r="C699" s="246" t="s">
        <v>126</v>
      </c>
      <c r="D699" s="246" t="s">
        <v>882</v>
      </c>
      <c r="E699" s="246" t="s">
        <v>883</v>
      </c>
      <c r="F699" s="246" t="s">
        <v>763</v>
      </c>
      <c r="G699" s="132" t="s">
        <v>636</v>
      </c>
      <c r="H699" s="132" t="s">
        <v>1507</v>
      </c>
      <c r="I699" s="132">
        <v>86.16</v>
      </c>
      <c r="J699" s="101" t="s">
        <v>889</v>
      </c>
      <c r="K699" s="245" t="s">
        <v>390</v>
      </c>
      <c r="L699" s="245">
        <v>42509</v>
      </c>
      <c r="M699" s="245" t="s">
        <v>391</v>
      </c>
      <c r="N699" s="101">
        <v>0</v>
      </c>
      <c r="O699" s="101" t="s">
        <v>392</v>
      </c>
      <c r="P699" s="101">
        <v>0</v>
      </c>
      <c r="Q699" s="101">
        <v>0</v>
      </c>
      <c r="R699" s="101" t="s">
        <v>393</v>
      </c>
      <c r="S699" s="101" t="s">
        <v>794</v>
      </c>
      <c r="T699" s="101" t="s">
        <v>394</v>
      </c>
      <c r="V699" s="245">
        <v>17976</v>
      </c>
      <c r="W699" s="101" t="s">
        <v>395</v>
      </c>
      <c r="X699" s="101" t="s">
        <v>795</v>
      </c>
      <c r="Y699" s="101" t="s">
        <v>396</v>
      </c>
      <c r="Z699" s="101" t="s">
        <v>402</v>
      </c>
      <c r="AA699" s="101" t="s">
        <v>78</v>
      </c>
      <c r="AB699" s="101">
        <v>4101000279</v>
      </c>
      <c r="AC699" s="101" t="s">
        <v>398</v>
      </c>
      <c r="AD699" s="101" t="s">
        <v>403</v>
      </c>
      <c r="AE699" s="101" t="s">
        <v>6</v>
      </c>
      <c r="AF699" s="101" t="s">
        <v>400</v>
      </c>
      <c r="AI699" s="101" t="s">
        <v>760</v>
      </c>
    </row>
    <row r="700" spans="1:35">
      <c r="A700" s="246" t="s">
        <v>109</v>
      </c>
      <c r="B700" s="246" t="s">
        <v>78</v>
      </c>
      <c r="C700" s="246" t="s">
        <v>126</v>
      </c>
      <c r="D700" s="246" t="s">
        <v>337</v>
      </c>
      <c r="E700" s="246" t="s">
        <v>336</v>
      </c>
      <c r="F700" s="246" t="s">
        <v>275</v>
      </c>
      <c r="G700" s="132" t="s">
        <v>1508</v>
      </c>
      <c r="H700" s="132" t="s">
        <v>1509</v>
      </c>
      <c r="I700" s="132">
        <v>82.19</v>
      </c>
      <c r="J700" s="101" t="s">
        <v>889</v>
      </c>
      <c r="K700" s="245" t="s">
        <v>390</v>
      </c>
      <c r="L700" s="245">
        <v>42538</v>
      </c>
      <c r="M700" s="245" t="s">
        <v>391</v>
      </c>
      <c r="N700" s="101">
        <v>0</v>
      </c>
      <c r="O700" s="101" t="s">
        <v>392</v>
      </c>
      <c r="P700" s="101">
        <v>0</v>
      </c>
      <c r="Q700" s="101">
        <v>0</v>
      </c>
      <c r="R700" s="101" t="s">
        <v>393</v>
      </c>
      <c r="S700" s="101" t="s">
        <v>794</v>
      </c>
      <c r="T700" s="101" t="s">
        <v>394</v>
      </c>
      <c r="V700" s="245">
        <v>17976</v>
      </c>
      <c r="W700" s="101" t="s">
        <v>395</v>
      </c>
      <c r="X700" s="101" t="s">
        <v>795</v>
      </c>
      <c r="Y700" s="101" t="s">
        <v>396</v>
      </c>
      <c r="Z700" s="101" t="s">
        <v>402</v>
      </c>
      <c r="AA700" s="101" t="s">
        <v>78</v>
      </c>
      <c r="AB700" s="101">
        <v>4101000279</v>
      </c>
      <c r="AC700" s="101" t="s">
        <v>398</v>
      </c>
      <c r="AD700" s="101" t="s">
        <v>403</v>
      </c>
      <c r="AE700" s="101" t="s">
        <v>6</v>
      </c>
      <c r="AF700" s="101" t="s">
        <v>400</v>
      </c>
      <c r="AI700" s="101" t="s">
        <v>760</v>
      </c>
    </row>
    <row r="701" spans="1:35">
      <c r="A701" s="246" t="s">
        <v>109</v>
      </c>
      <c r="B701" s="246" t="s">
        <v>78</v>
      </c>
      <c r="C701" s="246" t="s">
        <v>126</v>
      </c>
      <c r="D701" s="246" t="s">
        <v>337</v>
      </c>
      <c r="E701" s="246" t="s">
        <v>336</v>
      </c>
      <c r="F701" s="246" t="s">
        <v>275</v>
      </c>
      <c r="G701" s="132" t="s">
        <v>1510</v>
      </c>
      <c r="H701" s="132" t="s">
        <v>1511</v>
      </c>
      <c r="I701" s="132">
        <v>88.05</v>
      </c>
      <c r="J701" s="101" t="s">
        <v>889</v>
      </c>
      <c r="K701" s="245" t="s">
        <v>390</v>
      </c>
      <c r="L701" s="245">
        <v>42570</v>
      </c>
      <c r="M701" s="245" t="s">
        <v>391</v>
      </c>
      <c r="N701" s="101">
        <v>0</v>
      </c>
      <c r="O701" s="101" t="s">
        <v>392</v>
      </c>
      <c r="P701" s="101">
        <v>0</v>
      </c>
      <c r="Q701" s="101">
        <v>0</v>
      </c>
      <c r="R701" s="101" t="s">
        <v>393</v>
      </c>
      <c r="S701" s="101" t="s">
        <v>794</v>
      </c>
      <c r="T701" s="101" t="s">
        <v>394</v>
      </c>
      <c r="V701" s="245">
        <v>17976</v>
      </c>
      <c r="W701" s="101" t="s">
        <v>395</v>
      </c>
      <c r="X701" s="101" t="s">
        <v>795</v>
      </c>
      <c r="Y701" s="101" t="s">
        <v>396</v>
      </c>
      <c r="Z701" s="101" t="s">
        <v>402</v>
      </c>
      <c r="AA701" s="101" t="s">
        <v>78</v>
      </c>
      <c r="AB701" s="101">
        <v>4101000279</v>
      </c>
      <c r="AC701" s="101" t="s">
        <v>398</v>
      </c>
      <c r="AD701" s="101" t="s">
        <v>403</v>
      </c>
      <c r="AE701" s="101" t="s">
        <v>6</v>
      </c>
      <c r="AF701" s="101" t="s">
        <v>400</v>
      </c>
      <c r="AI701" s="101" t="s">
        <v>760</v>
      </c>
    </row>
    <row r="702" spans="1:35">
      <c r="A702" s="246" t="s">
        <v>110</v>
      </c>
      <c r="B702" s="246" t="s">
        <v>78</v>
      </c>
      <c r="C702" s="246" t="s">
        <v>126</v>
      </c>
      <c r="D702" s="246" t="s">
        <v>770</v>
      </c>
      <c r="E702" s="246" t="s">
        <v>771</v>
      </c>
      <c r="F702" s="246" t="s">
        <v>276</v>
      </c>
      <c r="G702" s="132" t="s">
        <v>1512</v>
      </c>
      <c r="H702" s="132" t="s">
        <v>1513</v>
      </c>
      <c r="I702" s="132">
        <v>80.44</v>
      </c>
      <c r="J702" s="101" t="s">
        <v>889</v>
      </c>
      <c r="K702" s="245" t="s">
        <v>390</v>
      </c>
      <c r="L702" s="245">
        <v>42601</v>
      </c>
      <c r="M702" s="245" t="s">
        <v>391</v>
      </c>
      <c r="N702" s="101">
        <v>0</v>
      </c>
      <c r="O702" s="101" t="s">
        <v>392</v>
      </c>
      <c r="P702" s="101">
        <v>0</v>
      </c>
      <c r="Q702" s="101">
        <v>0</v>
      </c>
      <c r="R702" s="101" t="s">
        <v>393</v>
      </c>
      <c r="S702" s="101" t="s">
        <v>794</v>
      </c>
      <c r="T702" s="101" t="s">
        <v>394</v>
      </c>
      <c r="V702" s="245">
        <v>17976</v>
      </c>
      <c r="W702" s="101" t="s">
        <v>395</v>
      </c>
      <c r="X702" s="101" t="s">
        <v>795</v>
      </c>
      <c r="Y702" s="101" t="s">
        <v>396</v>
      </c>
      <c r="Z702" s="101" t="s">
        <v>402</v>
      </c>
      <c r="AA702" s="101" t="s">
        <v>78</v>
      </c>
      <c r="AB702" s="101">
        <v>4101000279</v>
      </c>
      <c r="AC702" s="101" t="s">
        <v>398</v>
      </c>
      <c r="AD702" s="101" t="s">
        <v>403</v>
      </c>
      <c r="AE702" s="101" t="s">
        <v>6</v>
      </c>
      <c r="AF702" s="101" t="s">
        <v>400</v>
      </c>
      <c r="AI702" s="101" t="s">
        <v>760</v>
      </c>
    </row>
    <row r="703" spans="1:35">
      <c r="A703" s="246" t="s">
        <v>110</v>
      </c>
      <c r="B703" s="246" t="s">
        <v>78</v>
      </c>
      <c r="C703" s="246" t="s">
        <v>126</v>
      </c>
      <c r="D703" s="246" t="s">
        <v>770</v>
      </c>
      <c r="E703" s="246" t="s">
        <v>771</v>
      </c>
      <c r="F703" s="246" t="s">
        <v>276</v>
      </c>
      <c r="G703" s="132" t="s">
        <v>1514</v>
      </c>
      <c r="H703" s="132" t="s">
        <v>1515</v>
      </c>
      <c r="I703" s="132">
        <v>65.27</v>
      </c>
      <c r="J703" s="101" t="s">
        <v>889</v>
      </c>
      <c r="K703" s="245" t="s">
        <v>390</v>
      </c>
      <c r="L703" s="245">
        <v>42632</v>
      </c>
      <c r="M703" s="245" t="s">
        <v>391</v>
      </c>
      <c r="N703" s="101">
        <v>0</v>
      </c>
      <c r="O703" s="101" t="s">
        <v>392</v>
      </c>
      <c r="P703" s="101">
        <v>0</v>
      </c>
      <c r="Q703" s="101">
        <v>0</v>
      </c>
      <c r="R703" s="101" t="s">
        <v>393</v>
      </c>
      <c r="S703" s="101" t="s">
        <v>794</v>
      </c>
      <c r="T703" s="101" t="s">
        <v>394</v>
      </c>
      <c r="V703" s="245">
        <v>17976</v>
      </c>
      <c r="W703" s="101" t="s">
        <v>395</v>
      </c>
      <c r="X703" s="101" t="s">
        <v>795</v>
      </c>
      <c r="Y703" s="101" t="s">
        <v>396</v>
      </c>
      <c r="Z703" s="101" t="s">
        <v>402</v>
      </c>
      <c r="AA703" s="101" t="s">
        <v>78</v>
      </c>
      <c r="AB703" s="101">
        <v>4101000279</v>
      </c>
      <c r="AC703" s="101" t="s">
        <v>398</v>
      </c>
      <c r="AD703" s="101" t="s">
        <v>403</v>
      </c>
      <c r="AE703" s="101" t="s">
        <v>6</v>
      </c>
      <c r="AF703" s="101" t="s">
        <v>400</v>
      </c>
      <c r="AI703" s="101" t="s">
        <v>760</v>
      </c>
    </row>
    <row r="704" spans="1:35">
      <c r="A704" s="246" t="s">
        <v>110</v>
      </c>
      <c r="B704" s="246" t="s">
        <v>78</v>
      </c>
      <c r="C704" s="246" t="s">
        <v>126</v>
      </c>
      <c r="D704" s="246" t="s">
        <v>770</v>
      </c>
      <c r="E704" s="246" t="s">
        <v>771</v>
      </c>
      <c r="F704" s="246" t="s">
        <v>276</v>
      </c>
      <c r="G704" s="132" t="s">
        <v>1516</v>
      </c>
      <c r="H704" s="132" t="s">
        <v>1517</v>
      </c>
      <c r="I704" s="132">
        <v>124.57999999999998</v>
      </c>
      <c r="J704" s="101" t="s">
        <v>889</v>
      </c>
      <c r="K704" s="245" t="s">
        <v>390</v>
      </c>
      <c r="L704" s="245">
        <v>42662</v>
      </c>
      <c r="M704" s="245" t="s">
        <v>391</v>
      </c>
      <c r="N704" s="101">
        <v>0</v>
      </c>
      <c r="O704" s="101" t="s">
        <v>392</v>
      </c>
      <c r="P704" s="101">
        <v>0</v>
      </c>
      <c r="Q704" s="101">
        <v>0</v>
      </c>
      <c r="R704" s="101" t="s">
        <v>393</v>
      </c>
      <c r="S704" s="101" t="s">
        <v>794</v>
      </c>
      <c r="T704" s="101" t="s">
        <v>394</v>
      </c>
      <c r="V704" s="245">
        <v>17976</v>
      </c>
      <c r="W704" s="101" t="s">
        <v>395</v>
      </c>
      <c r="X704" s="101" t="s">
        <v>795</v>
      </c>
      <c r="Y704" s="101" t="s">
        <v>396</v>
      </c>
      <c r="Z704" s="101" t="s">
        <v>402</v>
      </c>
      <c r="AA704" s="101" t="s">
        <v>78</v>
      </c>
      <c r="AB704" s="101">
        <v>4101000279</v>
      </c>
      <c r="AC704" s="101" t="s">
        <v>398</v>
      </c>
      <c r="AD704" s="101" t="s">
        <v>403</v>
      </c>
      <c r="AE704" s="101" t="s">
        <v>6</v>
      </c>
      <c r="AF704" s="101" t="s">
        <v>400</v>
      </c>
      <c r="AI704" s="101" t="s">
        <v>760</v>
      </c>
    </row>
    <row r="705" spans="1:35">
      <c r="A705" s="246" t="s">
        <v>111</v>
      </c>
      <c r="B705" s="246" t="s">
        <v>78</v>
      </c>
      <c r="C705" s="246" t="s">
        <v>126</v>
      </c>
      <c r="D705" s="246" t="s">
        <v>768</v>
      </c>
      <c r="E705" s="246" t="s">
        <v>769</v>
      </c>
      <c r="F705" s="246" t="s">
        <v>277</v>
      </c>
      <c r="G705" s="132" t="s">
        <v>1518</v>
      </c>
      <c r="H705" s="132" t="s">
        <v>1519</v>
      </c>
      <c r="I705" s="132">
        <v>118.47</v>
      </c>
      <c r="J705" s="101" t="s">
        <v>889</v>
      </c>
      <c r="K705" s="245" t="s">
        <v>390</v>
      </c>
      <c r="L705" s="245">
        <v>42692</v>
      </c>
      <c r="M705" s="245" t="s">
        <v>391</v>
      </c>
      <c r="N705" s="101">
        <v>0</v>
      </c>
      <c r="O705" s="101" t="s">
        <v>392</v>
      </c>
      <c r="P705" s="101">
        <v>0</v>
      </c>
      <c r="Q705" s="101">
        <v>0</v>
      </c>
      <c r="R705" s="101" t="s">
        <v>393</v>
      </c>
      <c r="S705" s="101" t="s">
        <v>794</v>
      </c>
      <c r="T705" s="101" t="s">
        <v>394</v>
      </c>
      <c r="V705" s="245">
        <v>17976</v>
      </c>
      <c r="W705" s="101" t="s">
        <v>395</v>
      </c>
      <c r="X705" s="101" t="s">
        <v>795</v>
      </c>
      <c r="Y705" s="101" t="s">
        <v>396</v>
      </c>
      <c r="Z705" s="101" t="s">
        <v>402</v>
      </c>
      <c r="AA705" s="101" t="s">
        <v>78</v>
      </c>
      <c r="AB705" s="101">
        <v>4101000279</v>
      </c>
      <c r="AC705" s="101" t="s">
        <v>398</v>
      </c>
      <c r="AD705" s="101" t="s">
        <v>403</v>
      </c>
      <c r="AE705" s="101" t="s">
        <v>6</v>
      </c>
      <c r="AF705" s="101" t="s">
        <v>400</v>
      </c>
      <c r="AI705" s="101" t="s">
        <v>760</v>
      </c>
    </row>
    <row r="706" spans="1:35">
      <c r="A706" s="246" t="s">
        <v>111</v>
      </c>
      <c r="B706" s="246" t="s">
        <v>78</v>
      </c>
      <c r="C706" s="246" t="s">
        <v>126</v>
      </c>
      <c r="D706" s="246" t="s">
        <v>768</v>
      </c>
      <c r="E706" s="246" t="s">
        <v>769</v>
      </c>
      <c r="F706" s="246" t="s">
        <v>277</v>
      </c>
      <c r="G706" s="132" t="s">
        <v>1520</v>
      </c>
      <c r="H706" s="132" t="s">
        <v>1521</v>
      </c>
      <c r="I706" s="132">
        <v>81.349999999999994</v>
      </c>
      <c r="J706" s="101" t="s">
        <v>889</v>
      </c>
      <c r="K706" s="245" t="s">
        <v>390</v>
      </c>
      <c r="L706" s="245">
        <v>42723</v>
      </c>
      <c r="M706" s="245" t="s">
        <v>391</v>
      </c>
      <c r="N706" s="101">
        <v>0</v>
      </c>
      <c r="O706" s="101" t="s">
        <v>392</v>
      </c>
      <c r="P706" s="101">
        <v>0</v>
      </c>
      <c r="Q706" s="101">
        <v>0</v>
      </c>
      <c r="R706" s="101" t="s">
        <v>393</v>
      </c>
      <c r="S706" s="101" t="s">
        <v>794</v>
      </c>
      <c r="T706" s="101" t="s">
        <v>394</v>
      </c>
      <c r="V706" s="245">
        <v>17976</v>
      </c>
      <c r="W706" s="101" t="s">
        <v>395</v>
      </c>
      <c r="X706" s="101" t="s">
        <v>795</v>
      </c>
      <c r="Y706" s="101" t="s">
        <v>396</v>
      </c>
      <c r="Z706" s="101" t="s">
        <v>402</v>
      </c>
      <c r="AA706" s="101" t="s">
        <v>78</v>
      </c>
      <c r="AB706" s="101">
        <v>4101000279</v>
      </c>
      <c r="AC706" s="101" t="s">
        <v>398</v>
      </c>
      <c r="AD706" s="101" t="s">
        <v>403</v>
      </c>
      <c r="AE706" s="101" t="s">
        <v>6</v>
      </c>
      <c r="AF706" s="101" t="s">
        <v>400</v>
      </c>
      <c r="AI706" s="101" t="s">
        <v>760</v>
      </c>
    </row>
    <row r="707" spans="1:35">
      <c r="A707" s="246" t="s">
        <v>111</v>
      </c>
      <c r="B707" s="246" t="s">
        <v>78</v>
      </c>
      <c r="C707" s="246" t="s">
        <v>126</v>
      </c>
      <c r="D707" s="246" t="s">
        <v>768</v>
      </c>
      <c r="E707" s="246" t="s">
        <v>769</v>
      </c>
      <c r="F707" s="246" t="s">
        <v>277</v>
      </c>
      <c r="G707" s="132" t="s">
        <v>1520</v>
      </c>
      <c r="H707" s="132" t="s">
        <v>1521</v>
      </c>
      <c r="I707" s="132">
        <v>81.349999999999994</v>
      </c>
      <c r="J707" s="101" t="s">
        <v>889</v>
      </c>
      <c r="K707" s="245" t="s">
        <v>390</v>
      </c>
      <c r="L707" s="245">
        <v>42754</v>
      </c>
      <c r="M707" s="245" t="s">
        <v>391</v>
      </c>
      <c r="N707" s="101">
        <v>0</v>
      </c>
      <c r="O707" s="101" t="s">
        <v>392</v>
      </c>
      <c r="P707" s="101">
        <v>0</v>
      </c>
      <c r="Q707" s="101">
        <v>0</v>
      </c>
      <c r="R707" s="101" t="s">
        <v>393</v>
      </c>
      <c r="S707" s="101" t="s">
        <v>794</v>
      </c>
      <c r="T707" s="101" t="s">
        <v>394</v>
      </c>
      <c r="V707" s="245">
        <v>17976</v>
      </c>
      <c r="W707" s="101" t="s">
        <v>395</v>
      </c>
      <c r="X707" s="101" t="s">
        <v>795</v>
      </c>
      <c r="Y707" s="101" t="s">
        <v>396</v>
      </c>
      <c r="Z707" s="101" t="s">
        <v>402</v>
      </c>
      <c r="AA707" s="101" t="s">
        <v>78</v>
      </c>
      <c r="AB707" s="101">
        <v>4101000279</v>
      </c>
      <c r="AC707" s="101" t="s">
        <v>398</v>
      </c>
      <c r="AD707" s="101" t="s">
        <v>403</v>
      </c>
      <c r="AE707" s="101" t="s">
        <v>6</v>
      </c>
      <c r="AF707" s="101" t="s">
        <v>400</v>
      </c>
      <c r="AI707" s="101" t="s">
        <v>760</v>
      </c>
    </row>
    <row r="708" spans="1:35">
      <c r="A708" s="246" t="s">
        <v>111</v>
      </c>
      <c r="B708" s="246" t="s">
        <v>78</v>
      </c>
      <c r="C708" s="246" t="s">
        <v>126</v>
      </c>
      <c r="D708" s="246" t="s">
        <v>768</v>
      </c>
      <c r="E708" s="246" t="s">
        <v>769</v>
      </c>
      <c r="F708" s="246" t="s">
        <v>277</v>
      </c>
      <c r="G708" s="132" t="s">
        <v>1522</v>
      </c>
      <c r="H708" s="132" t="s">
        <v>1523</v>
      </c>
      <c r="I708" s="132">
        <v>68.97999999999999</v>
      </c>
      <c r="J708" s="101" t="s">
        <v>889</v>
      </c>
      <c r="K708" s="245" t="s">
        <v>390</v>
      </c>
      <c r="L708" s="245">
        <v>42783</v>
      </c>
      <c r="M708" s="245" t="s">
        <v>391</v>
      </c>
      <c r="N708" s="101">
        <v>0</v>
      </c>
      <c r="O708" s="101" t="s">
        <v>392</v>
      </c>
      <c r="P708" s="101">
        <v>0</v>
      </c>
      <c r="Q708" s="101">
        <v>0</v>
      </c>
      <c r="R708" s="101" t="s">
        <v>393</v>
      </c>
      <c r="S708" s="101" t="s">
        <v>794</v>
      </c>
      <c r="T708" s="101" t="s">
        <v>394</v>
      </c>
      <c r="V708" s="245">
        <v>17976</v>
      </c>
      <c r="W708" s="101" t="s">
        <v>395</v>
      </c>
      <c r="X708" s="101" t="s">
        <v>795</v>
      </c>
      <c r="Y708" s="101" t="s">
        <v>396</v>
      </c>
      <c r="Z708" s="101" t="s">
        <v>402</v>
      </c>
      <c r="AA708" s="101" t="s">
        <v>78</v>
      </c>
      <c r="AB708" s="101">
        <v>4101000279</v>
      </c>
      <c r="AC708" s="101" t="s">
        <v>398</v>
      </c>
      <c r="AD708" s="101" t="s">
        <v>403</v>
      </c>
      <c r="AE708" s="101" t="s">
        <v>6</v>
      </c>
      <c r="AF708" s="101" t="s">
        <v>400</v>
      </c>
      <c r="AI708" s="101" t="s">
        <v>760</v>
      </c>
    </row>
    <row r="709" spans="1:35">
      <c r="A709" s="246" t="s">
        <v>111</v>
      </c>
      <c r="B709" s="246" t="s">
        <v>78</v>
      </c>
      <c r="C709" s="246" t="s">
        <v>126</v>
      </c>
      <c r="D709" s="246" t="s">
        <v>768</v>
      </c>
      <c r="E709" s="246" t="s">
        <v>769</v>
      </c>
      <c r="F709" s="246" t="s">
        <v>277</v>
      </c>
      <c r="G709" s="132" t="s">
        <v>1524</v>
      </c>
      <c r="H709" s="132" t="s">
        <v>1525</v>
      </c>
      <c r="I709" s="132">
        <v>23.56</v>
      </c>
      <c r="J709" s="101" t="s">
        <v>889</v>
      </c>
      <c r="K709" s="245" t="s">
        <v>390</v>
      </c>
      <c r="L709" s="245">
        <v>42811</v>
      </c>
      <c r="M709" s="245" t="s">
        <v>391</v>
      </c>
      <c r="N709" s="101">
        <v>0</v>
      </c>
      <c r="O709" s="101" t="s">
        <v>392</v>
      </c>
      <c r="P709" s="101">
        <v>0</v>
      </c>
      <c r="Q709" s="101">
        <v>0</v>
      </c>
      <c r="R709" s="101" t="s">
        <v>393</v>
      </c>
      <c r="S709" s="101" t="s">
        <v>794</v>
      </c>
      <c r="T709" s="101" t="s">
        <v>394</v>
      </c>
      <c r="V709" s="245">
        <v>17976</v>
      </c>
      <c r="W709" s="101" t="s">
        <v>395</v>
      </c>
      <c r="X709" s="101" t="s">
        <v>795</v>
      </c>
      <c r="Y709" s="101" t="s">
        <v>396</v>
      </c>
      <c r="Z709" s="101" t="s">
        <v>402</v>
      </c>
      <c r="AA709" s="101" t="s">
        <v>78</v>
      </c>
      <c r="AB709" s="101">
        <v>4101000279</v>
      </c>
      <c r="AC709" s="101" t="s">
        <v>398</v>
      </c>
      <c r="AD709" s="101" t="s">
        <v>403</v>
      </c>
      <c r="AE709" s="101" t="s">
        <v>6</v>
      </c>
      <c r="AF709" s="101" t="s">
        <v>400</v>
      </c>
      <c r="AI709" s="101" t="s">
        <v>760</v>
      </c>
    </row>
    <row r="710" spans="1:35">
      <c r="A710" s="246" t="s">
        <v>111</v>
      </c>
      <c r="B710" s="246" t="s">
        <v>78</v>
      </c>
      <c r="C710" s="246" t="s">
        <v>126</v>
      </c>
      <c r="D710" s="246" t="s">
        <v>768</v>
      </c>
      <c r="E710" s="246" t="s">
        <v>769</v>
      </c>
      <c r="F710" s="246" t="s">
        <v>277</v>
      </c>
      <c r="G710" s="132" t="s">
        <v>1526</v>
      </c>
      <c r="H710" s="132" t="s">
        <v>1527</v>
      </c>
      <c r="I710" s="132">
        <v>27.749999999999996</v>
      </c>
      <c r="J710" s="101" t="s">
        <v>889</v>
      </c>
      <c r="K710" s="245" t="s">
        <v>390</v>
      </c>
      <c r="L710" s="245">
        <v>42844</v>
      </c>
      <c r="M710" s="245" t="s">
        <v>391</v>
      </c>
      <c r="N710" s="101">
        <v>0</v>
      </c>
      <c r="O710" s="101" t="s">
        <v>392</v>
      </c>
      <c r="P710" s="101">
        <v>0</v>
      </c>
      <c r="Q710" s="101">
        <v>0</v>
      </c>
      <c r="R710" s="101" t="s">
        <v>393</v>
      </c>
      <c r="S710" s="101" t="s">
        <v>794</v>
      </c>
      <c r="T710" s="101" t="s">
        <v>394</v>
      </c>
      <c r="V710" s="245">
        <v>17976</v>
      </c>
      <c r="W710" s="101" t="s">
        <v>395</v>
      </c>
      <c r="X710" s="101" t="s">
        <v>795</v>
      </c>
      <c r="Y710" s="101" t="s">
        <v>396</v>
      </c>
      <c r="Z710" s="101" t="s">
        <v>402</v>
      </c>
      <c r="AA710" s="101" t="s">
        <v>78</v>
      </c>
      <c r="AB710" s="101">
        <v>4101000279</v>
      </c>
      <c r="AC710" s="101" t="s">
        <v>398</v>
      </c>
      <c r="AD710" s="101" t="s">
        <v>403</v>
      </c>
      <c r="AE710" s="101" t="s">
        <v>6</v>
      </c>
      <c r="AF710" s="101" t="s">
        <v>400</v>
      </c>
      <c r="AI710" s="101" t="s">
        <v>760</v>
      </c>
    </row>
    <row r="711" spans="1:35">
      <c r="A711" s="246" t="s">
        <v>112</v>
      </c>
      <c r="B711" s="246" t="s">
        <v>78</v>
      </c>
      <c r="C711" s="246" t="s">
        <v>126</v>
      </c>
      <c r="D711" s="246" t="s">
        <v>341</v>
      </c>
      <c r="E711" s="246" t="s">
        <v>342</v>
      </c>
      <c r="F711" s="246" t="s">
        <v>278</v>
      </c>
      <c r="G711" s="132" t="s">
        <v>1528</v>
      </c>
      <c r="H711" s="132" t="s">
        <v>1529</v>
      </c>
      <c r="I711" s="132">
        <v>12.97</v>
      </c>
      <c r="J711" s="101" t="s">
        <v>889</v>
      </c>
      <c r="K711" s="245" t="s">
        <v>390</v>
      </c>
      <c r="L711" s="245">
        <v>42874</v>
      </c>
      <c r="M711" s="245" t="s">
        <v>391</v>
      </c>
      <c r="N711" s="101">
        <v>0</v>
      </c>
      <c r="O711" s="101" t="s">
        <v>392</v>
      </c>
      <c r="P711" s="101">
        <v>0</v>
      </c>
      <c r="Q711" s="101">
        <v>0</v>
      </c>
      <c r="R711" s="101" t="s">
        <v>393</v>
      </c>
      <c r="S711" s="101" t="s">
        <v>794</v>
      </c>
      <c r="T711" s="101" t="s">
        <v>394</v>
      </c>
      <c r="V711" s="245">
        <v>17976</v>
      </c>
      <c r="W711" s="101" t="s">
        <v>395</v>
      </c>
      <c r="X711" s="101" t="s">
        <v>795</v>
      </c>
      <c r="Y711" s="101" t="s">
        <v>396</v>
      </c>
      <c r="Z711" s="101" t="s">
        <v>402</v>
      </c>
      <c r="AA711" s="101" t="s">
        <v>78</v>
      </c>
      <c r="AB711" s="101">
        <v>4101000279</v>
      </c>
      <c r="AC711" s="101" t="s">
        <v>398</v>
      </c>
      <c r="AD711" s="101" t="s">
        <v>403</v>
      </c>
      <c r="AE711" s="101" t="s">
        <v>6</v>
      </c>
      <c r="AF711" s="101" t="s">
        <v>400</v>
      </c>
      <c r="AI711" s="101" t="s">
        <v>760</v>
      </c>
    </row>
    <row r="712" spans="1:35">
      <c r="A712" s="246" t="s">
        <v>112</v>
      </c>
      <c r="B712" s="246" t="s">
        <v>78</v>
      </c>
      <c r="C712" s="246" t="s">
        <v>126</v>
      </c>
      <c r="D712" s="246" t="s">
        <v>341</v>
      </c>
      <c r="E712" s="246" t="s">
        <v>342</v>
      </c>
      <c r="F712" s="246" t="s">
        <v>278</v>
      </c>
      <c r="G712" s="132" t="s">
        <v>1530</v>
      </c>
      <c r="H712" s="132" t="s">
        <v>1531</v>
      </c>
      <c r="I712" s="132">
        <v>-28.25</v>
      </c>
      <c r="J712" s="101" t="s">
        <v>889</v>
      </c>
      <c r="K712" s="245" t="s">
        <v>390</v>
      </c>
      <c r="L712" s="245">
        <v>42905</v>
      </c>
      <c r="M712" s="245" t="s">
        <v>391</v>
      </c>
      <c r="N712" s="101">
        <v>0</v>
      </c>
      <c r="O712" s="101" t="s">
        <v>392</v>
      </c>
      <c r="P712" s="101">
        <v>0</v>
      </c>
      <c r="Q712" s="101">
        <v>0</v>
      </c>
      <c r="R712" s="101" t="s">
        <v>393</v>
      </c>
      <c r="S712" s="101" t="s">
        <v>794</v>
      </c>
      <c r="T712" s="101" t="s">
        <v>394</v>
      </c>
      <c r="V712" s="245">
        <v>17976</v>
      </c>
      <c r="W712" s="101" t="s">
        <v>395</v>
      </c>
      <c r="X712" s="101" t="s">
        <v>795</v>
      </c>
      <c r="Y712" s="101" t="s">
        <v>396</v>
      </c>
      <c r="Z712" s="101" t="s">
        <v>402</v>
      </c>
      <c r="AA712" s="101" t="s">
        <v>78</v>
      </c>
      <c r="AB712" s="101">
        <v>4101000279</v>
      </c>
      <c r="AC712" s="101" t="s">
        <v>398</v>
      </c>
      <c r="AD712" s="101" t="s">
        <v>403</v>
      </c>
      <c r="AE712" s="101" t="s">
        <v>6</v>
      </c>
      <c r="AF712" s="101" t="s">
        <v>400</v>
      </c>
      <c r="AI712" s="101" t="s">
        <v>760</v>
      </c>
    </row>
    <row r="713" spans="1:35">
      <c r="A713" s="246" t="s">
        <v>112</v>
      </c>
      <c r="B713" s="246" t="s">
        <v>78</v>
      </c>
      <c r="C713" s="246" t="s">
        <v>126</v>
      </c>
      <c r="D713" s="246" t="s">
        <v>341</v>
      </c>
      <c r="E713" s="246" t="s">
        <v>342</v>
      </c>
      <c r="F713" s="246" t="s">
        <v>278</v>
      </c>
      <c r="G713" s="132" t="s">
        <v>1532</v>
      </c>
      <c r="H713" s="132" t="s">
        <v>1533</v>
      </c>
      <c r="I713" s="132">
        <v>-27.33</v>
      </c>
      <c r="J713" s="101" t="s">
        <v>889</v>
      </c>
      <c r="K713" s="245" t="s">
        <v>390</v>
      </c>
      <c r="L713" s="245">
        <v>42935</v>
      </c>
      <c r="M713" s="245" t="s">
        <v>391</v>
      </c>
      <c r="N713" s="101">
        <v>0</v>
      </c>
      <c r="O713" s="101" t="s">
        <v>392</v>
      </c>
      <c r="P713" s="101">
        <v>0</v>
      </c>
      <c r="Q713" s="101">
        <v>0</v>
      </c>
      <c r="R713" s="101" t="s">
        <v>393</v>
      </c>
      <c r="S713" s="101" t="s">
        <v>794</v>
      </c>
      <c r="T713" s="101" t="s">
        <v>394</v>
      </c>
      <c r="V713" s="245">
        <v>17976</v>
      </c>
      <c r="W713" s="101" t="s">
        <v>395</v>
      </c>
      <c r="X713" s="101" t="s">
        <v>795</v>
      </c>
      <c r="Y713" s="101" t="s">
        <v>396</v>
      </c>
      <c r="Z713" s="101" t="s">
        <v>402</v>
      </c>
      <c r="AA713" s="101" t="s">
        <v>78</v>
      </c>
      <c r="AB713" s="101">
        <v>4101000279</v>
      </c>
      <c r="AC713" s="101" t="s">
        <v>398</v>
      </c>
      <c r="AD713" s="101" t="s">
        <v>403</v>
      </c>
      <c r="AE713" s="101" t="s">
        <v>6</v>
      </c>
      <c r="AF713" s="101" t="s">
        <v>400</v>
      </c>
      <c r="AI713" s="101" t="s">
        <v>760</v>
      </c>
    </row>
    <row r="714" spans="1:35">
      <c r="A714" s="246" t="s">
        <v>112</v>
      </c>
      <c r="B714" s="246" t="s">
        <v>78</v>
      </c>
      <c r="C714" s="246" t="s">
        <v>126</v>
      </c>
      <c r="D714" s="246" t="s">
        <v>341</v>
      </c>
      <c r="E714" s="246" t="s">
        <v>342</v>
      </c>
      <c r="F714" s="246" t="s">
        <v>278</v>
      </c>
      <c r="G714" s="132" t="s">
        <v>1532</v>
      </c>
      <c r="H714" s="132" t="s">
        <v>1533</v>
      </c>
      <c r="I714" s="132">
        <v>-27.33</v>
      </c>
      <c r="J714" s="101" t="s">
        <v>889</v>
      </c>
      <c r="K714" s="245" t="s">
        <v>390</v>
      </c>
      <c r="L714" s="245">
        <v>42965</v>
      </c>
      <c r="M714" s="245" t="s">
        <v>391</v>
      </c>
      <c r="N714" s="101">
        <v>0</v>
      </c>
      <c r="O714" s="101" t="s">
        <v>392</v>
      </c>
      <c r="P714" s="101">
        <v>0</v>
      </c>
      <c r="Q714" s="101">
        <v>0</v>
      </c>
      <c r="R714" s="101" t="s">
        <v>393</v>
      </c>
      <c r="S714" s="101" t="s">
        <v>794</v>
      </c>
      <c r="T714" s="101" t="s">
        <v>394</v>
      </c>
      <c r="V714" s="245">
        <v>17976</v>
      </c>
      <c r="W714" s="101" t="s">
        <v>395</v>
      </c>
      <c r="X714" s="101" t="s">
        <v>795</v>
      </c>
      <c r="Y714" s="101" t="s">
        <v>396</v>
      </c>
      <c r="Z714" s="101" t="s">
        <v>402</v>
      </c>
      <c r="AA714" s="101" t="s">
        <v>78</v>
      </c>
      <c r="AB714" s="101">
        <v>4101000279</v>
      </c>
      <c r="AC714" s="101" t="s">
        <v>398</v>
      </c>
      <c r="AD714" s="101" t="s">
        <v>403</v>
      </c>
      <c r="AE714" s="101" t="s">
        <v>6</v>
      </c>
      <c r="AF714" s="101" t="s">
        <v>400</v>
      </c>
      <c r="AI714" s="101" t="s">
        <v>760</v>
      </c>
    </row>
    <row r="715" spans="1:35">
      <c r="A715" s="246" t="s">
        <v>112</v>
      </c>
      <c r="B715" s="246" t="s">
        <v>78</v>
      </c>
      <c r="C715" s="246" t="s">
        <v>126</v>
      </c>
      <c r="D715" s="246" t="s">
        <v>341</v>
      </c>
      <c r="E715" s="246" t="s">
        <v>342</v>
      </c>
      <c r="F715" s="246" t="s">
        <v>278</v>
      </c>
      <c r="G715" s="132" t="s">
        <v>1534</v>
      </c>
      <c r="H715" s="132" t="s">
        <v>1535</v>
      </c>
      <c r="I715" s="132">
        <v>-29.16</v>
      </c>
      <c r="J715" s="101" t="s">
        <v>889</v>
      </c>
      <c r="K715" s="245" t="s">
        <v>390</v>
      </c>
      <c r="L715" s="245">
        <v>42997</v>
      </c>
      <c r="M715" s="245" t="s">
        <v>391</v>
      </c>
      <c r="N715" s="101">
        <v>0</v>
      </c>
      <c r="O715" s="101" t="s">
        <v>392</v>
      </c>
      <c r="P715" s="101">
        <v>0</v>
      </c>
      <c r="Q715" s="101">
        <v>0</v>
      </c>
      <c r="R715" s="101" t="s">
        <v>393</v>
      </c>
      <c r="S715" s="101" t="s">
        <v>794</v>
      </c>
      <c r="T715" s="101" t="s">
        <v>394</v>
      </c>
      <c r="V715" s="245">
        <v>17976</v>
      </c>
      <c r="W715" s="101" t="s">
        <v>395</v>
      </c>
      <c r="X715" s="101" t="s">
        <v>795</v>
      </c>
      <c r="Y715" s="101" t="s">
        <v>396</v>
      </c>
      <c r="Z715" s="101" t="s">
        <v>402</v>
      </c>
      <c r="AA715" s="101" t="s">
        <v>78</v>
      </c>
      <c r="AB715" s="101">
        <v>4101000279</v>
      </c>
      <c r="AC715" s="101" t="s">
        <v>398</v>
      </c>
      <c r="AD715" s="101" t="s">
        <v>403</v>
      </c>
      <c r="AE715" s="101" t="s">
        <v>6</v>
      </c>
      <c r="AF715" s="101" t="s">
        <v>400</v>
      </c>
      <c r="AI715" s="101" t="s">
        <v>760</v>
      </c>
    </row>
    <row r="716" spans="1:35">
      <c r="A716" s="246" t="s">
        <v>112</v>
      </c>
      <c r="B716" s="246" t="s">
        <v>78</v>
      </c>
      <c r="C716" s="246" t="s">
        <v>126</v>
      </c>
      <c r="D716" s="246" t="s">
        <v>341</v>
      </c>
      <c r="E716" s="246" t="s">
        <v>342</v>
      </c>
      <c r="F716" s="246" t="s">
        <v>278</v>
      </c>
      <c r="G716" s="132" t="s">
        <v>1532</v>
      </c>
      <c r="H716" s="132" t="s">
        <v>1533</v>
      </c>
      <c r="I716" s="132">
        <v>-27.33</v>
      </c>
      <c r="J716" s="101" t="s">
        <v>889</v>
      </c>
      <c r="K716" s="245" t="s">
        <v>390</v>
      </c>
      <c r="L716" s="245">
        <v>43027</v>
      </c>
      <c r="M716" s="245" t="s">
        <v>391</v>
      </c>
      <c r="N716" s="101">
        <v>0</v>
      </c>
      <c r="O716" s="101" t="s">
        <v>392</v>
      </c>
      <c r="P716" s="101">
        <v>0</v>
      </c>
      <c r="Q716" s="101">
        <v>0</v>
      </c>
      <c r="R716" s="101" t="s">
        <v>393</v>
      </c>
      <c r="S716" s="101" t="s">
        <v>794</v>
      </c>
      <c r="T716" s="101" t="s">
        <v>394</v>
      </c>
      <c r="V716" s="245">
        <v>17976</v>
      </c>
      <c r="W716" s="101" t="s">
        <v>395</v>
      </c>
      <c r="X716" s="101" t="s">
        <v>795</v>
      </c>
      <c r="Y716" s="101" t="s">
        <v>396</v>
      </c>
      <c r="Z716" s="101" t="s">
        <v>402</v>
      </c>
      <c r="AA716" s="101" t="s">
        <v>78</v>
      </c>
      <c r="AB716" s="101">
        <v>4101000279</v>
      </c>
      <c r="AC716" s="101" t="s">
        <v>398</v>
      </c>
      <c r="AD716" s="101" t="s">
        <v>403</v>
      </c>
      <c r="AE716" s="101" t="s">
        <v>6</v>
      </c>
      <c r="AF716" s="101" t="s">
        <v>400</v>
      </c>
      <c r="AI716" s="101" t="s">
        <v>760</v>
      </c>
    </row>
    <row r="717" spans="1:35">
      <c r="A717" s="246" t="s">
        <v>113</v>
      </c>
      <c r="B717" s="246" t="s">
        <v>78</v>
      </c>
      <c r="C717" s="246" t="s">
        <v>126</v>
      </c>
      <c r="D717" s="246" t="s">
        <v>339</v>
      </c>
      <c r="E717" s="246" t="s">
        <v>340</v>
      </c>
      <c r="F717" s="246" t="s">
        <v>279</v>
      </c>
      <c r="G717" s="132" t="s">
        <v>1536</v>
      </c>
      <c r="H717" s="132" t="s">
        <v>1537</v>
      </c>
      <c r="I717" s="132">
        <v>-26.419999999999998</v>
      </c>
      <c r="J717" s="101" t="s">
        <v>889</v>
      </c>
      <c r="K717" s="245" t="s">
        <v>390</v>
      </c>
      <c r="L717" s="245">
        <v>43056</v>
      </c>
      <c r="M717" s="245" t="s">
        <v>391</v>
      </c>
      <c r="N717" s="101">
        <v>0</v>
      </c>
      <c r="O717" s="101" t="s">
        <v>392</v>
      </c>
      <c r="P717" s="101">
        <v>0</v>
      </c>
      <c r="Q717" s="101">
        <v>0</v>
      </c>
      <c r="R717" s="101" t="s">
        <v>393</v>
      </c>
      <c r="S717" s="101" t="s">
        <v>794</v>
      </c>
      <c r="T717" s="101" t="s">
        <v>394</v>
      </c>
      <c r="V717" s="245">
        <v>17976</v>
      </c>
      <c r="W717" s="101" t="s">
        <v>395</v>
      </c>
      <c r="X717" s="101" t="s">
        <v>795</v>
      </c>
      <c r="Y717" s="101" t="s">
        <v>396</v>
      </c>
      <c r="Z717" s="101" t="s">
        <v>402</v>
      </c>
      <c r="AA717" s="101" t="s">
        <v>78</v>
      </c>
      <c r="AB717" s="101">
        <v>4101000279</v>
      </c>
      <c r="AC717" s="101" t="s">
        <v>398</v>
      </c>
      <c r="AD717" s="101" t="s">
        <v>403</v>
      </c>
      <c r="AE717" s="101" t="s">
        <v>6</v>
      </c>
      <c r="AF717" s="101" t="s">
        <v>400</v>
      </c>
      <c r="AI717" s="101" t="s">
        <v>760</v>
      </c>
    </row>
    <row r="718" spans="1:35">
      <c r="A718" s="246" t="s">
        <v>113</v>
      </c>
      <c r="B718" s="246" t="s">
        <v>78</v>
      </c>
      <c r="C718" s="246" t="s">
        <v>126</v>
      </c>
      <c r="D718" s="246" t="s">
        <v>339</v>
      </c>
      <c r="E718" s="246" t="s">
        <v>340</v>
      </c>
      <c r="F718" s="246" t="s">
        <v>279</v>
      </c>
      <c r="G718" s="132" t="s">
        <v>1534</v>
      </c>
      <c r="H718" s="132" t="s">
        <v>1535</v>
      </c>
      <c r="I718" s="132">
        <v>-29.16</v>
      </c>
      <c r="J718" s="101" t="s">
        <v>889</v>
      </c>
      <c r="K718" s="245" t="s">
        <v>390</v>
      </c>
      <c r="L718" s="245">
        <v>43088</v>
      </c>
      <c r="M718" s="245" t="s">
        <v>391</v>
      </c>
      <c r="N718" s="101">
        <v>0</v>
      </c>
      <c r="O718" s="101" t="s">
        <v>392</v>
      </c>
      <c r="P718" s="101">
        <v>0</v>
      </c>
      <c r="Q718" s="101">
        <v>0</v>
      </c>
      <c r="R718" s="101" t="s">
        <v>393</v>
      </c>
      <c r="S718" s="101" t="s">
        <v>794</v>
      </c>
      <c r="T718" s="101" t="s">
        <v>394</v>
      </c>
      <c r="V718" s="245">
        <v>17976</v>
      </c>
      <c r="W718" s="101" t="s">
        <v>395</v>
      </c>
      <c r="X718" s="101" t="s">
        <v>795</v>
      </c>
      <c r="Y718" s="101" t="s">
        <v>396</v>
      </c>
      <c r="Z718" s="101" t="s">
        <v>402</v>
      </c>
      <c r="AA718" s="101" t="s">
        <v>78</v>
      </c>
      <c r="AB718" s="101">
        <v>4101000279</v>
      </c>
      <c r="AC718" s="101" t="s">
        <v>398</v>
      </c>
      <c r="AD718" s="101" t="s">
        <v>403</v>
      </c>
      <c r="AE718" s="101" t="s">
        <v>6</v>
      </c>
      <c r="AF718" s="101" t="s">
        <v>400</v>
      </c>
      <c r="AI718" s="101" t="s">
        <v>760</v>
      </c>
    </row>
    <row r="719" spans="1:35">
      <c r="A719" s="246" t="s">
        <v>113</v>
      </c>
      <c r="B719" s="246" t="s">
        <v>78</v>
      </c>
      <c r="C719" s="246" t="s">
        <v>126</v>
      </c>
      <c r="D719" s="246" t="s">
        <v>339</v>
      </c>
      <c r="E719" s="246" t="s">
        <v>340</v>
      </c>
      <c r="F719" s="246" t="s">
        <v>279</v>
      </c>
      <c r="G719" s="132" t="s">
        <v>1530</v>
      </c>
      <c r="H719" s="132" t="s">
        <v>1531</v>
      </c>
      <c r="I719" s="132">
        <v>-28.25</v>
      </c>
      <c r="J719" s="101" t="s">
        <v>889</v>
      </c>
      <c r="K719" s="245" t="s">
        <v>390</v>
      </c>
      <c r="L719" s="245">
        <v>43119</v>
      </c>
      <c r="M719" s="245" t="s">
        <v>391</v>
      </c>
      <c r="N719" s="101">
        <v>0</v>
      </c>
      <c r="O719" s="101" t="s">
        <v>392</v>
      </c>
      <c r="P719" s="101">
        <v>0</v>
      </c>
      <c r="Q719" s="101">
        <v>0</v>
      </c>
      <c r="R719" s="101" t="s">
        <v>393</v>
      </c>
      <c r="S719" s="101" t="s">
        <v>794</v>
      </c>
      <c r="T719" s="101" t="s">
        <v>394</v>
      </c>
      <c r="V719" s="245">
        <v>17976</v>
      </c>
      <c r="W719" s="101" t="s">
        <v>395</v>
      </c>
      <c r="X719" s="101" t="s">
        <v>795</v>
      </c>
      <c r="Y719" s="101" t="s">
        <v>396</v>
      </c>
      <c r="Z719" s="101" t="s">
        <v>402</v>
      </c>
      <c r="AA719" s="101" t="s">
        <v>78</v>
      </c>
      <c r="AB719" s="101">
        <v>4101000279</v>
      </c>
      <c r="AC719" s="101" t="s">
        <v>398</v>
      </c>
      <c r="AD719" s="101" t="s">
        <v>403</v>
      </c>
      <c r="AE719" s="101" t="s">
        <v>6</v>
      </c>
      <c r="AF719" s="101" t="s">
        <v>400</v>
      </c>
      <c r="AI719" s="101" t="s">
        <v>760</v>
      </c>
    </row>
    <row r="720" spans="1:35">
      <c r="A720" s="246" t="s">
        <v>113</v>
      </c>
      <c r="B720" s="246" t="s">
        <v>78</v>
      </c>
      <c r="C720" s="246" t="s">
        <v>126</v>
      </c>
      <c r="D720" s="246" t="s">
        <v>339</v>
      </c>
      <c r="E720" s="246" t="s">
        <v>340</v>
      </c>
      <c r="F720" s="246" t="s">
        <v>279</v>
      </c>
      <c r="G720" s="132" t="s">
        <v>1538</v>
      </c>
      <c r="H720" s="132" t="s">
        <v>1539</v>
      </c>
      <c r="I720" s="132">
        <v>-25.499999999999996</v>
      </c>
      <c r="J720" s="101" t="s">
        <v>889</v>
      </c>
      <c r="K720" s="245" t="s">
        <v>390</v>
      </c>
      <c r="L720" s="245">
        <v>43147</v>
      </c>
      <c r="M720" s="245" t="s">
        <v>391</v>
      </c>
      <c r="N720" s="101">
        <v>0</v>
      </c>
      <c r="O720" s="101" t="s">
        <v>392</v>
      </c>
      <c r="P720" s="101">
        <v>0</v>
      </c>
      <c r="Q720" s="101">
        <v>0</v>
      </c>
      <c r="R720" s="101" t="s">
        <v>393</v>
      </c>
      <c r="S720" s="101" t="s">
        <v>794</v>
      </c>
      <c r="T720" s="101" t="s">
        <v>394</v>
      </c>
      <c r="V720" s="245">
        <v>17976</v>
      </c>
      <c r="W720" s="101" t="s">
        <v>395</v>
      </c>
      <c r="X720" s="101" t="s">
        <v>795</v>
      </c>
      <c r="Y720" s="101" t="s">
        <v>396</v>
      </c>
      <c r="Z720" s="101" t="s">
        <v>402</v>
      </c>
      <c r="AA720" s="101" t="s">
        <v>78</v>
      </c>
      <c r="AB720" s="101">
        <v>4101000279</v>
      </c>
      <c r="AC720" s="101" t="s">
        <v>398</v>
      </c>
      <c r="AD720" s="101" t="s">
        <v>403</v>
      </c>
      <c r="AE720" s="101" t="s">
        <v>6</v>
      </c>
      <c r="AF720" s="101" t="s">
        <v>400</v>
      </c>
      <c r="AI720" s="101" t="s">
        <v>760</v>
      </c>
    </row>
    <row r="721" spans="1:35">
      <c r="A721" s="246" t="s">
        <v>113</v>
      </c>
      <c r="B721" s="246" t="s">
        <v>78</v>
      </c>
      <c r="C721" s="246" t="s">
        <v>126</v>
      </c>
      <c r="D721" s="246" t="s">
        <v>339</v>
      </c>
      <c r="E721" s="246" t="s">
        <v>340</v>
      </c>
      <c r="F721" s="246" t="s">
        <v>279</v>
      </c>
      <c r="G721" s="132" t="s">
        <v>1530</v>
      </c>
      <c r="H721" s="132" t="s">
        <v>1531</v>
      </c>
      <c r="I721" s="132">
        <v>-28.25</v>
      </c>
      <c r="J721" s="101" t="s">
        <v>889</v>
      </c>
      <c r="K721" s="245" t="s">
        <v>390</v>
      </c>
      <c r="L721" s="245">
        <v>43178</v>
      </c>
      <c r="M721" s="245" t="s">
        <v>391</v>
      </c>
      <c r="N721" s="101">
        <v>0</v>
      </c>
      <c r="O721" s="101" t="s">
        <v>392</v>
      </c>
      <c r="P721" s="101">
        <v>0</v>
      </c>
      <c r="Q721" s="101">
        <v>0</v>
      </c>
      <c r="R721" s="101" t="s">
        <v>393</v>
      </c>
      <c r="S721" s="101" t="s">
        <v>794</v>
      </c>
      <c r="T721" s="101" t="s">
        <v>394</v>
      </c>
      <c r="V721" s="245">
        <v>17976</v>
      </c>
      <c r="W721" s="101" t="s">
        <v>395</v>
      </c>
      <c r="X721" s="101" t="s">
        <v>795</v>
      </c>
      <c r="Y721" s="101" t="s">
        <v>396</v>
      </c>
      <c r="Z721" s="101" t="s">
        <v>402</v>
      </c>
      <c r="AA721" s="101" t="s">
        <v>78</v>
      </c>
      <c r="AB721" s="101">
        <v>4101000279</v>
      </c>
      <c r="AC721" s="101" t="s">
        <v>398</v>
      </c>
      <c r="AD721" s="101" t="s">
        <v>403</v>
      </c>
      <c r="AE721" s="101" t="s">
        <v>6</v>
      </c>
      <c r="AF721" s="101" t="s">
        <v>400</v>
      </c>
      <c r="AI721" s="101" t="s">
        <v>760</v>
      </c>
    </row>
    <row r="722" spans="1:35">
      <c r="A722" s="246" t="s">
        <v>113</v>
      </c>
      <c r="B722" s="246" t="s">
        <v>78</v>
      </c>
      <c r="C722" s="246" t="s">
        <v>126</v>
      </c>
      <c r="D722" s="246" t="s">
        <v>339</v>
      </c>
      <c r="E722" s="246" t="s">
        <v>340</v>
      </c>
      <c r="F722" s="246" t="s">
        <v>279</v>
      </c>
      <c r="G722" s="132" t="s">
        <v>1530</v>
      </c>
      <c r="H722" s="132" t="s">
        <v>1531</v>
      </c>
      <c r="I722" s="132">
        <v>-28.25</v>
      </c>
      <c r="J722" s="101" t="s">
        <v>889</v>
      </c>
      <c r="K722" s="245" t="s">
        <v>390</v>
      </c>
      <c r="L722" s="245">
        <v>43209</v>
      </c>
      <c r="M722" s="245" t="s">
        <v>391</v>
      </c>
      <c r="N722" s="101">
        <v>0</v>
      </c>
      <c r="O722" s="101" t="s">
        <v>392</v>
      </c>
      <c r="P722" s="101">
        <v>0</v>
      </c>
      <c r="Q722" s="101">
        <v>0</v>
      </c>
      <c r="R722" s="101" t="s">
        <v>393</v>
      </c>
      <c r="S722" s="101" t="s">
        <v>794</v>
      </c>
      <c r="T722" s="101" t="s">
        <v>394</v>
      </c>
      <c r="V722" s="245">
        <v>17976</v>
      </c>
      <c r="W722" s="101" t="s">
        <v>395</v>
      </c>
      <c r="X722" s="101" t="s">
        <v>795</v>
      </c>
      <c r="Y722" s="101" t="s">
        <v>396</v>
      </c>
      <c r="Z722" s="101" t="s">
        <v>402</v>
      </c>
      <c r="AA722" s="101" t="s">
        <v>78</v>
      </c>
      <c r="AB722" s="101">
        <v>4101000279</v>
      </c>
      <c r="AC722" s="101" t="s">
        <v>398</v>
      </c>
      <c r="AD722" s="101" t="s">
        <v>403</v>
      </c>
      <c r="AE722" s="101" t="s">
        <v>6</v>
      </c>
      <c r="AF722" s="101" t="s">
        <v>400</v>
      </c>
      <c r="AI722" s="101" t="s">
        <v>760</v>
      </c>
    </row>
    <row r="723" spans="1:35">
      <c r="A723" s="246" t="s">
        <v>101</v>
      </c>
      <c r="B723" s="246" t="s">
        <v>66</v>
      </c>
      <c r="C723" s="246" t="s">
        <v>126</v>
      </c>
      <c r="D723" s="246" t="s">
        <v>282</v>
      </c>
      <c r="E723" s="246"/>
      <c r="F723" s="246"/>
      <c r="G723" s="132">
        <v>0</v>
      </c>
      <c r="H723" s="132">
        <v>0</v>
      </c>
      <c r="I723" s="132">
        <v>0</v>
      </c>
      <c r="J723" s="101" t="s">
        <v>889</v>
      </c>
      <c r="K723" s="245" t="s">
        <v>390</v>
      </c>
      <c r="L723" s="245">
        <v>42502</v>
      </c>
      <c r="M723" s="245" t="s">
        <v>391</v>
      </c>
      <c r="N723" s="101">
        <v>0</v>
      </c>
      <c r="O723" s="101" t="s">
        <v>392</v>
      </c>
      <c r="P723" s="101">
        <v>0</v>
      </c>
      <c r="Q723" s="101">
        <v>0</v>
      </c>
      <c r="R723" s="101" t="s">
        <v>450</v>
      </c>
      <c r="S723" s="101">
        <v>194016</v>
      </c>
      <c r="T723" s="101" t="s">
        <v>394</v>
      </c>
      <c r="V723" s="245">
        <v>42502</v>
      </c>
      <c r="W723" s="101" t="s">
        <v>441</v>
      </c>
      <c r="X723" s="101" t="s">
        <v>76</v>
      </c>
      <c r="Y723" s="101" t="s">
        <v>392</v>
      </c>
      <c r="Z723" s="101" t="s">
        <v>430</v>
      </c>
      <c r="AA723" s="101" t="s">
        <v>531</v>
      </c>
      <c r="AB723" s="101">
        <v>3101053435</v>
      </c>
      <c r="AC723" s="101" t="s">
        <v>431</v>
      </c>
      <c r="AD723" s="101" t="s">
        <v>431</v>
      </c>
      <c r="AE723" s="101" t="s">
        <v>75</v>
      </c>
      <c r="AF723" s="101" t="s">
        <v>400</v>
      </c>
      <c r="AG723" s="101" t="s">
        <v>554</v>
      </c>
      <c r="AI723" s="101" t="s">
        <v>760</v>
      </c>
    </row>
    <row r="724" spans="1:35">
      <c r="A724" s="246" t="s">
        <v>107</v>
      </c>
      <c r="B724" s="246" t="s">
        <v>78</v>
      </c>
      <c r="C724" s="246" t="s">
        <v>126</v>
      </c>
      <c r="D724" s="246" t="s">
        <v>772</v>
      </c>
      <c r="E724" s="246" t="s">
        <v>773</v>
      </c>
      <c r="F724" s="246"/>
      <c r="G724" s="132">
        <v>73350</v>
      </c>
      <c r="H724" s="132" t="s">
        <v>1540</v>
      </c>
      <c r="I724" s="132">
        <v>73350</v>
      </c>
      <c r="J724" s="101" t="s">
        <v>889</v>
      </c>
      <c r="K724" s="245" t="s">
        <v>390</v>
      </c>
      <c r="L724" s="245">
        <v>42522</v>
      </c>
      <c r="M724" s="245" t="s">
        <v>391</v>
      </c>
      <c r="N724" s="101">
        <v>0</v>
      </c>
      <c r="O724" s="101" t="s">
        <v>392</v>
      </c>
      <c r="P724" s="101">
        <v>0</v>
      </c>
      <c r="Q724" s="101">
        <v>0</v>
      </c>
      <c r="R724" s="101" t="s">
        <v>393</v>
      </c>
      <c r="S724" s="101" t="s">
        <v>805</v>
      </c>
      <c r="T724" s="101" t="s">
        <v>394</v>
      </c>
      <c r="V724" s="245">
        <v>46539</v>
      </c>
      <c r="W724" s="101" t="s">
        <v>535</v>
      </c>
      <c r="X724" s="101" t="s">
        <v>76</v>
      </c>
      <c r="Y724" s="101" t="s">
        <v>471</v>
      </c>
      <c r="Z724" s="101" t="s">
        <v>402</v>
      </c>
      <c r="AA724" s="101" t="s">
        <v>78</v>
      </c>
      <c r="AB724" s="101">
        <v>4101000279</v>
      </c>
      <c r="AC724" s="101" t="s">
        <v>398</v>
      </c>
      <c r="AD724" s="101" t="s">
        <v>403</v>
      </c>
      <c r="AE724" s="101" t="s">
        <v>75</v>
      </c>
      <c r="AF724" s="101" t="s">
        <v>400</v>
      </c>
      <c r="AI724" s="101" t="s">
        <v>760</v>
      </c>
    </row>
    <row r="725" spans="1:35">
      <c r="A725" s="246" t="s">
        <v>111</v>
      </c>
      <c r="B725" s="246" t="s">
        <v>78</v>
      </c>
      <c r="C725" s="246" t="s">
        <v>126</v>
      </c>
      <c r="D725" s="246" t="s">
        <v>768</v>
      </c>
      <c r="E725" s="246" t="s">
        <v>769</v>
      </c>
      <c r="F725" s="246"/>
      <c r="G725" s="132">
        <v>73350</v>
      </c>
      <c r="H725" s="132" t="s">
        <v>1540</v>
      </c>
      <c r="I725" s="132">
        <v>73350</v>
      </c>
      <c r="J725" s="101" t="s">
        <v>889</v>
      </c>
      <c r="K725" s="245" t="s">
        <v>390</v>
      </c>
      <c r="L725" s="245">
        <v>42705</v>
      </c>
      <c r="M725" s="245" t="s">
        <v>391</v>
      </c>
      <c r="N725" s="101">
        <v>0</v>
      </c>
      <c r="O725" s="101" t="s">
        <v>392</v>
      </c>
      <c r="P725" s="101">
        <v>0</v>
      </c>
      <c r="Q725" s="101">
        <v>0</v>
      </c>
      <c r="R725" s="101" t="s">
        <v>393</v>
      </c>
      <c r="S725" s="101" t="s">
        <v>805</v>
      </c>
      <c r="T725" s="101" t="s">
        <v>394</v>
      </c>
      <c r="V725" s="245">
        <v>46539</v>
      </c>
      <c r="W725" s="101" t="s">
        <v>535</v>
      </c>
      <c r="X725" s="101" t="s">
        <v>76</v>
      </c>
      <c r="Y725" s="101" t="s">
        <v>471</v>
      </c>
      <c r="Z725" s="101" t="s">
        <v>402</v>
      </c>
      <c r="AA725" s="101" t="s">
        <v>78</v>
      </c>
      <c r="AB725" s="101">
        <v>4101000279</v>
      </c>
      <c r="AC725" s="101" t="s">
        <v>398</v>
      </c>
      <c r="AD725" s="101" t="s">
        <v>403</v>
      </c>
      <c r="AE725" s="101" t="s">
        <v>75</v>
      </c>
      <c r="AF725" s="101" t="s">
        <v>400</v>
      </c>
      <c r="AI725" s="101" t="s">
        <v>760</v>
      </c>
    </row>
    <row r="726" spans="1:35">
      <c r="A726" s="246" t="s">
        <v>112</v>
      </c>
      <c r="B726" s="246" t="s">
        <v>78</v>
      </c>
      <c r="C726" s="246" t="s">
        <v>126</v>
      </c>
      <c r="D726" s="246" t="s">
        <v>341</v>
      </c>
      <c r="E726" s="246" t="s">
        <v>342</v>
      </c>
      <c r="F726" s="246"/>
      <c r="G726" s="132">
        <v>73350</v>
      </c>
      <c r="H726" s="132" t="s">
        <v>1540</v>
      </c>
      <c r="I726" s="132">
        <v>73350</v>
      </c>
      <c r="J726" s="101" t="s">
        <v>889</v>
      </c>
      <c r="K726" s="245" t="s">
        <v>390</v>
      </c>
      <c r="L726" s="245">
        <v>42887</v>
      </c>
      <c r="M726" s="245" t="s">
        <v>391</v>
      </c>
      <c r="N726" s="101">
        <v>0</v>
      </c>
      <c r="O726" s="101" t="s">
        <v>392</v>
      </c>
      <c r="P726" s="101">
        <v>0</v>
      </c>
      <c r="Q726" s="101">
        <v>0</v>
      </c>
      <c r="R726" s="101" t="s">
        <v>393</v>
      </c>
      <c r="S726" s="101" t="s">
        <v>805</v>
      </c>
      <c r="T726" s="101" t="s">
        <v>394</v>
      </c>
      <c r="V726" s="245">
        <v>46539</v>
      </c>
      <c r="W726" s="101" t="s">
        <v>535</v>
      </c>
      <c r="X726" s="101" t="s">
        <v>76</v>
      </c>
      <c r="Y726" s="101" t="s">
        <v>471</v>
      </c>
      <c r="Z726" s="101" t="s">
        <v>402</v>
      </c>
      <c r="AA726" s="101" t="s">
        <v>78</v>
      </c>
      <c r="AB726" s="101">
        <v>4101000279</v>
      </c>
      <c r="AC726" s="101" t="s">
        <v>398</v>
      </c>
      <c r="AD726" s="101" t="s">
        <v>403</v>
      </c>
      <c r="AE726" s="101" t="s">
        <v>75</v>
      </c>
      <c r="AF726" s="101" t="s">
        <v>400</v>
      </c>
      <c r="AI726" s="101" t="s">
        <v>760</v>
      </c>
    </row>
    <row r="727" spans="1:35">
      <c r="A727" s="246" t="s">
        <v>113</v>
      </c>
      <c r="B727" s="246" t="s">
        <v>78</v>
      </c>
      <c r="C727" s="246" t="s">
        <v>126</v>
      </c>
      <c r="D727" s="246" t="s">
        <v>339</v>
      </c>
      <c r="E727" s="246" t="s">
        <v>340</v>
      </c>
      <c r="F727" s="246"/>
      <c r="G727" s="132">
        <v>73350</v>
      </c>
      <c r="H727" s="132" t="s">
        <v>1540</v>
      </c>
      <c r="I727" s="132">
        <v>73350</v>
      </c>
      <c r="J727" s="101" t="s">
        <v>889</v>
      </c>
      <c r="K727" s="245" t="s">
        <v>390</v>
      </c>
      <c r="L727" s="245">
        <v>43070</v>
      </c>
      <c r="M727" s="245" t="s">
        <v>391</v>
      </c>
      <c r="N727" s="101">
        <v>0</v>
      </c>
      <c r="O727" s="101" t="s">
        <v>392</v>
      </c>
      <c r="P727" s="101">
        <v>0</v>
      </c>
      <c r="Q727" s="101">
        <v>0</v>
      </c>
      <c r="R727" s="101" t="s">
        <v>393</v>
      </c>
      <c r="S727" s="101" t="s">
        <v>805</v>
      </c>
      <c r="T727" s="101" t="s">
        <v>394</v>
      </c>
      <c r="V727" s="245">
        <v>46539</v>
      </c>
      <c r="W727" s="101" t="s">
        <v>535</v>
      </c>
      <c r="X727" s="101" t="s">
        <v>76</v>
      </c>
      <c r="Y727" s="101" t="s">
        <v>471</v>
      </c>
      <c r="Z727" s="101" t="s">
        <v>402</v>
      </c>
      <c r="AA727" s="101" t="s">
        <v>78</v>
      </c>
      <c r="AB727" s="101">
        <v>4101000279</v>
      </c>
      <c r="AC727" s="101" t="s">
        <v>398</v>
      </c>
      <c r="AD727" s="101" t="s">
        <v>403</v>
      </c>
      <c r="AE727" s="101" t="s">
        <v>75</v>
      </c>
      <c r="AF727" s="101" t="s">
        <v>400</v>
      </c>
      <c r="AI727" s="101" t="s">
        <v>760</v>
      </c>
    </row>
    <row r="728" spans="1:35">
      <c r="A728" s="246" t="s">
        <v>107</v>
      </c>
      <c r="B728" s="246" t="s">
        <v>78</v>
      </c>
      <c r="C728" s="246" t="s">
        <v>126</v>
      </c>
      <c r="D728" s="246" t="s">
        <v>772</v>
      </c>
      <c r="E728" s="246" t="s">
        <v>773</v>
      </c>
      <c r="F728" s="246"/>
      <c r="G728" s="132" t="s">
        <v>871</v>
      </c>
      <c r="H728" s="132" t="s">
        <v>1541</v>
      </c>
      <c r="I728" s="132">
        <v>-10555.199999999999</v>
      </c>
      <c r="J728" s="101" t="s">
        <v>889</v>
      </c>
      <c r="K728" s="245" t="s">
        <v>390</v>
      </c>
      <c r="L728" s="245">
        <v>42521</v>
      </c>
      <c r="M728" s="245" t="s">
        <v>391</v>
      </c>
      <c r="N728" s="101">
        <v>0</v>
      </c>
      <c r="O728" s="101" t="s">
        <v>392</v>
      </c>
      <c r="P728" s="101">
        <v>0</v>
      </c>
      <c r="Q728" s="101">
        <v>0</v>
      </c>
      <c r="R728" s="101" t="s">
        <v>393</v>
      </c>
      <c r="S728" s="101" t="s">
        <v>647</v>
      </c>
      <c r="T728" s="101" t="s">
        <v>394</v>
      </c>
      <c r="V728" s="245">
        <v>46371</v>
      </c>
      <c r="W728" s="101" t="s">
        <v>535</v>
      </c>
      <c r="X728" s="101" t="s">
        <v>362</v>
      </c>
      <c r="Y728" s="101" t="s">
        <v>471</v>
      </c>
      <c r="Z728" s="101" t="s">
        <v>402</v>
      </c>
      <c r="AA728" s="101" t="s">
        <v>78</v>
      </c>
      <c r="AB728" s="101">
        <v>4101000279</v>
      </c>
      <c r="AC728" s="101" t="s">
        <v>398</v>
      </c>
      <c r="AD728" s="101" t="s">
        <v>403</v>
      </c>
      <c r="AE728" s="101" t="s">
        <v>75</v>
      </c>
      <c r="AF728" s="101" t="s">
        <v>400</v>
      </c>
      <c r="AI728" s="101" t="s">
        <v>760</v>
      </c>
    </row>
    <row r="729" spans="1:35">
      <c r="A729" s="246" t="s">
        <v>109</v>
      </c>
      <c r="B729" s="246" t="s">
        <v>78</v>
      </c>
      <c r="C729" s="246" t="s">
        <v>126</v>
      </c>
      <c r="D729" s="246" t="s">
        <v>337</v>
      </c>
      <c r="E729" s="246" t="s">
        <v>336</v>
      </c>
      <c r="F729" s="246"/>
      <c r="G729" s="132" t="s">
        <v>1542</v>
      </c>
      <c r="H729" s="132" t="s">
        <v>1543</v>
      </c>
      <c r="I729" s="132">
        <v>-10481.5</v>
      </c>
      <c r="J729" s="101" t="s">
        <v>889</v>
      </c>
      <c r="K729" s="245" t="s">
        <v>390</v>
      </c>
      <c r="L729" s="245">
        <v>42551</v>
      </c>
      <c r="M729" s="245" t="s">
        <v>391</v>
      </c>
      <c r="N729" s="101">
        <v>0</v>
      </c>
      <c r="O729" s="101" t="s">
        <v>392</v>
      </c>
      <c r="P729" s="101">
        <v>0</v>
      </c>
      <c r="Q729" s="101">
        <v>0</v>
      </c>
      <c r="R729" s="101" t="s">
        <v>393</v>
      </c>
      <c r="S729" s="101" t="s">
        <v>647</v>
      </c>
      <c r="T729" s="101" t="s">
        <v>394</v>
      </c>
      <c r="V729" s="245">
        <v>46371</v>
      </c>
      <c r="W729" s="101" t="s">
        <v>535</v>
      </c>
      <c r="X729" s="101" t="s">
        <v>362</v>
      </c>
      <c r="Y729" s="101" t="s">
        <v>471</v>
      </c>
      <c r="Z729" s="101" t="s">
        <v>402</v>
      </c>
      <c r="AA729" s="101" t="s">
        <v>78</v>
      </c>
      <c r="AB729" s="101">
        <v>4101000279</v>
      </c>
      <c r="AC729" s="101" t="s">
        <v>398</v>
      </c>
      <c r="AD729" s="101" t="s">
        <v>403</v>
      </c>
      <c r="AE729" s="101" t="s">
        <v>75</v>
      </c>
      <c r="AF729" s="101" t="s">
        <v>400</v>
      </c>
      <c r="AI729" s="101" t="s">
        <v>760</v>
      </c>
    </row>
    <row r="730" spans="1:35">
      <c r="A730" s="246" t="s">
        <v>109</v>
      </c>
      <c r="B730" s="246" t="s">
        <v>78</v>
      </c>
      <c r="C730" s="246" t="s">
        <v>126</v>
      </c>
      <c r="D730" s="246" t="s">
        <v>337</v>
      </c>
      <c r="E730" s="246" t="s">
        <v>336</v>
      </c>
      <c r="F730" s="246"/>
      <c r="G730" s="132" t="s">
        <v>1544</v>
      </c>
      <c r="H730" s="132" t="s">
        <v>1545</v>
      </c>
      <c r="I730" s="132">
        <v>-10709.85</v>
      </c>
      <c r="J730" s="101" t="s">
        <v>889</v>
      </c>
      <c r="K730" s="245" t="s">
        <v>390</v>
      </c>
      <c r="L730" s="245">
        <v>42580</v>
      </c>
      <c r="M730" s="245" t="s">
        <v>391</v>
      </c>
      <c r="N730" s="101">
        <v>0</v>
      </c>
      <c r="O730" s="101" t="s">
        <v>392</v>
      </c>
      <c r="P730" s="101">
        <v>0</v>
      </c>
      <c r="Q730" s="101">
        <v>0</v>
      </c>
      <c r="R730" s="101" t="s">
        <v>393</v>
      </c>
      <c r="S730" s="101" t="s">
        <v>647</v>
      </c>
      <c r="T730" s="101" t="s">
        <v>394</v>
      </c>
      <c r="V730" s="245">
        <v>46371</v>
      </c>
      <c r="W730" s="101" t="s">
        <v>535</v>
      </c>
      <c r="X730" s="101" t="s">
        <v>362</v>
      </c>
      <c r="Y730" s="101" t="s">
        <v>471</v>
      </c>
      <c r="Z730" s="101" t="s">
        <v>402</v>
      </c>
      <c r="AA730" s="101" t="s">
        <v>78</v>
      </c>
      <c r="AB730" s="101">
        <v>4101000279</v>
      </c>
      <c r="AC730" s="101" t="s">
        <v>398</v>
      </c>
      <c r="AD730" s="101" t="s">
        <v>403</v>
      </c>
      <c r="AE730" s="101" t="s">
        <v>75</v>
      </c>
      <c r="AF730" s="101" t="s">
        <v>400</v>
      </c>
      <c r="AI730" s="101" t="s">
        <v>760</v>
      </c>
    </row>
    <row r="731" spans="1:35">
      <c r="A731" s="246" t="s">
        <v>110</v>
      </c>
      <c r="B731" s="246" t="s">
        <v>78</v>
      </c>
      <c r="C731" s="246" t="s">
        <v>126</v>
      </c>
      <c r="D731" s="246" t="s">
        <v>770</v>
      </c>
      <c r="E731" s="246" t="s">
        <v>771</v>
      </c>
      <c r="F731" s="246"/>
      <c r="G731" s="132" t="s">
        <v>1546</v>
      </c>
      <c r="H731" s="132" t="s">
        <v>1547</v>
      </c>
      <c r="I731" s="132">
        <v>-17515.5</v>
      </c>
      <c r="J731" s="101" t="s">
        <v>889</v>
      </c>
      <c r="K731" s="245" t="s">
        <v>390</v>
      </c>
      <c r="L731" s="245">
        <v>42613</v>
      </c>
      <c r="M731" s="245" t="s">
        <v>391</v>
      </c>
      <c r="N731" s="101">
        <v>0</v>
      </c>
      <c r="O731" s="101" t="s">
        <v>392</v>
      </c>
      <c r="P731" s="101">
        <v>0</v>
      </c>
      <c r="Q731" s="101">
        <v>0</v>
      </c>
      <c r="R731" s="101" t="s">
        <v>393</v>
      </c>
      <c r="S731" s="101" t="s">
        <v>647</v>
      </c>
      <c r="T731" s="101" t="s">
        <v>394</v>
      </c>
      <c r="V731" s="245">
        <v>46371</v>
      </c>
      <c r="W731" s="101" t="s">
        <v>535</v>
      </c>
      <c r="X731" s="101" t="s">
        <v>362</v>
      </c>
      <c r="Y731" s="101" t="s">
        <v>471</v>
      </c>
      <c r="Z731" s="101" t="s">
        <v>402</v>
      </c>
      <c r="AA731" s="101" t="s">
        <v>78</v>
      </c>
      <c r="AB731" s="101">
        <v>4101000279</v>
      </c>
      <c r="AC731" s="101" t="s">
        <v>398</v>
      </c>
      <c r="AD731" s="101" t="s">
        <v>403</v>
      </c>
      <c r="AE731" s="101" t="s">
        <v>75</v>
      </c>
      <c r="AF731" s="101" t="s">
        <v>400</v>
      </c>
      <c r="AI731" s="101" t="s">
        <v>760</v>
      </c>
    </row>
    <row r="732" spans="1:35">
      <c r="A732" s="246" t="s">
        <v>110</v>
      </c>
      <c r="B732" s="246" t="s">
        <v>78</v>
      </c>
      <c r="C732" s="246" t="s">
        <v>126</v>
      </c>
      <c r="D732" s="246" t="s">
        <v>770</v>
      </c>
      <c r="E732" s="246" t="s">
        <v>771</v>
      </c>
      <c r="F732" s="246"/>
      <c r="G732" s="132" t="s">
        <v>1548</v>
      </c>
      <c r="H732" s="132" t="s">
        <v>1549</v>
      </c>
      <c r="I732" s="132">
        <v>-19265.949999999997</v>
      </c>
      <c r="J732" s="101" t="s">
        <v>889</v>
      </c>
      <c r="K732" s="245" t="s">
        <v>390</v>
      </c>
      <c r="L732" s="245">
        <v>42643</v>
      </c>
      <c r="M732" s="245" t="s">
        <v>391</v>
      </c>
      <c r="N732" s="101">
        <v>0</v>
      </c>
      <c r="O732" s="101" t="s">
        <v>392</v>
      </c>
      <c r="P732" s="101">
        <v>0</v>
      </c>
      <c r="Q732" s="101">
        <v>0</v>
      </c>
      <c r="R732" s="101" t="s">
        <v>393</v>
      </c>
      <c r="S732" s="101" t="s">
        <v>647</v>
      </c>
      <c r="T732" s="101" t="s">
        <v>394</v>
      </c>
      <c r="V732" s="245">
        <v>46371</v>
      </c>
      <c r="W732" s="101" t="s">
        <v>535</v>
      </c>
      <c r="X732" s="101" t="s">
        <v>362</v>
      </c>
      <c r="Y732" s="101" t="s">
        <v>471</v>
      </c>
      <c r="Z732" s="101" t="s">
        <v>402</v>
      </c>
      <c r="AA732" s="101" t="s">
        <v>78</v>
      </c>
      <c r="AB732" s="101">
        <v>4101000279</v>
      </c>
      <c r="AC732" s="101" t="s">
        <v>398</v>
      </c>
      <c r="AD732" s="101" t="s">
        <v>403</v>
      </c>
      <c r="AE732" s="101" t="s">
        <v>75</v>
      </c>
      <c r="AF732" s="101" t="s">
        <v>400</v>
      </c>
      <c r="AI732" s="101" t="s">
        <v>760</v>
      </c>
    </row>
    <row r="733" spans="1:35">
      <c r="A733" s="246" t="s">
        <v>110</v>
      </c>
      <c r="B733" s="246" t="s">
        <v>78</v>
      </c>
      <c r="C733" s="246" t="s">
        <v>126</v>
      </c>
      <c r="D733" s="246" t="s">
        <v>770</v>
      </c>
      <c r="E733" s="246" t="s">
        <v>771</v>
      </c>
      <c r="F733" s="246"/>
      <c r="G733" s="132" t="s">
        <v>1550</v>
      </c>
      <c r="H733" s="132" t="s">
        <v>1551</v>
      </c>
      <c r="I733" s="132">
        <v>-21312.19</v>
      </c>
      <c r="J733" s="101" t="s">
        <v>889</v>
      </c>
      <c r="K733" s="245" t="s">
        <v>390</v>
      </c>
      <c r="L733" s="245">
        <v>42674</v>
      </c>
      <c r="M733" s="245" t="s">
        <v>391</v>
      </c>
      <c r="N733" s="101">
        <v>0</v>
      </c>
      <c r="O733" s="101" t="s">
        <v>392</v>
      </c>
      <c r="P733" s="101">
        <v>0</v>
      </c>
      <c r="Q733" s="101">
        <v>0</v>
      </c>
      <c r="R733" s="101" t="s">
        <v>393</v>
      </c>
      <c r="S733" s="101" t="s">
        <v>647</v>
      </c>
      <c r="T733" s="101" t="s">
        <v>394</v>
      </c>
      <c r="V733" s="245">
        <v>46371</v>
      </c>
      <c r="W733" s="101" t="s">
        <v>535</v>
      </c>
      <c r="X733" s="101" t="s">
        <v>362</v>
      </c>
      <c r="Y733" s="101" t="s">
        <v>471</v>
      </c>
      <c r="Z733" s="101" t="s">
        <v>402</v>
      </c>
      <c r="AA733" s="101" t="s">
        <v>78</v>
      </c>
      <c r="AB733" s="101">
        <v>4101000279</v>
      </c>
      <c r="AC733" s="101" t="s">
        <v>398</v>
      </c>
      <c r="AD733" s="101" t="s">
        <v>403</v>
      </c>
      <c r="AE733" s="101" t="s">
        <v>75</v>
      </c>
      <c r="AF733" s="101" t="s">
        <v>400</v>
      </c>
      <c r="AI733" s="101" t="s">
        <v>760</v>
      </c>
    </row>
    <row r="734" spans="1:35">
      <c r="A734" s="246" t="s">
        <v>111</v>
      </c>
      <c r="B734" s="246" t="s">
        <v>78</v>
      </c>
      <c r="C734" s="246" t="s">
        <v>126</v>
      </c>
      <c r="D734" s="246" t="s">
        <v>768</v>
      </c>
      <c r="E734" s="246" t="s">
        <v>769</v>
      </c>
      <c r="F734" s="246"/>
      <c r="G734" s="132" t="s">
        <v>1552</v>
      </c>
      <c r="H734" s="132" t="s">
        <v>1553</v>
      </c>
      <c r="I734" s="132">
        <v>-27732.420000000002</v>
      </c>
      <c r="J734" s="101" t="s">
        <v>889</v>
      </c>
      <c r="K734" s="245" t="s">
        <v>390</v>
      </c>
      <c r="L734" s="245">
        <v>42704</v>
      </c>
      <c r="M734" s="245" t="s">
        <v>391</v>
      </c>
      <c r="N734" s="101">
        <v>0</v>
      </c>
      <c r="O734" s="101" t="s">
        <v>392</v>
      </c>
      <c r="P734" s="101">
        <v>0</v>
      </c>
      <c r="Q734" s="101">
        <v>0</v>
      </c>
      <c r="R734" s="101" t="s">
        <v>393</v>
      </c>
      <c r="S734" s="101" t="s">
        <v>647</v>
      </c>
      <c r="T734" s="101" t="s">
        <v>394</v>
      </c>
      <c r="V734" s="245">
        <v>46371</v>
      </c>
      <c r="W734" s="101" t="s">
        <v>535</v>
      </c>
      <c r="X734" s="101" t="s">
        <v>362</v>
      </c>
      <c r="Y734" s="101" t="s">
        <v>471</v>
      </c>
      <c r="Z734" s="101" t="s">
        <v>402</v>
      </c>
      <c r="AA734" s="101" t="s">
        <v>78</v>
      </c>
      <c r="AB734" s="101">
        <v>4101000279</v>
      </c>
      <c r="AC734" s="101" t="s">
        <v>398</v>
      </c>
      <c r="AD734" s="101" t="s">
        <v>403</v>
      </c>
      <c r="AE734" s="101" t="s">
        <v>75</v>
      </c>
      <c r="AF734" s="101" t="s">
        <v>400</v>
      </c>
      <c r="AI734" s="101" t="s">
        <v>760</v>
      </c>
    </row>
    <row r="735" spans="1:35">
      <c r="A735" s="246" t="s">
        <v>111</v>
      </c>
      <c r="B735" s="246" t="s">
        <v>78</v>
      </c>
      <c r="C735" s="246" t="s">
        <v>126</v>
      </c>
      <c r="D735" s="246" t="s">
        <v>768</v>
      </c>
      <c r="E735" s="246" t="s">
        <v>769</v>
      </c>
      <c r="F735" s="246"/>
      <c r="G735" s="132" t="s">
        <v>1554</v>
      </c>
      <c r="H735" s="132" t="s">
        <v>1555</v>
      </c>
      <c r="I735" s="132">
        <v>-19385.45</v>
      </c>
      <c r="J735" s="101" t="s">
        <v>889</v>
      </c>
      <c r="K735" s="245" t="s">
        <v>390</v>
      </c>
      <c r="L735" s="245">
        <v>42734</v>
      </c>
      <c r="M735" s="245" t="s">
        <v>391</v>
      </c>
      <c r="N735" s="101">
        <v>0</v>
      </c>
      <c r="O735" s="101" t="s">
        <v>392</v>
      </c>
      <c r="P735" s="101">
        <v>0</v>
      </c>
      <c r="Q735" s="101">
        <v>0</v>
      </c>
      <c r="R735" s="101" t="s">
        <v>393</v>
      </c>
      <c r="S735" s="101" t="s">
        <v>647</v>
      </c>
      <c r="T735" s="101" t="s">
        <v>394</v>
      </c>
      <c r="V735" s="245">
        <v>46371</v>
      </c>
      <c r="W735" s="101" t="s">
        <v>535</v>
      </c>
      <c r="X735" s="101" t="s">
        <v>362</v>
      </c>
      <c r="Y735" s="101" t="s">
        <v>471</v>
      </c>
      <c r="Z735" s="101" t="s">
        <v>402</v>
      </c>
      <c r="AA735" s="101" t="s">
        <v>78</v>
      </c>
      <c r="AB735" s="101">
        <v>4101000279</v>
      </c>
      <c r="AC735" s="101" t="s">
        <v>398</v>
      </c>
      <c r="AD735" s="101" t="s">
        <v>403</v>
      </c>
      <c r="AE735" s="101" t="s">
        <v>75</v>
      </c>
      <c r="AF735" s="101" t="s">
        <v>400</v>
      </c>
      <c r="AI735" s="101" t="s">
        <v>760</v>
      </c>
    </row>
    <row r="736" spans="1:35">
      <c r="A736" s="246" t="s">
        <v>111</v>
      </c>
      <c r="B736" s="246" t="s">
        <v>78</v>
      </c>
      <c r="C736" s="246" t="s">
        <v>126</v>
      </c>
      <c r="D736" s="246" t="s">
        <v>768</v>
      </c>
      <c r="E736" s="246" t="s">
        <v>769</v>
      </c>
      <c r="F736" s="246"/>
      <c r="G736" s="132" t="s">
        <v>1556</v>
      </c>
      <c r="H736" s="132" t="s">
        <v>1557</v>
      </c>
      <c r="I736" s="132">
        <v>-4497.78</v>
      </c>
      <c r="J736" s="101" t="s">
        <v>889</v>
      </c>
      <c r="K736" s="245" t="s">
        <v>390</v>
      </c>
      <c r="L736" s="245">
        <v>42766</v>
      </c>
      <c r="M736" s="245" t="s">
        <v>391</v>
      </c>
      <c r="N736" s="101">
        <v>0</v>
      </c>
      <c r="O736" s="101" t="s">
        <v>392</v>
      </c>
      <c r="P736" s="101">
        <v>0</v>
      </c>
      <c r="Q736" s="101">
        <v>0</v>
      </c>
      <c r="R736" s="101" t="s">
        <v>393</v>
      </c>
      <c r="S736" s="101" t="s">
        <v>647</v>
      </c>
      <c r="T736" s="101" t="s">
        <v>394</v>
      </c>
      <c r="V736" s="245">
        <v>46371</v>
      </c>
      <c r="W736" s="101" t="s">
        <v>535</v>
      </c>
      <c r="X736" s="101" t="s">
        <v>362</v>
      </c>
      <c r="Y736" s="101" t="s">
        <v>471</v>
      </c>
      <c r="Z736" s="101" t="s">
        <v>402</v>
      </c>
      <c r="AA736" s="101" t="s">
        <v>78</v>
      </c>
      <c r="AB736" s="101">
        <v>4101000279</v>
      </c>
      <c r="AC736" s="101" t="s">
        <v>398</v>
      </c>
      <c r="AD736" s="101" t="s">
        <v>403</v>
      </c>
      <c r="AE736" s="101" t="s">
        <v>75</v>
      </c>
      <c r="AF736" s="101" t="s">
        <v>400</v>
      </c>
      <c r="AI736" s="101" t="s">
        <v>760</v>
      </c>
    </row>
    <row r="737" spans="1:35">
      <c r="A737" s="246" t="s">
        <v>111</v>
      </c>
      <c r="B737" s="246" t="s">
        <v>78</v>
      </c>
      <c r="C737" s="246" t="s">
        <v>126</v>
      </c>
      <c r="D737" s="246" t="s">
        <v>768</v>
      </c>
      <c r="E737" s="246" t="s">
        <v>769</v>
      </c>
      <c r="F737" s="246"/>
      <c r="G737" s="132" t="s">
        <v>1558</v>
      </c>
      <c r="H737" s="132" t="s">
        <v>1559</v>
      </c>
      <c r="I737" s="132">
        <v>-10165.849999999999</v>
      </c>
      <c r="J737" s="101" t="s">
        <v>889</v>
      </c>
      <c r="K737" s="245" t="s">
        <v>390</v>
      </c>
      <c r="L737" s="245">
        <v>42794</v>
      </c>
      <c r="M737" s="245" t="s">
        <v>391</v>
      </c>
      <c r="N737" s="101">
        <v>0</v>
      </c>
      <c r="O737" s="101" t="s">
        <v>392</v>
      </c>
      <c r="P737" s="101">
        <v>0</v>
      </c>
      <c r="Q737" s="101">
        <v>0</v>
      </c>
      <c r="R737" s="101" t="s">
        <v>393</v>
      </c>
      <c r="S737" s="101" t="s">
        <v>647</v>
      </c>
      <c r="T737" s="101" t="s">
        <v>394</v>
      </c>
      <c r="V737" s="245">
        <v>46371</v>
      </c>
      <c r="W737" s="101" t="s">
        <v>535</v>
      </c>
      <c r="X737" s="101" t="s">
        <v>362</v>
      </c>
      <c r="Y737" s="101" t="s">
        <v>471</v>
      </c>
      <c r="Z737" s="101" t="s">
        <v>402</v>
      </c>
      <c r="AA737" s="101" t="s">
        <v>78</v>
      </c>
      <c r="AB737" s="101">
        <v>4101000279</v>
      </c>
      <c r="AC737" s="101" t="s">
        <v>398</v>
      </c>
      <c r="AD737" s="101" t="s">
        <v>403</v>
      </c>
      <c r="AE737" s="101" t="s">
        <v>75</v>
      </c>
      <c r="AF737" s="101" t="s">
        <v>400</v>
      </c>
      <c r="AI737" s="101" t="s">
        <v>760</v>
      </c>
    </row>
    <row r="738" spans="1:35">
      <c r="A738" s="246" t="s">
        <v>111</v>
      </c>
      <c r="B738" s="246" t="s">
        <v>78</v>
      </c>
      <c r="C738" s="246" t="s">
        <v>126</v>
      </c>
      <c r="D738" s="246" t="s">
        <v>768</v>
      </c>
      <c r="E738" s="246" t="s">
        <v>769</v>
      </c>
      <c r="F738" s="246"/>
      <c r="G738" s="132" t="s">
        <v>1560</v>
      </c>
      <c r="H738" s="132" t="s">
        <v>1561</v>
      </c>
      <c r="I738" s="132">
        <v>-17290.28</v>
      </c>
      <c r="J738" s="101" t="s">
        <v>889</v>
      </c>
      <c r="K738" s="245" t="s">
        <v>390</v>
      </c>
      <c r="L738" s="245">
        <v>42825</v>
      </c>
      <c r="M738" s="245" t="s">
        <v>391</v>
      </c>
      <c r="N738" s="101">
        <v>0</v>
      </c>
      <c r="O738" s="101" t="s">
        <v>392</v>
      </c>
      <c r="P738" s="101">
        <v>0</v>
      </c>
      <c r="Q738" s="101">
        <v>0</v>
      </c>
      <c r="R738" s="101" t="s">
        <v>393</v>
      </c>
      <c r="S738" s="101" t="s">
        <v>647</v>
      </c>
      <c r="T738" s="101" t="s">
        <v>394</v>
      </c>
      <c r="V738" s="245">
        <v>46371</v>
      </c>
      <c r="W738" s="101" t="s">
        <v>535</v>
      </c>
      <c r="X738" s="101" t="s">
        <v>362</v>
      </c>
      <c r="Y738" s="101" t="s">
        <v>471</v>
      </c>
      <c r="Z738" s="101" t="s">
        <v>402</v>
      </c>
      <c r="AA738" s="101" t="s">
        <v>78</v>
      </c>
      <c r="AB738" s="101">
        <v>4101000279</v>
      </c>
      <c r="AC738" s="101" t="s">
        <v>398</v>
      </c>
      <c r="AD738" s="101" t="s">
        <v>403</v>
      </c>
      <c r="AE738" s="101" t="s">
        <v>75</v>
      </c>
      <c r="AF738" s="101" t="s">
        <v>400</v>
      </c>
      <c r="AI738" s="101" t="s">
        <v>760</v>
      </c>
    </row>
    <row r="739" spans="1:35">
      <c r="A739" s="246" t="s">
        <v>111</v>
      </c>
      <c r="B739" s="246" t="s">
        <v>78</v>
      </c>
      <c r="C739" s="246" t="s">
        <v>126</v>
      </c>
      <c r="D739" s="246" t="s">
        <v>768</v>
      </c>
      <c r="E739" s="246" t="s">
        <v>769</v>
      </c>
      <c r="F739" s="246"/>
      <c r="G739" s="132" t="s">
        <v>1562</v>
      </c>
      <c r="H739" s="132" t="s">
        <v>1563</v>
      </c>
      <c r="I739" s="132">
        <v>-19565.96</v>
      </c>
      <c r="J739" s="101" t="s">
        <v>889</v>
      </c>
      <c r="K739" s="245" t="s">
        <v>390</v>
      </c>
      <c r="L739" s="245">
        <v>42853</v>
      </c>
      <c r="M739" s="245" t="s">
        <v>391</v>
      </c>
      <c r="N739" s="101">
        <v>0</v>
      </c>
      <c r="O739" s="101" t="s">
        <v>392</v>
      </c>
      <c r="P739" s="101">
        <v>0</v>
      </c>
      <c r="Q739" s="101">
        <v>0</v>
      </c>
      <c r="R739" s="101" t="s">
        <v>393</v>
      </c>
      <c r="S739" s="101" t="s">
        <v>647</v>
      </c>
      <c r="T739" s="101" t="s">
        <v>394</v>
      </c>
      <c r="V739" s="245">
        <v>46371</v>
      </c>
      <c r="W739" s="101" t="s">
        <v>535</v>
      </c>
      <c r="X739" s="101" t="s">
        <v>362</v>
      </c>
      <c r="Y739" s="101" t="s">
        <v>471</v>
      </c>
      <c r="Z739" s="101" t="s">
        <v>402</v>
      </c>
      <c r="AA739" s="101" t="s">
        <v>78</v>
      </c>
      <c r="AB739" s="101">
        <v>4101000279</v>
      </c>
      <c r="AC739" s="101" t="s">
        <v>398</v>
      </c>
      <c r="AD739" s="101" t="s">
        <v>403</v>
      </c>
      <c r="AE739" s="101" t="s">
        <v>75</v>
      </c>
      <c r="AF739" s="101" t="s">
        <v>400</v>
      </c>
      <c r="AI739" s="101" t="s">
        <v>760</v>
      </c>
    </row>
    <row r="740" spans="1:35">
      <c r="A740" s="246" t="s">
        <v>112</v>
      </c>
      <c r="B740" s="246" t="s">
        <v>78</v>
      </c>
      <c r="C740" s="246" t="s">
        <v>126</v>
      </c>
      <c r="D740" s="246" t="s">
        <v>341</v>
      </c>
      <c r="E740" s="246" t="s">
        <v>342</v>
      </c>
      <c r="F740" s="246"/>
      <c r="G740" s="132" t="s">
        <v>1564</v>
      </c>
      <c r="H740" s="132" t="s">
        <v>1565</v>
      </c>
      <c r="I740" s="132">
        <v>-34410.69</v>
      </c>
      <c r="J740" s="101" t="s">
        <v>889</v>
      </c>
      <c r="K740" s="245" t="s">
        <v>390</v>
      </c>
      <c r="L740" s="245">
        <v>42886</v>
      </c>
      <c r="M740" s="245" t="s">
        <v>391</v>
      </c>
      <c r="N740" s="101">
        <v>0</v>
      </c>
      <c r="O740" s="101" t="s">
        <v>392</v>
      </c>
      <c r="P740" s="101">
        <v>0</v>
      </c>
      <c r="Q740" s="101">
        <v>0</v>
      </c>
      <c r="R740" s="101" t="s">
        <v>393</v>
      </c>
      <c r="S740" s="101" t="s">
        <v>647</v>
      </c>
      <c r="T740" s="101" t="s">
        <v>394</v>
      </c>
      <c r="V740" s="245">
        <v>46371</v>
      </c>
      <c r="W740" s="101" t="s">
        <v>535</v>
      </c>
      <c r="X740" s="101" t="s">
        <v>362</v>
      </c>
      <c r="Y740" s="101" t="s">
        <v>471</v>
      </c>
      <c r="Z740" s="101" t="s">
        <v>402</v>
      </c>
      <c r="AA740" s="101" t="s">
        <v>78</v>
      </c>
      <c r="AB740" s="101">
        <v>4101000279</v>
      </c>
      <c r="AC740" s="101" t="s">
        <v>398</v>
      </c>
      <c r="AD740" s="101" t="s">
        <v>403</v>
      </c>
      <c r="AE740" s="101" t="s">
        <v>75</v>
      </c>
      <c r="AF740" s="101" t="s">
        <v>400</v>
      </c>
      <c r="AI740" s="101" t="s">
        <v>760</v>
      </c>
    </row>
    <row r="741" spans="1:35">
      <c r="A741" s="246" t="s">
        <v>112</v>
      </c>
      <c r="B741" s="246" t="s">
        <v>78</v>
      </c>
      <c r="C741" s="246" t="s">
        <v>126</v>
      </c>
      <c r="D741" s="246" t="s">
        <v>341</v>
      </c>
      <c r="E741" s="246" t="s">
        <v>342</v>
      </c>
      <c r="F741" s="246"/>
      <c r="G741" s="132" t="s">
        <v>1566</v>
      </c>
      <c r="H741" s="132" t="s">
        <v>1567</v>
      </c>
      <c r="I741" s="132">
        <v>-34337.21</v>
      </c>
      <c r="J741" s="101" t="s">
        <v>889</v>
      </c>
      <c r="K741" s="245" t="s">
        <v>390</v>
      </c>
      <c r="L741" s="245">
        <v>42916</v>
      </c>
      <c r="M741" s="245" t="s">
        <v>391</v>
      </c>
      <c r="N741" s="101">
        <v>0</v>
      </c>
      <c r="O741" s="101" t="s">
        <v>392</v>
      </c>
      <c r="P741" s="101">
        <v>0</v>
      </c>
      <c r="Q741" s="101">
        <v>0</v>
      </c>
      <c r="R741" s="101" t="s">
        <v>393</v>
      </c>
      <c r="S741" s="101" t="s">
        <v>647</v>
      </c>
      <c r="T741" s="101" t="s">
        <v>394</v>
      </c>
      <c r="V741" s="245">
        <v>46371</v>
      </c>
      <c r="W741" s="101" t="s">
        <v>535</v>
      </c>
      <c r="X741" s="101" t="s">
        <v>362</v>
      </c>
      <c r="Y741" s="101" t="s">
        <v>471</v>
      </c>
      <c r="Z741" s="101" t="s">
        <v>402</v>
      </c>
      <c r="AA741" s="101" t="s">
        <v>78</v>
      </c>
      <c r="AB741" s="101">
        <v>4101000279</v>
      </c>
      <c r="AC741" s="101" t="s">
        <v>398</v>
      </c>
      <c r="AD741" s="101" t="s">
        <v>403</v>
      </c>
      <c r="AE741" s="101" t="s">
        <v>75</v>
      </c>
      <c r="AF741" s="101" t="s">
        <v>400</v>
      </c>
      <c r="AI741" s="101" t="s">
        <v>760</v>
      </c>
    </row>
    <row r="742" spans="1:35">
      <c r="A742" s="246" t="s">
        <v>112</v>
      </c>
      <c r="B742" s="246" t="s">
        <v>78</v>
      </c>
      <c r="C742" s="246" t="s">
        <v>126</v>
      </c>
      <c r="D742" s="246" t="s">
        <v>341</v>
      </c>
      <c r="E742" s="246" t="s">
        <v>342</v>
      </c>
      <c r="F742" s="246"/>
      <c r="G742" s="132" t="s">
        <v>1568</v>
      </c>
      <c r="H742" s="132" t="s">
        <v>1569</v>
      </c>
      <c r="I742" s="132">
        <v>-36677.06</v>
      </c>
      <c r="J742" s="101" t="s">
        <v>889</v>
      </c>
      <c r="K742" s="245" t="s">
        <v>390</v>
      </c>
      <c r="L742" s="245">
        <v>42947</v>
      </c>
      <c r="M742" s="245" t="s">
        <v>391</v>
      </c>
      <c r="N742" s="101">
        <v>0</v>
      </c>
      <c r="O742" s="101" t="s">
        <v>392</v>
      </c>
      <c r="P742" s="101">
        <v>0</v>
      </c>
      <c r="Q742" s="101">
        <v>0</v>
      </c>
      <c r="R742" s="101" t="s">
        <v>393</v>
      </c>
      <c r="S742" s="101" t="s">
        <v>647</v>
      </c>
      <c r="T742" s="101" t="s">
        <v>394</v>
      </c>
      <c r="V742" s="245">
        <v>46371</v>
      </c>
      <c r="W742" s="101" t="s">
        <v>535</v>
      </c>
      <c r="X742" s="101" t="s">
        <v>362</v>
      </c>
      <c r="Y742" s="101" t="s">
        <v>471</v>
      </c>
      <c r="Z742" s="101" t="s">
        <v>402</v>
      </c>
      <c r="AA742" s="101" t="s">
        <v>78</v>
      </c>
      <c r="AB742" s="101">
        <v>4101000279</v>
      </c>
      <c r="AC742" s="101" t="s">
        <v>398</v>
      </c>
      <c r="AD742" s="101" t="s">
        <v>403</v>
      </c>
      <c r="AE742" s="101" t="s">
        <v>75</v>
      </c>
      <c r="AF742" s="101" t="s">
        <v>400</v>
      </c>
      <c r="AI742" s="101" t="s">
        <v>760</v>
      </c>
    </row>
    <row r="743" spans="1:35">
      <c r="A743" s="246" t="s">
        <v>112</v>
      </c>
      <c r="B743" s="246" t="s">
        <v>78</v>
      </c>
      <c r="C743" s="246" t="s">
        <v>126</v>
      </c>
      <c r="D743" s="246" t="s">
        <v>341</v>
      </c>
      <c r="E743" s="246" t="s">
        <v>342</v>
      </c>
      <c r="F743" s="246"/>
      <c r="G743" s="132" t="s">
        <v>1570</v>
      </c>
      <c r="H743" s="132" t="s">
        <v>1571</v>
      </c>
      <c r="I743" s="132">
        <v>-42360.59</v>
      </c>
      <c r="J743" s="101" t="s">
        <v>889</v>
      </c>
      <c r="K743" s="245" t="s">
        <v>390</v>
      </c>
      <c r="L743" s="245">
        <v>42978</v>
      </c>
      <c r="M743" s="245" t="s">
        <v>391</v>
      </c>
      <c r="N743" s="101">
        <v>0</v>
      </c>
      <c r="O743" s="101" t="s">
        <v>392</v>
      </c>
      <c r="P743" s="101">
        <v>0</v>
      </c>
      <c r="Q743" s="101">
        <v>0</v>
      </c>
      <c r="R743" s="101" t="s">
        <v>393</v>
      </c>
      <c r="S743" s="101" t="s">
        <v>647</v>
      </c>
      <c r="T743" s="101" t="s">
        <v>394</v>
      </c>
      <c r="V743" s="245">
        <v>46371</v>
      </c>
      <c r="W743" s="101" t="s">
        <v>535</v>
      </c>
      <c r="X743" s="101" t="s">
        <v>362</v>
      </c>
      <c r="Y743" s="101" t="s">
        <v>471</v>
      </c>
      <c r="Z743" s="101" t="s">
        <v>402</v>
      </c>
      <c r="AA743" s="101" t="s">
        <v>78</v>
      </c>
      <c r="AB743" s="101">
        <v>4101000279</v>
      </c>
      <c r="AC743" s="101" t="s">
        <v>398</v>
      </c>
      <c r="AD743" s="101" t="s">
        <v>403</v>
      </c>
      <c r="AE743" s="101" t="s">
        <v>75</v>
      </c>
      <c r="AF743" s="101" t="s">
        <v>400</v>
      </c>
      <c r="AI743" s="101" t="s">
        <v>760</v>
      </c>
    </row>
    <row r="744" spans="1:35">
      <c r="A744" s="246" t="s">
        <v>112</v>
      </c>
      <c r="B744" s="246" t="s">
        <v>78</v>
      </c>
      <c r="C744" s="246" t="s">
        <v>126</v>
      </c>
      <c r="D744" s="246" t="s">
        <v>341</v>
      </c>
      <c r="E744" s="246" t="s">
        <v>342</v>
      </c>
      <c r="F744" s="246"/>
      <c r="G744" s="132" t="s">
        <v>1572</v>
      </c>
      <c r="H744" s="132" t="s">
        <v>1573</v>
      </c>
      <c r="I744" s="132">
        <v>-42336.07</v>
      </c>
      <c r="J744" s="101" t="s">
        <v>889</v>
      </c>
      <c r="K744" s="245" t="s">
        <v>390</v>
      </c>
      <c r="L744" s="245">
        <v>43007</v>
      </c>
      <c r="M744" s="245" t="s">
        <v>391</v>
      </c>
      <c r="N744" s="101">
        <v>0</v>
      </c>
      <c r="O744" s="101" t="s">
        <v>392</v>
      </c>
      <c r="P744" s="101">
        <v>0</v>
      </c>
      <c r="Q744" s="101">
        <v>0</v>
      </c>
      <c r="R744" s="101" t="s">
        <v>393</v>
      </c>
      <c r="S744" s="101" t="s">
        <v>647</v>
      </c>
      <c r="T744" s="101" t="s">
        <v>394</v>
      </c>
      <c r="V744" s="245">
        <v>46371</v>
      </c>
      <c r="W744" s="101" t="s">
        <v>535</v>
      </c>
      <c r="X744" s="101" t="s">
        <v>362</v>
      </c>
      <c r="Y744" s="101" t="s">
        <v>471</v>
      </c>
      <c r="Z744" s="101" t="s">
        <v>402</v>
      </c>
      <c r="AA744" s="101" t="s">
        <v>78</v>
      </c>
      <c r="AB744" s="101">
        <v>4101000279</v>
      </c>
      <c r="AC744" s="101" t="s">
        <v>398</v>
      </c>
      <c r="AD744" s="101" t="s">
        <v>403</v>
      </c>
      <c r="AE744" s="101" t="s">
        <v>75</v>
      </c>
      <c r="AF744" s="101" t="s">
        <v>400</v>
      </c>
      <c r="AI744" s="101" t="s">
        <v>760</v>
      </c>
    </row>
    <row r="745" spans="1:35">
      <c r="A745" s="246" t="s">
        <v>112</v>
      </c>
      <c r="B745" s="246" t="s">
        <v>78</v>
      </c>
      <c r="C745" s="246" t="s">
        <v>126</v>
      </c>
      <c r="D745" s="246" t="s">
        <v>341</v>
      </c>
      <c r="E745" s="246" t="s">
        <v>342</v>
      </c>
      <c r="F745" s="246"/>
      <c r="G745" s="132" t="s">
        <v>1574</v>
      </c>
      <c r="H745" s="132" t="s">
        <v>1575</v>
      </c>
      <c r="I745" s="132">
        <v>-50055.14</v>
      </c>
      <c r="J745" s="101" t="s">
        <v>889</v>
      </c>
      <c r="K745" s="245" t="s">
        <v>390</v>
      </c>
      <c r="L745" s="245">
        <v>43039</v>
      </c>
      <c r="M745" s="245" t="s">
        <v>391</v>
      </c>
      <c r="N745" s="101">
        <v>0</v>
      </c>
      <c r="O745" s="101" t="s">
        <v>392</v>
      </c>
      <c r="P745" s="101">
        <v>0</v>
      </c>
      <c r="Q745" s="101">
        <v>0</v>
      </c>
      <c r="R745" s="101" t="s">
        <v>393</v>
      </c>
      <c r="S745" s="101" t="s">
        <v>647</v>
      </c>
      <c r="T745" s="101" t="s">
        <v>394</v>
      </c>
      <c r="V745" s="245">
        <v>46371</v>
      </c>
      <c r="W745" s="101" t="s">
        <v>535</v>
      </c>
      <c r="X745" s="101" t="s">
        <v>362</v>
      </c>
      <c r="Y745" s="101" t="s">
        <v>471</v>
      </c>
      <c r="Z745" s="101" t="s">
        <v>402</v>
      </c>
      <c r="AA745" s="101" t="s">
        <v>78</v>
      </c>
      <c r="AB745" s="101">
        <v>4101000279</v>
      </c>
      <c r="AC745" s="101" t="s">
        <v>398</v>
      </c>
      <c r="AD745" s="101" t="s">
        <v>403</v>
      </c>
      <c r="AE745" s="101" t="s">
        <v>75</v>
      </c>
      <c r="AF745" s="101" t="s">
        <v>400</v>
      </c>
      <c r="AI745" s="101" t="s">
        <v>760</v>
      </c>
    </row>
    <row r="746" spans="1:35">
      <c r="A746" s="246" t="s">
        <v>113</v>
      </c>
      <c r="B746" s="246" t="s">
        <v>78</v>
      </c>
      <c r="C746" s="246" t="s">
        <v>126</v>
      </c>
      <c r="D746" s="246" t="s">
        <v>339</v>
      </c>
      <c r="E746" s="246" t="s">
        <v>340</v>
      </c>
      <c r="F746" s="246"/>
      <c r="G746" s="132" t="s">
        <v>1576</v>
      </c>
      <c r="H746" s="132" t="s">
        <v>1577</v>
      </c>
      <c r="I746" s="132">
        <v>-52888.17</v>
      </c>
      <c r="J746" s="101" t="s">
        <v>889</v>
      </c>
      <c r="K746" s="245" t="s">
        <v>390</v>
      </c>
      <c r="L746" s="245">
        <v>43069</v>
      </c>
      <c r="M746" s="245" t="s">
        <v>391</v>
      </c>
      <c r="N746" s="101">
        <v>0</v>
      </c>
      <c r="O746" s="101" t="s">
        <v>392</v>
      </c>
      <c r="P746" s="101">
        <v>0</v>
      </c>
      <c r="Q746" s="101">
        <v>0</v>
      </c>
      <c r="R746" s="101" t="s">
        <v>393</v>
      </c>
      <c r="S746" s="101" t="s">
        <v>647</v>
      </c>
      <c r="T746" s="101" t="s">
        <v>394</v>
      </c>
      <c r="V746" s="245">
        <v>46371</v>
      </c>
      <c r="W746" s="101" t="s">
        <v>535</v>
      </c>
      <c r="X746" s="101" t="s">
        <v>362</v>
      </c>
      <c r="Y746" s="101" t="s">
        <v>471</v>
      </c>
      <c r="Z746" s="101" t="s">
        <v>402</v>
      </c>
      <c r="AA746" s="101" t="s">
        <v>78</v>
      </c>
      <c r="AB746" s="101">
        <v>4101000279</v>
      </c>
      <c r="AC746" s="101" t="s">
        <v>398</v>
      </c>
      <c r="AD746" s="101" t="s">
        <v>403</v>
      </c>
      <c r="AE746" s="101" t="s">
        <v>75</v>
      </c>
      <c r="AF746" s="101" t="s">
        <v>400</v>
      </c>
      <c r="AI746" s="101" t="s">
        <v>760</v>
      </c>
    </row>
    <row r="747" spans="1:35">
      <c r="A747" s="246" t="s">
        <v>113</v>
      </c>
      <c r="B747" s="246" t="s">
        <v>78</v>
      </c>
      <c r="C747" s="246" t="s">
        <v>126</v>
      </c>
      <c r="D747" s="246" t="s">
        <v>339</v>
      </c>
      <c r="E747" s="246" t="s">
        <v>340</v>
      </c>
      <c r="F747" s="246"/>
      <c r="G747" s="132" t="s">
        <v>1578</v>
      </c>
      <c r="H747" s="132" t="s">
        <v>1579</v>
      </c>
      <c r="I747" s="132">
        <v>-32065.37</v>
      </c>
      <c r="J747" s="101" t="s">
        <v>889</v>
      </c>
      <c r="K747" s="245" t="s">
        <v>390</v>
      </c>
      <c r="L747" s="245">
        <v>43098</v>
      </c>
      <c r="M747" s="245" t="s">
        <v>391</v>
      </c>
      <c r="N747" s="101">
        <v>0</v>
      </c>
      <c r="O747" s="101" t="s">
        <v>392</v>
      </c>
      <c r="P747" s="101">
        <v>0</v>
      </c>
      <c r="Q747" s="101">
        <v>0</v>
      </c>
      <c r="R747" s="101" t="s">
        <v>393</v>
      </c>
      <c r="S747" s="101" t="s">
        <v>647</v>
      </c>
      <c r="T747" s="101" t="s">
        <v>394</v>
      </c>
      <c r="V747" s="245">
        <v>46371</v>
      </c>
      <c r="W747" s="101" t="s">
        <v>535</v>
      </c>
      <c r="X747" s="101" t="s">
        <v>362</v>
      </c>
      <c r="Y747" s="101" t="s">
        <v>471</v>
      </c>
      <c r="Z747" s="101" t="s">
        <v>402</v>
      </c>
      <c r="AA747" s="101" t="s">
        <v>78</v>
      </c>
      <c r="AB747" s="101">
        <v>4101000279</v>
      </c>
      <c r="AC747" s="101" t="s">
        <v>398</v>
      </c>
      <c r="AD747" s="101" t="s">
        <v>403</v>
      </c>
      <c r="AE747" s="101" t="s">
        <v>75</v>
      </c>
      <c r="AF747" s="101" t="s">
        <v>400</v>
      </c>
      <c r="AI747" s="101" t="s">
        <v>760</v>
      </c>
    </row>
    <row r="748" spans="1:35">
      <c r="A748" s="246" t="s">
        <v>113</v>
      </c>
      <c r="B748" s="246" t="s">
        <v>78</v>
      </c>
      <c r="C748" s="246" t="s">
        <v>126</v>
      </c>
      <c r="D748" s="246" t="s">
        <v>339</v>
      </c>
      <c r="E748" s="246" t="s">
        <v>340</v>
      </c>
      <c r="F748" s="246"/>
      <c r="G748" s="132" t="s">
        <v>1580</v>
      </c>
      <c r="H748" s="132" t="s">
        <v>1581</v>
      </c>
      <c r="I748" s="132">
        <v>-7570.5199999999995</v>
      </c>
      <c r="J748" s="101" t="s">
        <v>889</v>
      </c>
      <c r="K748" s="245" t="s">
        <v>390</v>
      </c>
      <c r="L748" s="245">
        <v>43131</v>
      </c>
      <c r="M748" s="245" t="s">
        <v>391</v>
      </c>
      <c r="N748" s="101">
        <v>0</v>
      </c>
      <c r="O748" s="101" t="s">
        <v>392</v>
      </c>
      <c r="P748" s="101">
        <v>0</v>
      </c>
      <c r="Q748" s="101">
        <v>0</v>
      </c>
      <c r="R748" s="101" t="s">
        <v>393</v>
      </c>
      <c r="S748" s="101" t="s">
        <v>647</v>
      </c>
      <c r="T748" s="101" t="s">
        <v>394</v>
      </c>
      <c r="V748" s="245">
        <v>46371</v>
      </c>
      <c r="W748" s="101" t="s">
        <v>535</v>
      </c>
      <c r="X748" s="101" t="s">
        <v>362</v>
      </c>
      <c r="Y748" s="101" t="s">
        <v>471</v>
      </c>
      <c r="Z748" s="101" t="s">
        <v>402</v>
      </c>
      <c r="AA748" s="101" t="s">
        <v>78</v>
      </c>
      <c r="AB748" s="101">
        <v>4101000279</v>
      </c>
      <c r="AC748" s="101" t="s">
        <v>398</v>
      </c>
      <c r="AD748" s="101" t="s">
        <v>403</v>
      </c>
      <c r="AE748" s="101" t="s">
        <v>75</v>
      </c>
      <c r="AF748" s="101" t="s">
        <v>400</v>
      </c>
      <c r="AI748" s="101" t="s">
        <v>760</v>
      </c>
    </row>
    <row r="749" spans="1:35">
      <c r="A749" s="246" t="s">
        <v>113</v>
      </c>
      <c r="B749" s="246" t="s">
        <v>78</v>
      </c>
      <c r="C749" s="246" t="s">
        <v>126</v>
      </c>
      <c r="D749" s="246" t="s">
        <v>339</v>
      </c>
      <c r="E749" s="246" t="s">
        <v>340</v>
      </c>
      <c r="F749" s="246"/>
      <c r="G749" s="132" t="s">
        <v>1582</v>
      </c>
      <c r="H749" s="132" t="s">
        <v>1583</v>
      </c>
      <c r="I749" s="132">
        <v>-14239.74</v>
      </c>
      <c r="J749" s="101" t="s">
        <v>889</v>
      </c>
      <c r="K749" s="245" t="s">
        <v>390</v>
      </c>
      <c r="L749" s="245">
        <v>43159</v>
      </c>
      <c r="M749" s="245" t="s">
        <v>391</v>
      </c>
      <c r="N749" s="101">
        <v>0</v>
      </c>
      <c r="O749" s="101" t="s">
        <v>392</v>
      </c>
      <c r="P749" s="101">
        <v>0</v>
      </c>
      <c r="Q749" s="101">
        <v>0</v>
      </c>
      <c r="R749" s="101" t="s">
        <v>393</v>
      </c>
      <c r="S749" s="101" t="s">
        <v>647</v>
      </c>
      <c r="T749" s="101" t="s">
        <v>394</v>
      </c>
      <c r="V749" s="245">
        <v>46371</v>
      </c>
      <c r="W749" s="101" t="s">
        <v>535</v>
      </c>
      <c r="X749" s="101" t="s">
        <v>362</v>
      </c>
      <c r="Y749" s="101" t="s">
        <v>471</v>
      </c>
      <c r="Z749" s="101" t="s">
        <v>402</v>
      </c>
      <c r="AA749" s="101" t="s">
        <v>78</v>
      </c>
      <c r="AB749" s="101">
        <v>4101000279</v>
      </c>
      <c r="AC749" s="101" t="s">
        <v>398</v>
      </c>
      <c r="AD749" s="101" t="s">
        <v>403</v>
      </c>
      <c r="AE749" s="101" t="s">
        <v>75</v>
      </c>
      <c r="AF749" s="101" t="s">
        <v>400</v>
      </c>
      <c r="AI749" s="101" t="s">
        <v>760</v>
      </c>
    </row>
    <row r="750" spans="1:35">
      <c r="A750" s="246" t="s">
        <v>113</v>
      </c>
      <c r="B750" s="246" t="s">
        <v>78</v>
      </c>
      <c r="C750" s="246" t="s">
        <v>126</v>
      </c>
      <c r="D750" s="246" t="s">
        <v>339</v>
      </c>
      <c r="E750" s="246" t="s">
        <v>340</v>
      </c>
      <c r="F750" s="246"/>
      <c r="G750" s="132" t="s">
        <v>1584</v>
      </c>
      <c r="H750" s="132" t="s">
        <v>1585</v>
      </c>
      <c r="I750" s="132">
        <v>-21308.219999999998</v>
      </c>
      <c r="J750" s="101" t="s">
        <v>889</v>
      </c>
      <c r="K750" s="245" t="s">
        <v>390</v>
      </c>
      <c r="L750" s="245">
        <v>43189</v>
      </c>
      <c r="M750" s="245" t="s">
        <v>391</v>
      </c>
      <c r="N750" s="101">
        <v>0</v>
      </c>
      <c r="O750" s="101" t="s">
        <v>392</v>
      </c>
      <c r="P750" s="101">
        <v>0</v>
      </c>
      <c r="Q750" s="101">
        <v>0</v>
      </c>
      <c r="R750" s="101" t="s">
        <v>393</v>
      </c>
      <c r="S750" s="101" t="s">
        <v>647</v>
      </c>
      <c r="T750" s="101" t="s">
        <v>394</v>
      </c>
      <c r="V750" s="245">
        <v>46371</v>
      </c>
      <c r="W750" s="101" t="s">
        <v>535</v>
      </c>
      <c r="X750" s="101" t="s">
        <v>362</v>
      </c>
      <c r="Y750" s="101" t="s">
        <v>471</v>
      </c>
      <c r="Z750" s="101" t="s">
        <v>402</v>
      </c>
      <c r="AA750" s="101" t="s">
        <v>78</v>
      </c>
      <c r="AB750" s="101">
        <v>4101000279</v>
      </c>
      <c r="AC750" s="101" t="s">
        <v>398</v>
      </c>
      <c r="AD750" s="101" t="s">
        <v>403</v>
      </c>
      <c r="AE750" s="101" t="s">
        <v>75</v>
      </c>
      <c r="AF750" s="101" t="s">
        <v>400</v>
      </c>
      <c r="AI750" s="101" t="s">
        <v>760</v>
      </c>
    </row>
    <row r="751" spans="1:35">
      <c r="A751" s="246" t="s">
        <v>113</v>
      </c>
      <c r="B751" s="246" t="s">
        <v>78</v>
      </c>
      <c r="C751" s="246" t="s">
        <v>126</v>
      </c>
      <c r="D751" s="246" t="s">
        <v>339</v>
      </c>
      <c r="E751" s="246" t="s">
        <v>340</v>
      </c>
      <c r="F751" s="246"/>
      <c r="G751" s="132" t="s">
        <v>1586</v>
      </c>
      <c r="H751" s="132" t="s">
        <v>1587</v>
      </c>
      <c r="I751" s="132">
        <v>-27501.64</v>
      </c>
      <c r="J751" s="101" t="s">
        <v>889</v>
      </c>
      <c r="K751" s="245" t="s">
        <v>390</v>
      </c>
      <c r="L751" s="245">
        <v>43220</v>
      </c>
      <c r="M751" s="245" t="s">
        <v>391</v>
      </c>
      <c r="N751" s="101">
        <v>0</v>
      </c>
      <c r="O751" s="101" t="s">
        <v>392</v>
      </c>
      <c r="P751" s="101">
        <v>0</v>
      </c>
      <c r="Q751" s="101">
        <v>0</v>
      </c>
      <c r="R751" s="101" t="s">
        <v>393</v>
      </c>
      <c r="S751" s="101" t="s">
        <v>647</v>
      </c>
      <c r="T751" s="101" t="s">
        <v>394</v>
      </c>
      <c r="V751" s="245">
        <v>46371</v>
      </c>
      <c r="W751" s="101" t="s">
        <v>535</v>
      </c>
      <c r="X751" s="101" t="s">
        <v>362</v>
      </c>
      <c r="Y751" s="101" t="s">
        <v>471</v>
      </c>
      <c r="Z751" s="101" t="s">
        <v>402</v>
      </c>
      <c r="AA751" s="101" t="s">
        <v>78</v>
      </c>
      <c r="AB751" s="101">
        <v>4101000279</v>
      </c>
      <c r="AC751" s="101" t="s">
        <v>398</v>
      </c>
      <c r="AD751" s="101" t="s">
        <v>403</v>
      </c>
      <c r="AE751" s="101" t="s">
        <v>75</v>
      </c>
      <c r="AF751" s="101" t="s">
        <v>400</v>
      </c>
      <c r="AI751" s="101" t="s">
        <v>760</v>
      </c>
    </row>
    <row r="752" spans="1:35">
      <c r="A752" s="246" t="s">
        <v>109</v>
      </c>
      <c r="B752" s="246" t="s">
        <v>66</v>
      </c>
      <c r="C752" s="246" t="s">
        <v>126</v>
      </c>
      <c r="D752" s="246" t="s">
        <v>272</v>
      </c>
      <c r="E752" s="246"/>
      <c r="F752" s="246" t="s">
        <v>275</v>
      </c>
      <c r="G752" s="132" t="s">
        <v>820</v>
      </c>
      <c r="H752" s="132" t="s">
        <v>1588</v>
      </c>
      <c r="I752" s="132">
        <v>-8281.7899999999991</v>
      </c>
      <c r="J752" s="101" t="s">
        <v>889</v>
      </c>
      <c r="K752" s="245" t="s">
        <v>390</v>
      </c>
      <c r="L752" s="245">
        <v>42551</v>
      </c>
      <c r="M752" s="245" t="s">
        <v>391</v>
      </c>
      <c r="N752" s="101">
        <v>0</v>
      </c>
      <c r="O752" s="101" t="s">
        <v>392</v>
      </c>
      <c r="P752" s="101">
        <v>0</v>
      </c>
      <c r="Q752" s="101">
        <v>0</v>
      </c>
      <c r="R752" s="101" t="s">
        <v>422</v>
      </c>
      <c r="S752" s="101" t="s">
        <v>446</v>
      </c>
      <c r="T752" s="101" t="s">
        <v>394</v>
      </c>
      <c r="U752" s="101" t="s">
        <v>17</v>
      </c>
      <c r="V752" s="245">
        <v>14427</v>
      </c>
      <c r="W752" s="101" t="s">
        <v>411</v>
      </c>
      <c r="X752" s="101" t="s">
        <v>77</v>
      </c>
      <c r="Y752" s="101" t="s">
        <v>392</v>
      </c>
      <c r="Z752" s="101" t="s">
        <v>412</v>
      </c>
      <c r="AA752" s="101" t="s">
        <v>413</v>
      </c>
      <c r="AB752" s="101">
        <v>101000512</v>
      </c>
      <c r="AC752" s="101" t="s">
        <v>414</v>
      </c>
      <c r="AD752" s="101" t="s">
        <v>79</v>
      </c>
      <c r="AE752" s="101" t="s">
        <v>6</v>
      </c>
      <c r="AF752" s="101" t="s">
        <v>400</v>
      </c>
      <c r="AI752" s="101" t="s">
        <v>190</v>
      </c>
    </row>
    <row r="753" spans="1:35">
      <c r="A753" s="246" t="s">
        <v>109</v>
      </c>
      <c r="B753" s="246" t="s">
        <v>66</v>
      </c>
      <c r="C753" s="246" t="s">
        <v>265</v>
      </c>
      <c r="D753" s="246" t="s">
        <v>291</v>
      </c>
      <c r="E753" s="246"/>
      <c r="F753" s="246" t="s">
        <v>275</v>
      </c>
      <c r="G753" s="132" t="s">
        <v>821</v>
      </c>
      <c r="H753" s="132" t="s">
        <v>1589</v>
      </c>
      <c r="I753" s="132">
        <v>-241989.28</v>
      </c>
      <c r="J753" s="101" t="s">
        <v>889</v>
      </c>
      <c r="K753" s="245" t="s">
        <v>390</v>
      </c>
      <c r="L753" s="245">
        <v>42551</v>
      </c>
      <c r="M753" s="245" t="s">
        <v>421</v>
      </c>
      <c r="N753" s="101">
        <v>0</v>
      </c>
      <c r="O753" s="101" t="s">
        <v>392</v>
      </c>
      <c r="P753" s="101">
        <v>0</v>
      </c>
      <c r="Q753" s="101">
        <v>0</v>
      </c>
      <c r="R753" s="101" t="s">
        <v>422</v>
      </c>
      <c r="S753" s="101" t="s">
        <v>446</v>
      </c>
      <c r="T753" s="101" t="s">
        <v>394</v>
      </c>
      <c r="U753" s="101" t="s">
        <v>17</v>
      </c>
      <c r="V753" s="245">
        <v>14427</v>
      </c>
      <c r="W753" s="101" t="s">
        <v>411</v>
      </c>
      <c r="X753" s="101" t="s">
        <v>77</v>
      </c>
      <c r="Y753" s="101" t="s">
        <v>392</v>
      </c>
      <c r="Z753" s="101" t="s">
        <v>412</v>
      </c>
      <c r="AA753" s="101" t="s">
        <v>413</v>
      </c>
      <c r="AB753" s="101">
        <v>101000512</v>
      </c>
      <c r="AC753" s="101" t="s">
        <v>414</v>
      </c>
      <c r="AD753" s="101" t="s">
        <v>79</v>
      </c>
      <c r="AE753" s="101" t="s">
        <v>6</v>
      </c>
      <c r="AF753" s="101" t="s">
        <v>400</v>
      </c>
      <c r="AI753" s="101" t="s">
        <v>190</v>
      </c>
    </row>
    <row r="754" spans="1:35">
      <c r="A754" s="246" t="s">
        <v>111</v>
      </c>
      <c r="B754" s="246" t="s">
        <v>66</v>
      </c>
      <c r="C754" s="246" t="s">
        <v>126</v>
      </c>
      <c r="D754" s="246" t="s">
        <v>273</v>
      </c>
      <c r="E754" s="246"/>
      <c r="F754" s="246" t="s">
        <v>277</v>
      </c>
      <c r="G754" s="132">
        <v>-6600</v>
      </c>
      <c r="H754" s="132" t="s">
        <v>1590</v>
      </c>
      <c r="I754" s="132">
        <v>-6600</v>
      </c>
      <c r="J754" s="101" t="s">
        <v>889</v>
      </c>
      <c r="K754" s="245" t="s">
        <v>390</v>
      </c>
      <c r="L754" s="245">
        <v>42734</v>
      </c>
      <c r="M754" s="245" t="s">
        <v>391</v>
      </c>
      <c r="N754" s="101">
        <v>0</v>
      </c>
      <c r="O754" s="101" t="s">
        <v>392</v>
      </c>
      <c r="P754" s="101">
        <v>0</v>
      </c>
      <c r="Q754" s="101">
        <v>0</v>
      </c>
      <c r="R754" s="101" t="s">
        <v>422</v>
      </c>
      <c r="S754" s="101" t="s">
        <v>446</v>
      </c>
      <c r="T754" s="101" t="s">
        <v>394</v>
      </c>
      <c r="U754" s="101" t="s">
        <v>17</v>
      </c>
      <c r="V754" s="245">
        <v>14427</v>
      </c>
      <c r="W754" s="101" t="s">
        <v>411</v>
      </c>
      <c r="X754" s="101" t="s">
        <v>77</v>
      </c>
      <c r="Y754" s="101" t="s">
        <v>392</v>
      </c>
      <c r="Z754" s="101" t="s">
        <v>412</v>
      </c>
      <c r="AA754" s="101" t="s">
        <v>413</v>
      </c>
      <c r="AB754" s="101">
        <v>101000512</v>
      </c>
      <c r="AC754" s="101" t="s">
        <v>414</v>
      </c>
      <c r="AD754" s="101" t="s">
        <v>79</v>
      </c>
      <c r="AE754" s="101" t="s">
        <v>6</v>
      </c>
      <c r="AF754" s="101" t="s">
        <v>400</v>
      </c>
      <c r="AI754" s="101" t="s">
        <v>190</v>
      </c>
    </row>
    <row r="755" spans="1:35">
      <c r="A755" s="246" t="s">
        <v>112</v>
      </c>
      <c r="B755" s="246" t="s">
        <v>66</v>
      </c>
      <c r="C755" s="246" t="s">
        <v>126</v>
      </c>
      <c r="D755" s="246" t="s">
        <v>270</v>
      </c>
      <c r="E755" s="246"/>
      <c r="F755" s="246" t="s">
        <v>278</v>
      </c>
      <c r="G755" s="132">
        <v>-6600</v>
      </c>
      <c r="H755" s="132" t="s">
        <v>1590</v>
      </c>
      <c r="I755" s="132">
        <v>-6600</v>
      </c>
      <c r="J755" s="101" t="s">
        <v>889</v>
      </c>
      <c r="K755" s="245" t="s">
        <v>390</v>
      </c>
      <c r="L755" s="245">
        <v>42916</v>
      </c>
      <c r="M755" s="245" t="s">
        <v>391</v>
      </c>
      <c r="N755" s="101">
        <v>0</v>
      </c>
      <c r="O755" s="101" t="s">
        <v>392</v>
      </c>
      <c r="P755" s="101">
        <v>0</v>
      </c>
      <c r="Q755" s="101">
        <v>0</v>
      </c>
      <c r="R755" s="101" t="s">
        <v>422</v>
      </c>
      <c r="S755" s="101" t="s">
        <v>446</v>
      </c>
      <c r="T755" s="101" t="s">
        <v>394</v>
      </c>
      <c r="U755" s="101" t="s">
        <v>17</v>
      </c>
      <c r="V755" s="245">
        <v>14427</v>
      </c>
      <c r="W755" s="101" t="s">
        <v>411</v>
      </c>
      <c r="X755" s="101" t="s">
        <v>77</v>
      </c>
      <c r="Y755" s="101" t="s">
        <v>392</v>
      </c>
      <c r="Z755" s="101" t="s">
        <v>412</v>
      </c>
      <c r="AA755" s="101" t="s">
        <v>413</v>
      </c>
      <c r="AB755" s="101">
        <v>101000512</v>
      </c>
      <c r="AC755" s="101" t="s">
        <v>414</v>
      </c>
      <c r="AD755" s="101" t="s">
        <v>79</v>
      </c>
      <c r="AE755" s="101" t="s">
        <v>6</v>
      </c>
      <c r="AF755" s="101" t="s">
        <v>400</v>
      </c>
      <c r="AI755" s="101" t="s">
        <v>190</v>
      </c>
    </row>
    <row r="756" spans="1:35">
      <c r="A756" s="246" t="s">
        <v>113</v>
      </c>
      <c r="B756" s="246" t="s">
        <v>66</v>
      </c>
      <c r="C756" s="246" t="s">
        <v>126</v>
      </c>
      <c r="D756" s="246" t="s">
        <v>271</v>
      </c>
      <c r="E756" s="246"/>
      <c r="F756" s="246" t="s">
        <v>279</v>
      </c>
      <c r="G756" s="132" t="s">
        <v>648</v>
      </c>
      <c r="H756" s="132" t="s">
        <v>1591</v>
      </c>
      <c r="I756" s="132">
        <v>-6563.329999999999</v>
      </c>
      <c r="J756" s="101" t="s">
        <v>889</v>
      </c>
      <c r="K756" s="245" t="s">
        <v>390</v>
      </c>
      <c r="L756" s="245">
        <v>43098</v>
      </c>
      <c r="M756" s="245" t="s">
        <v>391</v>
      </c>
      <c r="N756" s="101">
        <v>0</v>
      </c>
      <c r="O756" s="101" t="s">
        <v>392</v>
      </c>
      <c r="P756" s="101">
        <v>0</v>
      </c>
      <c r="Q756" s="101">
        <v>0</v>
      </c>
      <c r="R756" s="101" t="s">
        <v>422</v>
      </c>
      <c r="S756" s="101" t="s">
        <v>446</v>
      </c>
      <c r="T756" s="101" t="s">
        <v>394</v>
      </c>
      <c r="U756" s="101" t="s">
        <v>17</v>
      </c>
      <c r="V756" s="245">
        <v>14427</v>
      </c>
      <c r="W756" s="101" t="s">
        <v>411</v>
      </c>
      <c r="X756" s="101" t="s">
        <v>77</v>
      </c>
      <c r="Y756" s="101" t="s">
        <v>392</v>
      </c>
      <c r="Z756" s="101" t="s">
        <v>412</v>
      </c>
      <c r="AA756" s="101" t="s">
        <v>413</v>
      </c>
      <c r="AB756" s="101">
        <v>101000512</v>
      </c>
      <c r="AC756" s="101" t="s">
        <v>414</v>
      </c>
      <c r="AD756" s="101" t="s">
        <v>79</v>
      </c>
      <c r="AE756" s="101" t="s">
        <v>6</v>
      </c>
      <c r="AF756" s="101" t="s">
        <v>400</v>
      </c>
      <c r="AI756" s="101" t="s">
        <v>190</v>
      </c>
    </row>
    <row r="757" spans="1:35">
      <c r="A757" s="246" t="s">
        <v>107</v>
      </c>
      <c r="B757" s="246" t="s">
        <v>66</v>
      </c>
      <c r="C757" s="246" t="s">
        <v>126</v>
      </c>
      <c r="D757" s="246" t="s">
        <v>1769</v>
      </c>
      <c r="E757" s="246"/>
      <c r="F757" s="246"/>
      <c r="G757" s="132">
        <v>0</v>
      </c>
      <c r="H757" s="132">
        <v>0</v>
      </c>
      <c r="I757" s="132">
        <v>0</v>
      </c>
      <c r="J757" s="101" t="s">
        <v>889</v>
      </c>
      <c r="K757" s="245" t="s">
        <v>390</v>
      </c>
      <c r="L757" s="245">
        <v>42522</v>
      </c>
      <c r="M757" s="245" t="s">
        <v>391</v>
      </c>
      <c r="N757" s="101">
        <v>0</v>
      </c>
      <c r="O757" s="101" t="s">
        <v>392</v>
      </c>
      <c r="P757" s="101">
        <v>0</v>
      </c>
      <c r="Q757" s="101">
        <v>0</v>
      </c>
      <c r="R757" s="101" t="s">
        <v>428</v>
      </c>
      <c r="S757" s="101">
        <v>154787</v>
      </c>
      <c r="T757" s="101" t="s">
        <v>394</v>
      </c>
      <c r="V757" s="245">
        <v>42932</v>
      </c>
      <c r="W757" s="101" t="s">
        <v>424</v>
      </c>
      <c r="X757" s="101" t="s">
        <v>429</v>
      </c>
      <c r="Y757" s="101" t="s">
        <v>392</v>
      </c>
      <c r="Z757" s="101" t="s">
        <v>430</v>
      </c>
      <c r="AA757" s="101" t="s">
        <v>621</v>
      </c>
      <c r="AB757" s="101">
        <v>3101054021</v>
      </c>
      <c r="AC757" s="101" t="s">
        <v>431</v>
      </c>
      <c r="AD757" s="101" t="s">
        <v>431</v>
      </c>
      <c r="AE757" s="101" t="s">
        <v>75</v>
      </c>
      <c r="AF757" s="101" t="s">
        <v>400</v>
      </c>
      <c r="AG757" s="101" t="s">
        <v>432</v>
      </c>
      <c r="AI757" s="101" t="s">
        <v>760</v>
      </c>
    </row>
    <row r="758" spans="1:35">
      <c r="A758" s="246" t="s">
        <v>109</v>
      </c>
      <c r="B758" s="246" t="s">
        <v>66</v>
      </c>
      <c r="C758" s="246" t="s">
        <v>126</v>
      </c>
      <c r="D758" s="246" t="s">
        <v>272</v>
      </c>
      <c r="E758" s="246"/>
      <c r="F758" s="246"/>
      <c r="G758" s="132">
        <v>0</v>
      </c>
      <c r="H758" s="132">
        <v>0</v>
      </c>
      <c r="I758" s="132">
        <v>0</v>
      </c>
      <c r="J758" s="101" t="s">
        <v>889</v>
      </c>
      <c r="K758" s="245" t="s">
        <v>390</v>
      </c>
      <c r="L758" s="245">
        <v>42552</v>
      </c>
      <c r="M758" s="245" t="s">
        <v>391</v>
      </c>
      <c r="N758" s="101">
        <v>0</v>
      </c>
      <c r="O758" s="101" t="s">
        <v>392</v>
      </c>
      <c r="P758" s="101">
        <v>0</v>
      </c>
      <c r="Q758" s="101">
        <v>0</v>
      </c>
      <c r="R758" s="101" t="s">
        <v>428</v>
      </c>
      <c r="S758" s="101">
        <v>154787</v>
      </c>
      <c r="T758" s="101" t="s">
        <v>394</v>
      </c>
      <c r="V758" s="245">
        <v>42932</v>
      </c>
      <c r="W758" s="101" t="s">
        <v>424</v>
      </c>
      <c r="X758" s="101" t="s">
        <v>429</v>
      </c>
      <c r="Y758" s="101" t="s">
        <v>392</v>
      </c>
      <c r="Z758" s="101" t="s">
        <v>430</v>
      </c>
      <c r="AA758" s="101" t="s">
        <v>621</v>
      </c>
      <c r="AB758" s="101">
        <v>3101054021</v>
      </c>
      <c r="AC758" s="101" t="s">
        <v>431</v>
      </c>
      <c r="AD758" s="101" t="s">
        <v>431</v>
      </c>
      <c r="AE758" s="101" t="s">
        <v>75</v>
      </c>
      <c r="AF758" s="101" t="s">
        <v>400</v>
      </c>
      <c r="AG758" s="101" t="s">
        <v>432</v>
      </c>
      <c r="AI758" s="101" t="s">
        <v>760</v>
      </c>
    </row>
    <row r="759" spans="1:35">
      <c r="A759" s="246" t="s">
        <v>109</v>
      </c>
      <c r="B759" s="246" t="s">
        <v>66</v>
      </c>
      <c r="C759" s="246" t="s">
        <v>126</v>
      </c>
      <c r="D759" s="246" t="s">
        <v>272</v>
      </c>
      <c r="E759" s="246"/>
      <c r="F759" s="246"/>
      <c r="G759" s="132">
        <v>0</v>
      </c>
      <c r="H759" s="132">
        <v>0</v>
      </c>
      <c r="I759" s="132">
        <v>0</v>
      </c>
      <c r="J759" s="101" t="s">
        <v>889</v>
      </c>
      <c r="K759" s="245" t="s">
        <v>390</v>
      </c>
      <c r="L759" s="245">
        <v>42583</v>
      </c>
      <c r="M759" s="245" t="s">
        <v>391</v>
      </c>
      <c r="N759" s="101">
        <v>0</v>
      </c>
      <c r="O759" s="101" t="s">
        <v>392</v>
      </c>
      <c r="P759" s="101">
        <v>0</v>
      </c>
      <c r="Q759" s="101">
        <v>0</v>
      </c>
      <c r="R759" s="101" t="s">
        <v>428</v>
      </c>
      <c r="S759" s="101">
        <v>154787</v>
      </c>
      <c r="T759" s="101" t="s">
        <v>394</v>
      </c>
      <c r="V759" s="245">
        <v>42932</v>
      </c>
      <c r="W759" s="101" t="s">
        <v>424</v>
      </c>
      <c r="X759" s="101" t="s">
        <v>429</v>
      </c>
      <c r="Y759" s="101" t="s">
        <v>392</v>
      </c>
      <c r="Z759" s="101" t="s">
        <v>430</v>
      </c>
      <c r="AA759" s="101" t="s">
        <v>621</v>
      </c>
      <c r="AB759" s="101">
        <v>3101054021</v>
      </c>
      <c r="AC759" s="101" t="s">
        <v>431</v>
      </c>
      <c r="AD759" s="101" t="s">
        <v>431</v>
      </c>
      <c r="AE759" s="101" t="s">
        <v>75</v>
      </c>
      <c r="AF759" s="101" t="s">
        <v>400</v>
      </c>
      <c r="AG759" s="101" t="s">
        <v>432</v>
      </c>
      <c r="AI759" s="101" t="s">
        <v>760</v>
      </c>
    </row>
    <row r="760" spans="1:35">
      <c r="A760" s="246" t="s">
        <v>110</v>
      </c>
      <c r="B760" s="246" t="s">
        <v>66</v>
      </c>
      <c r="C760" s="246" t="s">
        <v>126</v>
      </c>
      <c r="D760" s="246" t="s">
        <v>281</v>
      </c>
      <c r="E760" s="246"/>
      <c r="F760" s="246"/>
      <c r="G760" s="132">
        <v>0</v>
      </c>
      <c r="H760" s="132">
        <v>0</v>
      </c>
      <c r="I760" s="132">
        <v>0</v>
      </c>
      <c r="J760" s="101" t="s">
        <v>889</v>
      </c>
      <c r="K760" s="245" t="s">
        <v>390</v>
      </c>
      <c r="L760" s="245">
        <v>42614</v>
      </c>
      <c r="M760" s="245" t="s">
        <v>391</v>
      </c>
      <c r="N760" s="101">
        <v>0</v>
      </c>
      <c r="O760" s="101" t="s">
        <v>392</v>
      </c>
      <c r="P760" s="101">
        <v>0</v>
      </c>
      <c r="Q760" s="101">
        <v>0</v>
      </c>
      <c r="R760" s="101" t="s">
        <v>428</v>
      </c>
      <c r="S760" s="101">
        <v>154787</v>
      </c>
      <c r="T760" s="101" t="s">
        <v>394</v>
      </c>
      <c r="V760" s="245">
        <v>42932</v>
      </c>
      <c r="W760" s="101" t="s">
        <v>424</v>
      </c>
      <c r="X760" s="101" t="s">
        <v>429</v>
      </c>
      <c r="Y760" s="101" t="s">
        <v>392</v>
      </c>
      <c r="Z760" s="101" t="s">
        <v>430</v>
      </c>
      <c r="AA760" s="101" t="s">
        <v>621</v>
      </c>
      <c r="AB760" s="101">
        <v>3101054021</v>
      </c>
      <c r="AC760" s="101" t="s">
        <v>431</v>
      </c>
      <c r="AD760" s="101" t="s">
        <v>431</v>
      </c>
      <c r="AE760" s="101" t="s">
        <v>75</v>
      </c>
      <c r="AF760" s="101" t="s">
        <v>400</v>
      </c>
      <c r="AG760" s="101" t="s">
        <v>432</v>
      </c>
      <c r="AI760" s="101" t="s">
        <v>760</v>
      </c>
    </row>
    <row r="761" spans="1:35">
      <c r="A761" s="246" t="s">
        <v>110</v>
      </c>
      <c r="B761" s="246" t="s">
        <v>66</v>
      </c>
      <c r="C761" s="246" t="s">
        <v>126</v>
      </c>
      <c r="D761" s="246" t="s">
        <v>281</v>
      </c>
      <c r="E761" s="246"/>
      <c r="F761" s="246"/>
      <c r="G761" s="132">
        <v>0</v>
      </c>
      <c r="H761" s="132">
        <v>0</v>
      </c>
      <c r="I761" s="132">
        <v>0</v>
      </c>
      <c r="J761" s="101" t="s">
        <v>889</v>
      </c>
      <c r="K761" s="245" t="s">
        <v>390</v>
      </c>
      <c r="L761" s="245">
        <v>42646</v>
      </c>
      <c r="M761" s="245" t="s">
        <v>391</v>
      </c>
      <c r="N761" s="101">
        <v>0</v>
      </c>
      <c r="O761" s="101" t="s">
        <v>392</v>
      </c>
      <c r="P761" s="101">
        <v>0</v>
      </c>
      <c r="Q761" s="101">
        <v>0</v>
      </c>
      <c r="R761" s="101" t="s">
        <v>428</v>
      </c>
      <c r="S761" s="101">
        <v>154787</v>
      </c>
      <c r="T761" s="101" t="s">
        <v>394</v>
      </c>
      <c r="V761" s="245">
        <v>42932</v>
      </c>
      <c r="W761" s="101" t="s">
        <v>424</v>
      </c>
      <c r="X761" s="101" t="s">
        <v>429</v>
      </c>
      <c r="Y761" s="101" t="s">
        <v>392</v>
      </c>
      <c r="Z761" s="101" t="s">
        <v>430</v>
      </c>
      <c r="AA761" s="101" t="s">
        <v>621</v>
      </c>
      <c r="AB761" s="101">
        <v>3101054021</v>
      </c>
      <c r="AC761" s="101" t="s">
        <v>431</v>
      </c>
      <c r="AD761" s="101" t="s">
        <v>431</v>
      </c>
      <c r="AE761" s="101" t="s">
        <v>75</v>
      </c>
      <c r="AF761" s="101" t="s">
        <v>400</v>
      </c>
      <c r="AG761" s="101" t="s">
        <v>432</v>
      </c>
      <c r="AI761" s="101" t="s">
        <v>760</v>
      </c>
    </row>
    <row r="762" spans="1:35">
      <c r="A762" s="246" t="s">
        <v>110</v>
      </c>
      <c r="B762" s="246" t="s">
        <v>66</v>
      </c>
      <c r="C762" s="246" t="s">
        <v>126</v>
      </c>
      <c r="D762" s="246" t="s">
        <v>281</v>
      </c>
      <c r="E762" s="246"/>
      <c r="F762" s="246"/>
      <c r="G762" s="132">
        <v>0</v>
      </c>
      <c r="H762" s="132">
        <v>0</v>
      </c>
      <c r="I762" s="132">
        <v>0</v>
      </c>
      <c r="J762" s="101" t="s">
        <v>889</v>
      </c>
      <c r="K762" s="245" t="s">
        <v>390</v>
      </c>
      <c r="L762" s="245">
        <v>42675</v>
      </c>
      <c r="M762" s="245" t="s">
        <v>391</v>
      </c>
      <c r="N762" s="101">
        <v>0</v>
      </c>
      <c r="O762" s="101" t="s">
        <v>392</v>
      </c>
      <c r="P762" s="101">
        <v>0</v>
      </c>
      <c r="Q762" s="101">
        <v>0</v>
      </c>
      <c r="R762" s="101" t="s">
        <v>428</v>
      </c>
      <c r="S762" s="101">
        <v>154787</v>
      </c>
      <c r="T762" s="101" t="s">
        <v>394</v>
      </c>
      <c r="V762" s="245">
        <v>42932</v>
      </c>
      <c r="W762" s="101" t="s">
        <v>424</v>
      </c>
      <c r="X762" s="101" t="s">
        <v>429</v>
      </c>
      <c r="Y762" s="101" t="s">
        <v>392</v>
      </c>
      <c r="Z762" s="101" t="s">
        <v>430</v>
      </c>
      <c r="AA762" s="101" t="s">
        <v>621</v>
      </c>
      <c r="AB762" s="101">
        <v>3101054021</v>
      </c>
      <c r="AC762" s="101" t="s">
        <v>431</v>
      </c>
      <c r="AD762" s="101" t="s">
        <v>431</v>
      </c>
      <c r="AE762" s="101" t="s">
        <v>75</v>
      </c>
      <c r="AF762" s="101" t="s">
        <v>400</v>
      </c>
      <c r="AG762" s="101" t="s">
        <v>432</v>
      </c>
      <c r="AI762" s="101" t="s">
        <v>760</v>
      </c>
    </row>
    <row r="763" spans="1:35">
      <c r="A763" s="246" t="s">
        <v>111</v>
      </c>
      <c r="B763" s="246" t="s">
        <v>66</v>
      </c>
      <c r="C763" s="246" t="s">
        <v>126</v>
      </c>
      <c r="D763" s="246" t="s">
        <v>273</v>
      </c>
      <c r="E763" s="246"/>
      <c r="F763" s="246"/>
      <c r="G763" s="132">
        <v>0</v>
      </c>
      <c r="H763" s="132">
        <v>0</v>
      </c>
      <c r="I763" s="132">
        <v>0</v>
      </c>
      <c r="J763" s="101" t="s">
        <v>889</v>
      </c>
      <c r="K763" s="245" t="s">
        <v>390</v>
      </c>
      <c r="L763" s="245">
        <v>42705</v>
      </c>
      <c r="M763" s="245" t="s">
        <v>391</v>
      </c>
      <c r="N763" s="101">
        <v>0</v>
      </c>
      <c r="O763" s="101" t="s">
        <v>392</v>
      </c>
      <c r="P763" s="101">
        <v>0</v>
      </c>
      <c r="Q763" s="101">
        <v>0</v>
      </c>
      <c r="R763" s="101" t="s">
        <v>428</v>
      </c>
      <c r="S763" s="101">
        <v>154787</v>
      </c>
      <c r="T763" s="101" t="s">
        <v>394</v>
      </c>
      <c r="V763" s="245">
        <v>42932</v>
      </c>
      <c r="W763" s="101" t="s">
        <v>424</v>
      </c>
      <c r="X763" s="101" t="s">
        <v>429</v>
      </c>
      <c r="Y763" s="101" t="s">
        <v>392</v>
      </c>
      <c r="Z763" s="101" t="s">
        <v>430</v>
      </c>
      <c r="AA763" s="101" t="s">
        <v>621</v>
      </c>
      <c r="AB763" s="101">
        <v>3101054021</v>
      </c>
      <c r="AC763" s="101" t="s">
        <v>431</v>
      </c>
      <c r="AD763" s="101" t="s">
        <v>431</v>
      </c>
      <c r="AE763" s="101" t="s">
        <v>75</v>
      </c>
      <c r="AF763" s="101" t="s">
        <v>400</v>
      </c>
      <c r="AG763" s="101" t="s">
        <v>432</v>
      </c>
      <c r="AI763" s="101" t="s">
        <v>760</v>
      </c>
    </row>
    <row r="764" spans="1:35">
      <c r="A764" s="246" t="s">
        <v>111</v>
      </c>
      <c r="B764" s="246" t="s">
        <v>66</v>
      </c>
      <c r="C764" s="246" t="s">
        <v>126</v>
      </c>
      <c r="D764" s="246" t="s">
        <v>273</v>
      </c>
      <c r="E764" s="246"/>
      <c r="F764" s="246"/>
      <c r="G764" s="132">
        <v>0</v>
      </c>
      <c r="H764" s="132">
        <v>0</v>
      </c>
      <c r="I764" s="132">
        <v>0</v>
      </c>
      <c r="J764" s="101" t="s">
        <v>889</v>
      </c>
      <c r="K764" s="245" t="s">
        <v>390</v>
      </c>
      <c r="L764" s="245">
        <v>42738</v>
      </c>
      <c r="M764" s="245" t="s">
        <v>391</v>
      </c>
      <c r="N764" s="101">
        <v>0</v>
      </c>
      <c r="O764" s="101" t="s">
        <v>392</v>
      </c>
      <c r="P764" s="101">
        <v>0</v>
      </c>
      <c r="Q764" s="101">
        <v>0</v>
      </c>
      <c r="R764" s="101" t="s">
        <v>428</v>
      </c>
      <c r="S764" s="101">
        <v>154787</v>
      </c>
      <c r="T764" s="101" t="s">
        <v>394</v>
      </c>
      <c r="V764" s="245">
        <v>42932</v>
      </c>
      <c r="W764" s="101" t="s">
        <v>424</v>
      </c>
      <c r="X764" s="101" t="s">
        <v>429</v>
      </c>
      <c r="Y764" s="101" t="s">
        <v>392</v>
      </c>
      <c r="Z764" s="101" t="s">
        <v>430</v>
      </c>
      <c r="AA764" s="101" t="s">
        <v>621</v>
      </c>
      <c r="AB764" s="101">
        <v>3101054021</v>
      </c>
      <c r="AC764" s="101" t="s">
        <v>431</v>
      </c>
      <c r="AD764" s="101" t="s">
        <v>431</v>
      </c>
      <c r="AE764" s="101" t="s">
        <v>75</v>
      </c>
      <c r="AF764" s="101" t="s">
        <v>400</v>
      </c>
      <c r="AG764" s="101" t="s">
        <v>432</v>
      </c>
      <c r="AI764" s="101" t="s">
        <v>760</v>
      </c>
    </row>
    <row r="765" spans="1:35">
      <c r="A765" s="246" t="s">
        <v>111</v>
      </c>
      <c r="B765" s="246" t="s">
        <v>66</v>
      </c>
      <c r="C765" s="246" t="s">
        <v>126</v>
      </c>
      <c r="D765" s="246" t="s">
        <v>273</v>
      </c>
      <c r="E765" s="246"/>
      <c r="F765" s="246"/>
      <c r="G765" s="132">
        <v>0</v>
      </c>
      <c r="H765" s="132">
        <v>0</v>
      </c>
      <c r="I765" s="132">
        <v>0</v>
      </c>
      <c r="J765" s="101" t="s">
        <v>889</v>
      </c>
      <c r="K765" s="245" t="s">
        <v>390</v>
      </c>
      <c r="L765" s="245">
        <v>42767</v>
      </c>
      <c r="M765" s="245" t="s">
        <v>391</v>
      </c>
      <c r="N765" s="101">
        <v>0</v>
      </c>
      <c r="O765" s="101" t="s">
        <v>392</v>
      </c>
      <c r="P765" s="101">
        <v>0</v>
      </c>
      <c r="Q765" s="101">
        <v>0</v>
      </c>
      <c r="R765" s="101" t="s">
        <v>428</v>
      </c>
      <c r="S765" s="101">
        <v>154787</v>
      </c>
      <c r="T765" s="101" t="s">
        <v>394</v>
      </c>
      <c r="V765" s="245">
        <v>42932</v>
      </c>
      <c r="W765" s="101" t="s">
        <v>424</v>
      </c>
      <c r="X765" s="101" t="s">
        <v>429</v>
      </c>
      <c r="Y765" s="101" t="s">
        <v>392</v>
      </c>
      <c r="Z765" s="101" t="s">
        <v>430</v>
      </c>
      <c r="AA765" s="101" t="s">
        <v>621</v>
      </c>
      <c r="AB765" s="101">
        <v>3101054021</v>
      </c>
      <c r="AC765" s="101" t="s">
        <v>431</v>
      </c>
      <c r="AD765" s="101" t="s">
        <v>431</v>
      </c>
      <c r="AE765" s="101" t="s">
        <v>75</v>
      </c>
      <c r="AF765" s="101" t="s">
        <v>400</v>
      </c>
      <c r="AG765" s="101" t="s">
        <v>432</v>
      </c>
      <c r="AI765" s="101" t="s">
        <v>760</v>
      </c>
    </row>
    <row r="766" spans="1:35">
      <c r="A766" s="246" t="s">
        <v>111</v>
      </c>
      <c r="B766" s="246" t="s">
        <v>66</v>
      </c>
      <c r="C766" s="246" t="s">
        <v>126</v>
      </c>
      <c r="D766" s="246" t="s">
        <v>273</v>
      </c>
      <c r="E766" s="246"/>
      <c r="F766" s="246"/>
      <c r="G766" s="132">
        <v>0</v>
      </c>
      <c r="H766" s="132">
        <v>0</v>
      </c>
      <c r="I766" s="132">
        <v>0</v>
      </c>
      <c r="J766" s="101" t="s">
        <v>889</v>
      </c>
      <c r="K766" s="245" t="s">
        <v>390</v>
      </c>
      <c r="L766" s="245">
        <v>42795</v>
      </c>
      <c r="M766" s="245" t="s">
        <v>391</v>
      </c>
      <c r="N766" s="101">
        <v>0</v>
      </c>
      <c r="O766" s="101" t="s">
        <v>392</v>
      </c>
      <c r="P766" s="101">
        <v>0</v>
      </c>
      <c r="Q766" s="101">
        <v>0</v>
      </c>
      <c r="R766" s="101" t="s">
        <v>428</v>
      </c>
      <c r="S766" s="101">
        <v>154787</v>
      </c>
      <c r="T766" s="101" t="s">
        <v>394</v>
      </c>
      <c r="V766" s="245">
        <v>42932</v>
      </c>
      <c r="W766" s="101" t="s">
        <v>424</v>
      </c>
      <c r="X766" s="101" t="s">
        <v>429</v>
      </c>
      <c r="Y766" s="101" t="s">
        <v>392</v>
      </c>
      <c r="Z766" s="101" t="s">
        <v>430</v>
      </c>
      <c r="AA766" s="101" t="s">
        <v>621</v>
      </c>
      <c r="AB766" s="101">
        <v>3101054021</v>
      </c>
      <c r="AC766" s="101" t="s">
        <v>431</v>
      </c>
      <c r="AD766" s="101" t="s">
        <v>431</v>
      </c>
      <c r="AE766" s="101" t="s">
        <v>75</v>
      </c>
      <c r="AF766" s="101" t="s">
        <v>400</v>
      </c>
      <c r="AG766" s="101" t="s">
        <v>432</v>
      </c>
      <c r="AI766" s="101" t="s">
        <v>760</v>
      </c>
    </row>
    <row r="767" spans="1:35">
      <c r="A767" s="246" t="s">
        <v>111</v>
      </c>
      <c r="B767" s="246" t="s">
        <v>66</v>
      </c>
      <c r="C767" s="246" t="s">
        <v>126</v>
      </c>
      <c r="D767" s="246" t="s">
        <v>273</v>
      </c>
      <c r="E767" s="246"/>
      <c r="F767" s="246"/>
      <c r="G767" s="132">
        <v>0</v>
      </c>
      <c r="H767" s="132">
        <v>0</v>
      </c>
      <c r="I767" s="132">
        <v>0</v>
      </c>
      <c r="J767" s="101" t="s">
        <v>889</v>
      </c>
      <c r="K767" s="245" t="s">
        <v>390</v>
      </c>
      <c r="L767" s="245">
        <v>42828</v>
      </c>
      <c r="M767" s="245" t="s">
        <v>391</v>
      </c>
      <c r="N767" s="101">
        <v>0</v>
      </c>
      <c r="O767" s="101" t="s">
        <v>392</v>
      </c>
      <c r="P767" s="101">
        <v>0</v>
      </c>
      <c r="Q767" s="101">
        <v>0</v>
      </c>
      <c r="R767" s="101" t="s">
        <v>428</v>
      </c>
      <c r="S767" s="101">
        <v>154787</v>
      </c>
      <c r="T767" s="101" t="s">
        <v>394</v>
      </c>
      <c r="V767" s="245">
        <v>42932</v>
      </c>
      <c r="W767" s="101" t="s">
        <v>424</v>
      </c>
      <c r="X767" s="101" t="s">
        <v>429</v>
      </c>
      <c r="Y767" s="101" t="s">
        <v>392</v>
      </c>
      <c r="Z767" s="101" t="s">
        <v>430</v>
      </c>
      <c r="AA767" s="101" t="s">
        <v>621</v>
      </c>
      <c r="AB767" s="101">
        <v>3101054021</v>
      </c>
      <c r="AC767" s="101" t="s">
        <v>431</v>
      </c>
      <c r="AD767" s="101" t="s">
        <v>431</v>
      </c>
      <c r="AE767" s="101" t="s">
        <v>75</v>
      </c>
      <c r="AF767" s="101" t="s">
        <v>400</v>
      </c>
      <c r="AG767" s="101" t="s">
        <v>432</v>
      </c>
      <c r="AI767" s="101" t="s">
        <v>760</v>
      </c>
    </row>
    <row r="768" spans="1:35">
      <c r="A768" s="246" t="s">
        <v>111</v>
      </c>
      <c r="B768" s="246" t="s">
        <v>66</v>
      </c>
      <c r="C768" s="246" t="s">
        <v>126</v>
      </c>
      <c r="D768" s="246" t="s">
        <v>273</v>
      </c>
      <c r="E768" s="246"/>
      <c r="F768" s="246"/>
      <c r="G768" s="132">
        <v>0</v>
      </c>
      <c r="H768" s="132">
        <v>0</v>
      </c>
      <c r="I768" s="132">
        <v>0</v>
      </c>
      <c r="J768" s="101" t="s">
        <v>889</v>
      </c>
      <c r="K768" s="245" t="s">
        <v>390</v>
      </c>
      <c r="L768" s="245">
        <v>42856</v>
      </c>
      <c r="M768" s="245" t="s">
        <v>391</v>
      </c>
      <c r="N768" s="101">
        <v>0</v>
      </c>
      <c r="O768" s="101" t="s">
        <v>392</v>
      </c>
      <c r="P768" s="101">
        <v>0</v>
      </c>
      <c r="Q768" s="101">
        <v>0</v>
      </c>
      <c r="R768" s="101" t="s">
        <v>428</v>
      </c>
      <c r="S768" s="101">
        <v>154787</v>
      </c>
      <c r="T768" s="101" t="s">
        <v>394</v>
      </c>
      <c r="V768" s="245">
        <v>42932</v>
      </c>
      <c r="W768" s="101" t="s">
        <v>424</v>
      </c>
      <c r="X768" s="101" t="s">
        <v>429</v>
      </c>
      <c r="Y768" s="101" t="s">
        <v>392</v>
      </c>
      <c r="Z768" s="101" t="s">
        <v>430</v>
      </c>
      <c r="AA768" s="101" t="s">
        <v>621</v>
      </c>
      <c r="AB768" s="101">
        <v>3101054021</v>
      </c>
      <c r="AC768" s="101" t="s">
        <v>431</v>
      </c>
      <c r="AD768" s="101" t="s">
        <v>431</v>
      </c>
      <c r="AE768" s="101" t="s">
        <v>75</v>
      </c>
      <c r="AF768" s="101" t="s">
        <v>400</v>
      </c>
      <c r="AG768" s="101" t="s">
        <v>432</v>
      </c>
      <c r="AI768" s="101" t="s">
        <v>760</v>
      </c>
    </row>
    <row r="769" spans="1:35">
      <c r="A769" s="246" t="s">
        <v>112</v>
      </c>
      <c r="B769" s="246" t="s">
        <v>66</v>
      </c>
      <c r="C769" s="246" t="s">
        <v>126</v>
      </c>
      <c r="D769" s="246" t="s">
        <v>270</v>
      </c>
      <c r="E769" s="246"/>
      <c r="F769" s="246"/>
      <c r="G769" s="132">
        <v>0</v>
      </c>
      <c r="H769" s="132">
        <v>0</v>
      </c>
      <c r="I769" s="132">
        <v>0</v>
      </c>
      <c r="J769" s="101" t="s">
        <v>889</v>
      </c>
      <c r="K769" s="245" t="s">
        <v>390</v>
      </c>
      <c r="L769" s="245">
        <v>42887</v>
      </c>
      <c r="M769" s="245" t="s">
        <v>391</v>
      </c>
      <c r="N769" s="101">
        <v>0</v>
      </c>
      <c r="O769" s="101" t="s">
        <v>392</v>
      </c>
      <c r="P769" s="101">
        <v>0</v>
      </c>
      <c r="Q769" s="101">
        <v>0</v>
      </c>
      <c r="R769" s="101" t="s">
        <v>428</v>
      </c>
      <c r="S769" s="101">
        <v>154787</v>
      </c>
      <c r="T769" s="101" t="s">
        <v>394</v>
      </c>
      <c r="V769" s="245">
        <v>42932</v>
      </c>
      <c r="W769" s="101" t="s">
        <v>424</v>
      </c>
      <c r="X769" s="101" t="s">
        <v>429</v>
      </c>
      <c r="Y769" s="101" t="s">
        <v>392</v>
      </c>
      <c r="Z769" s="101" t="s">
        <v>430</v>
      </c>
      <c r="AA769" s="101" t="s">
        <v>621</v>
      </c>
      <c r="AB769" s="101">
        <v>3101054021</v>
      </c>
      <c r="AC769" s="101" t="s">
        <v>431</v>
      </c>
      <c r="AD769" s="101" t="s">
        <v>431</v>
      </c>
      <c r="AE769" s="101" t="s">
        <v>75</v>
      </c>
      <c r="AF769" s="101" t="s">
        <v>400</v>
      </c>
      <c r="AG769" s="101" t="s">
        <v>432</v>
      </c>
      <c r="AI769" s="101" t="s">
        <v>760</v>
      </c>
    </row>
    <row r="770" spans="1:35">
      <c r="A770" s="246" t="s">
        <v>112</v>
      </c>
      <c r="B770" s="246" t="s">
        <v>66</v>
      </c>
      <c r="C770" s="246" t="s">
        <v>126</v>
      </c>
      <c r="D770" s="246" t="s">
        <v>270</v>
      </c>
      <c r="E770" s="246"/>
      <c r="F770" s="246"/>
      <c r="G770" s="132">
        <v>0</v>
      </c>
      <c r="H770" s="132">
        <v>0</v>
      </c>
      <c r="I770" s="132">
        <v>0</v>
      </c>
      <c r="J770" s="101" t="s">
        <v>889</v>
      </c>
      <c r="K770" s="245" t="s">
        <v>390</v>
      </c>
      <c r="L770" s="245">
        <v>42933</v>
      </c>
      <c r="M770" s="245" t="s">
        <v>391</v>
      </c>
      <c r="N770" s="101">
        <v>0</v>
      </c>
      <c r="O770" s="101" t="s">
        <v>392</v>
      </c>
      <c r="P770" s="101">
        <v>0</v>
      </c>
      <c r="Q770" s="101">
        <v>0</v>
      </c>
      <c r="R770" s="101" t="s">
        <v>428</v>
      </c>
      <c r="S770" s="101">
        <v>154787</v>
      </c>
      <c r="T770" s="101" t="s">
        <v>394</v>
      </c>
      <c r="V770" s="245">
        <v>42932</v>
      </c>
      <c r="W770" s="101" t="s">
        <v>424</v>
      </c>
      <c r="X770" s="101" t="s">
        <v>429</v>
      </c>
      <c r="Y770" s="101" t="s">
        <v>392</v>
      </c>
      <c r="Z770" s="101" t="s">
        <v>430</v>
      </c>
      <c r="AA770" s="101" t="s">
        <v>621</v>
      </c>
      <c r="AB770" s="101">
        <v>3101054021</v>
      </c>
      <c r="AC770" s="101" t="s">
        <v>431</v>
      </c>
      <c r="AD770" s="101" t="s">
        <v>431</v>
      </c>
      <c r="AE770" s="101" t="s">
        <v>75</v>
      </c>
      <c r="AF770" s="101" t="s">
        <v>400</v>
      </c>
      <c r="AG770" s="101" t="s">
        <v>432</v>
      </c>
      <c r="AI770" s="101" t="s">
        <v>760</v>
      </c>
    </row>
    <row r="771" spans="1:35">
      <c r="A771" s="246" t="s">
        <v>112</v>
      </c>
      <c r="B771" s="246" t="s">
        <v>66</v>
      </c>
      <c r="C771" s="246" t="s">
        <v>116</v>
      </c>
      <c r="D771" s="246" t="s">
        <v>330</v>
      </c>
      <c r="E771" s="246"/>
      <c r="F771" s="246"/>
      <c r="G771" s="132">
        <v>0</v>
      </c>
      <c r="H771" s="132">
        <v>0</v>
      </c>
      <c r="I771" s="132">
        <v>0</v>
      </c>
      <c r="J771" s="101" t="s">
        <v>889</v>
      </c>
      <c r="K771" s="245" t="s">
        <v>390</v>
      </c>
      <c r="L771" s="245">
        <v>42933</v>
      </c>
      <c r="M771" s="245" t="s">
        <v>421</v>
      </c>
      <c r="N771" s="101">
        <v>0</v>
      </c>
      <c r="O771" s="101" t="s">
        <v>392</v>
      </c>
      <c r="P771" s="101">
        <v>0</v>
      </c>
      <c r="Q771" s="101">
        <v>0</v>
      </c>
      <c r="R771" s="101" t="s">
        <v>428</v>
      </c>
      <c r="S771" s="101">
        <v>154787</v>
      </c>
      <c r="T771" s="101" t="s">
        <v>394</v>
      </c>
      <c r="V771" s="245">
        <v>42932</v>
      </c>
      <c r="W771" s="101" t="s">
        <v>424</v>
      </c>
      <c r="X771" s="101" t="s">
        <v>429</v>
      </c>
      <c r="Y771" s="101" t="s">
        <v>392</v>
      </c>
      <c r="Z771" s="101" t="s">
        <v>430</v>
      </c>
      <c r="AA771" s="101" t="s">
        <v>621</v>
      </c>
      <c r="AB771" s="101">
        <v>3101054021</v>
      </c>
      <c r="AC771" s="101" t="s">
        <v>431</v>
      </c>
      <c r="AD771" s="101" t="s">
        <v>431</v>
      </c>
      <c r="AE771" s="101" t="s">
        <v>75</v>
      </c>
      <c r="AF771" s="101" t="s">
        <v>400</v>
      </c>
      <c r="AG771" s="101" t="s">
        <v>432</v>
      </c>
      <c r="AI771" s="101" t="s">
        <v>760</v>
      </c>
    </row>
    <row r="772" spans="1:35">
      <c r="A772" s="246" t="s">
        <v>101</v>
      </c>
      <c r="B772" s="246" t="s">
        <v>66</v>
      </c>
      <c r="C772" s="246" t="s">
        <v>116</v>
      </c>
      <c r="D772" s="246" t="s">
        <v>1779</v>
      </c>
      <c r="E772" s="246"/>
      <c r="F772" s="246"/>
      <c r="G772" s="132">
        <v>30000000</v>
      </c>
      <c r="H772" s="132" t="s">
        <v>1592</v>
      </c>
      <c r="I772" s="132">
        <v>30000000</v>
      </c>
      <c r="J772" s="101" t="s">
        <v>889</v>
      </c>
      <c r="K772" s="245" t="s">
        <v>390</v>
      </c>
      <c r="L772" s="245">
        <v>42502</v>
      </c>
      <c r="M772" s="245" t="s">
        <v>421</v>
      </c>
      <c r="N772" s="101">
        <v>0</v>
      </c>
      <c r="O772" s="101" t="s">
        <v>392</v>
      </c>
      <c r="P772" s="101">
        <v>0</v>
      </c>
      <c r="Q772" s="101">
        <v>0</v>
      </c>
      <c r="R772" s="101" t="s">
        <v>450</v>
      </c>
      <c r="S772" s="101">
        <v>194016</v>
      </c>
      <c r="T772" s="101" t="s">
        <v>394</v>
      </c>
      <c r="V772" s="245">
        <v>42502</v>
      </c>
      <c r="W772" s="101" t="s">
        <v>441</v>
      </c>
      <c r="X772" s="101" t="s">
        <v>76</v>
      </c>
      <c r="Y772" s="101" t="s">
        <v>392</v>
      </c>
      <c r="Z772" s="101" t="s">
        <v>430</v>
      </c>
      <c r="AA772" s="101" t="s">
        <v>531</v>
      </c>
      <c r="AB772" s="101">
        <v>3101053435</v>
      </c>
      <c r="AC772" s="101" t="s">
        <v>431</v>
      </c>
      <c r="AD772" s="101" t="s">
        <v>431</v>
      </c>
      <c r="AE772" s="101" t="s">
        <v>75</v>
      </c>
      <c r="AF772" s="101" t="s">
        <v>400</v>
      </c>
      <c r="AG772" s="101" t="s">
        <v>554</v>
      </c>
      <c r="AI772" s="101" t="s">
        <v>760</v>
      </c>
    </row>
    <row r="773" spans="1:35">
      <c r="A773" s="246" t="s">
        <v>110</v>
      </c>
      <c r="B773" s="246" t="s">
        <v>66</v>
      </c>
      <c r="C773" s="246" t="s">
        <v>265</v>
      </c>
      <c r="D773" s="246" t="s">
        <v>283</v>
      </c>
      <c r="E773" s="246"/>
      <c r="F773" s="246" t="s">
        <v>276</v>
      </c>
      <c r="G773" s="132" t="s">
        <v>801</v>
      </c>
      <c r="H773" s="132" t="s">
        <v>1593</v>
      </c>
      <c r="I773" s="132">
        <v>276838.37</v>
      </c>
      <c r="J773" s="101" t="s">
        <v>889</v>
      </c>
      <c r="K773" s="245" t="s">
        <v>390</v>
      </c>
      <c r="L773" s="245">
        <v>42611</v>
      </c>
      <c r="M773" s="245" t="s">
        <v>421</v>
      </c>
      <c r="N773" s="101">
        <v>0</v>
      </c>
      <c r="O773" s="101" t="s">
        <v>392</v>
      </c>
      <c r="P773" s="101">
        <v>0</v>
      </c>
      <c r="Q773" s="101">
        <v>0</v>
      </c>
      <c r="R773" s="101" t="s">
        <v>453</v>
      </c>
      <c r="S773" s="101" t="s">
        <v>643</v>
      </c>
      <c r="T773" s="101" t="s">
        <v>394</v>
      </c>
      <c r="U773" s="101" t="s">
        <v>50</v>
      </c>
      <c r="V773" s="245">
        <v>14124</v>
      </c>
      <c r="W773" s="101" t="s">
        <v>411</v>
      </c>
      <c r="X773" s="101" t="s">
        <v>77</v>
      </c>
      <c r="Y773" s="101" t="s">
        <v>392</v>
      </c>
      <c r="Z773" s="101" t="s">
        <v>412</v>
      </c>
      <c r="AA773" s="101" t="s">
        <v>644</v>
      </c>
      <c r="AB773" s="101">
        <v>101000531</v>
      </c>
      <c r="AC773" s="101" t="s">
        <v>414</v>
      </c>
      <c r="AD773" s="101" t="s">
        <v>79</v>
      </c>
      <c r="AE773" s="101" t="s">
        <v>6</v>
      </c>
      <c r="AF773" s="101" t="s">
        <v>400</v>
      </c>
      <c r="AI773" s="101" t="s">
        <v>190</v>
      </c>
    </row>
    <row r="774" spans="1:35">
      <c r="A774" s="246" t="s">
        <v>110</v>
      </c>
      <c r="B774" s="246" t="s">
        <v>66</v>
      </c>
      <c r="C774" s="246" t="s">
        <v>126</v>
      </c>
      <c r="D774" s="246" t="s">
        <v>281</v>
      </c>
      <c r="E774" s="246"/>
      <c r="F774" s="246" t="s">
        <v>276</v>
      </c>
      <c r="G774" s="132" t="s">
        <v>802</v>
      </c>
      <c r="H774" s="132" t="s">
        <v>1594</v>
      </c>
      <c r="I774" s="132">
        <v>-12458.05</v>
      </c>
      <c r="J774" s="101" t="s">
        <v>889</v>
      </c>
      <c r="K774" s="245" t="s">
        <v>390</v>
      </c>
      <c r="L774" s="245">
        <v>42613</v>
      </c>
      <c r="M774" s="245" t="s">
        <v>391</v>
      </c>
      <c r="N774" s="101">
        <v>0</v>
      </c>
      <c r="O774" s="101" t="s">
        <v>392</v>
      </c>
      <c r="P774" s="101">
        <v>0</v>
      </c>
      <c r="Q774" s="101">
        <v>0</v>
      </c>
      <c r="R774" s="101" t="s">
        <v>444</v>
      </c>
      <c r="S774" s="101" t="s">
        <v>643</v>
      </c>
      <c r="T774" s="101" t="s">
        <v>394</v>
      </c>
      <c r="U774" s="101" t="s">
        <v>50</v>
      </c>
      <c r="V774" s="245">
        <v>14124</v>
      </c>
      <c r="W774" s="101" t="s">
        <v>411</v>
      </c>
      <c r="X774" s="101" t="s">
        <v>77</v>
      </c>
      <c r="Y774" s="101" t="s">
        <v>392</v>
      </c>
      <c r="Z774" s="101" t="s">
        <v>412</v>
      </c>
      <c r="AA774" s="101" t="s">
        <v>644</v>
      </c>
      <c r="AB774" s="101">
        <v>101000531</v>
      </c>
      <c r="AC774" s="101" t="s">
        <v>414</v>
      </c>
      <c r="AD774" s="101" t="s">
        <v>79</v>
      </c>
      <c r="AE774" s="101" t="s">
        <v>6</v>
      </c>
      <c r="AF774" s="101" t="s">
        <v>400</v>
      </c>
      <c r="AI774" s="101" t="s">
        <v>190</v>
      </c>
    </row>
    <row r="775" spans="1:35">
      <c r="A775" s="246" t="s">
        <v>111</v>
      </c>
      <c r="B775" s="246" t="s">
        <v>66</v>
      </c>
      <c r="C775" s="246" t="s">
        <v>126</v>
      </c>
      <c r="D775" s="246" t="s">
        <v>273</v>
      </c>
      <c r="E775" s="246"/>
      <c r="F775" s="246" t="s">
        <v>277</v>
      </c>
      <c r="G775" s="132" t="s">
        <v>404</v>
      </c>
      <c r="H775" s="132" t="s">
        <v>1595</v>
      </c>
      <c r="I775" s="132">
        <v>-20692.5</v>
      </c>
      <c r="J775" s="101" t="s">
        <v>889</v>
      </c>
      <c r="K775" s="245" t="s">
        <v>390</v>
      </c>
      <c r="L775" s="245">
        <v>42794</v>
      </c>
      <c r="M775" s="245" t="s">
        <v>391</v>
      </c>
      <c r="N775" s="101">
        <v>0</v>
      </c>
      <c r="O775" s="101" t="s">
        <v>392</v>
      </c>
      <c r="P775" s="101">
        <v>0</v>
      </c>
      <c r="Q775" s="101">
        <v>0</v>
      </c>
      <c r="R775" s="101" t="s">
        <v>444</v>
      </c>
      <c r="S775" s="101" t="s">
        <v>643</v>
      </c>
      <c r="T775" s="101" t="s">
        <v>394</v>
      </c>
      <c r="U775" s="101" t="s">
        <v>50</v>
      </c>
      <c r="V775" s="245">
        <v>14124</v>
      </c>
      <c r="W775" s="101" t="s">
        <v>411</v>
      </c>
      <c r="X775" s="101" t="s">
        <v>77</v>
      </c>
      <c r="Y775" s="101" t="s">
        <v>392</v>
      </c>
      <c r="Z775" s="101" t="s">
        <v>412</v>
      </c>
      <c r="AA775" s="101" t="s">
        <v>644</v>
      </c>
      <c r="AB775" s="101">
        <v>101000531</v>
      </c>
      <c r="AC775" s="101" t="s">
        <v>414</v>
      </c>
      <c r="AD775" s="101" t="s">
        <v>79</v>
      </c>
      <c r="AE775" s="101" t="s">
        <v>6</v>
      </c>
      <c r="AF775" s="101" t="s">
        <v>400</v>
      </c>
      <c r="AI775" s="101" t="s">
        <v>190</v>
      </c>
    </row>
    <row r="776" spans="1:35">
      <c r="A776" s="246" t="s">
        <v>112</v>
      </c>
      <c r="B776" s="246" t="s">
        <v>66</v>
      </c>
      <c r="C776" s="246" t="s">
        <v>126</v>
      </c>
      <c r="D776" s="246" t="s">
        <v>270</v>
      </c>
      <c r="E776" s="246"/>
      <c r="F776" s="246" t="s">
        <v>278</v>
      </c>
      <c r="G776" s="132" t="s">
        <v>645</v>
      </c>
      <c r="H776" s="132" t="s">
        <v>1596</v>
      </c>
      <c r="I776" s="132">
        <v>-21273.75</v>
      </c>
      <c r="J776" s="101" t="s">
        <v>889</v>
      </c>
      <c r="K776" s="245" t="s">
        <v>390</v>
      </c>
      <c r="L776" s="245">
        <v>42978</v>
      </c>
      <c r="M776" s="245" t="s">
        <v>391</v>
      </c>
      <c r="N776" s="101">
        <v>0</v>
      </c>
      <c r="O776" s="101" t="s">
        <v>392</v>
      </c>
      <c r="P776" s="101">
        <v>0</v>
      </c>
      <c r="Q776" s="101">
        <v>0</v>
      </c>
      <c r="R776" s="101" t="s">
        <v>444</v>
      </c>
      <c r="S776" s="101" t="s">
        <v>643</v>
      </c>
      <c r="T776" s="101" t="s">
        <v>394</v>
      </c>
      <c r="U776" s="101" t="s">
        <v>50</v>
      </c>
      <c r="V776" s="245">
        <v>14124</v>
      </c>
      <c r="W776" s="101" t="s">
        <v>411</v>
      </c>
      <c r="X776" s="101" t="s">
        <v>77</v>
      </c>
      <c r="Y776" s="101" t="s">
        <v>392</v>
      </c>
      <c r="Z776" s="101" t="s">
        <v>412</v>
      </c>
      <c r="AA776" s="101" t="s">
        <v>644</v>
      </c>
      <c r="AB776" s="101">
        <v>101000531</v>
      </c>
      <c r="AC776" s="101" t="s">
        <v>414</v>
      </c>
      <c r="AD776" s="101" t="s">
        <v>79</v>
      </c>
      <c r="AE776" s="101" t="s">
        <v>6</v>
      </c>
      <c r="AF776" s="101" t="s">
        <v>400</v>
      </c>
      <c r="AI776" s="101" t="s">
        <v>190</v>
      </c>
    </row>
    <row r="777" spans="1:35">
      <c r="A777" s="246" t="s">
        <v>113</v>
      </c>
      <c r="B777" s="246" t="s">
        <v>66</v>
      </c>
      <c r="C777" s="246" t="s">
        <v>126</v>
      </c>
      <c r="D777" s="246" t="s">
        <v>271</v>
      </c>
      <c r="E777" s="246"/>
      <c r="F777" s="246" t="s">
        <v>279</v>
      </c>
      <c r="G777" s="132" t="s">
        <v>404</v>
      </c>
      <c r="H777" s="132" t="s">
        <v>1595</v>
      </c>
      <c r="I777" s="132">
        <v>-20692.5</v>
      </c>
      <c r="J777" s="101" t="s">
        <v>889</v>
      </c>
      <c r="K777" s="245" t="s">
        <v>390</v>
      </c>
      <c r="L777" s="245">
        <v>43159</v>
      </c>
      <c r="M777" s="245" t="s">
        <v>391</v>
      </c>
      <c r="N777" s="101">
        <v>0</v>
      </c>
      <c r="O777" s="101" t="s">
        <v>392</v>
      </c>
      <c r="P777" s="101">
        <v>0</v>
      </c>
      <c r="Q777" s="101">
        <v>0</v>
      </c>
      <c r="R777" s="101" t="s">
        <v>444</v>
      </c>
      <c r="S777" s="101" t="s">
        <v>643</v>
      </c>
      <c r="T777" s="101" t="s">
        <v>394</v>
      </c>
      <c r="U777" s="101" t="s">
        <v>50</v>
      </c>
      <c r="V777" s="245">
        <v>14124</v>
      </c>
      <c r="W777" s="101" t="s">
        <v>411</v>
      </c>
      <c r="X777" s="101" t="s">
        <v>77</v>
      </c>
      <c r="Y777" s="101" t="s">
        <v>392</v>
      </c>
      <c r="Z777" s="101" t="s">
        <v>412</v>
      </c>
      <c r="AA777" s="101" t="s">
        <v>644</v>
      </c>
      <c r="AB777" s="101">
        <v>101000531</v>
      </c>
      <c r="AC777" s="101" t="s">
        <v>414</v>
      </c>
      <c r="AD777" s="101" t="s">
        <v>79</v>
      </c>
      <c r="AE777" s="101" t="s">
        <v>6</v>
      </c>
      <c r="AF777" s="101" t="s">
        <v>400</v>
      </c>
      <c r="AI777" s="101" t="s">
        <v>190</v>
      </c>
    </row>
    <row r="778" spans="1:35">
      <c r="A778" s="246" t="s">
        <v>110</v>
      </c>
      <c r="B778" s="246" t="s">
        <v>78</v>
      </c>
      <c r="C778" s="246" t="s">
        <v>126</v>
      </c>
      <c r="D778" s="246" t="s">
        <v>770</v>
      </c>
      <c r="E778" s="246" t="s">
        <v>771</v>
      </c>
      <c r="F778" s="246" t="s">
        <v>276</v>
      </c>
      <c r="G778" s="132" t="s">
        <v>710</v>
      </c>
      <c r="H778" s="132" t="s">
        <v>1597</v>
      </c>
      <c r="I778" s="132">
        <v>565.06999999999994</v>
      </c>
      <c r="J778" s="101" t="s">
        <v>889</v>
      </c>
      <c r="K778" s="245" t="s">
        <v>390</v>
      </c>
      <c r="L778" s="245">
        <v>42632</v>
      </c>
      <c r="M778" s="245" t="s">
        <v>391</v>
      </c>
      <c r="N778" s="101">
        <v>0</v>
      </c>
      <c r="O778" s="101" t="s">
        <v>392</v>
      </c>
      <c r="P778" s="101">
        <v>0</v>
      </c>
      <c r="Q778" s="101">
        <v>0</v>
      </c>
      <c r="R778" s="101" t="s">
        <v>393</v>
      </c>
      <c r="S778" s="101" t="s">
        <v>794</v>
      </c>
      <c r="T778" s="101" t="s">
        <v>394</v>
      </c>
      <c r="V778" s="245">
        <v>17976</v>
      </c>
      <c r="W778" s="101" t="s">
        <v>395</v>
      </c>
      <c r="X778" s="101" t="s">
        <v>795</v>
      </c>
      <c r="Y778" s="101" t="s">
        <v>396</v>
      </c>
      <c r="Z778" s="101" t="s">
        <v>402</v>
      </c>
      <c r="AA778" s="101" t="s">
        <v>78</v>
      </c>
      <c r="AB778" s="101">
        <v>4101000279</v>
      </c>
      <c r="AC778" s="101" t="s">
        <v>398</v>
      </c>
      <c r="AD778" s="101" t="s">
        <v>403</v>
      </c>
      <c r="AE778" s="101" t="s">
        <v>6</v>
      </c>
      <c r="AF778" s="101" t="s">
        <v>400</v>
      </c>
      <c r="AI778" s="101" t="s">
        <v>760</v>
      </c>
    </row>
    <row r="779" spans="1:35">
      <c r="A779" s="246" t="s">
        <v>110</v>
      </c>
      <c r="B779" s="246" t="s">
        <v>78</v>
      </c>
      <c r="C779" s="246" t="s">
        <v>126</v>
      </c>
      <c r="D779" s="246" t="s">
        <v>770</v>
      </c>
      <c r="E779" s="246" t="s">
        <v>771</v>
      </c>
      <c r="F779" s="246" t="s">
        <v>276</v>
      </c>
      <c r="G779" s="132" t="s">
        <v>711</v>
      </c>
      <c r="H779" s="132" t="s">
        <v>1598</v>
      </c>
      <c r="I779" s="132">
        <v>5904.52</v>
      </c>
      <c r="J779" s="101" t="s">
        <v>889</v>
      </c>
      <c r="K779" s="245" t="s">
        <v>390</v>
      </c>
      <c r="L779" s="245">
        <v>42632</v>
      </c>
      <c r="M779" s="245" t="s">
        <v>391</v>
      </c>
      <c r="N779" s="101">
        <v>0</v>
      </c>
      <c r="O779" s="101" t="s">
        <v>392</v>
      </c>
      <c r="P779" s="101">
        <v>0</v>
      </c>
      <c r="Q779" s="101">
        <v>0</v>
      </c>
      <c r="R779" s="101" t="s">
        <v>393</v>
      </c>
      <c r="S779" s="101" t="s">
        <v>794</v>
      </c>
      <c r="T779" s="101" t="s">
        <v>394</v>
      </c>
      <c r="V779" s="245">
        <v>17976</v>
      </c>
      <c r="W779" s="101" t="s">
        <v>395</v>
      </c>
      <c r="X779" s="101" t="s">
        <v>795</v>
      </c>
      <c r="Y779" s="101" t="s">
        <v>396</v>
      </c>
      <c r="Z779" s="101" t="s">
        <v>402</v>
      </c>
      <c r="AA779" s="101" t="s">
        <v>78</v>
      </c>
      <c r="AB779" s="101">
        <v>4101000279</v>
      </c>
      <c r="AC779" s="101" t="s">
        <v>398</v>
      </c>
      <c r="AD779" s="101" t="s">
        <v>403</v>
      </c>
      <c r="AE779" s="101" t="s">
        <v>6</v>
      </c>
      <c r="AF779" s="101" t="s">
        <v>400</v>
      </c>
      <c r="AI779" s="101" t="s">
        <v>760</v>
      </c>
    </row>
    <row r="780" spans="1:35">
      <c r="A780" s="246" t="s">
        <v>111</v>
      </c>
      <c r="B780" s="246" t="s">
        <v>78</v>
      </c>
      <c r="C780" s="246" t="s">
        <v>126</v>
      </c>
      <c r="D780" s="246" t="s">
        <v>768</v>
      </c>
      <c r="E780" s="246" t="s">
        <v>769</v>
      </c>
      <c r="F780" s="246" t="s">
        <v>277</v>
      </c>
      <c r="G780" s="132" t="s">
        <v>712</v>
      </c>
      <c r="H780" s="132" t="s">
        <v>1599</v>
      </c>
      <c r="I780" s="132">
        <v>13819.72</v>
      </c>
      <c r="J780" s="101" t="s">
        <v>889</v>
      </c>
      <c r="K780" s="245" t="s">
        <v>390</v>
      </c>
      <c r="L780" s="245">
        <v>42811</v>
      </c>
      <c r="M780" s="245" t="s">
        <v>391</v>
      </c>
      <c r="N780" s="101">
        <v>0</v>
      </c>
      <c r="O780" s="101" t="s">
        <v>392</v>
      </c>
      <c r="P780" s="101">
        <v>0</v>
      </c>
      <c r="Q780" s="101">
        <v>0</v>
      </c>
      <c r="R780" s="101" t="s">
        <v>393</v>
      </c>
      <c r="S780" s="101" t="s">
        <v>794</v>
      </c>
      <c r="T780" s="101" t="s">
        <v>394</v>
      </c>
      <c r="V780" s="245">
        <v>17976</v>
      </c>
      <c r="W780" s="101" t="s">
        <v>395</v>
      </c>
      <c r="X780" s="101" t="s">
        <v>795</v>
      </c>
      <c r="Y780" s="101" t="s">
        <v>396</v>
      </c>
      <c r="Z780" s="101" t="s">
        <v>402</v>
      </c>
      <c r="AA780" s="101" t="s">
        <v>78</v>
      </c>
      <c r="AB780" s="101">
        <v>4101000279</v>
      </c>
      <c r="AC780" s="101" t="s">
        <v>398</v>
      </c>
      <c r="AD780" s="101" t="s">
        <v>403</v>
      </c>
      <c r="AE780" s="101" t="s">
        <v>6</v>
      </c>
      <c r="AF780" s="101" t="s">
        <v>400</v>
      </c>
      <c r="AI780" s="101" t="s">
        <v>760</v>
      </c>
    </row>
    <row r="781" spans="1:35">
      <c r="A781" s="246" t="s">
        <v>112</v>
      </c>
      <c r="B781" s="246" t="s">
        <v>78</v>
      </c>
      <c r="C781" s="246" t="s">
        <v>126</v>
      </c>
      <c r="D781" s="246" t="s">
        <v>341</v>
      </c>
      <c r="E781" s="246" t="s">
        <v>342</v>
      </c>
      <c r="F781" s="246" t="s">
        <v>278</v>
      </c>
      <c r="G781" s="132" t="s">
        <v>713</v>
      </c>
      <c r="H781" s="132" t="s">
        <v>1600</v>
      </c>
      <c r="I781" s="132">
        <v>14130.28</v>
      </c>
      <c r="J781" s="101" t="s">
        <v>889</v>
      </c>
      <c r="K781" s="245" t="s">
        <v>390</v>
      </c>
      <c r="L781" s="245">
        <v>42997</v>
      </c>
      <c r="M781" s="245" t="s">
        <v>391</v>
      </c>
      <c r="N781" s="101">
        <v>0</v>
      </c>
      <c r="O781" s="101" t="s">
        <v>392</v>
      </c>
      <c r="P781" s="101">
        <v>0</v>
      </c>
      <c r="Q781" s="101">
        <v>0</v>
      </c>
      <c r="R781" s="101" t="s">
        <v>393</v>
      </c>
      <c r="S781" s="101" t="s">
        <v>794</v>
      </c>
      <c r="T781" s="101" t="s">
        <v>394</v>
      </c>
      <c r="V781" s="245">
        <v>17976</v>
      </c>
      <c r="W781" s="101" t="s">
        <v>395</v>
      </c>
      <c r="X781" s="101" t="s">
        <v>795</v>
      </c>
      <c r="Y781" s="101" t="s">
        <v>396</v>
      </c>
      <c r="Z781" s="101" t="s">
        <v>402</v>
      </c>
      <c r="AA781" s="101" t="s">
        <v>78</v>
      </c>
      <c r="AB781" s="101">
        <v>4101000279</v>
      </c>
      <c r="AC781" s="101" t="s">
        <v>398</v>
      </c>
      <c r="AD781" s="101" t="s">
        <v>403</v>
      </c>
      <c r="AE781" s="101" t="s">
        <v>6</v>
      </c>
      <c r="AF781" s="101" t="s">
        <v>400</v>
      </c>
      <c r="AI781" s="101" t="s">
        <v>760</v>
      </c>
    </row>
    <row r="782" spans="1:35">
      <c r="A782" s="246" t="s">
        <v>113</v>
      </c>
      <c r="B782" s="246" t="s">
        <v>78</v>
      </c>
      <c r="C782" s="246" t="s">
        <v>126</v>
      </c>
      <c r="D782" s="246" t="s">
        <v>339</v>
      </c>
      <c r="E782" s="246" t="s">
        <v>340</v>
      </c>
      <c r="F782" s="246" t="s">
        <v>279</v>
      </c>
      <c r="G782" s="132">
        <v>13975</v>
      </c>
      <c r="H782" s="132" t="s">
        <v>1601</v>
      </c>
      <c r="I782" s="132">
        <v>13975</v>
      </c>
      <c r="J782" s="101" t="s">
        <v>889</v>
      </c>
      <c r="K782" s="245" t="s">
        <v>390</v>
      </c>
      <c r="L782" s="245">
        <v>43178</v>
      </c>
      <c r="M782" s="245" t="s">
        <v>391</v>
      </c>
      <c r="N782" s="101">
        <v>0</v>
      </c>
      <c r="O782" s="101" t="s">
        <v>392</v>
      </c>
      <c r="P782" s="101">
        <v>0</v>
      </c>
      <c r="Q782" s="101">
        <v>0</v>
      </c>
      <c r="R782" s="101" t="s">
        <v>393</v>
      </c>
      <c r="S782" s="101" t="s">
        <v>794</v>
      </c>
      <c r="T782" s="101" t="s">
        <v>394</v>
      </c>
      <c r="V782" s="245">
        <v>17976</v>
      </c>
      <c r="W782" s="101" t="s">
        <v>395</v>
      </c>
      <c r="X782" s="101" t="s">
        <v>795</v>
      </c>
      <c r="Y782" s="101" t="s">
        <v>396</v>
      </c>
      <c r="Z782" s="101" t="s">
        <v>402</v>
      </c>
      <c r="AA782" s="101" t="s">
        <v>78</v>
      </c>
      <c r="AB782" s="101">
        <v>4101000279</v>
      </c>
      <c r="AC782" s="101" t="s">
        <v>398</v>
      </c>
      <c r="AD782" s="101" t="s">
        <v>403</v>
      </c>
      <c r="AE782" s="101" t="s">
        <v>6</v>
      </c>
      <c r="AF782" s="101" t="s">
        <v>400</v>
      </c>
      <c r="AI782" s="101" t="s">
        <v>760</v>
      </c>
    </row>
    <row r="783" spans="1:35">
      <c r="A783" s="246" t="s">
        <v>107</v>
      </c>
      <c r="B783" s="246" t="s">
        <v>78</v>
      </c>
      <c r="C783" s="246" t="s">
        <v>126</v>
      </c>
      <c r="D783" s="246" t="s">
        <v>772</v>
      </c>
      <c r="E783" s="246" t="s">
        <v>773</v>
      </c>
      <c r="F783" s="246"/>
      <c r="G783" s="132" t="s">
        <v>635</v>
      </c>
      <c r="H783" s="132" t="s">
        <v>1602</v>
      </c>
      <c r="I783" s="132">
        <v>-4869.0999999999995</v>
      </c>
      <c r="J783" s="101" t="s">
        <v>889</v>
      </c>
      <c r="K783" s="245" t="s">
        <v>390</v>
      </c>
      <c r="L783" s="245">
        <v>42522</v>
      </c>
      <c r="M783" s="245" t="s">
        <v>391</v>
      </c>
      <c r="N783" s="101">
        <v>0</v>
      </c>
      <c r="O783" s="101" t="s">
        <v>392</v>
      </c>
      <c r="P783" s="101">
        <v>0</v>
      </c>
      <c r="Q783" s="101">
        <v>0</v>
      </c>
      <c r="R783" s="101" t="s">
        <v>393</v>
      </c>
      <c r="S783" s="101" t="s">
        <v>805</v>
      </c>
      <c r="T783" s="101" t="s">
        <v>394</v>
      </c>
      <c r="V783" s="245">
        <v>46539</v>
      </c>
      <c r="W783" s="101" t="s">
        <v>535</v>
      </c>
      <c r="X783" s="101" t="s">
        <v>76</v>
      </c>
      <c r="Y783" s="101" t="s">
        <v>471</v>
      </c>
      <c r="Z783" s="101" t="s">
        <v>402</v>
      </c>
      <c r="AA783" s="101" t="s">
        <v>78</v>
      </c>
      <c r="AB783" s="101">
        <v>4101000279</v>
      </c>
      <c r="AC783" s="101" t="s">
        <v>398</v>
      </c>
      <c r="AD783" s="101" t="s">
        <v>403</v>
      </c>
      <c r="AE783" s="101" t="s">
        <v>75</v>
      </c>
      <c r="AF783" s="101" t="s">
        <v>400</v>
      </c>
      <c r="AI783" s="101" t="s">
        <v>760</v>
      </c>
    </row>
    <row r="784" spans="1:35">
      <c r="A784" s="246" t="s">
        <v>110</v>
      </c>
      <c r="B784" s="246" t="s">
        <v>78</v>
      </c>
      <c r="C784" s="246" t="s">
        <v>126</v>
      </c>
      <c r="D784" s="246" t="s">
        <v>770</v>
      </c>
      <c r="E784" s="246" t="s">
        <v>771</v>
      </c>
      <c r="F784" s="246"/>
      <c r="G784" s="132" t="s">
        <v>1603</v>
      </c>
      <c r="H784" s="132" t="s">
        <v>1604</v>
      </c>
      <c r="I784" s="132">
        <v>-5357.23</v>
      </c>
      <c r="J784" s="101" t="s">
        <v>889</v>
      </c>
      <c r="K784" s="245" t="s">
        <v>390</v>
      </c>
      <c r="L784" s="245">
        <v>42614</v>
      </c>
      <c r="M784" s="245" t="s">
        <v>391</v>
      </c>
      <c r="N784" s="101">
        <v>0</v>
      </c>
      <c r="O784" s="101" t="s">
        <v>392</v>
      </c>
      <c r="P784" s="101">
        <v>0</v>
      </c>
      <c r="Q784" s="101">
        <v>0</v>
      </c>
      <c r="R784" s="101" t="s">
        <v>393</v>
      </c>
      <c r="S784" s="101" t="s">
        <v>805</v>
      </c>
      <c r="T784" s="101" t="s">
        <v>394</v>
      </c>
      <c r="V784" s="245">
        <v>46539</v>
      </c>
      <c r="W784" s="101" t="s">
        <v>535</v>
      </c>
      <c r="X784" s="101" t="s">
        <v>76</v>
      </c>
      <c r="Y784" s="101" t="s">
        <v>471</v>
      </c>
      <c r="Z784" s="101" t="s">
        <v>402</v>
      </c>
      <c r="AA784" s="101" t="s">
        <v>78</v>
      </c>
      <c r="AB784" s="101">
        <v>4101000279</v>
      </c>
      <c r="AC784" s="101" t="s">
        <v>398</v>
      </c>
      <c r="AD784" s="101" t="s">
        <v>403</v>
      </c>
      <c r="AE784" s="101" t="s">
        <v>75</v>
      </c>
      <c r="AF784" s="101" t="s">
        <v>400</v>
      </c>
      <c r="AI784" s="101" t="s">
        <v>760</v>
      </c>
    </row>
    <row r="785" spans="1:35">
      <c r="A785" s="246" t="s">
        <v>111</v>
      </c>
      <c r="B785" s="246" t="s">
        <v>78</v>
      </c>
      <c r="C785" s="246" t="s">
        <v>126</v>
      </c>
      <c r="D785" s="246" t="s">
        <v>768</v>
      </c>
      <c r="E785" s="246" t="s">
        <v>769</v>
      </c>
      <c r="F785" s="246"/>
      <c r="G785" s="132" t="s">
        <v>1605</v>
      </c>
      <c r="H785" s="132" t="s">
        <v>1606</v>
      </c>
      <c r="I785" s="132">
        <v>-5520.37</v>
      </c>
      <c r="J785" s="101" t="s">
        <v>889</v>
      </c>
      <c r="K785" s="245" t="s">
        <v>390</v>
      </c>
      <c r="L785" s="245">
        <v>42705</v>
      </c>
      <c r="M785" s="245" t="s">
        <v>391</v>
      </c>
      <c r="N785" s="101">
        <v>0</v>
      </c>
      <c r="O785" s="101" t="s">
        <v>392</v>
      </c>
      <c r="P785" s="101">
        <v>0</v>
      </c>
      <c r="Q785" s="101">
        <v>0</v>
      </c>
      <c r="R785" s="101" t="s">
        <v>393</v>
      </c>
      <c r="S785" s="101" t="s">
        <v>805</v>
      </c>
      <c r="T785" s="101" t="s">
        <v>394</v>
      </c>
      <c r="V785" s="245">
        <v>46539</v>
      </c>
      <c r="W785" s="101" t="s">
        <v>535</v>
      </c>
      <c r="X785" s="101" t="s">
        <v>76</v>
      </c>
      <c r="Y785" s="101" t="s">
        <v>471</v>
      </c>
      <c r="Z785" s="101" t="s">
        <v>402</v>
      </c>
      <c r="AA785" s="101" t="s">
        <v>78</v>
      </c>
      <c r="AB785" s="101">
        <v>4101000279</v>
      </c>
      <c r="AC785" s="101" t="s">
        <v>398</v>
      </c>
      <c r="AD785" s="101" t="s">
        <v>403</v>
      </c>
      <c r="AE785" s="101" t="s">
        <v>75</v>
      </c>
      <c r="AF785" s="101" t="s">
        <v>400</v>
      </c>
      <c r="AI785" s="101" t="s">
        <v>760</v>
      </c>
    </row>
    <row r="786" spans="1:35">
      <c r="A786" s="246" t="s">
        <v>111</v>
      </c>
      <c r="B786" s="246" t="s">
        <v>78</v>
      </c>
      <c r="C786" s="246" t="s">
        <v>126</v>
      </c>
      <c r="D786" s="246" t="s">
        <v>768</v>
      </c>
      <c r="E786" s="246" t="s">
        <v>769</v>
      </c>
      <c r="F786" s="246"/>
      <c r="G786" s="132" t="s">
        <v>1607</v>
      </c>
      <c r="H786" s="132" t="s">
        <v>1608</v>
      </c>
      <c r="I786" s="132">
        <v>-5950.9199999999992</v>
      </c>
      <c r="J786" s="101" t="s">
        <v>889</v>
      </c>
      <c r="K786" s="245" t="s">
        <v>390</v>
      </c>
      <c r="L786" s="245">
        <v>42795</v>
      </c>
      <c r="M786" s="245" t="s">
        <v>391</v>
      </c>
      <c r="N786" s="101">
        <v>0</v>
      </c>
      <c r="O786" s="101" t="s">
        <v>392</v>
      </c>
      <c r="P786" s="101">
        <v>0</v>
      </c>
      <c r="Q786" s="101">
        <v>0</v>
      </c>
      <c r="R786" s="101" t="s">
        <v>393</v>
      </c>
      <c r="S786" s="101" t="s">
        <v>805</v>
      </c>
      <c r="T786" s="101" t="s">
        <v>394</v>
      </c>
      <c r="V786" s="245">
        <v>46539</v>
      </c>
      <c r="W786" s="101" t="s">
        <v>535</v>
      </c>
      <c r="X786" s="101" t="s">
        <v>76</v>
      </c>
      <c r="Y786" s="101" t="s">
        <v>471</v>
      </c>
      <c r="Z786" s="101" t="s">
        <v>402</v>
      </c>
      <c r="AA786" s="101" t="s">
        <v>78</v>
      </c>
      <c r="AB786" s="101">
        <v>4101000279</v>
      </c>
      <c r="AC786" s="101" t="s">
        <v>398</v>
      </c>
      <c r="AD786" s="101" t="s">
        <v>403</v>
      </c>
      <c r="AE786" s="101" t="s">
        <v>75</v>
      </c>
      <c r="AF786" s="101" t="s">
        <v>400</v>
      </c>
      <c r="AI786" s="101" t="s">
        <v>760</v>
      </c>
    </row>
    <row r="787" spans="1:35">
      <c r="A787" s="246" t="s">
        <v>112</v>
      </c>
      <c r="B787" s="246" t="s">
        <v>78</v>
      </c>
      <c r="C787" s="246" t="s">
        <v>126</v>
      </c>
      <c r="D787" s="246" t="s">
        <v>341</v>
      </c>
      <c r="E787" s="246" t="s">
        <v>342</v>
      </c>
      <c r="F787" s="246"/>
      <c r="G787" s="132" t="s">
        <v>1609</v>
      </c>
      <c r="H787" s="132" t="s">
        <v>1610</v>
      </c>
      <c r="I787" s="132">
        <v>-6445.7699999999995</v>
      </c>
      <c r="J787" s="101" t="s">
        <v>889</v>
      </c>
      <c r="K787" s="245" t="s">
        <v>390</v>
      </c>
      <c r="L787" s="245">
        <v>42887</v>
      </c>
      <c r="M787" s="245" t="s">
        <v>391</v>
      </c>
      <c r="N787" s="101">
        <v>0</v>
      </c>
      <c r="O787" s="101" t="s">
        <v>392</v>
      </c>
      <c r="P787" s="101">
        <v>0</v>
      </c>
      <c r="Q787" s="101">
        <v>0</v>
      </c>
      <c r="R787" s="101" t="s">
        <v>393</v>
      </c>
      <c r="S787" s="101" t="s">
        <v>805</v>
      </c>
      <c r="T787" s="101" t="s">
        <v>394</v>
      </c>
      <c r="V787" s="245">
        <v>46539</v>
      </c>
      <c r="W787" s="101" t="s">
        <v>535</v>
      </c>
      <c r="X787" s="101" t="s">
        <v>76</v>
      </c>
      <c r="Y787" s="101" t="s">
        <v>471</v>
      </c>
      <c r="Z787" s="101" t="s">
        <v>402</v>
      </c>
      <c r="AA787" s="101" t="s">
        <v>78</v>
      </c>
      <c r="AB787" s="101">
        <v>4101000279</v>
      </c>
      <c r="AC787" s="101" t="s">
        <v>398</v>
      </c>
      <c r="AD787" s="101" t="s">
        <v>403</v>
      </c>
      <c r="AE787" s="101" t="s">
        <v>75</v>
      </c>
      <c r="AF787" s="101" t="s">
        <v>400</v>
      </c>
      <c r="AI787" s="101" t="s">
        <v>760</v>
      </c>
    </row>
    <row r="788" spans="1:35">
      <c r="A788" s="246" t="s">
        <v>112</v>
      </c>
      <c r="B788" s="246" t="s">
        <v>78</v>
      </c>
      <c r="C788" s="246" t="s">
        <v>126</v>
      </c>
      <c r="D788" s="246" t="s">
        <v>341</v>
      </c>
      <c r="E788" s="246" t="s">
        <v>342</v>
      </c>
      <c r="F788" s="246"/>
      <c r="G788" s="132" t="s">
        <v>1611</v>
      </c>
      <c r="H788" s="132" t="s">
        <v>1612</v>
      </c>
      <c r="I788" s="132">
        <v>-7413.79</v>
      </c>
      <c r="J788" s="101" t="s">
        <v>889</v>
      </c>
      <c r="K788" s="245" t="s">
        <v>390</v>
      </c>
      <c r="L788" s="245">
        <v>42979</v>
      </c>
      <c r="M788" s="245" t="s">
        <v>391</v>
      </c>
      <c r="N788" s="101">
        <v>0</v>
      </c>
      <c r="O788" s="101" t="s">
        <v>392</v>
      </c>
      <c r="P788" s="101">
        <v>0</v>
      </c>
      <c r="Q788" s="101">
        <v>0</v>
      </c>
      <c r="R788" s="101" t="s">
        <v>393</v>
      </c>
      <c r="S788" s="101" t="s">
        <v>805</v>
      </c>
      <c r="T788" s="101" t="s">
        <v>394</v>
      </c>
      <c r="V788" s="245">
        <v>46539</v>
      </c>
      <c r="W788" s="101" t="s">
        <v>535</v>
      </c>
      <c r="X788" s="101" t="s">
        <v>76</v>
      </c>
      <c r="Y788" s="101" t="s">
        <v>471</v>
      </c>
      <c r="Z788" s="101" t="s">
        <v>402</v>
      </c>
      <c r="AA788" s="101" t="s">
        <v>78</v>
      </c>
      <c r="AB788" s="101">
        <v>4101000279</v>
      </c>
      <c r="AC788" s="101" t="s">
        <v>398</v>
      </c>
      <c r="AD788" s="101" t="s">
        <v>403</v>
      </c>
      <c r="AE788" s="101" t="s">
        <v>75</v>
      </c>
      <c r="AF788" s="101" t="s">
        <v>400</v>
      </c>
      <c r="AI788" s="101" t="s">
        <v>760</v>
      </c>
    </row>
    <row r="789" spans="1:35">
      <c r="A789" s="246" t="s">
        <v>113</v>
      </c>
      <c r="B789" s="246" t="s">
        <v>78</v>
      </c>
      <c r="C789" s="246" t="s">
        <v>126</v>
      </c>
      <c r="D789" s="246" t="s">
        <v>339</v>
      </c>
      <c r="E789" s="246" t="s">
        <v>340</v>
      </c>
      <c r="F789" s="246"/>
      <c r="G789" s="132" t="s">
        <v>1613</v>
      </c>
      <c r="H789" s="132" t="s">
        <v>1614</v>
      </c>
      <c r="I789" s="132">
        <v>-7333.0999999999995</v>
      </c>
      <c r="J789" s="101" t="s">
        <v>889</v>
      </c>
      <c r="K789" s="245" t="s">
        <v>390</v>
      </c>
      <c r="L789" s="245">
        <v>43070</v>
      </c>
      <c r="M789" s="245" t="s">
        <v>391</v>
      </c>
      <c r="N789" s="101">
        <v>0</v>
      </c>
      <c r="O789" s="101" t="s">
        <v>392</v>
      </c>
      <c r="P789" s="101">
        <v>0</v>
      </c>
      <c r="Q789" s="101">
        <v>0</v>
      </c>
      <c r="R789" s="101" t="s">
        <v>393</v>
      </c>
      <c r="S789" s="101" t="s">
        <v>805</v>
      </c>
      <c r="T789" s="101" t="s">
        <v>394</v>
      </c>
      <c r="V789" s="245">
        <v>46539</v>
      </c>
      <c r="W789" s="101" t="s">
        <v>535</v>
      </c>
      <c r="X789" s="101" t="s">
        <v>76</v>
      </c>
      <c r="Y789" s="101" t="s">
        <v>471</v>
      </c>
      <c r="Z789" s="101" t="s">
        <v>402</v>
      </c>
      <c r="AA789" s="101" t="s">
        <v>78</v>
      </c>
      <c r="AB789" s="101">
        <v>4101000279</v>
      </c>
      <c r="AC789" s="101" t="s">
        <v>398</v>
      </c>
      <c r="AD789" s="101" t="s">
        <v>403</v>
      </c>
      <c r="AE789" s="101" t="s">
        <v>75</v>
      </c>
      <c r="AF789" s="101" t="s">
        <v>400</v>
      </c>
      <c r="AI789" s="101" t="s">
        <v>760</v>
      </c>
    </row>
    <row r="790" spans="1:35">
      <c r="A790" s="246" t="s">
        <v>113</v>
      </c>
      <c r="B790" s="246" t="s">
        <v>78</v>
      </c>
      <c r="C790" s="246" t="s">
        <v>126</v>
      </c>
      <c r="D790" s="246" t="s">
        <v>339</v>
      </c>
      <c r="E790" s="246" t="s">
        <v>340</v>
      </c>
      <c r="F790" s="246"/>
      <c r="G790" s="132" t="s">
        <v>1615</v>
      </c>
      <c r="H790" s="132" t="s">
        <v>1616</v>
      </c>
      <c r="I790" s="132">
        <v>-7252.42</v>
      </c>
      <c r="J790" s="101" t="s">
        <v>889</v>
      </c>
      <c r="K790" s="245" t="s">
        <v>390</v>
      </c>
      <c r="L790" s="245">
        <v>43160</v>
      </c>
      <c r="M790" s="245" t="s">
        <v>391</v>
      </c>
      <c r="N790" s="101">
        <v>0</v>
      </c>
      <c r="O790" s="101" t="s">
        <v>392</v>
      </c>
      <c r="P790" s="101">
        <v>0</v>
      </c>
      <c r="Q790" s="101">
        <v>0</v>
      </c>
      <c r="R790" s="101" t="s">
        <v>393</v>
      </c>
      <c r="S790" s="101" t="s">
        <v>805</v>
      </c>
      <c r="T790" s="101" t="s">
        <v>394</v>
      </c>
      <c r="V790" s="245">
        <v>46539</v>
      </c>
      <c r="W790" s="101" t="s">
        <v>535</v>
      </c>
      <c r="X790" s="101" t="s">
        <v>76</v>
      </c>
      <c r="Y790" s="101" t="s">
        <v>471</v>
      </c>
      <c r="Z790" s="101" t="s">
        <v>402</v>
      </c>
      <c r="AA790" s="101" t="s">
        <v>78</v>
      </c>
      <c r="AB790" s="101">
        <v>4101000279</v>
      </c>
      <c r="AC790" s="101" t="s">
        <v>398</v>
      </c>
      <c r="AD790" s="101" t="s">
        <v>403</v>
      </c>
      <c r="AE790" s="101" t="s">
        <v>75</v>
      </c>
      <c r="AF790" s="101" t="s">
        <v>400</v>
      </c>
      <c r="AI790" s="101" t="s">
        <v>760</v>
      </c>
    </row>
    <row r="791" spans="1:35">
      <c r="A791" s="246" t="s">
        <v>109</v>
      </c>
      <c r="B791" s="246" t="s">
        <v>66</v>
      </c>
      <c r="C791" s="246" t="s">
        <v>126</v>
      </c>
      <c r="D791" s="246" t="s">
        <v>272</v>
      </c>
      <c r="E791" s="246"/>
      <c r="F791" s="246"/>
      <c r="G791" s="132" t="s">
        <v>559</v>
      </c>
      <c r="H791" s="132" t="s">
        <v>1617</v>
      </c>
      <c r="I791" s="132">
        <v>-234204.5</v>
      </c>
      <c r="J791" s="101" t="s">
        <v>889</v>
      </c>
      <c r="K791" s="245" t="s">
        <v>390</v>
      </c>
      <c r="L791" s="245">
        <v>42578</v>
      </c>
      <c r="M791" s="245" t="s">
        <v>391</v>
      </c>
      <c r="N791" s="101">
        <v>0</v>
      </c>
      <c r="O791" s="101" t="s">
        <v>392</v>
      </c>
      <c r="P791" s="101">
        <v>0</v>
      </c>
      <c r="Q791" s="101">
        <v>0</v>
      </c>
      <c r="R791" s="101" t="s">
        <v>444</v>
      </c>
      <c r="S791" s="101" t="s">
        <v>560</v>
      </c>
      <c r="T791" s="101" t="s">
        <v>394</v>
      </c>
      <c r="U791" s="101" t="s">
        <v>87</v>
      </c>
      <c r="V791" s="245">
        <v>45505</v>
      </c>
      <c r="W791" s="101" t="s">
        <v>445</v>
      </c>
      <c r="X791" s="101" t="s">
        <v>76</v>
      </c>
      <c r="Y791" s="101" t="s">
        <v>392</v>
      </c>
      <c r="Z791" s="101" t="s">
        <v>412</v>
      </c>
      <c r="AA791" s="101" t="s">
        <v>561</v>
      </c>
      <c r="AB791" s="101">
        <v>101002085</v>
      </c>
      <c r="AC791" s="101" t="s">
        <v>414</v>
      </c>
      <c r="AD791" s="101" t="s">
        <v>79</v>
      </c>
      <c r="AE791" s="101" t="s">
        <v>75</v>
      </c>
      <c r="AF791" s="101" t="s">
        <v>400</v>
      </c>
      <c r="AI791" s="101" t="s">
        <v>172</v>
      </c>
    </row>
    <row r="792" spans="1:35">
      <c r="A792" s="246" t="s">
        <v>111</v>
      </c>
      <c r="B792" s="246" t="s">
        <v>66</v>
      </c>
      <c r="C792" s="246" t="s">
        <v>126</v>
      </c>
      <c r="D792" s="246" t="s">
        <v>273</v>
      </c>
      <c r="E792" s="246"/>
      <c r="F792" s="246"/>
      <c r="G792" s="132" t="s">
        <v>559</v>
      </c>
      <c r="H792" s="132" t="s">
        <v>1617</v>
      </c>
      <c r="I792" s="132">
        <v>-234204.5</v>
      </c>
      <c r="J792" s="101" t="s">
        <v>889</v>
      </c>
      <c r="K792" s="245" t="s">
        <v>390</v>
      </c>
      <c r="L792" s="245">
        <v>42762</v>
      </c>
      <c r="M792" s="245" t="s">
        <v>391</v>
      </c>
      <c r="N792" s="101">
        <v>0</v>
      </c>
      <c r="O792" s="101" t="s">
        <v>392</v>
      </c>
      <c r="P792" s="101">
        <v>0</v>
      </c>
      <c r="Q792" s="101">
        <v>0</v>
      </c>
      <c r="R792" s="101" t="s">
        <v>444</v>
      </c>
      <c r="S792" s="101" t="s">
        <v>560</v>
      </c>
      <c r="T792" s="101" t="s">
        <v>394</v>
      </c>
      <c r="U792" s="101" t="s">
        <v>87</v>
      </c>
      <c r="V792" s="245">
        <v>45505</v>
      </c>
      <c r="W792" s="101" t="s">
        <v>445</v>
      </c>
      <c r="X792" s="101" t="s">
        <v>76</v>
      </c>
      <c r="Y792" s="101" t="s">
        <v>392</v>
      </c>
      <c r="Z792" s="101" t="s">
        <v>412</v>
      </c>
      <c r="AA792" s="101" t="s">
        <v>561</v>
      </c>
      <c r="AB792" s="101">
        <v>101002085</v>
      </c>
      <c r="AC792" s="101" t="s">
        <v>414</v>
      </c>
      <c r="AD792" s="101" t="s">
        <v>79</v>
      </c>
      <c r="AE792" s="101" t="s">
        <v>75</v>
      </c>
      <c r="AF792" s="101" t="s">
        <v>400</v>
      </c>
      <c r="AI792" s="101" t="s">
        <v>172</v>
      </c>
    </row>
    <row r="793" spans="1:35">
      <c r="A793" s="246" t="s">
        <v>112</v>
      </c>
      <c r="B793" s="246" t="s">
        <v>66</v>
      </c>
      <c r="C793" s="246" t="s">
        <v>126</v>
      </c>
      <c r="D793" s="246" t="s">
        <v>270</v>
      </c>
      <c r="E793" s="246"/>
      <c r="F793" s="246"/>
      <c r="G793" s="132" t="s">
        <v>559</v>
      </c>
      <c r="H793" s="132" t="s">
        <v>1617</v>
      </c>
      <c r="I793" s="132">
        <v>-234204.5</v>
      </c>
      <c r="J793" s="101" t="s">
        <v>889</v>
      </c>
      <c r="K793" s="245" t="s">
        <v>390</v>
      </c>
      <c r="L793" s="245">
        <v>42943</v>
      </c>
      <c r="M793" s="245" t="s">
        <v>391</v>
      </c>
      <c r="N793" s="101">
        <v>0</v>
      </c>
      <c r="O793" s="101" t="s">
        <v>392</v>
      </c>
      <c r="P793" s="101">
        <v>0</v>
      </c>
      <c r="Q793" s="101">
        <v>0</v>
      </c>
      <c r="R793" s="101" t="s">
        <v>444</v>
      </c>
      <c r="S793" s="101" t="s">
        <v>560</v>
      </c>
      <c r="T793" s="101" t="s">
        <v>394</v>
      </c>
      <c r="U793" s="101" t="s">
        <v>87</v>
      </c>
      <c r="V793" s="245">
        <v>45505</v>
      </c>
      <c r="W793" s="101" t="s">
        <v>445</v>
      </c>
      <c r="X793" s="101" t="s">
        <v>76</v>
      </c>
      <c r="Y793" s="101" t="s">
        <v>392</v>
      </c>
      <c r="Z793" s="101" t="s">
        <v>412</v>
      </c>
      <c r="AA793" s="101" t="s">
        <v>561</v>
      </c>
      <c r="AB793" s="101">
        <v>101002085</v>
      </c>
      <c r="AC793" s="101" t="s">
        <v>414</v>
      </c>
      <c r="AD793" s="101" t="s">
        <v>79</v>
      </c>
      <c r="AE793" s="101" t="s">
        <v>75</v>
      </c>
      <c r="AF793" s="101" t="s">
        <v>400</v>
      </c>
      <c r="AI793" s="101" t="s">
        <v>172</v>
      </c>
    </row>
    <row r="794" spans="1:35">
      <c r="A794" s="246" t="s">
        <v>113</v>
      </c>
      <c r="B794" s="246" t="s">
        <v>66</v>
      </c>
      <c r="C794" s="246" t="s">
        <v>126</v>
      </c>
      <c r="D794" s="246" t="s">
        <v>271</v>
      </c>
      <c r="E794" s="246"/>
      <c r="F794" s="246"/>
      <c r="G794" s="132" t="s">
        <v>559</v>
      </c>
      <c r="H794" s="132" t="s">
        <v>1617</v>
      </c>
      <c r="I794" s="132">
        <v>-234204.5</v>
      </c>
      <c r="J794" s="101" t="s">
        <v>889</v>
      </c>
      <c r="K794" s="245" t="s">
        <v>390</v>
      </c>
      <c r="L794" s="245">
        <v>43129</v>
      </c>
      <c r="M794" s="245" t="s">
        <v>391</v>
      </c>
      <c r="N794" s="101">
        <v>0</v>
      </c>
      <c r="O794" s="101" t="s">
        <v>392</v>
      </c>
      <c r="P794" s="101">
        <v>0</v>
      </c>
      <c r="Q794" s="101">
        <v>0</v>
      </c>
      <c r="R794" s="101" t="s">
        <v>444</v>
      </c>
      <c r="S794" s="101" t="s">
        <v>560</v>
      </c>
      <c r="T794" s="101" t="s">
        <v>394</v>
      </c>
      <c r="U794" s="101" t="s">
        <v>87</v>
      </c>
      <c r="V794" s="245">
        <v>45505</v>
      </c>
      <c r="W794" s="101" t="s">
        <v>445</v>
      </c>
      <c r="X794" s="101" t="s">
        <v>76</v>
      </c>
      <c r="Y794" s="101" t="s">
        <v>392</v>
      </c>
      <c r="Z794" s="101" t="s">
        <v>412</v>
      </c>
      <c r="AA794" s="101" t="s">
        <v>561</v>
      </c>
      <c r="AB794" s="101">
        <v>101002085</v>
      </c>
      <c r="AC794" s="101" t="s">
        <v>414</v>
      </c>
      <c r="AD794" s="101" t="s">
        <v>79</v>
      </c>
      <c r="AE794" s="101" t="s">
        <v>75</v>
      </c>
      <c r="AF794" s="101" t="s">
        <v>400</v>
      </c>
      <c r="AI794" s="101" t="s">
        <v>172</v>
      </c>
    </row>
    <row r="795" spans="1:35">
      <c r="A795" s="246" t="s">
        <v>109</v>
      </c>
      <c r="B795" s="246" t="s">
        <v>66</v>
      </c>
      <c r="C795" s="246" t="s">
        <v>126</v>
      </c>
      <c r="D795" s="246" t="s">
        <v>272</v>
      </c>
      <c r="E795" s="246"/>
      <c r="F795" s="246" t="s">
        <v>275</v>
      </c>
      <c r="G795" s="132" t="s">
        <v>714</v>
      </c>
      <c r="H795" s="132" t="s">
        <v>1618</v>
      </c>
      <c r="I795" s="132">
        <v>-149193.83000000002</v>
      </c>
      <c r="J795" s="101" t="s">
        <v>889</v>
      </c>
      <c r="K795" s="245" t="s">
        <v>390</v>
      </c>
      <c r="L795" s="245">
        <v>42552</v>
      </c>
      <c r="M795" s="245" t="s">
        <v>391</v>
      </c>
      <c r="N795" s="101">
        <v>0</v>
      </c>
      <c r="O795" s="101" t="s">
        <v>392</v>
      </c>
      <c r="P795" s="101">
        <v>0</v>
      </c>
      <c r="Q795" s="101">
        <v>0</v>
      </c>
      <c r="R795" s="101" t="s">
        <v>422</v>
      </c>
      <c r="S795" s="101" t="s">
        <v>719</v>
      </c>
      <c r="T795" s="101" t="s">
        <v>394</v>
      </c>
      <c r="U795" s="101" t="s">
        <v>5</v>
      </c>
      <c r="V795" s="245">
        <v>13697</v>
      </c>
      <c r="W795" s="101" t="s">
        <v>411</v>
      </c>
      <c r="X795" s="101" t="s">
        <v>77</v>
      </c>
      <c r="Y795" s="101" t="s">
        <v>392</v>
      </c>
      <c r="Z795" s="101" t="s">
        <v>412</v>
      </c>
      <c r="AA795" s="101" t="s">
        <v>720</v>
      </c>
      <c r="AB795" s="101">
        <v>3101006981</v>
      </c>
      <c r="AC795" s="101" t="s">
        <v>414</v>
      </c>
      <c r="AD795" s="101" t="s">
        <v>79</v>
      </c>
      <c r="AE795" s="101" t="s">
        <v>6</v>
      </c>
      <c r="AF795" s="101" t="s">
        <v>400</v>
      </c>
      <c r="AI795" s="101" t="s">
        <v>190</v>
      </c>
    </row>
    <row r="796" spans="1:35">
      <c r="A796" s="246" t="s">
        <v>111</v>
      </c>
      <c r="B796" s="246" t="s">
        <v>66</v>
      </c>
      <c r="C796" s="246" t="s">
        <v>126</v>
      </c>
      <c r="D796" s="246" t="s">
        <v>273</v>
      </c>
      <c r="E796" s="246"/>
      <c r="F796" s="246" t="s">
        <v>277</v>
      </c>
      <c r="G796" s="132" t="s">
        <v>715</v>
      </c>
      <c r="H796" s="132" t="s">
        <v>1619</v>
      </c>
      <c r="I796" s="132">
        <v>-153408.34</v>
      </c>
      <c r="J796" s="101" t="s">
        <v>889</v>
      </c>
      <c r="K796" s="245" t="s">
        <v>390</v>
      </c>
      <c r="L796" s="245">
        <v>42738</v>
      </c>
      <c r="M796" s="245" t="s">
        <v>391</v>
      </c>
      <c r="N796" s="101">
        <v>0</v>
      </c>
      <c r="O796" s="101" t="s">
        <v>392</v>
      </c>
      <c r="P796" s="101">
        <v>0</v>
      </c>
      <c r="Q796" s="101">
        <v>0</v>
      </c>
      <c r="R796" s="101" t="s">
        <v>422</v>
      </c>
      <c r="S796" s="101" t="s">
        <v>719</v>
      </c>
      <c r="T796" s="101" t="s">
        <v>394</v>
      </c>
      <c r="U796" s="101" t="s">
        <v>5</v>
      </c>
      <c r="V796" s="245">
        <v>13697</v>
      </c>
      <c r="W796" s="101" t="s">
        <v>411</v>
      </c>
      <c r="X796" s="101" t="s">
        <v>77</v>
      </c>
      <c r="Y796" s="101" t="s">
        <v>392</v>
      </c>
      <c r="Z796" s="101" t="s">
        <v>412</v>
      </c>
      <c r="AA796" s="101" t="s">
        <v>720</v>
      </c>
      <c r="AB796" s="101">
        <v>3101006981</v>
      </c>
      <c r="AC796" s="101" t="s">
        <v>414</v>
      </c>
      <c r="AD796" s="101" t="s">
        <v>79</v>
      </c>
      <c r="AE796" s="101" t="s">
        <v>6</v>
      </c>
      <c r="AF796" s="101" t="s">
        <v>400</v>
      </c>
      <c r="AI796" s="101" t="s">
        <v>190</v>
      </c>
    </row>
    <row r="797" spans="1:35">
      <c r="A797" s="246" t="s">
        <v>112</v>
      </c>
      <c r="B797" s="246" t="s">
        <v>66</v>
      </c>
      <c r="C797" s="246" t="s">
        <v>126</v>
      </c>
      <c r="D797" s="246" t="s">
        <v>270</v>
      </c>
      <c r="E797" s="246"/>
      <c r="F797" s="246" t="s">
        <v>278</v>
      </c>
      <c r="G797" s="132" t="s">
        <v>716</v>
      </c>
      <c r="H797" s="132" t="s">
        <v>1620</v>
      </c>
      <c r="I797" s="132">
        <v>-151722.53999999998</v>
      </c>
      <c r="J797" s="101" t="s">
        <v>889</v>
      </c>
      <c r="K797" s="245" t="s">
        <v>390</v>
      </c>
      <c r="L797" s="245">
        <v>42919</v>
      </c>
      <c r="M797" s="245" t="s">
        <v>391</v>
      </c>
      <c r="N797" s="101">
        <v>0</v>
      </c>
      <c r="O797" s="101" t="s">
        <v>392</v>
      </c>
      <c r="P797" s="101">
        <v>0</v>
      </c>
      <c r="Q797" s="101">
        <v>0</v>
      </c>
      <c r="R797" s="101" t="s">
        <v>422</v>
      </c>
      <c r="S797" s="101" t="s">
        <v>719</v>
      </c>
      <c r="T797" s="101" t="s">
        <v>394</v>
      </c>
      <c r="U797" s="101" t="s">
        <v>5</v>
      </c>
      <c r="V797" s="245">
        <v>13697</v>
      </c>
      <c r="W797" s="101" t="s">
        <v>411</v>
      </c>
      <c r="X797" s="101" t="s">
        <v>77</v>
      </c>
      <c r="Y797" s="101" t="s">
        <v>392</v>
      </c>
      <c r="Z797" s="101" t="s">
        <v>412</v>
      </c>
      <c r="AA797" s="101" t="s">
        <v>720</v>
      </c>
      <c r="AB797" s="101">
        <v>3101006981</v>
      </c>
      <c r="AC797" s="101" t="s">
        <v>414</v>
      </c>
      <c r="AD797" s="101" t="s">
        <v>79</v>
      </c>
      <c r="AE797" s="101" t="s">
        <v>6</v>
      </c>
      <c r="AF797" s="101" t="s">
        <v>400</v>
      </c>
      <c r="AI797" s="101" t="s">
        <v>190</v>
      </c>
    </row>
    <row r="798" spans="1:35">
      <c r="A798" s="246" t="s">
        <v>113</v>
      </c>
      <c r="B798" s="246" t="s">
        <v>66</v>
      </c>
      <c r="C798" s="246" t="s">
        <v>126</v>
      </c>
      <c r="D798" s="246" t="s">
        <v>271</v>
      </c>
      <c r="E798" s="246"/>
      <c r="F798" s="246" t="s">
        <v>279</v>
      </c>
      <c r="G798" s="132" t="s">
        <v>717</v>
      </c>
      <c r="H798" s="132" t="s">
        <v>1621</v>
      </c>
      <c r="I798" s="132">
        <v>-150879.63</v>
      </c>
      <c r="J798" s="101" t="s">
        <v>889</v>
      </c>
      <c r="K798" s="245" t="s">
        <v>390</v>
      </c>
      <c r="L798" s="245">
        <v>43102</v>
      </c>
      <c r="M798" s="245" t="s">
        <v>391</v>
      </c>
      <c r="N798" s="101">
        <v>0</v>
      </c>
      <c r="O798" s="101" t="s">
        <v>392</v>
      </c>
      <c r="P798" s="101">
        <v>0</v>
      </c>
      <c r="Q798" s="101">
        <v>0</v>
      </c>
      <c r="R798" s="101" t="s">
        <v>422</v>
      </c>
      <c r="S798" s="101" t="s">
        <v>719</v>
      </c>
      <c r="T798" s="101" t="s">
        <v>394</v>
      </c>
      <c r="U798" s="101" t="s">
        <v>5</v>
      </c>
      <c r="V798" s="245">
        <v>13697</v>
      </c>
      <c r="W798" s="101" t="s">
        <v>411</v>
      </c>
      <c r="X798" s="101" t="s">
        <v>77</v>
      </c>
      <c r="Y798" s="101" t="s">
        <v>392</v>
      </c>
      <c r="Z798" s="101" t="s">
        <v>412</v>
      </c>
      <c r="AA798" s="101" t="s">
        <v>720</v>
      </c>
      <c r="AB798" s="101">
        <v>3101006981</v>
      </c>
      <c r="AC798" s="101" t="s">
        <v>414</v>
      </c>
      <c r="AD798" s="101" t="s">
        <v>79</v>
      </c>
      <c r="AE798" s="101" t="s">
        <v>6</v>
      </c>
      <c r="AF798" s="101" t="s">
        <v>400</v>
      </c>
      <c r="AI798" s="101" t="s">
        <v>190</v>
      </c>
    </row>
    <row r="799" spans="1:35">
      <c r="A799" s="246" t="s">
        <v>110</v>
      </c>
      <c r="B799" s="246" t="s">
        <v>78</v>
      </c>
      <c r="C799" s="246" t="s">
        <v>126</v>
      </c>
      <c r="D799" s="246" t="s">
        <v>770</v>
      </c>
      <c r="E799" s="246" t="s">
        <v>771</v>
      </c>
      <c r="F799" s="246"/>
      <c r="G799" s="132">
        <v>-221375</v>
      </c>
      <c r="H799" s="132" t="s">
        <v>1622</v>
      </c>
      <c r="I799" s="132">
        <v>-221375</v>
      </c>
      <c r="J799" s="101" t="s">
        <v>889</v>
      </c>
      <c r="K799" s="245" t="s">
        <v>390</v>
      </c>
      <c r="L799" s="245">
        <v>42597</v>
      </c>
      <c r="M799" s="245" t="s">
        <v>391</v>
      </c>
      <c r="N799" s="101">
        <v>0</v>
      </c>
      <c r="O799" s="101" t="s">
        <v>392</v>
      </c>
      <c r="P799" s="101">
        <v>0</v>
      </c>
      <c r="Q799" s="101">
        <v>0</v>
      </c>
      <c r="R799" s="101" t="s">
        <v>450</v>
      </c>
      <c r="S799" s="101">
        <v>193988</v>
      </c>
      <c r="T799" s="101" t="s">
        <v>394</v>
      </c>
      <c r="V799" s="245">
        <v>46980</v>
      </c>
      <c r="W799" s="101" t="s">
        <v>411</v>
      </c>
      <c r="X799" s="101" t="s">
        <v>77</v>
      </c>
      <c r="Y799" s="101" t="s">
        <v>392</v>
      </c>
      <c r="Z799" s="101" t="s">
        <v>430</v>
      </c>
      <c r="AA799" s="101" t="s">
        <v>78</v>
      </c>
      <c r="AB799" s="101">
        <v>4101000279</v>
      </c>
      <c r="AC799" s="101" t="s">
        <v>431</v>
      </c>
      <c r="AD799" s="101" t="s">
        <v>431</v>
      </c>
      <c r="AE799" s="101" t="s">
        <v>75</v>
      </c>
      <c r="AF799" s="101" t="s">
        <v>400</v>
      </c>
      <c r="AG799" s="101" t="s">
        <v>452</v>
      </c>
      <c r="AI799" s="101" t="s">
        <v>760</v>
      </c>
    </row>
    <row r="800" spans="1:35">
      <c r="A800" s="246" t="s">
        <v>111</v>
      </c>
      <c r="B800" s="246" t="s">
        <v>78</v>
      </c>
      <c r="C800" s="246" t="s">
        <v>126</v>
      </c>
      <c r="D800" s="246" t="s">
        <v>768</v>
      </c>
      <c r="E800" s="246" t="s">
        <v>769</v>
      </c>
      <c r="F800" s="246"/>
      <c r="G800" s="132">
        <v>-221375</v>
      </c>
      <c r="H800" s="132" t="s">
        <v>1622</v>
      </c>
      <c r="I800" s="132">
        <v>-221375</v>
      </c>
      <c r="J800" s="101" t="s">
        <v>889</v>
      </c>
      <c r="K800" s="245" t="s">
        <v>390</v>
      </c>
      <c r="L800" s="245">
        <v>42781</v>
      </c>
      <c r="M800" s="245" t="s">
        <v>391</v>
      </c>
      <c r="N800" s="101">
        <v>0</v>
      </c>
      <c r="O800" s="101" t="s">
        <v>392</v>
      </c>
      <c r="P800" s="101">
        <v>0</v>
      </c>
      <c r="Q800" s="101">
        <v>0</v>
      </c>
      <c r="R800" s="101" t="s">
        <v>450</v>
      </c>
      <c r="S800" s="101">
        <v>193988</v>
      </c>
      <c r="T800" s="101" t="s">
        <v>394</v>
      </c>
      <c r="V800" s="245">
        <v>46980</v>
      </c>
      <c r="W800" s="101" t="s">
        <v>411</v>
      </c>
      <c r="X800" s="101" t="s">
        <v>77</v>
      </c>
      <c r="Y800" s="101" t="s">
        <v>392</v>
      </c>
      <c r="Z800" s="101" t="s">
        <v>430</v>
      </c>
      <c r="AA800" s="101" t="s">
        <v>78</v>
      </c>
      <c r="AB800" s="101">
        <v>4101000279</v>
      </c>
      <c r="AC800" s="101" t="s">
        <v>431</v>
      </c>
      <c r="AD800" s="101" t="s">
        <v>431</v>
      </c>
      <c r="AE800" s="101" t="s">
        <v>75</v>
      </c>
      <c r="AF800" s="101" t="s">
        <v>400</v>
      </c>
      <c r="AG800" s="101" t="s">
        <v>452</v>
      </c>
      <c r="AI800" s="101" t="s">
        <v>760</v>
      </c>
    </row>
    <row r="801" spans="1:35">
      <c r="A801" s="246" t="s">
        <v>112</v>
      </c>
      <c r="B801" s="246" t="s">
        <v>78</v>
      </c>
      <c r="C801" s="246" t="s">
        <v>126</v>
      </c>
      <c r="D801" s="246" t="s">
        <v>341</v>
      </c>
      <c r="E801" s="246" t="s">
        <v>342</v>
      </c>
      <c r="F801" s="246"/>
      <c r="G801" s="132">
        <v>-221375</v>
      </c>
      <c r="H801" s="132" t="s">
        <v>1622</v>
      </c>
      <c r="I801" s="132">
        <v>-221375</v>
      </c>
      <c r="J801" s="101" t="s">
        <v>889</v>
      </c>
      <c r="K801" s="245" t="s">
        <v>390</v>
      </c>
      <c r="L801" s="245">
        <v>42962</v>
      </c>
      <c r="M801" s="245" t="s">
        <v>391</v>
      </c>
      <c r="N801" s="101">
        <v>0</v>
      </c>
      <c r="O801" s="101" t="s">
        <v>392</v>
      </c>
      <c r="P801" s="101">
        <v>0</v>
      </c>
      <c r="Q801" s="101">
        <v>0</v>
      </c>
      <c r="R801" s="101" t="s">
        <v>450</v>
      </c>
      <c r="S801" s="101">
        <v>193988</v>
      </c>
      <c r="T801" s="101" t="s">
        <v>394</v>
      </c>
      <c r="V801" s="245">
        <v>46980</v>
      </c>
      <c r="W801" s="101" t="s">
        <v>411</v>
      </c>
      <c r="X801" s="101" t="s">
        <v>77</v>
      </c>
      <c r="Y801" s="101" t="s">
        <v>392</v>
      </c>
      <c r="Z801" s="101" t="s">
        <v>430</v>
      </c>
      <c r="AA801" s="101" t="s">
        <v>78</v>
      </c>
      <c r="AB801" s="101">
        <v>4101000279</v>
      </c>
      <c r="AC801" s="101" t="s">
        <v>431</v>
      </c>
      <c r="AD801" s="101" t="s">
        <v>431</v>
      </c>
      <c r="AE801" s="101" t="s">
        <v>75</v>
      </c>
      <c r="AF801" s="101" t="s">
        <v>400</v>
      </c>
      <c r="AG801" s="101" t="s">
        <v>452</v>
      </c>
      <c r="AI801" s="101" t="s">
        <v>760</v>
      </c>
    </row>
    <row r="802" spans="1:35">
      <c r="A802" s="246" t="s">
        <v>113</v>
      </c>
      <c r="B802" s="246" t="s">
        <v>78</v>
      </c>
      <c r="C802" s="246" t="s">
        <v>126</v>
      </c>
      <c r="D802" s="246" t="s">
        <v>339</v>
      </c>
      <c r="E802" s="246" t="s">
        <v>340</v>
      </c>
      <c r="F802" s="246"/>
      <c r="G802" s="132">
        <v>-221375</v>
      </c>
      <c r="H802" s="132" t="s">
        <v>1622</v>
      </c>
      <c r="I802" s="132">
        <v>-221375</v>
      </c>
      <c r="J802" s="101" t="s">
        <v>889</v>
      </c>
      <c r="K802" s="245" t="s">
        <v>390</v>
      </c>
      <c r="L802" s="245">
        <v>43146</v>
      </c>
      <c r="M802" s="245" t="s">
        <v>391</v>
      </c>
      <c r="N802" s="101">
        <v>0</v>
      </c>
      <c r="O802" s="101" t="s">
        <v>392</v>
      </c>
      <c r="P802" s="101">
        <v>0</v>
      </c>
      <c r="Q802" s="101">
        <v>0</v>
      </c>
      <c r="R802" s="101" t="s">
        <v>450</v>
      </c>
      <c r="S802" s="101">
        <v>193988</v>
      </c>
      <c r="T802" s="101" t="s">
        <v>394</v>
      </c>
      <c r="V802" s="245">
        <v>46980</v>
      </c>
      <c r="W802" s="101" t="s">
        <v>411</v>
      </c>
      <c r="X802" s="101" t="s">
        <v>77</v>
      </c>
      <c r="Y802" s="101" t="s">
        <v>392</v>
      </c>
      <c r="Z802" s="101" t="s">
        <v>430</v>
      </c>
      <c r="AA802" s="101" t="s">
        <v>78</v>
      </c>
      <c r="AB802" s="101">
        <v>4101000279</v>
      </c>
      <c r="AC802" s="101" t="s">
        <v>431</v>
      </c>
      <c r="AD802" s="101" t="s">
        <v>431</v>
      </c>
      <c r="AE802" s="101" t="s">
        <v>75</v>
      </c>
      <c r="AF802" s="101" t="s">
        <v>400</v>
      </c>
      <c r="AG802" s="101" t="s">
        <v>452</v>
      </c>
      <c r="AI802" s="101" t="s">
        <v>760</v>
      </c>
    </row>
    <row r="803" spans="1:35">
      <c r="A803" s="246" t="s">
        <v>107</v>
      </c>
      <c r="B803" s="246" t="s">
        <v>78</v>
      </c>
      <c r="C803" s="246" t="s">
        <v>126</v>
      </c>
      <c r="D803" s="246" t="s">
        <v>772</v>
      </c>
      <c r="E803" s="246" t="s">
        <v>773</v>
      </c>
      <c r="F803" s="246"/>
      <c r="G803" s="132" t="s">
        <v>728</v>
      </c>
      <c r="H803" s="132" t="s">
        <v>1623</v>
      </c>
      <c r="I803" s="132">
        <v>321901.16000000003</v>
      </c>
      <c r="J803" s="101" t="s">
        <v>889</v>
      </c>
      <c r="K803" s="245" t="s">
        <v>390</v>
      </c>
      <c r="L803" s="245">
        <v>42521</v>
      </c>
      <c r="M803" s="245" t="s">
        <v>391</v>
      </c>
      <c r="N803" s="101">
        <v>0</v>
      </c>
      <c r="O803" s="101" t="s">
        <v>392</v>
      </c>
      <c r="P803" s="101">
        <v>0</v>
      </c>
      <c r="Q803" s="101">
        <v>0</v>
      </c>
      <c r="R803" s="101" t="s">
        <v>393</v>
      </c>
      <c r="S803" s="101" t="s">
        <v>647</v>
      </c>
      <c r="T803" s="101" t="s">
        <v>394</v>
      </c>
      <c r="V803" s="245">
        <v>46371</v>
      </c>
      <c r="W803" s="101" t="s">
        <v>535</v>
      </c>
      <c r="X803" s="101" t="s">
        <v>362</v>
      </c>
      <c r="Y803" s="101" t="s">
        <v>471</v>
      </c>
      <c r="Z803" s="101" t="s">
        <v>402</v>
      </c>
      <c r="AA803" s="101" t="s">
        <v>78</v>
      </c>
      <c r="AB803" s="101">
        <v>4101000279</v>
      </c>
      <c r="AC803" s="101" t="s">
        <v>398</v>
      </c>
      <c r="AD803" s="101" t="s">
        <v>403</v>
      </c>
      <c r="AE803" s="101" t="s">
        <v>75</v>
      </c>
      <c r="AF803" s="101" t="s">
        <v>400</v>
      </c>
      <c r="AI803" s="101" t="s">
        <v>760</v>
      </c>
    </row>
    <row r="804" spans="1:35">
      <c r="A804" s="246" t="s">
        <v>109</v>
      </c>
      <c r="B804" s="246" t="s">
        <v>78</v>
      </c>
      <c r="C804" s="246" t="s">
        <v>126</v>
      </c>
      <c r="D804" s="246" t="s">
        <v>337</v>
      </c>
      <c r="E804" s="246" t="s">
        <v>336</v>
      </c>
      <c r="F804" s="246"/>
      <c r="G804" s="132" t="s">
        <v>729</v>
      </c>
      <c r="H804" s="132" t="s">
        <v>1624</v>
      </c>
      <c r="I804" s="132">
        <v>301053.33</v>
      </c>
      <c r="J804" s="101" t="s">
        <v>889</v>
      </c>
      <c r="K804" s="245" t="s">
        <v>390</v>
      </c>
      <c r="L804" s="245">
        <v>42551</v>
      </c>
      <c r="M804" s="245" t="s">
        <v>391</v>
      </c>
      <c r="N804" s="101">
        <v>0</v>
      </c>
      <c r="O804" s="101" t="s">
        <v>392</v>
      </c>
      <c r="P804" s="101">
        <v>0</v>
      </c>
      <c r="Q804" s="101">
        <v>0</v>
      </c>
      <c r="R804" s="101" t="s">
        <v>393</v>
      </c>
      <c r="S804" s="101" t="s">
        <v>647</v>
      </c>
      <c r="T804" s="101" t="s">
        <v>394</v>
      </c>
      <c r="V804" s="245">
        <v>46371</v>
      </c>
      <c r="W804" s="101" t="s">
        <v>535</v>
      </c>
      <c r="X804" s="101" t="s">
        <v>362</v>
      </c>
      <c r="Y804" s="101" t="s">
        <v>471</v>
      </c>
      <c r="Z804" s="101" t="s">
        <v>402</v>
      </c>
      <c r="AA804" s="101" t="s">
        <v>78</v>
      </c>
      <c r="AB804" s="101">
        <v>4101000279</v>
      </c>
      <c r="AC804" s="101" t="s">
        <v>398</v>
      </c>
      <c r="AD804" s="101" t="s">
        <v>403</v>
      </c>
      <c r="AE804" s="101" t="s">
        <v>75</v>
      </c>
      <c r="AF804" s="101" t="s">
        <v>400</v>
      </c>
      <c r="AI804" s="101" t="s">
        <v>760</v>
      </c>
    </row>
    <row r="805" spans="1:35">
      <c r="A805" s="246" t="s">
        <v>109</v>
      </c>
      <c r="B805" s="246" t="s">
        <v>78</v>
      </c>
      <c r="C805" s="246" t="s">
        <v>126</v>
      </c>
      <c r="D805" s="246" t="s">
        <v>337</v>
      </c>
      <c r="E805" s="246" t="s">
        <v>336</v>
      </c>
      <c r="F805" s="246"/>
      <c r="G805" s="132" t="s">
        <v>730</v>
      </c>
      <c r="H805" s="132" t="s">
        <v>1625</v>
      </c>
      <c r="I805" s="132">
        <v>297606.82</v>
      </c>
      <c r="J805" s="101" t="s">
        <v>889</v>
      </c>
      <c r="K805" s="245" t="s">
        <v>390</v>
      </c>
      <c r="L805" s="245">
        <v>42580</v>
      </c>
      <c r="M805" s="245" t="s">
        <v>391</v>
      </c>
      <c r="N805" s="101">
        <v>0</v>
      </c>
      <c r="O805" s="101" t="s">
        <v>392</v>
      </c>
      <c r="P805" s="101">
        <v>0</v>
      </c>
      <c r="Q805" s="101">
        <v>0</v>
      </c>
      <c r="R805" s="101" t="s">
        <v>393</v>
      </c>
      <c r="S805" s="101" t="s">
        <v>647</v>
      </c>
      <c r="T805" s="101" t="s">
        <v>394</v>
      </c>
      <c r="V805" s="245">
        <v>46371</v>
      </c>
      <c r="W805" s="101" t="s">
        <v>535</v>
      </c>
      <c r="X805" s="101" t="s">
        <v>362</v>
      </c>
      <c r="Y805" s="101" t="s">
        <v>471</v>
      </c>
      <c r="Z805" s="101" t="s">
        <v>402</v>
      </c>
      <c r="AA805" s="101" t="s">
        <v>78</v>
      </c>
      <c r="AB805" s="101">
        <v>4101000279</v>
      </c>
      <c r="AC805" s="101" t="s">
        <v>398</v>
      </c>
      <c r="AD805" s="101" t="s">
        <v>403</v>
      </c>
      <c r="AE805" s="101" t="s">
        <v>75</v>
      </c>
      <c r="AF805" s="101" t="s">
        <v>400</v>
      </c>
      <c r="AI805" s="101" t="s">
        <v>760</v>
      </c>
    </row>
    <row r="806" spans="1:35">
      <c r="A806" s="246" t="s">
        <v>110</v>
      </c>
      <c r="B806" s="246" t="s">
        <v>78</v>
      </c>
      <c r="C806" s="246" t="s">
        <v>126</v>
      </c>
      <c r="D806" s="246" t="s">
        <v>770</v>
      </c>
      <c r="E806" s="246" t="s">
        <v>771</v>
      </c>
      <c r="F806" s="246"/>
      <c r="G806" s="132" t="s">
        <v>731</v>
      </c>
      <c r="H806" s="132" t="s">
        <v>1626</v>
      </c>
      <c r="I806" s="132">
        <v>392087.85</v>
      </c>
      <c r="J806" s="101" t="s">
        <v>889</v>
      </c>
      <c r="K806" s="245" t="s">
        <v>390</v>
      </c>
      <c r="L806" s="245">
        <v>42613</v>
      </c>
      <c r="M806" s="245" t="s">
        <v>391</v>
      </c>
      <c r="N806" s="101">
        <v>0</v>
      </c>
      <c r="O806" s="101" t="s">
        <v>392</v>
      </c>
      <c r="P806" s="101">
        <v>0</v>
      </c>
      <c r="Q806" s="101">
        <v>0</v>
      </c>
      <c r="R806" s="101" t="s">
        <v>393</v>
      </c>
      <c r="S806" s="101" t="s">
        <v>647</v>
      </c>
      <c r="T806" s="101" t="s">
        <v>394</v>
      </c>
      <c r="V806" s="245">
        <v>46371</v>
      </c>
      <c r="W806" s="101" t="s">
        <v>535</v>
      </c>
      <c r="X806" s="101" t="s">
        <v>362</v>
      </c>
      <c r="Y806" s="101" t="s">
        <v>471</v>
      </c>
      <c r="Z806" s="101" t="s">
        <v>402</v>
      </c>
      <c r="AA806" s="101" t="s">
        <v>78</v>
      </c>
      <c r="AB806" s="101">
        <v>4101000279</v>
      </c>
      <c r="AC806" s="101" t="s">
        <v>398</v>
      </c>
      <c r="AD806" s="101" t="s">
        <v>403</v>
      </c>
      <c r="AE806" s="101" t="s">
        <v>75</v>
      </c>
      <c r="AF806" s="101" t="s">
        <v>400</v>
      </c>
      <c r="AI806" s="101" t="s">
        <v>760</v>
      </c>
    </row>
    <row r="807" spans="1:35">
      <c r="A807" s="246" t="s">
        <v>110</v>
      </c>
      <c r="B807" s="246" t="s">
        <v>78</v>
      </c>
      <c r="C807" s="246" t="s">
        <v>126</v>
      </c>
      <c r="D807" s="246" t="s">
        <v>770</v>
      </c>
      <c r="E807" s="246" t="s">
        <v>771</v>
      </c>
      <c r="F807" s="246"/>
      <c r="G807" s="132" t="s">
        <v>732</v>
      </c>
      <c r="H807" s="132" t="s">
        <v>1627</v>
      </c>
      <c r="I807" s="132">
        <v>378210.72</v>
      </c>
      <c r="J807" s="101" t="s">
        <v>889</v>
      </c>
      <c r="K807" s="245" t="s">
        <v>390</v>
      </c>
      <c r="L807" s="245">
        <v>42643</v>
      </c>
      <c r="M807" s="245" t="s">
        <v>391</v>
      </c>
      <c r="N807" s="101">
        <v>0</v>
      </c>
      <c r="O807" s="101" t="s">
        <v>392</v>
      </c>
      <c r="P807" s="101">
        <v>0</v>
      </c>
      <c r="Q807" s="101">
        <v>0</v>
      </c>
      <c r="R807" s="101" t="s">
        <v>393</v>
      </c>
      <c r="S807" s="101" t="s">
        <v>647</v>
      </c>
      <c r="T807" s="101" t="s">
        <v>394</v>
      </c>
      <c r="V807" s="245">
        <v>46371</v>
      </c>
      <c r="W807" s="101" t="s">
        <v>535</v>
      </c>
      <c r="X807" s="101" t="s">
        <v>362</v>
      </c>
      <c r="Y807" s="101" t="s">
        <v>471</v>
      </c>
      <c r="Z807" s="101" t="s">
        <v>402</v>
      </c>
      <c r="AA807" s="101" t="s">
        <v>78</v>
      </c>
      <c r="AB807" s="101">
        <v>4101000279</v>
      </c>
      <c r="AC807" s="101" t="s">
        <v>398</v>
      </c>
      <c r="AD807" s="101" t="s">
        <v>403</v>
      </c>
      <c r="AE807" s="101" t="s">
        <v>75</v>
      </c>
      <c r="AF807" s="101" t="s">
        <v>400</v>
      </c>
      <c r="AI807" s="101" t="s">
        <v>760</v>
      </c>
    </row>
    <row r="808" spans="1:35">
      <c r="A808" s="246" t="s">
        <v>110</v>
      </c>
      <c r="B808" s="246" t="s">
        <v>78</v>
      </c>
      <c r="C808" s="246" t="s">
        <v>126</v>
      </c>
      <c r="D808" s="246" t="s">
        <v>770</v>
      </c>
      <c r="E808" s="246" t="s">
        <v>771</v>
      </c>
      <c r="F808" s="246"/>
      <c r="G808" s="132" t="s">
        <v>733</v>
      </c>
      <c r="H808" s="132" t="s">
        <v>1628</v>
      </c>
      <c r="I808" s="132">
        <v>418373.83999999997</v>
      </c>
      <c r="J808" s="101" t="s">
        <v>889</v>
      </c>
      <c r="K808" s="245" t="s">
        <v>390</v>
      </c>
      <c r="L808" s="245">
        <v>42674</v>
      </c>
      <c r="M808" s="245" t="s">
        <v>391</v>
      </c>
      <c r="N808" s="101">
        <v>0</v>
      </c>
      <c r="O808" s="101" t="s">
        <v>392</v>
      </c>
      <c r="P808" s="101">
        <v>0</v>
      </c>
      <c r="Q808" s="101">
        <v>0</v>
      </c>
      <c r="R808" s="101" t="s">
        <v>393</v>
      </c>
      <c r="S808" s="101" t="s">
        <v>647</v>
      </c>
      <c r="T808" s="101" t="s">
        <v>394</v>
      </c>
      <c r="V808" s="245">
        <v>46371</v>
      </c>
      <c r="W808" s="101" t="s">
        <v>535</v>
      </c>
      <c r="X808" s="101" t="s">
        <v>362</v>
      </c>
      <c r="Y808" s="101" t="s">
        <v>471</v>
      </c>
      <c r="Z808" s="101" t="s">
        <v>402</v>
      </c>
      <c r="AA808" s="101" t="s">
        <v>78</v>
      </c>
      <c r="AB808" s="101">
        <v>4101000279</v>
      </c>
      <c r="AC808" s="101" t="s">
        <v>398</v>
      </c>
      <c r="AD808" s="101" t="s">
        <v>403</v>
      </c>
      <c r="AE808" s="101" t="s">
        <v>75</v>
      </c>
      <c r="AF808" s="101" t="s">
        <v>400</v>
      </c>
      <c r="AI808" s="101" t="s">
        <v>760</v>
      </c>
    </row>
    <row r="809" spans="1:35">
      <c r="A809" s="246" t="s">
        <v>111</v>
      </c>
      <c r="B809" s="246" t="s">
        <v>78</v>
      </c>
      <c r="C809" s="246" t="s">
        <v>126</v>
      </c>
      <c r="D809" s="246" t="s">
        <v>768</v>
      </c>
      <c r="E809" s="246" t="s">
        <v>769</v>
      </c>
      <c r="F809" s="246"/>
      <c r="G809" s="132" t="s">
        <v>734</v>
      </c>
      <c r="H809" s="132" t="s">
        <v>1629</v>
      </c>
      <c r="I809" s="132">
        <v>457612.14999999997</v>
      </c>
      <c r="J809" s="101" t="s">
        <v>889</v>
      </c>
      <c r="K809" s="245" t="s">
        <v>390</v>
      </c>
      <c r="L809" s="245">
        <v>42704</v>
      </c>
      <c r="M809" s="245" t="s">
        <v>391</v>
      </c>
      <c r="N809" s="101">
        <v>0</v>
      </c>
      <c r="O809" s="101" t="s">
        <v>392</v>
      </c>
      <c r="P809" s="101">
        <v>0</v>
      </c>
      <c r="Q809" s="101">
        <v>0</v>
      </c>
      <c r="R809" s="101" t="s">
        <v>393</v>
      </c>
      <c r="S809" s="101" t="s">
        <v>647</v>
      </c>
      <c r="T809" s="101" t="s">
        <v>394</v>
      </c>
      <c r="V809" s="245">
        <v>46371</v>
      </c>
      <c r="W809" s="101" t="s">
        <v>535</v>
      </c>
      <c r="X809" s="101" t="s">
        <v>362</v>
      </c>
      <c r="Y809" s="101" t="s">
        <v>471</v>
      </c>
      <c r="Z809" s="101" t="s">
        <v>402</v>
      </c>
      <c r="AA809" s="101" t="s">
        <v>78</v>
      </c>
      <c r="AB809" s="101">
        <v>4101000279</v>
      </c>
      <c r="AC809" s="101" t="s">
        <v>398</v>
      </c>
      <c r="AD809" s="101" t="s">
        <v>403</v>
      </c>
      <c r="AE809" s="101" t="s">
        <v>75</v>
      </c>
      <c r="AF809" s="101" t="s">
        <v>400</v>
      </c>
      <c r="AI809" s="101" t="s">
        <v>760</v>
      </c>
    </row>
    <row r="810" spans="1:35">
      <c r="A810" s="246" t="s">
        <v>111</v>
      </c>
      <c r="B810" s="246" t="s">
        <v>78</v>
      </c>
      <c r="C810" s="246" t="s">
        <v>126</v>
      </c>
      <c r="D810" s="246" t="s">
        <v>768</v>
      </c>
      <c r="E810" s="246" t="s">
        <v>769</v>
      </c>
      <c r="F810" s="246"/>
      <c r="G810" s="132" t="s">
        <v>735</v>
      </c>
      <c r="H810" s="132" t="s">
        <v>1630</v>
      </c>
      <c r="I810" s="132">
        <v>280713.99</v>
      </c>
      <c r="J810" s="101" t="s">
        <v>889</v>
      </c>
      <c r="K810" s="245" t="s">
        <v>390</v>
      </c>
      <c r="L810" s="245">
        <v>42734</v>
      </c>
      <c r="M810" s="245" t="s">
        <v>391</v>
      </c>
      <c r="N810" s="101">
        <v>0</v>
      </c>
      <c r="O810" s="101" t="s">
        <v>392</v>
      </c>
      <c r="P810" s="101">
        <v>0</v>
      </c>
      <c r="Q810" s="101">
        <v>0</v>
      </c>
      <c r="R810" s="101" t="s">
        <v>393</v>
      </c>
      <c r="S810" s="101" t="s">
        <v>647</v>
      </c>
      <c r="T810" s="101" t="s">
        <v>394</v>
      </c>
      <c r="V810" s="245">
        <v>46371</v>
      </c>
      <c r="W810" s="101" t="s">
        <v>535</v>
      </c>
      <c r="X810" s="101" t="s">
        <v>362</v>
      </c>
      <c r="Y810" s="101" t="s">
        <v>471</v>
      </c>
      <c r="Z810" s="101" t="s">
        <v>402</v>
      </c>
      <c r="AA810" s="101" t="s">
        <v>78</v>
      </c>
      <c r="AB810" s="101">
        <v>4101000279</v>
      </c>
      <c r="AC810" s="101" t="s">
        <v>398</v>
      </c>
      <c r="AD810" s="101" t="s">
        <v>403</v>
      </c>
      <c r="AE810" s="101" t="s">
        <v>75</v>
      </c>
      <c r="AF810" s="101" t="s">
        <v>400</v>
      </c>
      <c r="AI810" s="101" t="s">
        <v>760</v>
      </c>
    </row>
    <row r="811" spans="1:35">
      <c r="A811" s="246" t="s">
        <v>111</v>
      </c>
      <c r="B811" s="246" t="s">
        <v>78</v>
      </c>
      <c r="C811" s="246" t="s">
        <v>126</v>
      </c>
      <c r="D811" s="246" t="s">
        <v>768</v>
      </c>
      <c r="E811" s="246" t="s">
        <v>769</v>
      </c>
      <c r="F811" s="246"/>
      <c r="G811" s="132" t="s">
        <v>736</v>
      </c>
      <c r="H811" s="132" t="s">
        <v>1631</v>
      </c>
      <c r="I811" s="132">
        <v>65296.109999999993</v>
      </c>
      <c r="J811" s="101" t="s">
        <v>889</v>
      </c>
      <c r="K811" s="245" t="s">
        <v>390</v>
      </c>
      <c r="L811" s="245">
        <v>42766</v>
      </c>
      <c r="M811" s="245" t="s">
        <v>391</v>
      </c>
      <c r="N811" s="101">
        <v>0</v>
      </c>
      <c r="O811" s="101" t="s">
        <v>392</v>
      </c>
      <c r="P811" s="101">
        <v>0</v>
      </c>
      <c r="Q811" s="101">
        <v>0</v>
      </c>
      <c r="R811" s="101" t="s">
        <v>393</v>
      </c>
      <c r="S811" s="101" t="s">
        <v>647</v>
      </c>
      <c r="T811" s="101" t="s">
        <v>394</v>
      </c>
      <c r="V811" s="245">
        <v>46371</v>
      </c>
      <c r="W811" s="101" t="s">
        <v>535</v>
      </c>
      <c r="X811" s="101" t="s">
        <v>362</v>
      </c>
      <c r="Y811" s="101" t="s">
        <v>471</v>
      </c>
      <c r="Z811" s="101" t="s">
        <v>402</v>
      </c>
      <c r="AA811" s="101" t="s">
        <v>78</v>
      </c>
      <c r="AB811" s="101">
        <v>4101000279</v>
      </c>
      <c r="AC811" s="101" t="s">
        <v>398</v>
      </c>
      <c r="AD811" s="101" t="s">
        <v>403</v>
      </c>
      <c r="AE811" s="101" t="s">
        <v>75</v>
      </c>
      <c r="AF811" s="101" t="s">
        <v>400</v>
      </c>
      <c r="AI811" s="101" t="s">
        <v>760</v>
      </c>
    </row>
    <row r="812" spans="1:35">
      <c r="A812" s="246" t="s">
        <v>111</v>
      </c>
      <c r="B812" s="246" t="s">
        <v>78</v>
      </c>
      <c r="C812" s="246" t="s">
        <v>126</v>
      </c>
      <c r="D812" s="246" t="s">
        <v>768</v>
      </c>
      <c r="E812" s="246" t="s">
        <v>769</v>
      </c>
      <c r="F812" s="246"/>
      <c r="G812" s="132" t="s">
        <v>737</v>
      </c>
      <c r="H812" s="132" t="s">
        <v>1632</v>
      </c>
      <c r="I812" s="132">
        <v>126820.40999999999</v>
      </c>
      <c r="J812" s="101" t="s">
        <v>889</v>
      </c>
      <c r="K812" s="245" t="s">
        <v>390</v>
      </c>
      <c r="L812" s="245">
        <v>42794</v>
      </c>
      <c r="M812" s="245" t="s">
        <v>391</v>
      </c>
      <c r="N812" s="101">
        <v>0</v>
      </c>
      <c r="O812" s="101" t="s">
        <v>392</v>
      </c>
      <c r="P812" s="101">
        <v>0</v>
      </c>
      <c r="Q812" s="101">
        <v>0</v>
      </c>
      <c r="R812" s="101" t="s">
        <v>393</v>
      </c>
      <c r="S812" s="101" t="s">
        <v>647</v>
      </c>
      <c r="T812" s="101" t="s">
        <v>394</v>
      </c>
      <c r="V812" s="245">
        <v>46371</v>
      </c>
      <c r="W812" s="101" t="s">
        <v>535</v>
      </c>
      <c r="X812" s="101" t="s">
        <v>362</v>
      </c>
      <c r="Y812" s="101" t="s">
        <v>471</v>
      </c>
      <c r="Z812" s="101" t="s">
        <v>402</v>
      </c>
      <c r="AA812" s="101" t="s">
        <v>78</v>
      </c>
      <c r="AB812" s="101">
        <v>4101000279</v>
      </c>
      <c r="AC812" s="101" t="s">
        <v>398</v>
      </c>
      <c r="AD812" s="101" t="s">
        <v>403</v>
      </c>
      <c r="AE812" s="101" t="s">
        <v>75</v>
      </c>
      <c r="AF812" s="101" t="s">
        <v>400</v>
      </c>
      <c r="AI812" s="101" t="s">
        <v>760</v>
      </c>
    </row>
    <row r="813" spans="1:35">
      <c r="A813" s="246" t="s">
        <v>111</v>
      </c>
      <c r="B813" s="246" t="s">
        <v>78</v>
      </c>
      <c r="C813" s="246" t="s">
        <v>126</v>
      </c>
      <c r="D813" s="246" t="s">
        <v>768</v>
      </c>
      <c r="E813" s="246" t="s">
        <v>769</v>
      </c>
      <c r="F813" s="246"/>
      <c r="G813" s="132" t="s">
        <v>738</v>
      </c>
      <c r="H813" s="132" t="s">
        <v>1633</v>
      </c>
      <c r="I813" s="132">
        <v>192218.58000000002</v>
      </c>
      <c r="J813" s="101" t="s">
        <v>889</v>
      </c>
      <c r="K813" s="245" t="s">
        <v>390</v>
      </c>
      <c r="L813" s="245">
        <v>42825</v>
      </c>
      <c r="M813" s="245" t="s">
        <v>391</v>
      </c>
      <c r="N813" s="101">
        <v>0</v>
      </c>
      <c r="O813" s="101" t="s">
        <v>392</v>
      </c>
      <c r="P813" s="101">
        <v>0</v>
      </c>
      <c r="Q813" s="101">
        <v>0</v>
      </c>
      <c r="R813" s="101" t="s">
        <v>393</v>
      </c>
      <c r="S813" s="101" t="s">
        <v>647</v>
      </c>
      <c r="T813" s="101" t="s">
        <v>394</v>
      </c>
      <c r="V813" s="245">
        <v>46371</v>
      </c>
      <c r="W813" s="101" t="s">
        <v>535</v>
      </c>
      <c r="X813" s="101" t="s">
        <v>362</v>
      </c>
      <c r="Y813" s="101" t="s">
        <v>471</v>
      </c>
      <c r="Z813" s="101" t="s">
        <v>402</v>
      </c>
      <c r="AA813" s="101" t="s">
        <v>78</v>
      </c>
      <c r="AB813" s="101">
        <v>4101000279</v>
      </c>
      <c r="AC813" s="101" t="s">
        <v>398</v>
      </c>
      <c r="AD813" s="101" t="s">
        <v>403</v>
      </c>
      <c r="AE813" s="101" t="s">
        <v>75</v>
      </c>
      <c r="AF813" s="101" t="s">
        <v>400</v>
      </c>
      <c r="AI813" s="101" t="s">
        <v>760</v>
      </c>
    </row>
    <row r="814" spans="1:35">
      <c r="A814" s="246" t="s">
        <v>111</v>
      </c>
      <c r="B814" s="246" t="s">
        <v>78</v>
      </c>
      <c r="C814" s="246" t="s">
        <v>126</v>
      </c>
      <c r="D814" s="246" t="s">
        <v>768</v>
      </c>
      <c r="E814" s="246" t="s">
        <v>769</v>
      </c>
      <c r="F814" s="246"/>
      <c r="G814" s="132" t="s">
        <v>739</v>
      </c>
      <c r="H814" s="132" t="s">
        <v>1634</v>
      </c>
      <c r="I814" s="132">
        <v>217528.26</v>
      </c>
      <c r="J814" s="101" t="s">
        <v>889</v>
      </c>
      <c r="K814" s="245" t="s">
        <v>390</v>
      </c>
      <c r="L814" s="245">
        <v>42853</v>
      </c>
      <c r="M814" s="245" t="s">
        <v>391</v>
      </c>
      <c r="N814" s="101">
        <v>0</v>
      </c>
      <c r="O814" s="101" t="s">
        <v>392</v>
      </c>
      <c r="P814" s="101">
        <v>0</v>
      </c>
      <c r="Q814" s="101">
        <v>0</v>
      </c>
      <c r="R814" s="101" t="s">
        <v>393</v>
      </c>
      <c r="S814" s="101" t="s">
        <v>647</v>
      </c>
      <c r="T814" s="101" t="s">
        <v>394</v>
      </c>
      <c r="V814" s="245">
        <v>46371</v>
      </c>
      <c r="W814" s="101" t="s">
        <v>535</v>
      </c>
      <c r="X814" s="101" t="s">
        <v>362</v>
      </c>
      <c r="Y814" s="101" t="s">
        <v>471</v>
      </c>
      <c r="Z814" s="101" t="s">
        <v>402</v>
      </c>
      <c r="AA814" s="101" t="s">
        <v>78</v>
      </c>
      <c r="AB814" s="101">
        <v>4101000279</v>
      </c>
      <c r="AC814" s="101" t="s">
        <v>398</v>
      </c>
      <c r="AD814" s="101" t="s">
        <v>403</v>
      </c>
      <c r="AE814" s="101" t="s">
        <v>75</v>
      </c>
      <c r="AF814" s="101" t="s">
        <v>400</v>
      </c>
      <c r="AI814" s="101" t="s">
        <v>760</v>
      </c>
    </row>
    <row r="815" spans="1:35">
      <c r="A815" s="246" t="s">
        <v>112</v>
      </c>
      <c r="B815" s="246" t="s">
        <v>78</v>
      </c>
      <c r="C815" s="246" t="s">
        <v>126</v>
      </c>
      <c r="D815" s="246" t="s">
        <v>341</v>
      </c>
      <c r="E815" s="246" t="s">
        <v>342</v>
      </c>
      <c r="F815" s="246"/>
      <c r="G815" s="132" t="s">
        <v>740</v>
      </c>
      <c r="H815" s="132" t="s">
        <v>1635</v>
      </c>
      <c r="I815" s="132">
        <v>337751.85</v>
      </c>
      <c r="J815" s="101" t="s">
        <v>889</v>
      </c>
      <c r="K815" s="245" t="s">
        <v>390</v>
      </c>
      <c r="L815" s="245">
        <v>42886</v>
      </c>
      <c r="M815" s="245" t="s">
        <v>391</v>
      </c>
      <c r="N815" s="101">
        <v>0</v>
      </c>
      <c r="O815" s="101" t="s">
        <v>392</v>
      </c>
      <c r="P815" s="101">
        <v>0</v>
      </c>
      <c r="Q815" s="101">
        <v>0</v>
      </c>
      <c r="R815" s="101" t="s">
        <v>393</v>
      </c>
      <c r="S815" s="101" t="s">
        <v>647</v>
      </c>
      <c r="T815" s="101" t="s">
        <v>394</v>
      </c>
      <c r="V815" s="245">
        <v>46371</v>
      </c>
      <c r="W815" s="101" t="s">
        <v>535</v>
      </c>
      <c r="X815" s="101" t="s">
        <v>362</v>
      </c>
      <c r="Y815" s="101" t="s">
        <v>471</v>
      </c>
      <c r="Z815" s="101" t="s">
        <v>402</v>
      </c>
      <c r="AA815" s="101" t="s">
        <v>78</v>
      </c>
      <c r="AB815" s="101">
        <v>4101000279</v>
      </c>
      <c r="AC815" s="101" t="s">
        <v>398</v>
      </c>
      <c r="AD815" s="101" t="s">
        <v>403</v>
      </c>
      <c r="AE815" s="101" t="s">
        <v>75</v>
      </c>
      <c r="AF815" s="101" t="s">
        <v>400</v>
      </c>
      <c r="AI815" s="101" t="s">
        <v>760</v>
      </c>
    </row>
    <row r="816" spans="1:35">
      <c r="A816" s="246" t="s">
        <v>112</v>
      </c>
      <c r="B816" s="246" t="s">
        <v>78</v>
      </c>
      <c r="C816" s="246" t="s">
        <v>126</v>
      </c>
      <c r="D816" s="246" t="s">
        <v>341</v>
      </c>
      <c r="E816" s="246" t="s">
        <v>342</v>
      </c>
      <c r="F816" s="246"/>
      <c r="G816" s="132" t="s">
        <v>741</v>
      </c>
      <c r="H816" s="132" t="s">
        <v>1636</v>
      </c>
      <c r="I816" s="132">
        <v>310280.83</v>
      </c>
      <c r="J816" s="101" t="s">
        <v>889</v>
      </c>
      <c r="K816" s="245" t="s">
        <v>390</v>
      </c>
      <c r="L816" s="245">
        <v>42916</v>
      </c>
      <c r="M816" s="245" t="s">
        <v>391</v>
      </c>
      <c r="N816" s="101">
        <v>0</v>
      </c>
      <c r="O816" s="101" t="s">
        <v>392</v>
      </c>
      <c r="P816" s="101">
        <v>0</v>
      </c>
      <c r="Q816" s="101">
        <v>0</v>
      </c>
      <c r="R816" s="101" t="s">
        <v>393</v>
      </c>
      <c r="S816" s="101" t="s">
        <v>647</v>
      </c>
      <c r="T816" s="101" t="s">
        <v>394</v>
      </c>
      <c r="V816" s="245">
        <v>46371</v>
      </c>
      <c r="W816" s="101" t="s">
        <v>535</v>
      </c>
      <c r="X816" s="101" t="s">
        <v>362</v>
      </c>
      <c r="Y816" s="101" t="s">
        <v>471</v>
      </c>
      <c r="Z816" s="101" t="s">
        <v>402</v>
      </c>
      <c r="AA816" s="101" t="s">
        <v>78</v>
      </c>
      <c r="AB816" s="101">
        <v>4101000279</v>
      </c>
      <c r="AC816" s="101" t="s">
        <v>398</v>
      </c>
      <c r="AD816" s="101" t="s">
        <v>403</v>
      </c>
      <c r="AE816" s="101" t="s">
        <v>75</v>
      </c>
      <c r="AF816" s="101" t="s">
        <v>400</v>
      </c>
      <c r="AI816" s="101" t="s">
        <v>760</v>
      </c>
    </row>
    <row r="817" spans="1:35">
      <c r="A817" s="246" t="s">
        <v>112</v>
      </c>
      <c r="B817" s="246" t="s">
        <v>78</v>
      </c>
      <c r="C817" s="246" t="s">
        <v>126</v>
      </c>
      <c r="D817" s="246" t="s">
        <v>341</v>
      </c>
      <c r="E817" s="246" t="s">
        <v>342</v>
      </c>
      <c r="F817" s="246"/>
      <c r="G817" s="132" t="s">
        <v>742</v>
      </c>
      <c r="H817" s="132" t="s">
        <v>1637</v>
      </c>
      <c r="I817" s="132">
        <v>331418.67</v>
      </c>
      <c r="J817" s="101" t="s">
        <v>889</v>
      </c>
      <c r="K817" s="245" t="s">
        <v>390</v>
      </c>
      <c r="L817" s="245">
        <v>42947</v>
      </c>
      <c r="M817" s="245" t="s">
        <v>391</v>
      </c>
      <c r="N817" s="101">
        <v>0</v>
      </c>
      <c r="O817" s="101" t="s">
        <v>392</v>
      </c>
      <c r="P817" s="101">
        <v>0</v>
      </c>
      <c r="Q817" s="101">
        <v>0</v>
      </c>
      <c r="R817" s="101" t="s">
        <v>393</v>
      </c>
      <c r="S817" s="101" t="s">
        <v>647</v>
      </c>
      <c r="T817" s="101" t="s">
        <v>394</v>
      </c>
      <c r="V817" s="245">
        <v>46371</v>
      </c>
      <c r="W817" s="101" t="s">
        <v>535</v>
      </c>
      <c r="X817" s="101" t="s">
        <v>362</v>
      </c>
      <c r="Y817" s="101" t="s">
        <v>471</v>
      </c>
      <c r="Z817" s="101" t="s">
        <v>402</v>
      </c>
      <c r="AA817" s="101" t="s">
        <v>78</v>
      </c>
      <c r="AB817" s="101">
        <v>4101000279</v>
      </c>
      <c r="AC817" s="101" t="s">
        <v>398</v>
      </c>
      <c r="AD817" s="101" t="s">
        <v>403</v>
      </c>
      <c r="AE817" s="101" t="s">
        <v>75</v>
      </c>
      <c r="AF817" s="101" t="s">
        <v>400</v>
      </c>
      <c r="AI817" s="101" t="s">
        <v>760</v>
      </c>
    </row>
    <row r="818" spans="1:35">
      <c r="A818" s="246" t="s">
        <v>112</v>
      </c>
      <c r="B818" s="246" t="s">
        <v>78</v>
      </c>
      <c r="C818" s="246" t="s">
        <v>126</v>
      </c>
      <c r="D818" s="246" t="s">
        <v>341</v>
      </c>
      <c r="E818" s="246" t="s">
        <v>342</v>
      </c>
      <c r="F818" s="246"/>
      <c r="G818" s="132" t="s">
        <v>743</v>
      </c>
      <c r="H818" s="132" t="s">
        <v>1638</v>
      </c>
      <c r="I818" s="132">
        <v>382775.81</v>
      </c>
      <c r="J818" s="101" t="s">
        <v>889</v>
      </c>
      <c r="K818" s="245" t="s">
        <v>390</v>
      </c>
      <c r="L818" s="245">
        <v>42978</v>
      </c>
      <c r="M818" s="245" t="s">
        <v>391</v>
      </c>
      <c r="N818" s="101">
        <v>0</v>
      </c>
      <c r="O818" s="101" t="s">
        <v>392</v>
      </c>
      <c r="P818" s="101">
        <v>0</v>
      </c>
      <c r="Q818" s="101">
        <v>0</v>
      </c>
      <c r="R818" s="101" t="s">
        <v>393</v>
      </c>
      <c r="S818" s="101" t="s">
        <v>647</v>
      </c>
      <c r="T818" s="101" t="s">
        <v>394</v>
      </c>
      <c r="V818" s="245">
        <v>46371</v>
      </c>
      <c r="W818" s="101" t="s">
        <v>535</v>
      </c>
      <c r="X818" s="101" t="s">
        <v>362</v>
      </c>
      <c r="Y818" s="101" t="s">
        <v>471</v>
      </c>
      <c r="Z818" s="101" t="s">
        <v>402</v>
      </c>
      <c r="AA818" s="101" t="s">
        <v>78</v>
      </c>
      <c r="AB818" s="101">
        <v>4101000279</v>
      </c>
      <c r="AC818" s="101" t="s">
        <v>398</v>
      </c>
      <c r="AD818" s="101" t="s">
        <v>403</v>
      </c>
      <c r="AE818" s="101" t="s">
        <v>75</v>
      </c>
      <c r="AF818" s="101" t="s">
        <v>400</v>
      </c>
      <c r="AI818" s="101" t="s">
        <v>760</v>
      </c>
    </row>
    <row r="819" spans="1:35">
      <c r="A819" s="246" t="s">
        <v>112</v>
      </c>
      <c r="B819" s="246" t="s">
        <v>78</v>
      </c>
      <c r="C819" s="246" t="s">
        <v>126</v>
      </c>
      <c r="D819" s="246" t="s">
        <v>341</v>
      </c>
      <c r="E819" s="246" t="s">
        <v>342</v>
      </c>
      <c r="F819" s="246"/>
      <c r="G819" s="132" t="s">
        <v>744</v>
      </c>
      <c r="H819" s="132" t="s">
        <v>1639</v>
      </c>
      <c r="I819" s="132">
        <v>382567.35</v>
      </c>
      <c r="J819" s="101" t="s">
        <v>889</v>
      </c>
      <c r="K819" s="245" t="s">
        <v>390</v>
      </c>
      <c r="L819" s="245">
        <v>43007</v>
      </c>
      <c r="M819" s="245" t="s">
        <v>391</v>
      </c>
      <c r="N819" s="101">
        <v>0</v>
      </c>
      <c r="O819" s="101" t="s">
        <v>392</v>
      </c>
      <c r="P819" s="101">
        <v>0</v>
      </c>
      <c r="Q819" s="101">
        <v>0</v>
      </c>
      <c r="R819" s="101" t="s">
        <v>393</v>
      </c>
      <c r="S819" s="101" t="s">
        <v>647</v>
      </c>
      <c r="T819" s="101" t="s">
        <v>394</v>
      </c>
      <c r="V819" s="245">
        <v>46371</v>
      </c>
      <c r="W819" s="101" t="s">
        <v>535</v>
      </c>
      <c r="X819" s="101" t="s">
        <v>362</v>
      </c>
      <c r="Y819" s="101" t="s">
        <v>471</v>
      </c>
      <c r="Z819" s="101" t="s">
        <v>402</v>
      </c>
      <c r="AA819" s="101" t="s">
        <v>78</v>
      </c>
      <c r="AB819" s="101">
        <v>4101000279</v>
      </c>
      <c r="AC819" s="101" t="s">
        <v>398</v>
      </c>
      <c r="AD819" s="101" t="s">
        <v>403</v>
      </c>
      <c r="AE819" s="101" t="s">
        <v>75</v>
      </c>
      <c r="AF819" s="101" t="s">
        <v>400</v>
      </c>
      <c r="AI819" s="101" t="s">
        <v>760</v>
      </c>
    </row>
    <row r="820" spans="1:35">
      <c r="A820" s="246" t="s">
        <v>112</v>
      </c>
      <c r="B820" s="246" t="s">
        <v>78</v>
      </c>
      <c r="C820" s="246" t="s">
        <v>126</v>
      </c>
      <c r="D820" s="246" t="s">
        <v>341</v>
      </c>
      <c r="E820" s="246" t="s">
        <v>342</v>
      </c>
      <c r="F820" s="246"/>
      <c r="G820" s="132" t="s">
        <v>745</v>
      </c>
      <c r="H820" s="132" t="s">
        <v>1640</v>
      </c>
      <c r="I820" s="132">
        <v>452296.99</v>
      </c>
      <c r="J820" s="101" t="s">
        <v>889</v>
      </c>
      <c r="K820" s="245" t="s">
        <v>390</v>
      </c>
      <c r="L820" s="245">
        <v>43039</v>
      </c>
      <c r="M820" s="245" t="s">
        <v>391</v>
      </c>
      <c r="N820" s="101">
        <v>0</v>
      </c>
      <c r="O820" s="101" t="s">
        <v>392</v>
      </c>
      <c r="P820" s="101">
        <v>0</v>
      </c>
      <c r="Q820" s="101">
        <v>0</v>
      </c>
      <c r="R820" s="101" t="s">
        <v>393</v>
      </c>
      <c r="S820" s="101" t="s">
        <v>647</v>
      </c>
      <c r="T820" s="101" t="s">
        <v>394</v>
      </c>
      <c r="V820" s="245">
        <v>46371</v>
      </c>
      <c r="W820" s="101" t="s">
        <v>535</v>
      </c>
      <c r="X820" s="101" t="s">
        <v>362</v>
      </c>
      <c r="Y820" s="101" t="s">
        <v>471</v>
      </c>
      <c r="Z820" s="101" t="s">
        <v>402</v>
      </c>
      <c r="AA820" s="101" t="s">
        <v>78</v>
      </c>
      <c r="AB820" s="101">
        <v>4101000279</v>
      </c>
      <c r="AC820" s="101" t="s">
        <v>398</v>
      </c>
      <c r="AD820" s="101" t="s">
        <v>403</v>
      </c>
      <c r="AE820" s="101" t="s">
        <v>75</v>
      </c>
      <c r="AF820" s="101" t="s">
        <v>400</v>
      </c>
      <c r="AI820" s="101" t="s">
        <v>760</v>
      </c>
    </row>
    <row r="821" spans="1:35">
      <c r="A821" s="246" t="s">
        <v>113</v>
      </c>
      <c r="B821" s="246" t="s">
        <v>78</v>
      </c>
      <c r="C821" s="246" t="s">
        <v>126</v>
      </c>
      <c r="D821" s="246" t="s">
        <v>339</v>
      </c>
      <c r="E821" s="246" t="s">
        <v>340</v>
      </c>
      <c r="F821" s="246"/>
      <c r="G821" s="132" t="s">
        <v>746</v>
      </c>
      <c r="H821" s="132" t="s">
        <v>1641</v>
      </c>
      <c r="I821" s="132">
        <v>477912.51</v>
      </c>
      <c r="J821" s="101" t="s">
        <v>889</v>
      </c>
      <c r="K821" s="245" t="s">
        <v>390</v>
      </c>
      <c r="L821" s="245">
        <v>43069</v>
      </c>
      <c r="M821" s="245" t="s">
        <v>391</v>
      </c>
      <c r="N821" s="101">
        <v>0</v>
      </c>
      <c r="O821" s="101" t="s">
        <v>392</v>
      </c>
      <c r="P821" s="101">
        <v>0</v>
      </c>
      <c r="Q821" s="101">
        <v>0</v>
      </c>
      <c r="R821" s="101" t="s">
        <v>393</v>
      </c>
      <c r="S821" s="101" t="s">
        <v>647</v>
      </c>
      <c r="T821" s="101" t="s">
        <v>394</v>
      </c>
      <c r="V821" s="245">
        <v>46371</v>
      </c>
      <c r="W821" s="101" t="s">
        <v>535</v>
      </c>
      <c r="X821" s="101" t="s">
        <v>362</v>
      </c>
      <c r="Y821" s="101" t="s">
        <v>471</v>
      </c>
      <c r="Z821" s="101" t="s">
        <v>402</v>
      </c>
      <c r="AA821" s="101" t="s">
        <v>78</v>
      </c>
      <c r="AB821" s="101">
        <v>4101000279</v>
      </c>
      <c r="AC821" s="101" t="s">
        <v>398</v>
      </c>
      <c r="AD821" s="101" t="s">
        <v>403</v>
      </c>
      <c r="AE821" s="101" t="s">
        <v>75</v>
      </c>
      <c r="AF821" s="101" t="s">
        <v>400</v>
      </c>
      <c r="AI821" s="101" t="s">
        <v>760</v>
      </c>
    </row>
    <row r="822" spans="1:35">
      <c r="A822" s="246" t="s">
        <v>113</v>
      </c>
      <c r="B822" s="246" t="s">
        <v>78</v>
      </c>
      <c r="C822" s="246" t="s">
        <v>126</v>
      </c>
      <c r="D822" s="246" t="s">
        <v>339</v>
      </c>
      <c r="E822" s="246" t="s">
        <v>340</v>
      </c>
      <c r="F822" s="246"/>
      <c r="G822" s="132" t="s">
        <v>747</v>
      </c>
      <c r="H822" s="132" t="s">
        <v>1642</v>
      </c>
      <c r="I822" s="132">
        <v>289756.74</v>
      </c>
      <c r="J822" s="101" t="s">
        <v>889</v>
      </c>
      <c r="K822" s="245" t="s">
        <v>390</v>
      </c>
      <c r="L822" s="245">
        <v>43098</v>
      </c>
      <c r="M822" s="245" t="s">
        <v>391</v>
      </c>
      <c r="N822" s="101">
        <v>0</v>
      </c>
      <c r="O822" s="101" t="s">
        <v>392</v>
      </c>
      <c r="P822" s="101">
        <v>0</v>
      </c>
      <c r="Q822" s="101">
        <v>0</v>
      </c>
      <c r="R822" s="101" t="s">
        <v>393</v>
      </c>
      <c r="S822" s="101" t="s">
        <v>647</v>
      </c>
      <c r="T822" s="101" t="s">
        <v>394</v>
      </c>
      <c r="V822" s="245">
        <v>46371</v>
      </c>
      <c r="W822" s="101" t="s">
        <v>535</v>
      </c>
      <c r="X822" s="101" t="s">
        <v>362</v>
      </c>
      <c r="Y822" s="101" t="s">
        <v>471</v>
      </c>
      <c r="Z822" s="101" t="s">
        <v>402</v>
      </c>
      <c r="AA822" s="101" t="s">
        <v>78</v>
      </c>
      <c r="AB822" s="101">
        <v>4101000279</v>
      </c>
      <c r="AC822" s="101" t="s">
        <v>398</v>
      </c>
      <c r="AD822" s="101" t="s">
        <v>403</v>
      </c>
      <c r="AE822" s="101" t="s">
        <v>75</v>
      </c>
      <c r="AF822" s="101" t="s">
        <v>400</v>
      </c>
      <c r="AI822" s="101" t="s">
        <v>760</v>
      </c>
    </row>
    <row r="823" spans="1:35">
      <c r="A823" s="246" t="s">
        <v>113</v>
      </c>
      <c r="B823" s="246" t="s">
        <v>78</v>
      </c>
      <c r="C823" s="246" t="s">
        <v>126</v>
      </c>
      <c r="D823" s="246" t="s">
        <v>339</v>
      </c>
      <c r="E823" s="246" t="s">
        <v>340</v>
      </c>
      <c r="F823" s="246"/>
      <c r="G823" s="132" t="s">
        <v>748</v>
      </c>
      <c r="H823" s="132" t="s">
        <v>1643</v>
      </c>
      <c r="I823" s="132">
        <v>68405.86</v>
      </c>
      <c r="J823" s="101" t="s">
        <v>889</v>
      </c>
      <c r="K823" s="245" t="s">
        <v>390</v>
      </c>
      <c r="L823" s="245">
        <v>43131</v>
      </c>
      <c r="M823" s="245" t="s">
        <v>391</v>
      </c>
      <c r="N823" s="101">
        <v>0</v>
      </c>
      <c r="O823" s="101" t="s">
        <v>392</v>
      </c>
      <c r="P823" s="101">
        <v>0</v>
      </c>
      <c r="Q823" s="101">
        <v>0</v>
      </c>
      <c r="R823" s="101" t="s">
        <v>393</v>
      </c>
      <c r="S823" s="101" t="s">
        <v>647</v>
      </c>
      <c r="T823" s="101" t="s">
        <v>394</v>
      </c>
      <c r="V823" s="245">
        <v>46371</v>
      </c>
      <c r="W823" s="101" t="s">
        <v>535</v>
      </c>
      <c r="X823" s="101" t="s">
        <v>362</v>
      </c>
      <c r="Y823" s="101" t="s">
        <v>471</v>
      </c>
      <c r="Z823" s="101" t="s">
        <v>402</v>
      </c>
      <c r="AA823" s="101" t="s">
        <v>78</v>
      </c>
      <c r="AB823" s="101">
        <v>4101000279</v>
      </c>
      <c r="AC823" s="101" t="s">
        <v>398</v>
      </c>
      <c r="AD823" s="101" t="s">
        <v>403</v>
      </c>
      <c r="AE823" s="101" t="s">
        <v>75</v>
      </c>
      <c r="AF823" s="101" t="s">
        <v>400</v>
      </c>
      <c r="AI823" s="101" t="s">
        <v>760</v>
      </c>
    </row>
    <row r="824" spans="1:35">
      <c r="A824" s="246" t="s">
        <v>113</v>
      </c>
      <c r="B824" s="246" t="s">
        <v>78</v>
      </c>
      <c r="C824" s="246" t="s">
        <v>126</v>
      </c>
      <c r="D824" s="246" t="s">
        <v>339</v>
      </c>
      <c r="E824" s="246" t="s">
        <v>340</v>
      </c>
      <c r="F824" s="246"/>
      <c r="G824" s="132" t="s">
        <v>749</v>
      </c>
      <c r="H824" s="132" t="s">
        <v>1644</v>
      </c>
      <c r="I824" s="132">
        <v>128678.79999999999</v>
      </c>
      <c r="J824" s="101" t="s">
        <v>889</v>
      </c>
      <c r="K824" s="245" t="s">
        <v>390</v>
      </c>
      <c r="L824" s="245">
        <v>43159</v>
      </c>
      <c r="M824" s="245" t="s">
        <v>391</v>
      </c>
      <c r="N824" s="101">
        <v>0</v>
      </c>
      <c r="O824" s="101" t="s">
        <v>392</v>
      </c>
      <c r="P824" s="101">
        <v>0</v>
      </c>
      <c r="Q824" s="101">
        <v>0</v>
      </c>
      <c r="R824" s="101" t="s">
        <v>393</v>
      </c>
      <c r="S824" s="101" t="s">
        <v>647</v>
      </c>
      <c r="T824" s="101" t="s">
        <v>394</v>
      </c>
      <c r="V824" s="245">
        <v>46371</v>
      </c>
      <c r="W824" s="101" t="s">
        <v>535</v>
      </c>
      <c r="X824" s="101" t="s">
        <v>362</v>
      </c>
      <c r="Y824" s="101" t="s">
        <v>471</v>
      </c>
      <c r="Z824" s="101" t="s">
        <v>402</v>
      </c>
      <c r="AA824" s="101" t="s">
        <v>78</v>
      </c>
      <c r="AB824" s="101">
        <v>4101000279</v>
      </c>
      <c r="AC824" s="101" t="s">
        <v>398</v>
      </c>
      <c r="AD824" s="101" t="s">
        <v>403</v>
      </c>
      <c r="AE824" s="101" t="s">
        <v>75</v>
      </c>
      <c r="AF824" s="101" t="s">
        <v>400</v>
      </c>
      <c r="AI824" s="101" t="s">
        <v>760</v>
      </c>
    </row>
    <row r="825" spans="1:35">
      <c r="A825" s="246" t="s">
        <v>113</v>
      </c>
      <c r="B825" s="246" t="s">
        <v>78</v>
      </c>
      <c r="C825" s="246" t="s">
        <v>126</v>
      </c>
      <c r="D825" s="246" t="s">
        <v>339</v>
      </c>
      <c r="E825" s="246" t="s">
        <v>340</v>
      </c>
      <c r="F825" s="246"/>
      <c r="G825" s="132" t="s">
        <v>750</v>
      </c>
      <c r="H825" s="132" t="s">
        <v>1645</v>
      </c>
      <c r="I825" s="132">
        <v>192547.18</v>
      </c>
      <c r="J825" s="101" t="s">
        <v>889</v>
      </c>
      <c r="K825" s="245" t="s">
        <v>390</v>
      </c>
      <c r="L825" s="245">
        <v>43189</v>
      </c>
      <c r="M825" s="245" t="s">
        <v>391</v>
      </c>
      <c r="N825" s="101">
        <v>0</v>
      </c>
      <c r="O825" s="101" t="s">
        <v>392</v>
      </c>
      <c r="P825" s="101">
        <v>0</v>
      </c>
      <c r="Q825" s="101">
        <v>0</v>
      </c>
      <c r="R825" s="101" t="s">
        <v>393</v>
      </c>
      <c r="S825" s="101" t="s">
        <v>647</v>
      </c>
      <c r="T825" s="101" t="s">
        <v>394</v>
      </c>
      <c r="V825" s="245">
        <v>46371</v>
      </c>
      <c r="W825" s="101" t="s">
        <v>535</v>
      </c>
      <c r="X825" s="101" t="s">
        <v>362</v>
      </c>
      <c r="Y825" s="101" t="s">
        <v>471</v>
      </c>
      <c r="Z825" s="101" t="s">
        <v>402</v>
      </c>
      <c r="AA825" s="101" t="s">
        <v>78</v>
      </c>
      <c r="AB825" s="101">
        <v>4101000279</v>
      </c>
      <c r="AC825" s="101" t="s">
        <v>398</v>
      </c>
      <c r="AD825" s="101" t="s">
        <v>403</v>
      </c>
      <c r="AE825" s="101" t="s">
        <v>75</v>
      </c>
      <c r="AF825" s="101" t="s">
        <v>400</v>
      </c>
      <c r="AI825" s="101" t="s">
        <v>760</v>
      </c>
    </row>
    <row r="826" spans="1:35">
      <c r="A826" s="246" t="s">
        <v>113</v>
      </c>
      <c r="B826" s="246" t="s">
        <v>78</v>
      </c>
      <c r="C826" s="246" t="s">
        <v>126</v>
      </c>
      <c r="D826" s="246" t="s">
        <v>339</v>
      </c>
      <c r="E826" s="246" t="s">
        <v>340</v>
      </c>
      <c r="F826" s="246"/>
      <c r="G826" s="132" t="s">
        <v>872</v>
      </c>
      <c r="H826" s="132" t="s">
        <v>1646</v>
      </c>
      <c r="I826" s="132">
        <v>248508.34999999998</v>
      </c>
      <c r="J826" s="101" t="s">
        <v>889</v>
      </c>
      <c r="K826" s="245" t="s">
        <v>390</v>
      </c>
      <c r="L826" s="245">
        <v>43220</v>
      </c>
      <c r="M826" s="245" t="s">
        <v>391</v>
      </c>
      <c r="N826" s="101">
        <v>0</v>
      </c>
      <c r="O826" s="101" t="s">
        <v>392</v>
      </c>
      <c r="P826" s="101">
        <v>0</v>
      </c>
      <c r="Q826" s="101">
        <v>0</v>
      </c>
      <c r="R826" s="101" t="s">
        <v>393</v>
      </c>
      <c r="S826" s="101" t="s">
        <v>647</v>
      </c>
      <c r="T826" s="101" t="s">
        <v>394</v>
      </c>
      <c r="V826" s="245">
        <v>46371</v>
      </c>
      <c r="W826" s="101" t="s">
        <v>535</v>
      </c>
      <c r="X826" s="101" t="s">
        <v>362</v>
      </c>
      <c r="Y826" s="101" t="s">
        <v>471</v>
      </c>
      <c r="Z826" s="101" t="s">
        <v>402</v>
      </c>
      <c r="AA826" s="101" t="s">
        <v>78</v>
      </c>
      <c r="AB826" s="101">
        <v>4101000279</v>
      </c>
      <c r="AC826" s="101" t="s">
        <v>398</v>
      </c>
      <c r="AD826" s="101" t="s">
        <v>403</v>
      </c>
      <c r="AE826" s="101" t="s">
        <v>75</v>
      </c>
      <c r="AF826" s="101" t="s">
        <v>400</v>
      </c>
      <c r="AI826" s="101" t="s">
        <v>760</v>
      </c>
    </row>
    <row r="827" spans="1:35">
      <c r="A827" s="246" t="s">
        <v>101</v>
      </c>
      <c r="B827" s="246" t="s">
        <v>66</v>
      </c>
      <c r="C827" s="246" t="s">
        <v>126</v>
      </c>
      <c r="D827" s="246" t="s">
        <v>282</v>
      </c>
      <c r="E827" s="246"/>
      <c r="F827" s="246"/>
      <c r="G827" s="132">
        <v>0</v>
      </c>
      <c r="H827" s="132">
        <v>0</v>
      </c>
      <c r="I827" s="132">
        <v>0</v>
      </c>
      <c r="J827" s="101" t="s">
        <v>889</v>
      </c>
      <c r="K827" s="245" t="s">
        <v>390</v>
      </c>
      <c r="L827" s="245">
        <v>42502</v>
      </c>
      <c r="M827" s="245" t="s">
        <v>391</v>
      </c>
      <c r="N827" s="101">
        <v>0</v>
      </c>
      <c r="O827" s="101" t="s">
        <v>392</v>
      </c>
      <c r="P827" s="101">
        <v>0</v>
      </c>
      <c r="Q827" s="101">
        <v>0</v>
      </c>
      <c r="S827" s="101">
        <v>194016</v>
      </c>
      <c r="T827" s="101" t="s">
        <v>394</v>
      </c>
      <c r="V827" s="245">
        <v>42502</v>
      </c>
      <c r="W827" s="101" t="s">
        <v>441</v>
      </c>
      <c r="X827" s="101" t="s">
        <v>76</v>
      </c>
      <c r="Y827" s="101" t="s">
        <v>392</v>
      </c>
      <c r="Z827" s="101" t="s">
        <v>430</v>
      </c>
      <c r="AA827" s="101" t="s">
        <v>531</v>
      </c>
      <c r="AB827" s="101">
        <v>3101053435</v>
      </c>
      <c r="AC827" s="101" t="s">
        <v>431</v>
      </c>
      <c r="AD827" s="101" t="s">
        <v>431</v>
      </c>
      <c r="AE827" s="101" t="s">
        <v>75</v>
      </c>
      <c r="AF827" s="101" t="s">
        <v>400</v>
      </c>
      <c r="AG827" s="101" t="s">
        <v>554</v>
      </c>
      <c r="AI827" s="101" t="s">
        <v>760</v>
      </c>
    </row>
    <row r="828" spans="1:35">
      <c r="A828" s="246" t="s">
        <v>101</v>
      </c>
      <c r="B828" s="246" t="s">
        <v>66</v>
      </c>
      <c r="C828" s="246" t="s">
        <v>116</v>
      </c>
      <c r="D828" s="246" t="s">
        <v>1779</v>
      </c>
      <c r="E828" s="246"/>
      <c r="F828" s="246"/>
      <c r="G828" s="132">
        <v>0</v>
      </c>
      <c r="H828" s="132">
        <v>0</v>
      </c>
      <c r="I828" s="132">
        <v>0</v>
      </c>
      <c r="J828" s="101" t="s">
        <v>889</v>
      </c>
      <c r="K828" s="245" t="s">
        <v>390</v>
      </c>
      <c r="L828" s="245">
        <v>42502</v>
      </c>
      <c r="M828" s="245" t="s">
        <v>421</v>
      </c>
      <c r="N828" s="101">
        <v>0</v>
      </c>
      <c r="O828" s="101" t="s">
        <v>392</v>
      </c>
      <c r="P828" s="101">
        <v>0</v>
      </c>
      <c r="Q828" s="101">
        <v>0</v>
      </c>
      <c r="S828" s="101">
        <v>194016</v>
      </c>
      <c r="T828" s="101" t="s">
        <v>394</v>
      </c>
      <c r="V828" s="245">
        <v>42502</v>
      </c>
      <c r="W828" s="101" t="s">
        <v>441</v>
      </c>
      <c r="X828" s="101" t="s">
        <v>76</v>
      </c>
      <c r="Y828" s="101" t="s">
        <v>392</v>
      </c>
      <c r="Z828" s="101" t="s">
        <v>430</v>
      </c>
      <c r="AA828" s="101" t="s">
        <v>531</v>
      </c>
      <c r="AB828" s="101">
        <v>3101053435</v>
      </c>
      <c r="AC828" s="101" t="s">
        <v>431</v>
      </c>
      <c r="AD828" s="101" t="s">
        <v>431</v>
      </c>
      <c r="AE828" s="101" t="s">
        <v>75</v>
      </c>
      <c r="AF828" s="101" t="s">
        <v>400</v>
      </c>
      <c r="AG828" s="101" t="s">
        <v>554</v>
      </c>
      <c r="AI828" s="101" t="s">
        <v>760</v>
      </c>
    </row>
    <row r="829" spans="1:35">
      <c r="A829" s="246" t="s">
        <v>109</v>
      </c>
      <c r="B829" s="246" t="s">
        <v>66</v>
      </c>
      <c r="C829" s="246" t="s">
        <v>126</v>
      </c>
      <c r="D829" s="246" t="s">
        <v>272</v>
      </c>
      <c r="E829" s="246"/>
      <c r="F829" s="246"/>
      <c r="G829" s="132">
        <v>45000</v>
      </c>
      <c r="H829" s="132" t="s">
        <v>1647</v>
      </c>
      <c r="I829" s="132">
        <v>45000</v>
      </c>
      <c r="J829" s="101" t="s">
        <v>889</v>
      </c>
      <c r="K829" s="245" t="s">
        <v>390</v>
      </c>
      <c r="L829" s="245">
        <v>42536</v>
      </c>
      <c r="M829" s="245" t="s">
        <v>391</v>
      </c>
      <c r="N829" s="101">
        <v>0</v>
      </c>
      <c r="O829" s="101" t="s">
        <v>392</v>
      </c>
      <c r="P829" s="101">
        <v>0</v>
      </c>
      <c r="Q829" s="101">
        <v>0</v>
      </c>
      <c r="R829" s="101" t="s">
        <v>450</v>
      </c>
      <c r="S829" s="101">
        <v>193007</v>
      </c>
      <c r="T829" s="101" t="s">
        <v>394</v>
      </c>
      <c r="V829" s="245">
        <v>42536</v>
      </c>
      <c r="W829" s="101" t="s">
        <v>441</v>
      </c>
      <c r="X829" s="101" t="s">
        <v>76</v>
      </c>
      <c r="Y829" s="101" t="s">
        <v>392</v>
      </c>
      <c r="Z829" s="101" t="s">
        <v>430</v>
      </c>
      <c r="AA829" s="101" t="s">
        <v>531</v>
      </c>
      <c r="AB829" s="101">
        <v>3101053435</v>
      </c>
      <c r="AC829" s="101" t="s">
        <v>431</v>
      </c>
      <c r="AD829" s="101" t="s">
        <v>431</v>
      </c>
      <c r="AE829" s="101" t="s">
        <v>75</v>
      </c>
      <c r="AF829" s="101" t="s">
        <v>400</v>
      </c>
      <c r="AG829" s="101" t="s">
        <v>532</v>
      </c>
      <c r="AI829" s="101" t="s">
        <v>760</v>
      </c>
    </row>
    <row r="830" spans="1:35">
      <c r="A830" s="246" t="s">
        <v>109</v>
      </c>
      <c r="B830" s="246" t="s">
        <v>66</v>
      </c>
      <c r="C830" s="246" t="s">
        <v>116</v>
      </c>
      <c r="D830" s="246" t="s">
        <v>338</v>
      </c>
      <c r="E830" s="246"/>
      <c r="F830" s="246"/>
      <c r="G830" s="132">
        <v>18000000</v>
      </c>
      <c r="H830" s="132" t="s">
        <v>1648</v>
      </c>
      <c r="I830" s="132">
        <v>18000000</v>
      </c>
      <c r="J830" s="101" t="s">
        <v>889</v>
      </c>
      <c r="K830" s="245" t="s">
        <v>390</v>
      </c>
      <c r="L830" s="245">
        <v>42536</v>
      </c>
      <c r="M830" s="245" t="s">
        <v>421</v>
      </c>
      <c r="N830" s="101">
        <v>0</v>
      </c>
      <c r="O830" s="101" t="s">
        <v>392</v>
      </c>
      <c r="P830" s="101">
        <v>0</v>
      </c>
      <c r="Q830" s="101">
        <v>0</v>
      </c>
      <c r="R830" s="101" t="s">
        <v>450</v>
      </c>
      <c r="S830" s="101">
        <v>193007</v>
      </c>
      <c r="T830" s="101" t="s">
        <v>394</v>
      </c>
      <c r="V830" s="245">
        <v>42536</v>
      </c>
      <c r="W830" s="101" t="s">
        <v>441</v>
      </c>
      <c r="X830" s="101" t="s">
        <v>76</v>
      </c>
      <c r="Y830" s="101" t="s">
        <v>392</v>
      </c>
      <c r="Z830" s="101" t="s">
        <v>430</v>
      </c>
      <c r="AA830" s="101" t="s">
        <v>531</v>
      </c>
      <c r="AB830" s="101">
        <v>3101053435</v>
      </c>
      <c r="AC830" s="101" t="s">
        <v>431</v>
      </c>
      <c r="AD830" s="101" t="s">
        <v>431</v>
      </c>
      <c r="AE830" s="101" t="s">
        <v>75</v>
      </c>
      <c r="AF830" s="101" t="s">
        <v>400</v>
      </c>
      <c r="AG830" s="101" t="s">
        <v>532</v>
      </c>
      <c r="AI830" s="101" t="s">
        <v>760</v>
      </c>
    </row>
    <row r="831" spans="1:35">
      <c r="A831" s="246" t="s">
        <v>111</v>
      </c>
      <c r="B831" s="246" t="s">
        <v>66</v>
      </c>
      <c r="C831" s="246" t="s">
        <v>126</v>
      </c>
      <c r="D831" s="246" t="s">
        <v>273</v>
      </c>
      <c r="E831" s="246"/>
      <c r="F831" s="246"/>
      <c r="G831" s="132">
        <v>0</v>
      </c>
      <c r="H831" s="132">
        <v>0</v>
      </c>
      <c r="I831" s="132">
        <v>0</v>
      </c>
      <c r="J831" s="101" t="s">
        <v>889</v>
      </c>
      <c r="K831" s="245" t="s">
        <v>390</v>
      </c>
      <c r="L831" s="245">
        <v>42738</v>
      </c>
      <c r="M831" s="245" t="s">
        <v>391</v>
      </c>
      <c r="N831" s="101">
        <v>0</v>
      </c>
      <c r="O831" s="101" t="s">
        <v>392</v>
      </c>
      <c r="P831" s="101">
        <v>0</v>
      </c>
      <c r="Q831" s="101">
        <v>0</v>
      </c>
      <c r="R831" s="101" t="s">
        <v>428</v>
      </c>
      <c r="S831" s="101">
        <v>148669</v>
      </c>
      <c r="T831" s="101" t="s">
        <v>394</v>
      </c>
      <c r="V831" s="245">
        <v>43433</v>
      </c>
      <c r="W831" s="101" t="s">
        <v>424</v>
      </c>
      <c r="X831" s="101" t="s">
        <v>429</v>
      </c>
      <c r="Y831" s="101" t="s">
        <v>392</v>
      </c>
      <c r="Z831" s="101" t="s">
        <v>430</v>
      </c>
      <c r="AA831" s="101" t="s">
        <v>397</v>
      </c>
      <c r="AB831" s="101">
        <v>5101000018</v>
      </c>
      <c r="AC831" s="101" t="s">
        <v>431</v>
      </c>
      <c r="AD831" s="101" t="s">
        <v>431</v>
      </c>
      <c r="AE831" s="101" t="s">
        <v>75</v>
      </c>
      <c r="AF831" s="101" t="s">
        <v>400</v>
      </c>
      <c r="AG831" s="101" t="s">
        <v>704</v>
      </c>
      <c r="AI831" s="101" t="s">
        <v>760</v>
      </c>
    </row>
    <row r="832" spans="1:35">
      <c r="A832" s="246" t="s">
        <v>111</v>
      </c>
      <c r="B832" s="246" t="s">
        <v>66</v>
      </c>
      <c r="C832" s="246" t="s">
        <v>126</v>
      </c>
      <c r="D832" s="246" t="s">
        <v>273</v>
      </c>
      <c r="E832" s="246"/>
      <c r="F832" s="246"/>
      <c r="G832" s="132">
        <v>0</v>
      </c>
      <c r="H832" s="132">
        <v>0</v>
      </c>
      <c r="I832" s="132">
        <v>0</v>
      </c>
      <c r="J832" s="101" t="s">
        <v>889</v>
      </c>
      <c r="K832" s="245" t="s">
        <v>390</v>
      </c>
      <c r="L832" s="245">
        <v>42767</v>
      </c>
      <c r="M832" s="245" t="s">
        <v>391</v>
      </c>
      <c r="N832" s="101">
        <v>0</v>
      </c>
      <c r="O832" s="101" t="s">
        <v>392</v>
      </c>
      <c r="P832" s="101">
        <v>0</v>
      </c>
      <c r="Q832" s="101">
        <v>0</v>
      </c>
      <c r="R832" s="101" t="s">
        <v>428</v>
      </c>
      <c r="S832" s="101">
        <v>148669</v>
      </c>
      <c r="T832" s="101" t="s">
        <v>394</v>
      </c>
      <c r="V832" s="245">
        <v>43433</v>
      </c>
      <c r="W832" s="101" t="s">
        <v>424</v>
      </c>
      <c r="X832" s="101" t="s">
        <v>429</v>
      </c>
      <c r="Y832" s="101" t="s">
        <v>392</v>
      </c>
      <c r="Z832" s="101" t="s">
        <v>430</v>
      </c>
      <c r="AA832" s="101" t="s">
        <v>397</v>
      </c>
      <c r="AB832" s="101">
        <v>5101000018</v>
      </c>
      <c r="AC832" s="101" t="s">
        <v>431</v>
      </c>
      <c r="AD832" s="101" t="s">
        <v>431</v>
      </c>
      <c r="AE832" s="101" t="s">
        <v>75</v>
      </c>
      <c r="AF832" s="101" t="s">
        <v>400</v>
      </c>
      <c r="AG832" s="101" t="s">
        <v>704</v>
      </c>
      <c r="AI832" s="101" t="s">
        <v>760</v>
      </c>
    </row>
    <row r="833" spans="1:35">
      <c r="A833" s="246" t="s">
        <v>111</v>
      </c>
      <c r="B833" s="246" t="s">
        <v>66</v>
      </c>
      <c r="C833" s="246" t="s">
        <v>126</v>
      </c>
      <c r="D833" s="246" t="s">
        <v>273</v>
      </c>
      <c r="E833" s="246"/>
      <c r="F833" s="246"/>
      <c r="G833" s="132">
        <v>0</v>
      </c>
      <c r="H833" s="132">
        <v>0</v>
      </c>
      <c r="I833" s="132">
        <v>0</v>
      </c>
      <c r="J833" s="101" t="s">
        <v>889</v>
      </c>
      <c r="K833" s="245" t="s">
        <v>390</v>
      </c>
      <c r="L833" s="245">
        <v>42795</v>
      </c>
      <c r="M833" s="245" t="s">
        <v>391</v>
      </c>
      <c r="N833" s="101">
        <v>0</v>
      </c>
      <c r="O833" s="101" t="s">
        <v>392</v>
      </c>
      <c r="P833" s="101">
        <v>0</v>
      </c>
      <c r="Q833" s="101">
        <v>0</v>
      </c>
      <c r="R833" s="101" t="s">
        <v>428</v>
      </c>
      <c r="S833" s="101">
        <v>148669</v>
      </c>
      <c r="T833" s="101" t="s">
        <v>394</v>
      </c>
      <c r="V833" s="245">
        <v>43433</v>
      </c>
      <c r="W833" s="101" t="s">
        <v>424</v>
      </c>
      <c r="X833" s="101" t="s">
        <v>429</v>
      </c>
      <c r="Y833" s="101" t="s">
        <v>392</v>
      </c>
      <c r="Z833" s="101" t="s">
        <v>430</v>
      </c>
      <c r="AA833" s="101" t="s">
        <v>397</v>
      </c>
      <c r="AB833" s="101">
        <v>5101000018</v>
      </c>
      <c r="AC833" s="101" t="s">
        <v>431</v>
      </c>
      <c r="AD833" s="101" t="s">
        <v>431</v>
      </c>
      <c r="AE833" s="101" t="s">
        <v>75</v>
      </c>
      <c r="AF833" s="101" t="s">
        <v>400</v>
      </c>
      <c r="AG833" s="101" t="s">
        <v>704</v>
      </c>
      <c r="AI833" s="101" t="s">
        <v>760</v>
      </c>
    </row>
    <row r="834" spans="1:35">
      <c r="A834" s="246" t="s">
        <v>111</v>
      </c>
      <c r="B834" s="246" t="s">
        <v>66</v>
      </c>
      <c r="C834" s="246" t="s">
        <v>126</v>
      </c>
      <c r="D834" s="246" t="s">
        <v>273</v>
      </c>
      <c r="E834" s="246"/>
      <c r="F834" s="246"/>
      <c r="G834" s="132">
        <v>0</v>
      </c>
      <c r="H834" s="132">
        <v>0</v>
      </c>
      <c r="I834" s="132">
        <v>0</v>
      </c>
      <c r="J834" s="101" t="s">
        <v>889</v>
      </c>
      <c r="K834" s="245" t="s">
        <v>390</v>
      </c>
      <c r="L834" s="245">
        <v>42828</v>
      </c>
      <c r="M834" s="245" t="s">
        <v>391</v>
      </c>
      <c r="N834" s="101">
        <v>0</v>
      </c>
      <c r="O834" s="101" t="s">
        <v>392</v>
      </c>
      <c r="P834" s="101">
        <v>0</v>
      </c>
      <c r="Q834" s="101">
        <v>0</v>
      </c>
      <c r="R834" s="101" t="s">
        <v>428</v>
      </c>
      <c r="S834" s="101">
        <v>148669</v>
      </c>
      <c r="T834" s="101" t="s">
        <v>394</v>
      </c>
      <c r="V834" s="245">
        <v>43433</v>
      </c>
      <c r="W834" s="101" t="s">
        <v>424</v>
      </c>
      <c r="X834" s="101" t="s">
        <v>429</v>
      </c>
      <c r="Y834" s="101" t="s">
        <v>392</v>
      </c>
      <c r="Z834" s="101" t="s">
        <v>430</v>
      </c>
      <c r="AA834" s="101" t="s">
        <v>397</v>
      </c>
      <c r="AB834" s="101">
        <v>5101000018</v>
      </c>
      <c r="AC834" s="101" t="s">
        <v>431</v>
      </c>
      <c r="AD834" s="101" t="s">
        <v>431</v>
      </c>
      <c r="AE834" s="101" t="s">
        <v>75</v>
      </c>
      <c r="AF834" s="101" t="s">
        <v>400</v>
      </c>
      <c r="AG834" s="101" t="s">
        <v>704</v>
      </c>
      <c r="AI834" s="101" t="s">
        <v>760</v>
      </c>
    </row>
    <row r="835" spans="1:35">
      <c r="A835" s="246" t="s">
        <v>111</v>
      </c>
      <c r="B835" s="246" t="s">
        <v>66</v>
      </c>
      <c r="C835" s="246" t="s">
        <v>126</v>
      </c>
      <c r="D835" s="246" t="s">
        <v>273</v>
      </c>
      <c r="E835" s="246"/>
      <c r="F835" s="246"/>
      <c r="G835" s="132">
        <v>0</v>
      </c>
      <c r="H835" s="132">
        <v>0</v>
      </c>
      <c r="I835" s="132">
        <v>0</v>
      </c>
      <c r="J835" s="101" t="s">
        <v>889</v>
      </c>
      <c r="K835" s="245" t="s">
        <v>390</v>
      </c>
      <c r="L835" s="245">
        <v>42857</v>
      </c>
      <c r="M835" s="245" t="s">
        <v>391</v>
      </c>
      <c r="N835" s="101">
        <v>0</v>
      </c>
      <c r="O835" s="101" t="s">
        <v>392</v>
      </c>
      <c r="P835" s="101">
        <v>0</v>
      </c>
      <c r="Q835" s="101">
        <v>0</v>
      </c>
      <c r="R835" s="101" t="s">
        <v>428</v>
      </c>
      <c r="S835" s="101">
        <v>148669</v>
      </c>
      <c r="T835" s="101" t="s">
        <v>394</v>
      </c>
      <c r="V835" s="245">
        <v>43433</v>
      </c>
      <c r="W835" s="101" t="s">
        <v>424</v>
      </c>
      <c r="X835" s="101" t="s">
        <v>429</v>
      </c>
      <c r="Y835" s="101" t="s">
        <v>392</v>
      </c>
      <c r="Z835" s="101" t="s">
        <v>430</v>
      </c>
      <c r="AA835" s="101" t="s">
        <v>397</v>
      </c>
      <c r="AB835" s="101">
        <v>5101000018</v>
      </c>
      <c r="AC835" s="101" t="s">
        <v>431</v>
      </c>
      <c r="AD835" s="101" t="s">
        <v>431</v>
      </c>
      <c r="AE835" s="101" t="s">
        <v>75</v>
      </c>
      <c r="AF835" s="101" t="s">
        <v>400</v>
      </c>
      <c r="AG835" s="101" t="s">
        <v>704</v>
      </c>
      <c r="AI835" s="101" t="s">
        <v>760</v>
      </c>
    </row>
    <row r="836" spans="1:35">
      <c r="A836" s="246" t="s">
        <v>112</v>
      </c>
      <c r="B836" s="246" t="s">
        <v>66</v>
      </c>
      <c r="C836" s="246" t="s">
        <v>126</v>
      </c>
      <c r="D836" s="246" t="s">
        <v>270</v>
      </c>
      <c r="E836" s="246"/>
      <c r="F836" s="246"/>
      <c r="G836" s="132">
        <v>0</v>
      </c>
      <c r="H836" s="132">
        <v>0</v>
      </c>
      <c r="I836" s="132">
        <v>0</v>
      </c>
      <c r="J836" s="101" t="s">
        <v>889</v>
      </c>
      <c r="K836" s="245" t="s">
        <v>390</v>
      </c>
      <c r="L836" s="245">
        <v>42887</v>
      </c>
      <c r="M836" s="245" t="s">
        <v>391</v>
      </c>
      <c r="N836" s="101">
        <v>0</v>
      </c>
      <c r="O836" s="101" t="s">
        <v>392</v>
      </c>
      <c r="P836" s="101">
        <v>0</v>
      </c>
      <c r="Q836" s="101">
        <v>0</v>
      </c>
      <c r="R836" s="101" t="s">
        <v>428</v>
      </c>
      <c r="S836" s="101">
        <v>148669</v>
      </c>
      <c r="T836" s="101" t="s">
        <v>394</v>
      </c>
      <c r="V836" s="245">
        <v>43433</v>
      </c>
      <c r="W836" s="101" t="s">
        <v>424</v>
      </c>
      <c r="X836" s="101" t="s">
        <v>429</v>
      </c>
      <c r="Y836" s="101" t="s">
        <v>392</v>
      </c>
      <c r="Z836" s="101" t="s">
        <v>430</v>
      </c>
      <c r="AA836" s="101" t="s">
        <v>397</v>
      </c>
      <c r="AB836" s="101">
        <v>5101000018</v>
      </c>
      <c r="AC836" s="101" t="s">
        <v>431</v>
      </c>
      <c r="AD836" s="101" t="s">
        <v>431</v>
      </c>
      <c r="AE836" s="101" t="s">
        <v>75</v>
      </c>
      <c r="AF836" s="101" t="s">
        <v>400</v>
      </c>
      <c r="AG836" s="101" t="s">
        <v>704</v>
      </c>
      <c r="AI836" s="101" t="s">
        <v>760</v>
      </c>
    </row>
    <row r="837" spans="1:35">
      <c r="A837" s="246" t="s">
        <v>112</v>
      </c>
      <c r="B837" s="246" t="s">
        <v>66</v>
      </c>
      <c r="C837" s="246" t="s">
        <v>126</v>
      </c>
      <c r="D837" s="246" t="s">
        <v>270</v>
      </c>
      <c r="E837" s="246"/>
      <c r="F837" s="246"/>
      <c r="G837" s="132">
        <v>0</v>
      </c>
      <c r="H837" s="132">
        <v>0</v>
      </c>
      <c r="I837" s="132">
        <v>0</v>
      </c>
      <c r="J837" s="101" t="s">
        <v>889</v>
      </c>
      <c r="K837" s="245" t="s">
        <v>390</v>
      </c>
      <c r="L837" s="245">
        <v>42919</v>
      </c>
      <c r="M837" s="245" t="s">
        <v>391</v>
      </c>
      <c r="N837" s="101">
        <v>0</v>
      </c>
      <c r="O837" s="101" t="s">
        <v>392</v>
      </c>
      <c r="P837" s="101">
        <v>0</v>
      </c>
      <c r="Q837" s="101">
        <v>0</v>
      </c>
      <c r="R837" s="101" t="s">
        <v>428</v>
      </c>
      <c r="S837" s="101">
        <v>148669</v>
      </c>
      <c r="T837" s="101" t="s">
        <v>394</v>
      </c>
      <c r="V837" s="245">
        <v>43433</v>
      </c>
      <c r="W837" s="101" t="s">
        <v>424</v>
      </c>
      <c r="X837" s="101" t="s">
        <v>429</v>
      </c>
      <c r="Y837" s="101" t="s">
        <v>392</v>
      </c>
      <c r="Z837" s="101" t="s">
        <v>430</v>
      </c>
      <c r="AA837" s="101" t="s">
        <v>397</v>
      </c>
      <c r="AB837" s="101">
        <v>5101000018</v>
      </c>
      <c r="AC837" s="101" t="s">
        <v>431</v>
      </c>
      <c r="AD837" s="101" t="s">
        <v>431</v>
      </c>
      <c r="AE837" s="101" t="s">
        <v>75</v>
      </c>
      <c r="AF837" s="101" t="s">
        <v>400</v>
      </c>
      <c r="AG837" s="101" t="s">
        <v>704</v>
      </c>
      <c r="AI837" s="101" t="s">
        <v>760</v>
      </c>
    </row>
    <row r="838" spans="1:35">
      <c r="A838" s="246" t="s">
        <v>112</v>
      </c>
      <c r="B838" s="246" t="s">
        <v>66</v>
      </c>
      <c r="C838" s="246" t="s">
        <v>126</v>
      </c>
      <c r="D838" s="246" t="s">
        <v>270</v>
      </c>
      <c r="E838" s="246"/>
      <c r="F838" s="246"/>
      <c r="G838" s="132">
        <v>0</v>
      </c>
      <c r="H838" s="132">
        <v>0</v>
      </c>
      <c r="I838" s="132">
        <v>0</v>
      </c>
      <c r="J838" s="101" t="s">
        <v>889</v>
      </c>
      <c r="K838" s="245" t="s">
        <v>390</v>
      </c>
      <c r="L838" s="245">
        <v>42948</v>
      </c>
      <c r="M838" s="245" t="s">
        <v>391</v>
      </c>
      <c r="N838" s="101">
        <v>0</v>
      </c>
      <c r="O838" s="101" t="s">
        <v>392</v>
      </c>
      <c r="P838" s="101">
        <v>0</v>
      </c>
      <c r="Q838" s="101">
        <v>0</v>
      </c>
      <c r="R838" s="101" t="s">
        <v>428</v>
      </c>
      <c r="S838" s="101">
        <v>148669</v>
      </c>
      <c r="T838" s="101" t="s">
        <v>394</v>
      </c>
      <c r="V838" s="245">
        <v>43433</v>
      </c>
      <c r="W838" s="101" t="s">
        <v>424</v>
      </c>
      <c r="X838" s="101" t="s">
        <v>429</v>
      </c>
      <c r="Y838" s="101" t="s">
        <v>392</v>
      </c>
      <c r="Z838" s="101" t="s">
        <v>430</v>
      </c>
      <c r="AA838" s="101" t="s">
        <v>397</v>
      </c>
      <c r="AB838" s="101">
        <v>5101000018</v>
      </c>
      <c r="AC838" s="101" t="s">
        <v>431</v>
      </c>
      <c r="AD838" s="101" t="s">
        <v>431</v>
      </c>
      <c r="AE838" s="101" t="s">
        <v>75</v>
      </c>
      <c r="AF838" s="101" t="s">
        <v>400</v>
      </c>
      <c r="AG838" s="101" t="s">
        <v>704</v>
      </c>
      <c r="AI838" s="101" t="s">
        <v>760</v>
      </c>
    </row>
    <row r="839" spans="1:35">
      <c r="A839" s="246" t="s">
        <v>112</v>
      </c>
      <c r="B839" s="246" t="s">
        <v>66</v>
      </c>
      <c r="C839" s="246" t="s">
        <v>126</v>
      </c>
      <c r="D839" s="246" t="s">
        <v>270</v>
      </c>
      <c r="E839" s="246"/>
      <c r="F839" s="246"/>
      <c r="G839" s="132">
        <v>0</v>
      </c>
      <c r="H839" s="132">
        <v>0</v>
      </c>
      <c r="I839" s="132">
        <v>0</v>
      </c>
      <c r="J839" s="101" t="s">
        <v>889</v>
      </c>
      <c r="K839" s="245" t="s">
        <v>390</v>
      </c>
      <c r="L839" s="245">
        <v>42979</v>
      </c>
      <c r="M839" s="245" t="s">
        <v>391</v>
      </c>
      <c r="N839" s="101">
        <v>0</v>
      </c>
      <c r="O839" s="101" t="s">
        <v>392</v>
      </c>
      <c r="P839" s="101">
        <v>0</v>
      </c>
      <c r="Q839" s="101">
        <v>0</v>
      </c>
      <c r="R839" s="101" t="s">
        <v>428</v>
      </c>
      <c r="S839" s="101">
        <v>148669</v>
      </c>
      <c r="T839" s="101" t="s">
        <v>394</v>
      </c>
      <c r="V839" s="245">
        <v>43433</v>
      </c>
      <c r="W839" s="101" t="s">
        <v>424</v>
      </c>
      <c r="X839" s="101" t="s">
        <v>429</v>
      </c>
      <c r="Y839" s="101" t="s">
        <v>392</v>
      </c>
      <c r="Z839" s="101" t="s">
        <v>430</v>
      </c>
      <c r="AA839" s="101" t="s">
        <v>397</v>
      </c>
      <c r="AB839" s="101">
        <v>5101000018</v>
      </c>
      <c r="AC839" s="101" t="s">
        <v>431</v>
      </c>
      <c r="AD839" s="101" t="s">
        <v>431</v>
      </c>
      <c r="AE839" s="101" t="s">
        <v>75</v>
      </c>
      <c r="AF839" s="101" t="s">
        <v>400</v>
      </c>
      <c r="AG839" s="101" t="s">
        <v>704</v>
      </c>
      <c r="AI839" s="101" t="s">
        <v>760</v>
      </c>
    </row>
    <row r="840" spans="1:35">
      <c r="A840" s="246" t="s">
        <v>112</v>
      </c>
      <c r="B840" s="246" t="s">
        <v>66</v>
      </c>
      <c r="C840" s="246" t="s">
        <v>126</v>
      </c>
      <c r="D840" s="246" t="s">
        <v>270</v>
      </c>
      <c r="E840" s="246"/>
      <c r="F840" s="246"/>
      <c r="G840" s="132">
        <v>0</v>
      </c>
      <c r="H840" s="132">
        <v>0</v>
      </c>
      <c r="I840" s="132">
        <v>0</v>
      </c>
      <c r="J840" s="101" t="s">
        <v>889</v>
      </c>
      <c r="K840" s="245" t="s">
        <v>390</v>
      </c>
      <c r="L840" s="245">
        <v>43010</v>
      </c>
      <c r="M840" s="245" t="s">
        <v>391</v>
      </c>
      <c r="N840" s="101">
        <v>0</v>
      </c>
      <c r="O840" s="101" t="s">
        <v>392</v>
      </c>
      <c r="P840" s="101">
        <v>0</v>
      </c>
      <c r="Q840" s="101">
        <v>0</v>
      </c>
      <c r="R840" s="101" t="s">
        <v>428</v>
      </c>
      <c r="S840" s="101">
        <v>148669</v>
      </c>
      <c r="T840" s="101" t="s">
        <v>394</v>
      </c>
      <c r="V840" s="245">
        <v>43433</v>
      </c>
      <c r="W840" s="101" t="s">
        <v>424</v>
      </c>
      <c r="X840" s="101" t="s">
        <v>429</v>
      </c>
      <c r="Y840" s="101" t="s">
        <v>392</v>
      </c>
      <c r="Z840" s="101" t="s">
        <v>430</v>
      </c>
      <c r="AA840" s="101" t="s">
        <v>397</v>
      </c>
      <c r="AB840" s="101">
        <v>5101000018</v>
      </c>
      <c r="AC840" s="101" t="s">
        <v>431</v>
      </c>
      <c r="AD840" s="101" t="s">
        <v>431</v>
      </c>
      <c r="AE840" s="101" t="s">
        <v>75</v>
      </c>
      <c r="AF840" s="101" t="s">
        <v>400</v>
      </c>
      <c r="AG840" s="101" t="s">
        <v>704</v>
      </c>
      <c r="AI840" s="101" t="s">
        <v>760</v>
      </c>
    </row>
    <row r="841" spans="1:35">
      <c r="A841" s="246" t="s">
        <v>112</v>
      </c>
      <c r="B841" s="246" t="s">
        <v>66</v>
      </c>
      <c r="C841" s="246" t="s">
        <v>126</v>
      </c>
      <c r="D841" s="246" t="s">
        <v>270</v>
      </c>
      <c r="E841" s="246"/>
      <c r="F841" s="246"/>
      <c r="G841" s="132">
        <v>0</v>
      </c>
      <c r="H841" s="132">
        <v>0</v>
      </c>
      <c r="I841" s="132">
        <v>0</v>
      </c>
      <c r="J841" s="101" t="s">
        <v>889</v>
      </c>
      <c r="K841" s="245" t="s">
        <v>390</v>
      </c>
      <c r="L841" s="245">
        <v>43040</v>
      </c>
      <c r="M841" s="245" t="s">
        <v>391</v>
      </c>
      <c r="N841" s="101">
        <v>0</v>
      </c>
      <c r="O841" s="101" t="s">
        <v>392</v>
      </c>
      <c r="P841" s="101">
        <v>0</v>
      </c>
      <c r="Q841" s="101">
        <v>0</v>
      </c>
      <c r="R841" s="101" t="s">
        <v>428</v>
      </c>
      <c r="S841" s="101">
        <v>148669</v>
      </c>
      <c r="T841" s="101" t="s">
        <v>394</v>
      </c>
      <c r="V841" s="245">
        <v>43433</v>
      </c>
      <c r="W841" s="101" t="s">
        <v>424</v>
      </c>
      <c r="X841" s="101" t="s">
        <v>429</v>
      </c>
      <c r="Y841" s="101" t="s">
        <v>392</v>
      </c>
      <c r="Z841" s="101" t="s">
        <v>430</v>
      </c>
      <c r="AA841" s="101" t="s">
        <v>397</v>
      </c>
      <c r="AB841" s="101">
        <v>5101000018</v>
      </c>
      <c r="AC841" s="101" t="s">
        <v>431</v>
      </c>
      <c r="AD841" s="101" t="s">
        <v>431</v>
      </c>
      <c r="AE841" s="101" t="s">
        <v>75</v>
      </c>
      <c r="AF841" s="101" t="s">
        <v>400</v>
      </c>
      <c r="AG841" s="101" t="s">
        <v>704</v>
      </c>
      <c r="AI841" s="101" t="s">
        <v>760</v>
      </c>
    </row>
    <row r="842" spans="1:35">
      <c r="A842" s="246" t="s">
        <v>113</v>
      </c>
      <c r="B842" s="246" t="s">
        <v>66</v>
      </c>
      <c r="C842" s="246" t="s">
        <v>126</v>
      </c>
      <c r="D842" s="246" t="s">
        <v>271</v>
      </c>
      <c r="E842" s="246"/>
      <c r="F842" s="246"/>
      <c r="G842" s="132">
        <v>0</v>
      </c>
      <c r="H842" s="132">
        <v>0</v>
      </c>
      <c r="I842" s="132">
        <v>0</v>
      </c>
      <c r="J842" s="101" t="s">
        <v>889</v>
      </c>
      <c r="K842" s="245" t="s">
        <v>390</v>
      </c>
      <c r="L842" s="245">
        <v>43070</v>
      </c>
      <c r="M842" s="245" t="s">
        <v>391</v>
      </c>
      <c r="N842" s="101">
        <v>0</v>
      </c>
      <c r="O842" s="101" t="s">
        <v>392</v>
      </c>
      <c r="P842" s="101">
        <v>0</v>
      </c>
      <c r="Q842" s="101">
        <v>0</v>
      </c>
      <c r="R842" s="101" t="s">
        <v>428</v>
      </c>
      <c r="S842" s="101">
        <v>148669</v>
      </c>
      <c r="T842" s="101" t="s">
        <v>394</v>
      </c>
      <c r="V842" s="245">
        <v>43433</v>
      </c>
      <c r="W842" s="101" t="s">
        <v>424</v>
      </c>
      <c r="X842" s="101" t="s">
        <v>429</v>
      </c>
      <c r="Y842" s="101" t="s">
        <v>392</v>
      </c>
      <c r="Z842" s="101" t="s">
        <v>430</v>
      </c>
      <c r="AA842" s="101" t="s">
        <v>397</v>
      </c>
      <c r="AB842" s="101">
        <v>5101000018</v>
      </c>
      <c r="AC842" s="101" t="s">
        <v>431</v>
      </c>
      <c r="AD842" s="101" t="s">
        <v>431</v>
      </c>
      <c r="AE842" s="101" t="s">
        <v>75</v>
      </c>
      <c r="AF842" s="101" t="s">
        <v>400</v>
      </c>
      <c r="AG842" s="101" t="s">
        <v>704</v>
      </c>
      <c r="AI842" s="101" t="s">
        <v>760</v>
      </c>
    </row>
    <row r="843" spans="1:35">
      <c r="A843" s="246" t="s">
        <v>113</v>
      </c>
      <c r="B843" s="246" t="s">
        <v>66</v>
      </c>
      <c r="C843" s="246" t="s">
        <v>126</v>
      </c>
      <c r="D843" s="246" t="s">
        <v>271</v>
      </c>
      <c r="E843" s="246"/>
      <c r="F843" s="246"/>
      <c r="G843" s="132">
        <v>0</v>
      </c>
      <c r="H843" s="132">
        <v>0</v>
      </c>
      <c r="I843" s="132">
        <v>0</v>
      </c>
      <c r="J843" s="101" t="s">
        <v>889</v>
      </c>
      <c r="K843" s="245" t="s">
        <v>390</v>
      </c>
      <c r="L843" s="245">
        <v>43102</v>
      </c>
      <c r="M843" s="245" t="s">
        <v>391</v>
      </c>
      <c r="N843" s="101">
        <v>0</v>
      </c>
      <c r="O843" s="101" t="s">
        <v>392</v>
      </c>
      <c r="P843" s="101">
        <v>0</v>
      </c>
      <c r="Q843" s="101">
        <v>0</v>
      </c>
      <c r="R843" s="101" t="s">
        <v>428</v>
      </c>
      <c r="S843" s="101">
        <v>148669</v>
      </c>
      <c r="T843" s="101" t="s">
        <v>394</v>
      </c>
      <c r="V843" s="245">
        <v>43433</v>
      </c>
      <c r="W843" s="101" t="s">
        <v>424</v>
      </c>
      <c r="X843" s="101" t="s">
        <v>429</v>
      </c>
      <c r="Y843" s="101" t="s">
        <v>392</v>
      </c>
      <c r="Z843" s="101" t="s">
        <v>430</v>
      </c>
      <c r="AA843" s="101" t="s">
        <v>397</v>
      </c>
      <c r="AB843" s="101">
        <v>5101000018</v>
      </c>
      <c r="AC843" s="101" t="s">
        <v>431</v>
      </c>
      <c r="AD843" s="101" t="s">
        <v>431</v>
      </c>
      <c r="AE843" s="101" t="s">
        <v>75</v>
      </c>
      <c r="AF843" s="101" t="s">
        <v>400</v>
      </c>
      <c r="AG843" s="101" t="s">
        <v>704</v>
      </c>
      <c r="AI843" s="101" t="s">
        <v>760</v>
      </c>
    </row>
    <row r="844" spans="1:35">
      <c r="A844" s="246" t="s">
        <v>113</v>
      </c>
      <c r="B844" s="246" t="s">
        <v>66</v>
      </c>
      <c r="C844" s="246" t="s">
        <v>126</v>
      </c>
      <c r="D844" s="246" t="s">
        <v>271</v>
      </c>
      <c r="E844" s="246"/>
      <c r="F844" s="246"/>
      <c r="G844" s="132">
        <v>0</v>
      </c>
      <c r="H844" s="132">
        <v>0</v>
      </c>
      <c r="I844" s="132">
        <v>0</v>
      </c>
      <c r="J844" s="101" t="s">
        <v>889</v>
      </c>
      <c r="K844" s="245" t="s">
        <v>390</v>
      </c>
      <c r="L844" s="245">
        <v>43132</v>
      </c>
      <c r="M844" s="245" t="s">
        <v>391</v>
      </c>
      <c r="N844" s="101">
        <v>0</v>
      </c>
      <c r="O844" s="101" t="s">
        <v>392</v>
      </c>
      <c r="P844" s="101">
        <v>0</v>
      </c>
      <c r="Q844" s="101">
        <v>0</v>
      </c>
      <c r="R844" s="101" t="s">
        <v>428</v>
      </c>
      <c r="S844" s="101">
        <v>148669</v>
      </c>
      <c r="T844" s="101" t="s">
        <v>394</v>
      </c>
      <c r="V844" s="245">
        <v>43433</v>
      </c>
      <c r="W844" s="101" t="s">
        <v>424</v>
      </c>
      <c r="X844" s="101" t="s">
        <v>429</v>
      </c>
      <c r="Y844" s="101" t="s">
        <v>392</v>
      </c>
      <c r="Z844" s="101" t="s">
        <v>430</v>
      </c>
      <c r="AA844" s="101" t="s">
        <v>397</v>
      </c>
      <c r="AB844" s="101">
        <v>5101000018</v>
      </c>
      <c r="AC844" s="101" t="s">
        <v>431</v>
      </c>
      <c r="AD844" s="101" t="s">
        <v>431</v>
      </c>
      <c r="AE844" s="101" t="s">
        <v>75</v>
      </c>
      <c r="AF844" s="101" t="s">
        <v>400</v>
      </c>
      <c r="AG844" s="101" t="s">
        <v>704</v>
      </c>
      <c r="AI844" s="101" t="s">
        <v>760</v>
      </c>
    </row>
    <row r="845" spans="1:35">
      <c r="A845" s="246" t="s">
        <v>113</v>
      </c>
      <c r="B845" s="246" t="s">
        <v>66</v>
      </c>
      <c r="C845" s="246" t="s">
        <v>126</v>
      </c>
      <c r="D845" s="246" t="s">
        <v>271</v>
      </c>
      <c r="E845" s="246"/>
      <c r="F845" s="246"/>
      <c r="G845" s="132">
        <v>0</v>
      </c>
      <c r="H845" s="132">
        <v>0</v>
      </c>
      <c r="I845" s="132">
        <v>0</v>
      </c>
      <c r="J845" s="101" t="s">
        <v>889</v>
      </c>
      <c r="K845" s="245" t="s">
        <v>390</v>
      </c>
      <c r="L845" s="245">
        <v>43160</v>
      </c>
      <c r="M845" s="245" t="s">
        <v>391</v>
      </c>
      <c r="N845" s="101">
        <v>0</v>
      </c>
      <c r="O845" s="101" t="s">
        <v>392</v>
      </c>
      <c r="P845" s="101">
        <v>0</v>
      </c>
      <c r="Q845" s="101">
        <v>0</v>
      </c>
      <c r="R845" s="101" t="s">
        <v>428</v>
      </c>
      <c r="S845" s="101">
        <v>148669</v>
      </c>
      <c r="T845" s="101" t="s">
        <v>394</v>
      </c>
      <c r="V845" s="245">
        <v>43433</v>
      </c>
      <c r="W845" s="101" t="s">
        <v>424</v>
      </c>
      <c r="X845" s="101" t="s">
        <v>429</v>
      </c>
      <c r="Y845" s="101" t="s">
        <v>392</v>
      </c>
      <c r="Z845" s="101" t="s">
        <v>430</v>
      </c>
      <c r="AA845" s="101" t="s">
        <v>397</v>
      </c>
      <c r="AB845" s="101">
        <v>5101000018</v>
      </c>
      <c r="AC845" s="101" t="s">
        <v>431</v>
      </c>
      <c r="AD845" s="101" t="s">
        <v>431</v>
      </c>
      <c r="AE845" s="101" t="s">
        <v>75</v>
      </c>
      <c r="AF845" s="101" t="s">
        <v>400</v>
      </c>
      <c r="AG845" s="101" t="s">
        <v>704</v>
      </c>
      <c r="AI845" s="101" t="s">
        <v>760</v>
      </c>
    </row>
    <row r="846" spans="1:35">
      <c r="A846" s="246" t="s">
        <v>113</v>
      </c>
      <c r="B846" s="246" t="s">
        <v>66</v>
      </c>
      <c r="C846" s="246" t="s">
        <v>126</v>
      </c>
      <c r="D846" s="246" t="s">
        <v>271</v>
      </c>
      <c r="E846" s="246"/>
      <c r="F846" s="246"/>
      <c r="G846" s="132">
        <v>0</v>
      </c>
      <c r="H846" s="132">
        <v>0</v>
      </c>
      <c r="I846" s="132">
        <v>0</v>
      </c>
      <c r="J846" s="101" t="s">
        <v>889</v>
      </c>
      <c r="K846" s="245" t="s">
        <v>390</v>
      </c>
      <c r="L846" s="245">
        <v>43193</v>
      </c>
      <c r="M846" s="245" t="s">
        <v>391</v>
      </c>
      <c r="N846" s="101">
        <v>0</v>
      </c>
      <c r="O846" s="101" t="s">
        <v>392</v>
      </c>
      <c r="P846" s="101">
        <v>0</v>
      </c>
      <c r="Q846" s="101">
        <v>0</v>
      </c>
      <c r="R846" s="101" t="s">
        <v>428</v>
      </c>
      <c r="S846" s="101">
        <v>148669</v>
      </c>
      <c r="T846" s="101" t="s">
        <v>394</v>
      </c>
      <c r="V846" s="245">
        <v>43433</v>
      </c>
      <c r="W846" s="101" t="s">
        <v>424</v>
      </c>
      <c r="X846" s="101" t="s">
        <v>429</v>
      </c>
      <c r="Y846" s="101" t="s">
        <v>392</v>
      </c>
      <c r="Z846" s="101" t="s">
        <v>430</v>
      </c>
      <c r="AA846" s="101" t="s">
        <v>397</v>
      </c>
      <c r="AB846" s="101">
        <v>5101000018</v>
      </c>
      <c r="AC846" s="101" t="s">
        <v>431</v>
      </c>
      <c r="AD846" s="101" t="s">
        <v>431</v>
      </c>
      <c r="AE846" s="101" t="s">
        <v>75</v>
      </c>
      <c r="AF846" s="101" t="s">
        <v>400</v>
      </c>
      <c r="AG846" s="101" t="s">
        <v>704</v>
      </c>
      <c r="AI846" s="101" t="s">
        <v>760</v>
      </c>
    </row>
    <row r="847" spans="1:35">
      <c r="A847" s="246" t="s">
        <v>113</v>
      </c>
      <c r="B847" s="246" t="s">
        <v>66</v>
      </c>
      <c r="C847" s="246" t="s">
        <v>126</v>
      </c>
      <c r="D847" s="246" t="s">
        <v>271</v>
      </c>
      <c r="E847" s="246"/>
      <c r="F847" s="246"/>
      <c r="G847" s="132">
        <v>0</v>
      </c>
      <c r="H847" s="132">
        <v>0</v>
      </c>
      <c r="I847" s="132">
        <v>0</v>
      </c>
      <c r="J847" s="101" t="s">
        <v>889</v>
      </c>
      <c r="K847" s="245" t="s">
        <v>390</v>
      </c>
      <c r="L847" s="245">
        <v>43221</v>
      </c>
      <c r="M847" s="245" t="s">
        <v>391</v>
      </c>
      <c r="N847" s="101">
        <v>0</v>
      </c>
      <c r="O847" s="101" t="s">
        <v>392</v>
      </c>
      <c r="P847" s="101">
        <v>0</v>
      </c>
      <c r="Q847" s="101">
        <v>0</v>
      </c>
      <c r="R847" s="101" t="s">
        <v>428</v>
      </c>
      <c r="S847" s="101">
        <v>148669</v>
      </c>
      <c r="T847" s="101" t="s">
        <v>394</v>
      </c>
      <c r="V847" s="245">
        <v>43433</v>
      </c>
      <c r="W847" s="101" t="s">
        <v>424</v>
      </c>
      <c r="X847" s="101" t="s">
        <v>429</v>
      </c>
      <c r="Y847" s="101" t="s">
        <v>392</v>
      </c>
      <c r="Z847" s="101" t="s">
        <v>430</v>
      </c>
      <c r="AA847" s="101" t="s">
        <v>397</v>
      </c>
      <c r="AB847" s="101">
        <v>5101000018</v>
      </c>
      <c r="AC847" s="101" t="s">
        <v>431</v>
      </c>
      <c r="AD847" s="101" t="s">
        <v>431</v>
      </c>
      <c r="AE847" s="101" t="s">
        <v>75</v>
      </c>
      <c r="AF847" s="101" t="s">
        <v>400</v>
      </c>
      <c r="AG847" s="101" t="s">
        <v>704</v>
      </c>
      <c r="AI847" s="101" t="s">
        <v>760</v>
      </c>
    </row>
    <row r="848" spans="1:35">
      <c r="A848" s="246" t="s">
        <v>110</v>
      </c>
      <c r="B848" s="246" t="s">
        <v>66</v>
      </c>
      <c r="C848" s="246" t="s">
        <v>126</v>
      </c>
      <c r="D848" s="246" t="s">
        <v>281</v>
      </c>
      <c r="E848" s="246"/>
      <c r="F848" s="246" t="s">
        <v>276</v>
      </c>
      <c r="G848" s="132" t="s">
        <v>458</v>
      </c>
      <c r="H848" s="132" t="s">
        <v>1649</v>
      </c>
      <c r="I848" s="132">
        <v>-125.43</v>
      </c>
      <c r="J848" s="101" t="s">
        <v>889</v>
      </c>
      <c r="K848" s="245" t="s">
        <v>390</v>
      </c>
      <c r="L848" s="245">
        <v>42643</v>
      </c>
      <c r="M848" s="245" t="s">
        <v>391</v>
      </c>
      <c r="N848" s="101">
        <v>0</v>
      </c>
      <c r="O848" s="101" t="s">
        <v>392</v>
      </c>
      <c r="P848" s="101">
        <v>0</v>
      </c>
      <c r="Q848" s="101">
        <v>0</v>
      </c>
      <c r="R848" s="101" t="s">
        <v>444</v>
      </c>
      <c r="S848" s="101" t="s">
        <v>459</v>
      </c>
      <c r="T848" s="101" t="s">
        <v>394</v>
      </c>
      <c r="U848" s="101" t="s">
        <v>21</v>
      </c>
      <c r="V848" s="245">
        <v>14521</v>
      </c>
      <c r="W848" s="101" t="s">
        <v>411</v>
      </c>
      <c r="X848" s="101" t="s">
        <v>77</v>
      </c>
      <c r="Y848" s="101" t="s">
        <v>392</v>
      </c>
      <c r="Z848" s="101" t="s">
        <v>412</v>
      </c>
      <c r="AA848" s="101" t="s">
        <v>460</v>
      </c>
      <c r="AB848" s="101">
        <v>101000520</v>
      </c>
      <c r="AC848" s="101" t="s">
        <v>414</v>
      </c>
      <c r="AD848" s="101" t="s">
        <v>79</v>
      </c>
      <c r="AE848" s="101" t="s">
        <v>6</v>
      </c>
      <c r="AF848" s="101" t="s">
        <v>400</v>
      </c>
      <c r="AI848" s="101" t="s">
        <v>190</v>
      </c>
    </row>
    <row r="849" spans="1:35">
      <c r="A849" s="246" t="s">
        <v>110</v>
      </c>
      <c r="B849" s="246" t="s">
        <v>66</v>
      </c>
      <c r="C849" s="246" t="s">
        <v>265</v>
      </c>
      <c r="D849" s="246" t="s">
        <v>283</v>
      </c>
      <c r="E849" s="246"/>
      <c r="F849" s="246" t="s">
        <v>276</v>
      </c>
      <c r="G849" s="132" t="s">
        <v>461</v>
      </c>
      <c r="H849" s="132" t="s">
        <v>1650</v>
      </c>
      <c r="I849" s="132">
        <v>494940.13999999996</v>
      </c>
      <c r="J849" s="101" t="s">
        <v>889</v>
      </c>
      <c r="K849" s="245" t="s">
        <v>390</v>
      </c>
      <c r="L849" s="245">
        <v>42643</v>
      </c>
      <c r="M849" s="245" t="s">
        <v>421</v>
      </c>
      <c r="N849" s="101">
        <v>0</v>
      </c>
      <c r="O849" s="101" t="s">
        <v>392</v>
      </c>
      <c r="P849" s="101">
        <v>0</v>
      </c>
      <c r="Q849" s="101">
        <v>0</v>
      </c>
      <c r="R849" s="101" t="s">
        <v>453</v>
      </c>
      <c r="S849" s="101" t="s">
        <v>459</v>
      </c>
      <c r="T849" s="101" t="s">
        <v>394</v>
      </c>
      <c r="U849" s="101" t="s">
        <v>21</v>
      </c>
      <c r="V849" s="245">
        <v>14521</v>
      </c>
      <c r="W849" s="101" t="s">
        <v>411</v>
      </c>
      <c r="X849" s="101" t="s">
        <v>77</v>
      </c>
      <c r="Y849" s="101" t="s">
        <v>392</v>
      </c>
      <c r="Z849" s="101" t="s">
        <v>412</v>
      </c>
      <c r="AA849" s="101" t="s">
        <v>460</v>
      </c>
      <c r="AB849" s="101">
        <v>101000520</v>
      </c>
      <c r="AC849" s="101" t="s">
        <v>414</v>
      </c>
      <c r="AD849" s="101" t="s">
        <v>79</v>
      </c>
      <c r="AE849" s="101" t="s">
        <v>6</v>
      </c>
      <c r="AF849" s="101" t="s">
        <v>400</v>
      </c>
      <c r="AI849" s="101" t="s">
        <v>190</v>
      </c>
    </row>
    <row r="850" spans="1:35">
      <c r="A850" s="246" t="s">
        <v>111</v>
      </c>
      <c r="B850" s="246" t="s">
        <v>66</v>
      </c>
      <c r="C850" s="246" t="s">
        <v>126</v>
      </c>
      <c r="D850" s="246" t="s">
        <v>273</v>
      </c>
      <c r="E850" s="246"/>
      <c r="F850" s="246" t="s">
        <v>277</v>
      </c>
      <c r="G850" s="132" t="s">
        <v>462</v>
      </c>
      <c r="H850" s="132" t="s">
        <v>1651</v>
      </c>
      <c r="I850" s="132">
        <v>-8421.52</v>
      </c>
      <c r="J850" s="101" t="s">
        <v>889</v>
      </c>
      <c r="K850" s="245" t="s">
        <v>390</v>
      </c>
      <c r="L850" s="245">
        <v>42825</v>
      </c>
      <c r="M850" s="245" t="s">
        <v>391</v>
      </c>
      <c r="N850" s="101">
        <v>0</v>
      </c>
      <c r="O850" s="101" t="s">
        <v>392</v>
      </c>
      <c r="P850" s="101">
        <v>0</v>
      </c>
      <c r="Q850" s="101">
        <v>0</v>
      </c>
      <c r="R850" s="101" t="s">
        <v>444</v>
      </c>
      <c r="S850" s="101" t="s">
        <v>459</v>
      </c>
      <c r="T850" s="101" t="s">
        <v>394</v>
      </c>
      <c r="U850" s="101" t="s">
        <v>21</v>
      </c>
      <c r="V850" s="245">
        <v>14521</v>
      </c>
      <c r="W850" s="101" t="s">
        <v>411</v>
      </c>
      <c r="X850" s="101" t="s">
        <v>77</v>
      </c>
      <c r="Y850" s="101" t="s">
        <v>392</v>
      </c>
      <c r="Z850" s="101" t="s">
        <v>412</v>
      </c>
      <c r="AA850" s="101" t="s">
        <v>460</v>
      </c>
      <c r="AB850" s="101">
        <v>101000520</v>
      </c>
      <c r="AC850" s="101" t="s">
        <v>414</v>
      </c>
      <c r="AD850" s="101" t="s">
        <v>79</v>
      </c>
      <c r="AE850" s="101" t="s">
        <v>6</v>
      </c>
      <c r="AF850" s="101" t="s">
        <v>400</v>
      </c>
      <c r="AI850" s="101" t="s">
        <v>190</v>
      </c>
    </row>
    <row r="851" spans="1:35">
      <c r="A851" s="246" t="s">
        <v>112</v>
      </c>
      <c r="B851" s="246" t="s">
        <v>66</v>
      </c>
      <c r="C851" s="246" t="s">
        <v>126</v>
      </c>
      <c r="D851" s="246" t="s">
        <v>270</v>
      </c>
      <c r="E851" s="246"/>
      <c r="F851" s="246" t="s">
        <v>278</v>
      </c>
      <c r="G851" s="132" t="s">
        <v>463</v>
      </c>
      <c r="H851" s="132" t="s">
        <v>1652</v>
      </c>
      <c r="I851" s="132">
        <v>-8328.4699999999993</v>
      </c>
      <c r="J851" s="101" t="s">
        <v>889</v>
      </c>
      <c r="K851" s="245" t="s">
        <v>390</v>
      </c>
      <c r="L851" s="245">
        <v>43007</v>
      </c>
      <c r="M851" s="245" t="s">
        <v>391</v>
      </c>
      <c r="N851" s="101">
        <v>0</v>
      </c>
      <c r="O851" s="101" t="s">
        <v>392</v>
      </c>
      <c r="P851" s="101">
        <v>0</v>
      </c>
      <c r="Q851" s="101">
        <v>0</v>
      </c>
      <c r="R851" s="101" t="s">
        <v>444</v>
      </c>
      <c r="S851" s="101" t="s">
        <v>459</v>
      </c>
      <c r="T851" s="101" t="s">
        <v>394</v>
      </c>
      <c r="U851" s="101" t="s">
        <v>21</v>
      </c>
      <c r="V851" s="245">
        <v>14521</v>
      </c>
      <c r="W851" s="101" t="s">
        <v>411</v>
      </c>
      <c r="X851" s="101" t="s">
        <v>77</v>
      </c>
      <c r="Y851" s="101" t="s">
        <v>392</v>
      </c>
      <c r="Z851" s="101" t="s">
        <v>412</v>
      </c>
      <c r="AA851" s="101" t="s">
        <v>460</v>
      </c>
      <c r="AB851" s="101">
        <v>101000520</v>
      </c>
      <c r="AC851" s="101" t="s">
        <v>414</v>
      </c>
      <c r="AD851" s="101" t="s">
        <v>79</v>
      </c>
      <c r="AE851" s="101" t="s">
        <v>6</v>
      </c>
      <c r="AF851" s="101" t="s">
        <v>400</v>
      </c>
      <c r="AI851" s="101" t="s">
        <v>190</v>
      </c>
    </row>
    <row r="852" spans="1:35">
      <c r="A852" s="246" t="s">
        <v>113</v>
      </c>
      <c r="B852" s="246" t="s">
        <v>66</v>
      </c>
      <c r="C852" s="246" t="s">
        <v>265</v>
      </c>
      <c r="D852" s="246" t="s">
        <v>287</v>
      </c>
      <c r="E852" s="246"/>
      <c r="F852" s="246" t="s">
        <v>279</v>
      </c>
      <c r="G852" s="132">
        <v>-500000</v>
      </c>
      <c r="H852" s="132" t="s">
        <v>1653</v>
      </c>
      <c r="I852" s="132">
        <v>-500000</v>
      </c>
      <c r="J852" s="101" t="s">
        <v>889</v>
      </c>
      <c r="K852" s="245" t="s">
        <v>390</v>
      </c>
      <c r="L852" s="245">
        <v>43161</v>
      </c>
      <c r="M852" s="245" t="s">
        <v>421</v>
      </c>
      <c r="N852" s="101">
        <v>0</v>
      </c>
      <c r="O852" s="101" t="s">
        <v>392</v>
      </c>
      <c r="P852" s="101">
        <v>0</v>
      </c>
      <c r="Q852" s="101">
        <v>0</v>
      </c>
      <c r="R852" s="101" t="s">
        <v>444</v>
      </c>
      <c r="S852" s="101" t="s">
        <v>459</v>
      </c>
      <c r="T852" s="101" t="s">
        <v>394</v>
      </c>
      <c r="U852" s="101" t="s">
        <v>21</v>
      </c>
      <c r="V852" s="245">
        <v>14521</v>
      </c>
      <c r="W852" s="101" t="s">
        <v>411</v>
      </c>
      <c r="X852" s="101" t="s">
        <v>77</v>
      </c>
      <c r="Y852" s="101" t="s">
        <v>392</v>
      </c>
      <c r="Z852" s="101" t="s">
        <v>412</v>
      </c>
      <c r="AA852" s="101" t="s">
        <v>460</v>
      </c>
      <c r="AB852" s="101">
        <v>101000520</v>
      </c>
      <c r="AC852" s="101" t="s">
        <v>414</v>
      </c>
      <c r="AD852" s="101" t="s">
        <v>79</v>
      </c>
      <c r="AE852" s="101" t="s">
        <v>6</v>
      </c>
      <c r="AF852" s="101" t="s">
        <v>400</v>
      </c>
      <c r="AI852" s="101" t="s">
        <v>190</v>
      </c>
    </row>
    <row r="853" spans="1:35">
      <c r="A853" s="246" t="s">
        <v>113</v>
      </c>
      <c r="B853" s="246" t="s">
        <v>66</v>
      </c>
      <c r="C853" s="246" t="s">
        <v>126</v>
      </c>
      <c r="D853" s="246" t="s">
        <v>271</v>
      </c>
      <c r="E853" s="246"/>
      <c r="F853" s="246" t="s">
        <v>279</v>
      </c>
      <c r="G853" s="132" t="s">
        <v>464</v>
      </c>
      <c r="H853" s="132" t="s">
        <v>1654</v>
      </c>
      <c r="I853" s="132">
        <v>-7118.75</v>
      </c>
      <c r="J853" s="101" t="s">
        <v>889</v>
      </c>
      <c r="K853" s="245" t="s">
        <v>390</v>
      </c>
      <c r="L853" s="245">
        <v>43189</v>
      </c>
      <c r="M853" s="245" t="s">
        <v>391</v>
      </c>
      <c r="N853" s="101">
        <v>0</v>
      </c>
      <c r="O853" s="101" t="s">
        <v>392</v>
      </c>
      <c r="P853" s="101">
        <v>0</v>
      </c>
      <c r="Q853" s="101">
        <v>0</v>
      </c>
      <c r="R853" s="101" t="s">
        <v>444</v>
      </c>
      <c r="S853" s="101" t="s">
        <v>459</v>
      </c>
      <c r="T853" s="101" t="s">
        <v>394</v>
      </c>
      <c r="U853" s="101" t="s">
        <v>21</v>
      </c>
      <c r="V853" s="245">
        <v>14521</v>
      </c>
      <c r="W853" s="101" t="s">
        <v>411</v>
      </c>
      <c r="X853" s="101" t="s">
        <v>77</v>
      </c>
      <c r="Y853" s="101" t="s">
        <v>392</v>
      </c>
      <c r="Z853" s="101" t="s">
        <v>412</v>
      </c>
      <c r="AA853" s="101" t="s">
        <v>460</v>
      </c>
      <c r="AB853" s="101">
        <v>101000520</v>
      </c>
      <c r="AC853" s="101" t="s">
        <v>414</v>
      </c>
      <c r="AD853" s="101" t="s">
        <v>79</v>
      </c>
      <c r="AE853" s="101" t="s">
        <v>6</v>
      </c>
      <c r="AF853" s="101" t="s">
        <v>400</v>
      </c>
      <c r="AI853" s="101" t="s">
        <v>190</v>
      </c>
    </row>
    <row r="854" spans="1:35">
      <c r="A854" s="246" t="s">
        <v>111</v>
      </c>
      <c r="B854" s="246" t="s">
        <v>66</v>
      </c>
      <c r="C854" s="246" t="s">
        <v>126</v>
      </c>
      <c r="D854" s="246" t="s">
        <v>273</v>
      </c>
      <c r="E854" s="246"/>
      <c r="F854" s="246"/>
      <c r="G854" s="132" t="s">
        <v>662</v>
      </c>
      <c r="H854" s="132" t="s">
        <v>1655</v>
      </c>
      <c r="I854" s="132">
        <v>-50444.58</v>
      </c>
      <c r="J854" s="101" t="s">
        <v>889</v>
      </c>
      <c r="K854" s="245" t="s">
        <v>390</v>
      </c>
      <c r="L854" s="245">
        <v>42853</v>
      </c>
      <c r="M854" s="245" t="s">
        <v>391</v>
      </c>
      <c r="N854" s="101">
        <v>0</v>
      </c>
      <c r="O854" s="101" t="s">
        <v>392</v>
      </c>
      <c r="P854" s="101">
        <v>0</v>
      </c>
      <c r="Q854" s="101">
        <v>0</v>
      </c>
      <c r="R854" s="101" t="s">
        <v>422</v>
      </c>
      <c r="S854" s="101" t="s">
        <v>600</v>
      </c>
      <c r="T854" s="101" t="s">
        <v>394</v>
      </c>
      <c r="U854" s="101" t="s">
        <v>88</v>
      </c>
      <c r="V854" s="245">
        <v>46371</v>
      </c>
      <c r="W854" s="101" t="s">
        <v>445</v>
      </c>
      <c r="X854" s="101" t="s">
        <v>76</v>
      </c>
      <c r="Y854" s="101" t="s">
        <v>392</v>
      </c>
      <c r="Z854" s="101" t="s">
        <v>412</v>
      </c>
      <c r="AA854" s="101" t="s">
        <v>478</v>
      </c>
      <c r="AB854" s="101">
        <v>3101053970</v>
      </c>
      <c r="AC854" s="101" t="s">
        <v>414</v>
      </c>
      <c r="AD854" s="101" t="s">
        <v>79</v>
      </c>
      <c r="AE854" s="101" t="s">
        <v>75</v>
      </c>
      <c r="AF854" s="101" t="s">
        <v>400</v>
      </c>
      <c r="AI854" s="101" t="s">
        <v>172</v>
      </c>
    </row>
    <row r="855" spans="1:35">
      <c r="A855" s="246" t="s">
        <v>112</v>
      </c>
      <c r="B855" s="246" t="s">
        <v>66</v>
      </c>
      <c r="C855" s="246" t="s">
        <v>126</v>
      </c>
      <c r="D855" s="246" t="s">
        <v>270</v>
      </c>
      <c r="E855" s="246"/>
      <c r="F855" s="246"/>
      <c r="G855" s="132" t="s">
        <v>663</v>
      </c>
      <c r="H855" s="132" t="s">
        <v>1656</v>
      </c>
      <c r="I855" s="132">
        <v>-64033.05</v>
      </c>
      <c r="J855" s="101" t="s">
        <v>889</v>
      </c>
      <c r="K855" s="245" t="s">
        <v>390</v>
      </c>
      <c r="L855" s="245">
        <v>42886</v>
      </c>
      <c r="M855" s="245" t="s">
        <v>391</v>
      </c>
      <c r="N855" s="101">
        <v>0</v>
      </c>
      <c r="O855" s="101" t="s">
        <v>392</v>
      </c>
      <c r="P855" s="101">
        <v>0</v>
      </c>
      <c r="Q855" s="101">
        <v>0</v>
      </c>
      <c r="R855" s="101" t="s">
        <v>422</v>
      </c>
      <c r="S855" s="101" t="s">
        <v>600</v>
      </c>
      <c r="T855" s="101" t="s">
        <v>394</v>
      </c>
      <c r="U855" s="101" t="s">
        <v>88</v>
      </c>
      <c r="V855" s="245">
        <v>46371</v>
      </c>
      <c r="W855" s="101" t="s">
        <v>445</v>
      </c>
      <c r="X855" s="101" t="s">
        <v>76</v>
      </c>
      <c r="Y855" s="101" t="s">
        <v>392</v>
      </c>
      <c r="Z855" s="101" t="s">
        <v>412</v>
      </c>
      <c r="AA855" s="101" t="s">
        <v>478</v>
      </c>
      <c r="AB855" s="101">
        <v>3101053970</v>
      </c>
      <c r="AC855" s="101" t="s">
        <v>414</v>
      </c>
      <c r="AD855" s="101" t="s">
        <v>79</v>
      </c>
      <c r="AE855" s="101" t="s">
        <v>75</v>
      </c>
      <c r="AF855" s="101" t="s">
        <v>400</v>
      </c>
      <c r="AI855" s="101" t="s">
        <v>172</v>
      </c>
    </row>
    <row r="856" spans="1:35">
      <c r="A856" s="246" t="s">
        <v>112</v>
      </c>
      <c r="B856" s="246" t="s">
        <v>66</v>
      </c>
      <c r="C856" s="246" t="s">
        <v>264</v>
      </c>
      <c r="D856" s="246" t="s">
        <v>290</v>
      </c>
      <c r="E856" s="246"/>
      <c r="F856" s="246"/>
      <c r="G856" s="132" t="s">
        <v>664</v>
      </c>
      <c r="H856" s="132" t="s">
        <v>1657</v>
      </c>
      <c r="I856" s="132">
        <v>2084558.71</v>
      </c>
      <c r="J856" s="101" t="s">
        <v>889</v>
      </c>
      <c r="K856" s="245" t="s">
        <v>390</v>
      </c>
      <c r="L856" s="245">
        <v>42886</v>
      </c>
      <c r="M856" s="245" t="s">
        <v>421</v>
      </c>
      <c r="N856" s="101">
        <v>0</v>
      </c>
      <c r="O856" s="101" t="s">
        <v>392</v>
      </c>
      <c r="P856" s="101">
        <v>0</v>
      </c>
      <c r="Q856" s="101">
        <v>0</v>
      </c>
      <c r="R856" s="101" t="s">
        <v>410</v>
      </c>
      <c r="S856" s="101" t="s">
        <v>600</v>
      </c>
      <c r="T856" s="101" t="s">
        <v>394</v>
      </c>
      <c r="U856" s="101" t="s">
        <v>88</v>
      </c>
      <c r="V856" s="245">
        <v>46371</v>
      </c>
      <c r="W856" s="101" t="s">
        <v>445</v>
      </c>
      <c r="X856" s="101" t="s">
        <v>76</v>
      </c>
      <c r="Y856" s="101" t="s">
        <v>392</v>
      </c>
      <c r="Z856" s="101" t="s">
        <v>412</v>
      </c>
      <c r="AA856" s="101" t="s">
        <v>478</v>
      </c>
      <c r="AB856" s="101">
        <v>3101053970</v>
      </c>
      <c r="AC856" s="101" t="s">
        <v>414</v>
      </c>
      <c r="AD856" s="101" t="s">
        <v>79</v>
      </c>
      <c r="AE856" s="101" t="s">
        <v>75</v>
      </c>
      <c r="AF856" s="101" t="s">
        <v>400</v>
      </c>
      <c r="AI856" s="101" t="s">
        <v>172</v>
      </c>
    </row>
    <row r="857" spans="1:35">
      <c r="A857" s="246" t="s">
        <v>112</v>
      </c>
      <c r="B857" s="246" t="s">
        <v>66</v>
      </c>
      <c r="C857" s="246" t="s">
        <v>126</v>
      </c>
      <c r="D857" s="246" t="s">
        <v>270</v>
      </c>
      <c r="E857" s="246"/>
      <c r="F857" s="246"/>
      <c r="G857" s="132" t="s">
        <v>665</v>
      </c>
      <c r="H857" s="132" t="s">
        <v>1658</v>
      </c>
      <c r="I857" s="132">
        <v>-70073.259999999995</v>
      </c>
      <c r="J857" s="101" t="s">
        <v>889</v>
      </c>
      <c r="K857" s="245" t="s">
        <v>390</v>
      </c>
      <c r="L857" s="245">
        <v>42916</v>
      </c>
      <c r="M857" s="245" t="s">
        <v>391</v>
      </c>
      <c r="N857" s="101">
        <v>0</v>
      </c>
      <c r="O857" s="101" t="s">
        <v>392</v>
      </c>
      <c r="P857" s="101">
        <v>0</v>
      </c>
      <c r="Q857" s="101">
        <v>0</v>
      </c>
      <c r="R857" s="101" t="s">
        <v>422</v>
      </c>
      <c r="S857" s="101" t="s">
        <v>600</v>
      </c>
      <c r="T857" s="101" t="s">
        <v>394</v>
      </c>
      <c r="U857" s="101" t="s">
        <v>88</v>
      </c>
      <c r="V857" s="245">
        <v>46371</v>
      </c>
      <c r="W857" s="101" t="s">
        <v>445</v>
      </c>
      <c r="X857" s="101" t="s">
        <v>76</v>
      </c>
      <c r="Y857" s="101" t="s">
        <v>392</v>
      </c>
      <c r="Z857" s="101" t="s">
        <v>412</v>
      </c>
      <c r="AA857" s="101" t="s">
        <v>478</v>
      </c>
      <c r="AB857" s="101">
        <v>3101053970</v>
      </c>
      <c r="AC857" s="101" t="s">
        <v>414</v>
      </c>
      <c r="AD857" s="101" t="s">
        <v>79</v>
      </c>
      <c r="AE857" s="101" t="s">
        <v>75</v>
      </c>
      <c r="AF857" s="101" t="s">
        <v>400</v>
      </c>
      <c r="AI857" s="101" t="s">
        <v>172</v>
      </c>
    </row>
    <row r="858" spans="1:35">
      <c r="A858" s="246" t="s">
        <v>112</v>
      </c>
      <c r="B858" s="246" t="s">
        <v>66</v>
      </c>
      <c r="C858" s="246" t="s">
        <v>264</v>
      </c>
      <c r="D858" s="246" t="s">
        <v>290</v>
      </c>
      <c r="E858" s="246"/>
      <c r="F858" s="246"/>
      <c r="G858" s="132" t="s">
        <v>666</v>
      </c>
      <c r="H858" s="132" t="s">
        <v>1659</v>
      </c>
      <c r="I858" s="132">
        <v>1833486.0499999998</v>
      </c>
      <c r="J858" s="101" t="s">
        <v>889</v>
      </c>
      <c r="K858" s="245" t="s">
        <v>390</v>
      </c>
      <c r="L858" s="245">
        <v>42916</v>
      </c>
      <c r="M858" s="245" t="s">
        <v>421</v>
      </c>
      <c r="N858" s="101">
        <v>0</v>
      </c>
      <c r="O858" s="101" t="s">
        <v>392</v>
      </c>
      <c r="P858" s="101">
        <v>0</v>
      </c>
      <c r="Q858" s="101">
        <v>0</v>
      </c>
      <c r="R858" s="101" t="s">
        <v>410</v>
      </c>
      <c r="S858" s="101" t="s">
        <v>600</v>
      </c>
      <c r="T858" s="101" t="s">
        <v>394</v>
      </c>
      <c r="U858" s="101" t="s">
        <v>88</v>
      </c>
      <c r="V858" s="245">
        <v>46371</v>
      </c>
      <c r="W858" s="101" t="s">
        <v>445</v>
      </c>
      <c r="X858" s="101" t="s">
        <v>76</v>
      </c>
      <c r="Y858" s="101" t="s">
        <v>392</v>
      </c>
      <c r="Z858" s="101" t="s">
        <v>412</v>
      </c>
      <c r="AA858" s="101" t="s">
        <v>478</v>
      </c>
      <c r="AB858" s="101">
        <v>3101053970</v>
      </c>
      <c r="AC858" s="101" t="s">
        <v>414</v>
      </c>
      <c r="AD858" s="101" t="s">
        <v>79</v>
      </c>
      <c r="AE858" s="101" t="s">
        <v>75</v>
      </c>
      <c r="AF858" s="101" t="s">
        <v>400</v>
      </c>
      <c r="AI858" s="101" t="s">
        <v>172</v>
      </c>
    </row>
    <row r="859" spans="1:35">
      <c r="A859" s="246" t="s">
        <v>112</v>
      </c>
      <c r="B859" s="246" t="s">
        <v>66</v>
      </c>
      <c r="C859" s="246" t="s">
        <v>126</v>
      </c>
      <c r="D859" s="246" t="s">
        <v>270</v>
      </c>
      <c r="E859" s="246"/>
      <c r="F859" s="246"/>
      <c r="G859" s="132" t="s">
        <v>667</v>
      </c>
      <c r="H859" s="132" t="s">
        <v>1660</v>
      </c>
      <c r="I859" s="132">
        <v>-79776.179999999993</v>
      </c>
      <c r="J859" s="101" t="s">
        <v>889</v>
      </c>
      <c r="K859" s="245" t="s">
        <v>390</v>
      </c>
      <c r="L859" s="245">
        <v>42947</v>
      </c>
      <c r="M859" s="245" t="s">
        <v>391</v>
      </c>
      <c r="N859" s="101">
        <v>0</v>
      </c>
      <c r="O859" s="101" t="s">
        <v>392</v>
      </c>
      <c r="P859" s="101">
        <v>0</v>
      </c>
      <c r="Q859" s="101">
        <v>0</v>
      </c>
      <c r="R859" s="101" t="s">
        <v>422</v>
      </c>
      <c r="S859" s="101" t="s">
        <v>600</v>
      </c>
      <c r="T859" s="101" t="s">
        <v>394</v>
      </c>
      <c r="U859" s="101" t="s">
        <v>88</v>
      </c>
      <c r="V859" s="245">
        <v>46371</v>
      </c>
      <c r="W859" s="101" t="s">
        <v>445</v>
      </c>
      <c r="X859" s="101" t="s">
        <v>76</v>
      </c>
      <c r="Y859" s="101" t="s">
        <v>392</v>
      </c>
      <c r="Z859" s="101" t="s">
        <v>412</v>
      </c>
      <c r="AA859" s="101" t="s">
        <v>478</v>
      </c>
      <c r="AB859" s="101">
        <v>3101053970</v>
      </c>
      <c r="AC859" s="101" t="s">
        <v>414</v>
      </c>
      <c r="AD859" s="101" t="s">
        <v>79</v>
      </c>
      <c r="AE859" s="101" t="s">
        <v>75</v>
      </c>
      <c r="AF859" s="101" t="s">
        <v>400</v>
      </c>
      <c r="AI859" s="101" t="s">
        <v>172</v>
      </c>
    </row>
    <row r="860" spans="1:35">
      <c r="A860" s="246" t="s">
        <v>112</v>
      </c>
      <c r="B860" s="246" t="s">
        <v>66</v>
      </c>
      <c r="C860" s="246" t="s">
        <v>264</v>
      </c>
      <c r="D860" s="246" t="s">
        <v>290</v>
      </c>
      <c r="E860" s="246"/>
      <c r="F860" s="246"/>
      <c r="G860" s="132" t="s">
        <v>668</v>
      </c>
      <c r="H860" s="132" t="s">
        <v>1661</v>
      </c>
      <c r="I860" s="132">
        <v>1818190.73</v>
      </c>
      <c r="J860" s="101" t="s">
        <v>889</v>
      </c>
      <c r="K860" s="245" t="s">
        <v>390</v>
      </c>
      <c r="L860" s="245">
        <v>42947</v>
      </c>
      <c r="M860" s="245" t="s">
        <v>421</v>
      </c>
      <c r="N860" s="101">
        <v>0</v>
      </c>
      <c r="O860" s="101" t="s">
        <v>392</v>
      </c>
      <c r="P860" s="101">
        <v>0</v>
      </c>
      <c r="Q860" s="101">
        <v>0</v>
      </c>
      <c r="R860" s="101" t="s">
        <v>410</v>
      </c>
      <c r="S860" s="101" t="s">
        <v>600</v>
      </c>
      <c r="T860" s="101" t="s">
        <v>394</v>
      </c>
      <c r="U860" s="101" t="s">
        <v>88</v>
      </c>
      <c r="V860" s="245">
        <v>46371</v>
      </c>
      <c r="W860" s="101" t="s">
        <v>445</v>
      </c>
      <c r="X860" s="101" t="s">
        <v>76</v>
      </c>
      <c r="Y860" s="101" t="s">
        <v>392</v>
      </c>
      <c r="Z860" s="101" t="s">
        <v>412</v>
      </c>
      <c r="AA860" s="101" t="s">
        <v>478</v>
      </c>
      <c r="AB860" s="101">
        <v>3101053970</v>
      </c>
      <c r="AC860" s="101" t="s">
        <v>414</v>
      </c>
      <c r="AD860" s="101" t="s">
        <v>79</v>
      </c>
      <c r="AE860" s="101" t="s">
        <v>75</v>
      </c>
      <c r="AF860" s="101" t="s">
        <v>400</v>
      </c>
      <c r="AI860" s="101" t="s">
        <v>172</v>
      </c>
    </row>
    <row r="861" spans="1:35">
      <c r="A861" s="246" t="s">
        <v>112</v>
      </c>
      <c r="B861" s="246" t="s">
        <v>66</v>
      </c>
      <c r="C861" s="246" t="s">
        <v>126</v>
      </c>
      <c r="D861" s="246" t="s">
        <v>270</v>
      </c>
      <c r="E861" s="246"/>
      <c r="F861" s="246"/>
      <c r="G861" s="132" t="s">
        <v>669</v>
      </c>
      <c r="H861" s="132" t="s">
        <v>1662</v>
      </c>
      <c r="I861" s="132">
        <v>-87081.87</v>
      </c>
      <c r="J861" s="101" t="s">
        <v>889</v>
      </c>
      <c r="K861" s="245" t="s">
        <v>390</v>
      </c>
      <c r="L861" s="245">
        <v>42978</v>
      </c>
      <c r="M861" s="245" t="s">
        <v>391</v>
      </c>
      <c r="N861" s="101">
        <v>0</v>
      </c>
      <c r="O861" s="101" t="s">
        <v>392</v>
      </c>
      <c r="P861" s="101">
        <v>0</v>
      </c>
      <c r="Q861" s="101">
        <v>0</v>
      </c>
      <c r="R861" s="101" t="s">
        <v>422</v>
      </c>
      <c r="S861" s="101" t="s">
        <v>600</v>
      </c>
      <c r="T861" s="101" t="s">
        <v>394</v>
      </c>
      <c r="U861" s="101" t="s">
        <v>88</v>
      </c>
      <c r="V861" s="245">
        <v>46371</v>
      </c>
      <c r="W861" s="101" t="s">
        <v>445</v>
      </c>
      <c r="X861" s="101" t="s">
        <v>76</v>
      </c>
      <c r="Y861" s="101" t="s">
        <v>392</v>
      </c>
      <c r="Z861" s="101" t="s">
        <v>412</v>
      </c>
      <c r="AA861" s="101" t="s">
        <v>478</v>
      </c>
      <c r="AB861" s="101">
        <v>3101053970</v>
      </c>
      <c r="AC861" s="101" t="s">
        <v>414</v>
      </c>
      <c r="AD861" s="101" t="s">
        <v>79</v>
      </c>
      <c r="AE861" s="101" t="s">
        <v>75</v>
      </c>
      <c r="AF861" s="101" t="s">
        <v>400</v>
      </c>
      <c r="AI861" s="101" t="s">
        <v>172</v>
      </c>
    </row>
    <row r="862" spans="1:35">
      <c r="A862" s="246" t="s">
        <v>112</v>
      </c>
      <c r="B862" s="246" t="s">
        <v>66</v>
      </c>
      <c r="C862" s="246" t="s">
        <v>264</v>
      </c>
      <c r="D862" s="246" t="s">
        <v>290</v>
      </c>
      <c r="E862" s="246"/>
      <c r="F862" s="246"/>
      <c r="G862" s="132" t="s">
        <v>670</v>
      </c>
      <c r="H862" s="132" t="s">
        <v>1663</v>
      </c>
      <c r="I862" s="132">
        <v>1953517.86</v>
      </c>
      <c r="J862" s="101" t="s">
        <v>889</v>
      </c>
      <c r="K862" s="245" t="s">
        <v>390</v>
      </c>
      <c r="L862" s="245">
        <v>42978</v>
      </c>
      <c r="M862" s="245" t="s">
        <v>421</v>
      </c>
      <c r="N862" s="101">
        <v>0</v>
      </c>
      <c r="O862" s="101" t="s">
        <v>392</v>
      </c>
      <c r="P862" s="101">
        <v>0</v>
      </c>
      <c r="Q862" s="101">
        <v>0</v>
      </c>
      <c r="R862" s="101" t="s">
        <v>410</v>
      </c>
      <c r="S862" s="101" t="s">
        <v>600</v>
      </c>
      <c r="T862" s="101" t="s">
        <v>394</v>
      </c>
      <c r="U862" s="101" t="s">
        <v>88</v>
      </c>
      <c r="V862" s="245">
        <v>46371</v>
      </c>
      <c r="W862" s="101" t="s">
        <v>445</v>
      </c>
      <c r="X862" s="101" t="s">
        <v>76</v>
      </c>
      <c r="Y862" s="101" t="s">
        <v>392</v>
      </c>
      <c r="Z862" s="101" t="s">
        <v>412</v>
      </c>
      <c r="AA862" s="101" t="s">
        <v>478</v>
      </c>
      <c r="AB862" s="101">
        <v>3101053970</v>
      </c>
      <c r="AC862" s="101" t="s">
        <v>414</v>
      </c>
      <c r="AD862" s="101" t="s">
        <v>79</v>
      </c>
      <c r="AE862" s="101" t="s">
        <v>75</v>
      </c>
      <c r="AF862" s="101" t="s">
        <v>400</v>
      </c>
      <c r="AI862" s="101" t="s">
        <v>172</v>
      </c>
    </row>
    <row r="863" spans="1:35">
      <c r="A863" s="246" t="s">
        <v>112</v>
      </c>
      <c r="B863" s="246" t="s">
        <v>66</v>
      </c>
      <c r="C863" s="246" t="s">
        <v>264</v>
      </c>
      <c r="D863" s="246" t="s">
        <v>290</v>
      </c>
      <c r="E863" s="246"/>
      <c r="F863" s="246"/>
      <c r="G863" s="132" t="s">
        <v>671</v>
      </c>
      <c r="H863" s="132" t="s">
        <v>1664</v>
      </c>
      <c r="I863" s="132">
        <v>2099344.7799999998</v>
      </c>
      <c r="J863" s="101" t="s">
        <v>889</v>
      </c>
      <c r="K863" s="245" t="s">
        <v>390</v>
      </c>
      <c r="L863" s="245">
        <v>43007</v>
      </c>
      <c r="M863" s="245" t="s">
        <v>421</v>
      </c>
      <c r="N863" s="101">
        <v>0</v>
      </c>
      <c r="O863" s="101" t="s">
        <v>392</v>
      </c>
      <c r="P863" s="101">
        <v>0</v>
      </c>
      <c r="Q863" s="101">
        <v>0</v>
      </c>
      <c r="R863" s="101" t="s">
        <v>410</v>
      </c>
      <c r="S863" s="101" t="s">
        <v>600</v>
      </c>
      <c r="T863" s="101" t="s">
        <v>394</v>
      </c>
      <c r="U863" s="101" t="s">
        <v>88</v>
      </c>
      <c r="V863" s="245">
        <v>46371</v>
      </c>
      <c r="W863" s="101" t="s">
        <v>445</v>
      </c>
      <c r="X863" s="101" t="s">
        <v>76</v>
      </c>
      <c r="Y863" s="101" t="s">
        <v>392</v>
      </c>
      <c r="Z863" s="101" t="s">
        <v>412</v>
      </c>
      <c r="AA863" s="101" t="s">
        <v>478</v>
      </c>
      <c r="AB863" s="101">
        <v>3101053970</v>
      </c>
      <c r="AC863" s="101" t="s">
        <v>414</v>
      </c>
      <c r="AD863" s="101" t="s">
        <v>79</v>
      </c>
      <c r="AE863" s="101" t="s">
        <v>75</v>
      </c>
      <c r="AF863" s="101" t="s">
        <v>400</v>
      </c>
      <c r="AI863" s="101" t="s">
        <v>172</v>
      </c>
    </row>
    <row r="864" spans="1:35">
      <c r="A864" s="246" t="s">
        <v>112</v>
      </c>
      <c r="B864" s="246" t="s">
        <v>66</v>
      </c>
      <c r="C864" s="246" t="s">
        <v>126</v>
      </c>
      <c r="D864" s="246" t="s">
        <v>270</v>
      </c>
      <c r="E864" s="246"/>
      <c r="F864" s="246"/>
      <c r="G864" s="132" t="s">
        <v>672</v>
      </c>
      <c r="H864" s="132" t="s">
        <v>1665</v>
      </c>
      <c r="I864" s="132">
        <v>-92141.12999999999</v>
      </c>
      <c r="J864" s="101" t="s">
        <v>889</v>
      </c>
      <c r="K864" s="245" t="s">
        <v>390</v>
      </c>
      <c r="L864" s="245">
        <v>43007</v>
      </c>
      <c r="M864" s="245" t="s">
        <v>391</v>
      </c>
      <c r="N864" s="101">
        <v>0</v>
      </c>
      <c r="O864" s="101" t="s">
        <v>392</v>
      </c>
      <c r="P864" s="101">
        <v>0</v>
      </c>
      <c r="Q864" s="101">
        <v>0</v>
      </c>
      <c r="R864" s="101" t="s">
        <v>422</v>
      </c>
      <c r="S864" s="101" t="s">
        <v>600</v>
      </c>
      <c r="T864" s="101" t="s">
        <v>394</v>
      </c>
      <c r="U864" s="101" t="s">
        <v>88</v>
      </c>
      <c r="V864" s="245">
        <v>46371</v>
      </c>
      <c r="W864" s="101" t="s">
        <v>445</v>
      </c>
      <c r="X864" s="101" t="s">
        <v>76</v>
      </c>
      <c r="Y864" s="101" t="s">
        <v>392</v>
      </c>
      <c r="Z864" s="101" t="s">
        <v>412</v>
      </c>
      <c r="AA864" s="101" t="s">
        <v>478</v>
      </c>
      <c r="AB864" s="101">
        <v>3101053970</v>
      </c>
      <c r="AC864" s="101" t="s">
        <v>414</v>
      </c>
      <c r="AD864" s="101" t="s">
        <v>79</v>
      </c>
      <c r="AE864" s="101" t="s">
        <v>75</v>
      </c>
      <c r="AF864" s="101" t="s">
        <v>400</v>
      </c>
      <c r="AI864" s="101" t="s">
        <v>172</v>
      </c>
    </row>
    <row r="865" spans="1:35">
      <c r="A865" s="246" t="s">
        <v>112</v>
      </c>
      <c r="B865" s="246" t="s">
        <v>66</v>
      </c>
      <c r="C865" s="246" t="s">
        <v>126</v>
      </c>
      <c r="D865" s="246" t="s">
        <v>270</v>
      </c>
      <c r="E865" s="246"/>
      <c r="F865" s="246"/>
      <c r="G865" s="132" t="s">
        <v>673</v>
      </c>
      <c r="H865" s="132" t="s">
        <v>1666</v>
      </c>
      <c r="I865" s="132">
        <v>-103366.70999999999</v>
      </c>
      <c r="J865" s="101" t="s">
        <v>889</v>
      </c>
      <c r="K865" s="245" t="s">
        <v>390</v>
      </c>
      <c r="L865" s="245">
        <v>43039</v>
      </c>
      <c r="M865" s="245" t="s">
        <v>391</v>
      </c>
      <c r="N865" s="101">
        <v>0</v>
      </c>
      <c r="O865" s="101" t="s">
        <v>392</v>
      </c>
      <c r="P865" s="101">
        <v>0</v>
      </c>
      <c r="Q865" s="101">
        <v>0</v>
      </c>
      <c r="R865" s="101" t="s">
        <v>422</v>
      </c>
      <c r="S865" s="101" t="s">
        <v>600</v>
      </c>
      <c r="T865" s="101" t="s">
        <v>394</v>
      </c>
      <c r="U865" s="101" t="s">
        <v>88</v>
      </c>
      <c r="V865" s="245">
        <v>46371</v>
      </c>
      <c r="W865" s="101" t="s">
        <v>445</v>
      </c>
      <c r="X865" s="101" t="s">
        <v>76</v>
      </c>
      <c r="Y865" s="101" t="s">
        <v>392</v>
      </c>
      <c r="Z865" s="101" t="s">
        <v>412</v>
      </c>
      <c r="AA865" s="101" t="s">
        <v>478</v>
      </c>
      <c r="AB865" s="101">
        <v>3101053970</v>
      </c>
      <c r="AC865" s="101" t="s">
        <v>414</v>
      </c>
      <c r="AD865" s="101" t="s">
        <v>79</v>
      </c>
      <c r="AE865" s="101" t="s">
        <v>75</v>
      </c>
      <c r="AF865" s="101" t="s">
        <v>400</v>
      </c>
      <c r="AI865" s="101" t="s">
        <v>172</v>
      </c>
    </row>
    <row r="866" spans="1:35">
      <c r="A866" s="246" t="s">
        <v>112</v>
      </c>
      <c r="B866" s="246" t="s">
        <v>66</v>
      </c>
      <c r="C866" s="246" t="s">
        <v>264</v>
      </c>
      <c r="D866" s="246" t="s">
        <v>290</v>
      </c>
      <c r="E866" s="246"/>
      <c r="F866" s="246"/>
      <c r="G866" s="132" t="s">
        <v>674</v>
      </c>
      <c r="H866" s="132" t="s">
        <v>1667</v>
      </c>
      <c r="I866" s="132">
        <v>2076901.0699999998</v>
      </c>
      <c r="J866" s="101" t="s">
        <v>889</v>
      </c>
      <c r="K866" s="245" t="s">
        <v>390</v>
      </c>
      <c r="L866" s="245">
        <v>43039</v>
      </c>
      <c r="M866" s="245" t="s">
        <v>421</v>
      </c>
      <c r="N866" s="101">
        <v>0</v>
      </c>
      <c r="O866" s="101" t="s">
        <v>392</v>
      </c>
      <c r="P866" s="101">
        <v>0</v>
      </c>
      <c r="Q866" s="101">
        <v>0</v>
      </c>
      <c r="R866" s="101" t="s">
        <v>410</v>
      </c>
      <c r="S866" s="101" t="s">
        <v>600</v>
      </c>
      <c r="T866" s="101" t="s">
        <v>394</v>
      </c>
      <c r="U866" s="101" t="s">
        <v>88</v>
      </c>
      <c r="V866" s="245">
        <v>46371</v>
      </c>
      <c r="W866" s="101" t="s">
        <v>445</v>
      </c>
      <c r="X866" s="101" t="s">
        <v>76</v>
      </c>
      <c r="Y866" s="101" t="s">
        <v>392</v>
      </c>
      <c r="Z866" s="101" t="s">
        <v>412</v>
      </c>
      <c r="AA866" s="101" t="s">
        <v>478</v>
      </c>
      <c r="AB866" s="101">
        <v>3101053970</v>
      </c>
      <c r="AC866" s="101" t="s">
        <v>414</v>
      </c>
      <c r="AD866" s="101" t="s">
        <v>79</v>
      </c>
      <c r="AE866" s="101" t="s">
        <v>75</v>
      </c>
      <c r="AF866" s="101" t="s">
        <v>400</v>
      </c>
      <c r="AI866" s="101" t="s">
        <v>172</v>
      </c>
    </row>
    <row r="867" spans="1:35">
      <c r="A867" s="246" t="s">
        <v>113</v>
      </c>
      <c r="B867" s="246" t="s">
        <v>66</v>
      </c>
      <c r="C867" s="246" t="s">
        <v>126</v>
      </c>
      <c r="D867" s="246" t="s">
        <v>271</v>
      </c>
      <c r="E867" s="246"/>
      <c r="F867" s="246"/>
      <c r="G867" s="132" t="s">
        <v>675</v>
      </c>
      <c r="H867" s="132" t="s">
        <v>1668</v>
      </c>
      <c r="I867" s="132">
        <v>-108108.31999999999</v>
      </c>
      <c r="J867" s="101" t="s">
        <v>889</v>
      </c>
      <c r="K867" s="245" t="s">
        <v>390</v>
      </c>
      <c r="L867" s="245">
        <v>43069</v>
      </c>
      <c r="M867" s="245" t="s">
        <v>391</v>
      </c>
      <c r="N867" s="101">
        <v>0</v>
      </c>
      <c r="O867" s="101" t="s">
        <v>392</v>
      </c>
      <c r="P867" s="101">
        <v>0</v>
      </c>
      <c r="Q867" s="101">
        <v>0</v>
      </c>
      <c r="R867" s="101" t="s">
        <v>422</v>
      </c>
      <c r="S867" s="101" t="s">
        <v>600</v>
      </c>
      <c r="T867" s="101" t="s">
        <v>394</v>
      </c>
      <c r="U867" s="101" t="s">
        <v>88</v>
      </c>
      <c r="V867" s="245">
        <v>46371</v>
      </c>
      <c r="W867" s="101" t="s">
        <v>445</v>
      </c>
      <c r="X867" s="101" t="s">
        <v>76</v>
      </c>
      <c r="Y867" s="101" t="s">
        <v>392</v>
      </c>
      <c r="Z867" s="101" t="s">
        <v>412</v>
      </c>
      <c r="AA867" s="101" t="s">
        <v>478</v>
      </c>
      <c r="AB867" s="101">
        <v>3101053970</v>
      </c>
      <c r="AC867" s="101" t="s">
        <v>414</v>
      </c>
      <c r="AD867" s="101" t="s">
        <v>79</v>
      </c>
      <c r="AE867" s="101" t="s">
        <v>75</v>
      </c>
      <c r="AF867" s="101" t="s">
        <v>400</v>
      </c>
      <c r="AI867" s="101" t="s">
        <v>172</v>
      </c>
    </row>
    <row r="868" spans="1:35">
      <c r="A868" s="246" t="s">
        <v>113</v>
      </c>
      <c r="B868" s="246" t="s">
        <v>66</v>
      </c>
      <c r="C868" s="246" t="s">
        <v>264</v>
      </c>
      <c r="D868" s="246" t="s">
        <v>285</v>
      </c>
      <c r="E868" s="246"/>
      <c r="F868" s="246"/>
      <c r="G868" s="132" t="s">
        <v>676</v>
      </c>
      <c r="H868" s="132" t="s">
        <v>1669</v>
      </c>
      <c r="I868" s="132">
        <v>2197887.8199999998</v>
      </c>
      <c r="J868" s="101" t="s">
        <v>889</v>
      </c>
      <c r="K868" s="245" t="s">
        <v>390</v>
      </c>
      <c r="L868" s="245">
        <v>43069</v>
      </c>
      <c r="M868" s="245" t="s">
        <v>421</v>
      </c>
      <c r="N868" s="101">
        <v>0</v>
      </c>
      <c r="O868" s="101" t="s">
        <v>392</v>
      </c>
      <c r="P868" s="101">
        <v>0</v>
      </c>
      <c r="Q868" s="101">
        <v>0</v>
      </c>
      <c r="R868" s="101" t="s">
        <v>410</v>
      </c>
      <c r="S868" s="101" t="s">
        <v>600</v>
      </c>
      <c r="T868" s="101" t="s">
        <v>394</v>
      </c>
      <c r="U868" s="101" t="s">
        <v>88</v>
      </c>
      <c r="V868" s="245">
        <v>46371</v>
      </c>
      <c r="W868" s="101" t="s">
        <v>445</v>
      </c>
      <c r="X868" s="101" t="s">
        <v>76</v>
      </c>
      <c r="Y868" s="101" t="s">
        <v>392</v>
      </c>
      <c r="Z868" s="101" t="s">
        <v>412</v>
      </c>
      <c r="AA868" s="101" t="s">
        <v>478</v>
      </c>
      <c r="AB868" s="101">
        <v>3101053970</v>
      </c>
      <c r="AC868" s="101" t="s">
        <v>414</v>
      </c>
      <c r="AD868" s="101" t="s">
        <v>79</v>
      </c>
      <c r="AE868" s="101" t="s">
        <v>75</v>
      </c>
      <c r="AF868" s="101" t="s">
        <v>400</v>
      </c>
      <c r="AI868" s="101" t="s">
        <v>172</v>
      </c>
    </row>
    <row r="869" spans="1:35">
      <c r="A869" s="246" t="s">
        <v>113</v>
      </c>
      <c r="B869" s="246" t="s">
        <v>66</v>
      </c>
      <c r="C869" s="246" t="s">
        <v>264</v>
      </c>
      <c r="D869" s="246" t="s">
        <v>285</v>
      </c>
      <c r="E869" s="246"/>
      <c r="F869" s="246"/>
      <c r="G869" s="132">
        <v>-30000000</v>
      </c>
      <c r="H869" s="132" t="s">
        <v>1670</v>
      </c>
      <c r="I869" s="132">
        <v>-30000000</v>
      </c>
      <c r="J869" s="101" t="s">
        <v>889</v>
      </c>
      <c r="K869" s="245" t="s">
        <v>390</v>
      </c>
      <c r="L869" s="245">
        <v>43083</v>
      </c>
      <c r="M869" s="245" t="s">
        <v>421</v>
      </c>
      <c r="N869" s="101">
        <v>0</v>
      </c>
      <c r="O869" s="101" t="s">
        <v>392</v>
      </c>
      <c r="P869" s="101">
        <v>0</v>
      </c>
      <c r="Q869" s="101">
        <v>0</v>
      </c>
      <c r="R869" s="101" t="s">
        <v>422</v>
      </c>
      <c r="S869" s="101" t="s">
        <v>600</v>
      </c>
      <c r="T869" s="101" t="s">
        <v>394</v>
      </c>
      <c r="U869" s="101" t="s">
        <v>88</v>
      </c>
      <c r="V869" s="245">
        <v>46371</v>
      </c>
      <c r="W869" s="101" t="s">
        <v>445</v>
      </c>
      <c r="X869" s="101" t="s">
        <v>76</v>
      </c>
      <c r="Y869" s="101" t="s">
        <v>392</v>
      </c>
      <c r="Z869" s="101" t="s">
        <v>412</v>
      </c>
      <c r="AA869" s="101" t="s">
        <v>478</v>
      </c>
      <c r="AB869" s="101">
        <v>3101053970</v>
      </c>
      <c r="AC869" s="101" t="s">
        <v>414</v>
      </c>
      <c r="AD869" s="101" t="s">
        <v>79</v>
      </c>
      <c r="AE869" s="101" t="s">
        <v>75</v>
      </c>
      <c r="AF869" s="101" t="s">
        <v>400</v>
      </c>
      <c r="AI869" s="101" t="s">
        <v>172</v>
      </c>
    </row>
    <row r="870" spans="1:35">
      <c r="A870" s="246" t="s">
        <v>113</v>
      </c>
      <c r="B870" s="246" t="s">
        <v>66</v>
      </c>
      <c r="C870" s="246" t="s">
        <v>264</v>
      </c>
      <c r="D870" s="246" t="s">
        <v>285</v>
      </c>
      <c r="E870" s="246"/>
      <c r="F870" s="246"/>
      <c r="G870" s="132" t="s">
        <v>677</v>
      </c>
      <c r="H870" s="132" t="s">
        <v>1671</v>
      </c>
      <c r="I870" s="132">
        <v>2729693.82</v>
      </c>
      <c r="J870" s="101" t="s">
        <v>889</v>
      </c>
      <c r="K870" s="245" t="s">
        <v>390</v>
      </c>
      <c r="L870" s="245">
        <v>43098</v>
      </c>
      <c r="M870" s="245" t="s">
        <v>421</v>
      </c>
      <c r="N870" s="101">
        <v>0</v>
      </c>
      <c r="O870" s="101" t="s">
        <v>392</v>
      </c>
      <c r="P870" s="101">
        <v>0</v>
      </c>
      <c r="Q870" s="101">
        <v>0</v>
      </c>
      <c r="R870" s="101" t="s">
        <v>410</v>
      </c>
      <c r="S870" s="101" t="s">
        <v>600</v>
      </c>
      <c r="T870" s="101" t="s">
        <v>394</v>
      </c>
      <c r="U870" s="101" t="s">
        <v>88</v>
      </c>
      <c r="V870" s="245">
        <v>46371</v>
      </c>
      <c r="W870" s="101" t="s">
        <v>445</v>
      </c>
      <c r="X870" s="101" t="s">
        <v>76</v>
      </c>
      <c r="Y870" s="101" t="s">
        <v>392</v>
      </c>
      <c r="Z870" s="101" t="s">
        <v>412</v>
      </c>
      <c r="AA870" s="101" t="s">
        <v>478</v>
      </c>
      <c r="AB870" s="101">
        <v>3101053970</v>
      </c>
      <c r="AC870" s="101" t="s">
        <v>414</v>
      </c>
      <c r="AD870" s="101" t="s">
        <v>79</v>
      </c>
      <c r="AE870" s="101" t="s">
        <v>75</v>
      </c>
      <c r="AF870" s="101" t="s">
        <v>400</v>
      </c>
      <c r="AI870" s="101" t="s">
        <v>172</v>
      </c>
    </row>
    <row r="871" spans="1:35">
      <c r="A871" s="246" t="s">
        <v>113</v>
      </c>
      <c r="B871" s="246" t="s">
        <v>66</v>
      </c>
      <c r="C871" s="246" t="s">
        <v>126</v>
      </c>
      <c r="D871" s="246" t="s">
        <v>271</v>
      </c>
      <c r="E871" s="246"/>
      <c r="F871" s="246"/>
      <c r="G871" s="132" t="s">
        <v>678</v>
      </c>
      <c r="H871" s="132" t="s">
        <v>1672</v>
      </c>
      <c r="I871" s="132">
        <v>-55146.53</v>
      </c>
      <c r="J871" s="101" t="s">
        <v>889</v>
      </c>
      <c r="K871" s="245" t="s">
        <v>390</v>
      </c>
      <c r="L871" s="245">
        <v>43098</v>
      </c>
      <c r="M871" s="245" t="s">
        <v>391</v>
      </c>
      <c r="N871" s="101">
        <v>0</v>
      </c>
      <c r="O871" s="101" t="s">
        <v>392</v>
      </c>
      <c r="P871" s="101">
        <v>0</v>
      </c>
      <c r="Q871" s="101">
        <v>0</v>
      </c>
      <c r="R871" s="101" t="s">
        <v>422</v>
      </c>
      <c r="S871" s="101" t="s">
        <v>600</v>
      </c>
      <c r="T871" s="101" t="s">
        <v>394</v>
      </c>
      <c r="U871" s="101" t="s">
        <v>88</v>
      </c>
      <c r="V871" s="245">
        <v>46371</v>
      </c>
      <c r="W871" s="101" t="s">
        <v>445</v>
      </c>
      <c r="X871" s="101" t="s">
        <v>76</v>
      </c>
      <c r="Y871" s="101" t="s">
        <v>392</v>
      </c>
      <c r="Z871" s="101" t="s">
        <v>412</v>
      </c>
      <c r="AA871" s="101" t="s">
        <v>478</v>
      </c>
      <c r="AB871" s="101">
        <v>3101053970</v>
      </c>
      <c r="AC871" s="101" t="s">
        <v>414</v>
      </c>
      <c r="AD871" s="101" t="s">
        <v>79</v>
      </c>
      <c r="AE871" s="101" t="s">
        <v>75</v>
      </c>
      <c r="AF871" s="101" t="s">
        <v>400</v>
      </c>
      <c r="AI871" s="101" t="s">
        <v>172</v>
      </c>
    </row>
    <row r="872" spans="1:35">
      <c r="A872" s="246" t="s">
        <v>113</v>
      </c>
      <c r="B872" s="246" t="s">
        <v>66</v>
      </c>
      <c r="C872" s="246" t="s">
        <v>126</v>
      </c>
      <c r="D872" s="246" t="s">
        <v>271</v>
      </c>
      <c r="E872" s="246"/>
      <c r="F872" s="246"/>
      <c r="G872" s="132" t="s">
        <v>679</v>
      </c>
      <c r="H872" s="132" t="s">
        <v>1673</v>
      </c>
      <c r="I872" s="132">
        <v>-10968.21</v>
      </c>
      <c r="J872" s="101" t="s">
        <v>889</v>
      </c>
      <c r="K872" s="245" t="s">
        <v>390</v>
      </c>
      <c r="L872" s="245">
        <v>43131</v>
      </c>
      <c r="M872" s="245" t="s">
        <v>391</v>
      </c>
      <c r="N872" s="101">
        <v>0</v>
      </c>
      <c r="O872" s="101" t="s">
        <v>392</v>
      </c>
      <c r="P872" s="101">
        <v>0</v>
      </c>
      <c r="Q872" s="101">
        <v>0</v>
      </c>
      <c r="R872" s="101" t="s">
        <v>422</v>
      </c>
      <c r="S872" s="101" t="s">
        <v>600</v>
      </c>
      <c r="T872" s="101" t="s">
        <v>394</v>
      </c>
      <c r="U872" s="101" t="s">
        <v>88</v>
      </c>
      <c r="V872" s="245">
        <v>46371</v>
      </c>
      <c r="W872" s="101" t="s">
        <v>445</v>
      </c>
      <c r="X872" s="101" t="s">
        <v>76</v>
      </c>
      <c r="Y872" s="101" t="s">
        <v>392</v>
      </c>
      <c r="Z872" s="101" t="s">
        <v>412</v>
      </c>
      <c r="AA872" s="101" t="s">
        <v>478</v>
      </c>
      <c r="AB872" s="101">
        <v>3101053970</v>
      </c>
      <c r="AC872" s="101" t="s">
        <v>414</v>
      </c>
      <c r="AD872" s="101" t="s">
        <v>79</v>
      </c>
      <c r="AE872" s="101" t="s">
        <v>75</v>
      </c>
      <c r="AF872" s="101" t="s">
        <v>400</v>
      </c>
      <c r="AI872" s="101" t="s">
        <v>172</v>
      </c>
    </row>
    <row r="873" spans="1:35">
      <c r="A873" s="246" t="s">
        <v>113</v>
      </c>
      <c r="B873" s="246" t="s">
        <v>66</v>
      </c>
      <c r="C873" s="246" t="s">
        <v>264</v>
      </c>
      <c r="D873" s="246" t="s">
        <v>285</v>
      </c>
      <c r="E873" s="246"/>
      <c r="F873" s="246"/>
      <c r="G873" s="132" t="s">
        <v>680</v>
      </c>
      <c r="H873" s="132" t="s">
        <v>1674</v>
      </c>
      <c r="I873" s="132">
        <v>3320730.17</v>
      </c>
      <c r="J873" s="101" t="s">
        <v>889</v>
      </c>
      <c r="K873" s="245" t="s">
        <v>390</v>
      </c>
      <c r="L873" s="245">
        <v>43131</v>
      </c>
      <c r="M873" s="245" t="s">
        <v>421</v>
      </c>
      <c r="N873" s="101">
        <v>0</v>
      </c>
      <c r="O873" s="101" t="s">
        <v>392</v>
      </c>
      <c r="P873" s="101">
        <v>0</v>
      </c>
      <c r="Q873" s="101">
        <v>0</v>
      </c>
      <c r="R873" s="101" t="s">
        <v>410</v>
      </c>
      <c r="S873" s="101" t="s">
        <v>600</v>
      </c>
      <c r="T873" s="101" t="s">
        <v>394</v>
      </c>
      <c r="U873" s="101" t="s">
        <v>88</v>
      </c>
      <c r="V873" s="245">
        <v>46371</v>
      </c>
      <c r="W873" s="101" t="s">
        <v>445</v>
      </c>
      <c r="X873" s="101" t="s">
        <v>76</v>
      </c>
      <c r="Y873" s="101" t="s">
        <v>392</v>
      </c>
      <c r="Z873" s="101" t="s">
        <v>412</v>
      </c>
      <c r="AA873" s="101" t="s">
        <v>478</v>
      </c>
      <c r="AB873" s="101">
        <v>3101053970</v>
      </c>
      <c r="AC873" s="101" t="s">
        <v>414</v>
      </c>
      <c r="AD873" s="101" t="s">
        <v>79</v>
      </c>
      <c r="AE873" s="101" t="s">
        <v>75</v>
      </c>
      <c r="AF873" s="101" t="s">
        <v>400</v>
      </c>
      <c r="AI873" s="101" t="s">
        <v>172</v>
      </c>
    </row>
    <row r="874" spans="1:35">
      <c r="A874" s="246" t="s">
        <v>113</v>
      </c>
      <c r="B874" s="246" t="s">
        <v>66</v>
      </c>
      <c r="C874" s="246" t="s">
        <v>126</v>
      </c>
      <c r="D874" s="246" t="s">
        <v>271</v>
      </c>
      <c r="E874" s="246"/>
      <c r="F874" s="246"/>
      <c r="G874" s="132" t="s">
        <v>684</v>
      </c>
      <c r="H874" s="132" t="s">
        <v>1675</v>
      </c>
      <c r="I874" s="132">
        <v>-21958.57</v>
      </c>
      <c r="J874" s="101" t="s">
        <v>889</v>
      </c>
      <c r="K874" s="245" t="s">
        <v>390</v>
      </c>
      <c r="L874" s="245">
        <v>43159</v>
      </c>
      <c r="M874" s="245" t="s">
        <v>391</v>
      </c>
      <c r="N874" s="101">
        <v>0</v>
      </c>
      <c r="O874" s="101" t="s">
        <v>392</v>
      </c>
      <c r="P874" s="101">
        <v>0</v>
      </c>
      <c r="Q874" s="101">
        <v>0</v>
      </c>
      <c r="R874" s="101" t="s">
        <v>422</v>
      </c>
      <c r="S874" s="101" t="s">
        <v>600</v>
      </c>
      <c r="T874" s="101" t="s">
        <v>394</v>
      </c>
      <c r="U874" s="101" t="s">
        <v>88</v>
      </c>
      <c r="V874" s="245">
        <v>46371</v>
      </c>
      <c r="W874" s="101" t="s">
        <v>445</v>
      </c>
      <c r="X874" s="101" t="s">
        <v>76</v>
      </c>
      <c r="Y874" s="101" t="s">
        <v>392</v>
      </c>
      <c r="Z874" s="101" t="s">
        <v>412</v>
      </c>
      <c r="AA874" s="101" t="s">
        <v>478</v>
      </c>
      <c r="AB874" s="101">
        <v>3101053970</v>
      </c>
      <c r="AC874" s="101" t="s">
        <v>414</v>
      </c>
      <c r="AD874" s="101" t="s">
        <v>79</v>
      </c>
      <c r="AE874" s="101" t="s">
        <v>75</v>
      </c>
      <c r="AF874" s="101" t="s">
        <v>400</v>
      </c>
      <c r="AI874" s="101" t="s">
        <v>172</v>
      </c>
    </row>
    <row r="875" spans="1:35">
      <c r="A875" s="246" t="s">
        <v>113</v>
      </c>
      <c r="B875" s="246" t="s">
        <v>66</v>
      </c>
      <c r="C875" s="246" t="s">
        <v>264</v>
      </c>
      <c r="D875" s="246" t="s">
        <v>285</v>
      </c>
      <c r="E875" s="246"/>
      <c r="F875" s="246"/>
      <c r="G875" s="132" t="s">
        <v>685</v>
      </c>
      <c r="H875" s="132" t="s">
        <v>1676</v>
      </c>
      <c r="I875" s="132">
        <v>3532478.07</v>
      </c>
      <c r="J875" s="101" t="s">
        <v>889</v>
      </c>
      <c r="K875" s="245" t="s">
        <v>390</v>
      </c>
      <c r="L875" s="245">
        <v>43159</v>
      </c>
      <c r="M875" s="245" t="s">
        <v>421</v>
      </c>
      <c r="N875" s="101">
        <v>0</v>
      </c>
      <c r="O875" s="101" t="s">
        <v>392</v>
      </c>
      <c r="P875" s="101">
        <v>0</v>
      </c>
      <c r="Q875" s="101">
        <v>0</v>
      </c>
      <c r="R875" s="101" t="s">
        <v>410</v>
      </c>
      <c r="S875" s="101" t="s">
        <v>600</v>
      </c>
      <c r="T875" s="101" t="s">
        <v>394</v>
      </c>
      <c r="U875" s="101" t="s">
        <v>88</v>
      </c>
      <c r="V875" s="245">
        <v>46371</v>
      </c>
      <c r="W875" s="101" t="s">
        <v>445</v>
      </c>
      <c r="X875" s="101" t="s">
        <v>76</v>
      </c>
      <c r="Y875" s="101" t="s">
        <v>392</v>
      </c>
      <c r="Z875" s="101" t="s">
        <v>412</v>
      </c>
      <c r="AA875" s="101" t="s">
        <v>478</v>
      </c>
      <c r="AB875" s="101">
        <v>3101053970</v>
      </c>
      <c r="AC875" s="101" t="s">
        <v>414</v>
      </c>
      <c r="AD875" s="101" t="s">
        <v>79</v>
      </c>
      <c r="AE875" s="101" t="s">
        <v>75</v>
      </c>
      <c r="AF875" s="101" t="s">
        <v>400</v>
      </c>
      <c r="AI875" s="101" t="s">
        <v>172</v>
      </c>
    </row>
    <row r="876" spans="1:35">
      <c r="A876" s="246" t="s">
        <v>113</v>
      </c>
      <c r="B876" s="246" t="s">
        <v>66</v>
      </c>
      <c r="C876" s="246" t="s">
        <v>264</v>
      </c>
      <c r="D876" s="246" t="s">
        <v>285</v>
      </c>
      <c r="E876" s="246"/>
      <c r="F876" s="246"/>
      <c r="G876" s="132" t="s">
        <v>686</v>
      </c>
      <c r="H876" s="132" t="s">
        <v>1677</v>
      </c>
      <c r="I876" s="132">
        <v>3022648.3800000004</v>
      </c>
      <c r="J876" s="101" t="s">
        <v>889</v>
      </c>
      <c r="K876" s="245" t="s">
        <v>390</v>
      </c>
      <c r="L876" s="245">
        <v>43189</v>
      </c>
      <c r="M876" s="245" t="s">
        <v>421</v>
      </c>
      <c r="N876" s="101">
        <v>0</v>
      </c>
      <c r="O876" s="101" t="s">
        <v>392</v>
      </c>
      <c r="P876" s="101">
        <v>0</v>
      </c>
      <c r="Q876" s="101">
        <v>0</v>
      </c>
      <c r="R876" s="101" t="s">
        <v>410</v>
      </c>
      <c r="S876" s="101" t="s">
        <v>600</v>
      </c>
      <c r="T876" s="101" t="s">
        <v>394</v>
      </c>
      <c r="U876" s="101" t="s">
        <v>88</v>
      </c>
      <c r="V876" s="245">
        <v>46371</v>
      </c>
      <c r="W876" s="101" t="s">
        <v>445</v>
      </c>
      <c r="X876" s="101" t="s">
        <v>76</v>
      </c>
      <c r="Y876" s="101" t="s">
        <v>392</v>
      </c>
      <c r="Z876" s="101" t="s">
        <v>412</v>
      </c>
      <c r="AA876" s="101" t="s">
        <v>478</v>
      </c>
      <c r="AB876" s="101">
        <v>3101053970</v>
      </c>
      <c r="AC876" s="101" t="s">
        <v>414</v>
      </c>
      <c r="AD876" s="101" t="s">
        <v>79</v>
      </c>
      <c r="AE876" s="101" t="s">
        <v>75</v>
      </c>
      <c r="AF876" s="101" t="s">
        <v>400</v>
      </c>
      <c r="AI876" s="101" t="s">
        <v>172</v>
      </c>
    </row>
    <row r="877" spans="1:35">
      <c r="A877" s="246" t="s">
        <v>113</v>
      </c>
      <c r="B877" s="246" t="s">
        <v>66</v>
      </c>
      <c r="C877" s="246" t="s">
        <v>126</v>
      </c>
      <c r="D877" s="246" t="s">
        <v>271</v>
      </c>
      <c r="E877" s="246"/>
      <c r="F877" s="246"/>
      <c r="G877" s="132" t="s">
        <v>687</v>
      </c>
      <c r="H877" s="132" t="s">
        <v>1678</v>
      </c>
      <c r="I877" s="132">
        <v>-38896.93</v>
      </c>
      <c r="J877" s="101" t="s">
        <v>889</v>
      </c>
      <c r="K877" s="245" t="s">
        <v>390</v>
      </c>
      <c r="L877" s="245">
        <v>43189</v>
      </c>
      <c r="M877" s="245" t="s">
        <v>391</v>
      </c>
      <c r="N877" s="101">
        <v>0</v>
      </c>
      <c r="O877" s="101" t="s">
        <v>392</v>
      </c>
      <c r="P877" s="101">
        <v>0</v>
      </c>
      <c r="Q877" s="101">
        <v>0</v>
      </c>
      <c r="R877" s="101" t="s">
        <v>422</v>
      </c>
      <c r="S877" s="101" t="s">
        <v>600</v>
      </c>
      <c r="T877" s="101" t="s">
        <v>394</v>
      </c>
      <c r="U877" s="101" t="s">
        <v>88</v>
      </c>
      <c r="V877" s="245">
        <v>46371</v>
      </c>
      <c r="W877" s="101" t="s">
        <v>445</v>
      </c>
      <c r="X877" s="101" t="s">
        <v>76</v>
      </c>
      <c r="Y877" s="101" t="s">
        <v>392</v>
      </c>
      <c r="Z877" s="101" t="s">
        <v>412</v>
      </c>
      <c r="AA877" s="101" t="s">
        <v>478</v>
      </c>
      <c r="AB877" s="101">
        <v>3101053970</v>
      </c>
      <c r="AC877" s="101" t="s">
        <v>414</v>
      </c>
      <c r="AD877" s="101" t="s">
        <v>79</v>
      </c>
      <c r="AE877" s="101" t="s">
        <v>75</v>
      </c>
      <c r="AF877" s="101" t="s">
        <v>400</v>
      </c>
      <c r="AI877" s="101" t="s">
        <v>172</v>
      </c>
    </row>
    <row r="878" spans="1:35">
      <c r="A878" s="246" t="s">
        <v>113</v>
      </c>
      <c r="B878" s="246" t="s">
        <v>66</v>
      </c>
      <c r="C878" s="246" t="s">
        <v>126</v>
      </c>
      <c r="D878" s="246" t="s">
        <v>271</v>
      </c>
      <c r="E878" s="246"/>
      <c r="F878" s="246"/>
      <c r="G878" s="132" t="s">
        <v>844</v>
      </c>
      <c r="H878" s="132" t="s">
        <v>1679</v>
      </c>
      <c r="I878" s="132">
        <v>-49016.6</v>
      </c>
      <c r="J878" s="101" t="s">
        <v>889</v>
      </c>
      <c r="K878" s="245" t="s">
        <v>390</v>
      </c>
      <c r="L878" s="245">
        <v>43220</v>
      </c>
      <c r="M878" s="245" t="s">
        <v>391</v>
      </c>
      <c r="N878" s="101">
        <v>0</v>
      </c>
      <c r="O878" s="101" t="s">
        <v>392</v>
      </c>
      <c r="P878" s="101">
        <v>0</v>
      </c>
      <c r="Q878" s="101">
        <v>0</v>
      </c>
      <c r="R878" s="101" t="s">
        <v>422</v>
      </c>
      <c r="S878" s="101" t="s">
        <v>600</v>
      </c>
      <c r="T878" s="101" t="s">
        <v>394</v>
      </c>
      <c r="U878" s="101" t="s">
        <v>88</v>
      </c>
      <c r="V878" s="245">
        <v>46371</v>
      </c>
      <c r="W878" s="101" t="s">
        <v>445</v>
      </c>
      <c r="X878" s="101" t="s">
        <v>76</v>
      </c>
      <c r="Y878" s="101" t="s">
        <v>392</v>
      </c>
      <c r="Z878" s="101" t="s">
        <v>412</v>
      </c>
      <c r="AA878" s="101" t="s">
        <v>478</v>
      </c>
      <c r="AB878" s="101">
        <v>3101053970</v>
      </c>
      <c r="AC878" s="101" t="s">
        <v>414</v>
      </c>
      <c r="AD878" s="101" t="s">
        <v>79</v>
      </c>
      <c r="AE878" s="101" t="s">
        <v>75</v>
      </c>
      <c r="AF878" s="101" t="s">
        <v>400</v>
      </c>
      <c r="AI878" s="101" t="s">
        <v>172</v>
      </c>
    </row>
    <row r="879" spans="1:35">
      <c r="A879" s="246" t="s">
        <v>113</v>
      </c>
      <c r="B879" s="246" t="s">
        <v>66</v>
      </c>
      <c r="C879" s="246" t="s">
        <v>264</v>
      </c>
      <c r="D879" s="246" t="s">
        <v>285</v>
      </c>
      <c r="E879" s="246"/>
      <c r="F879" s="246"/>
      <c r="G879" s="132" t="s">
        <v>845</v>
      </c>
      <c r="H879" s="132" t="s">
        <v>1680</v>
      </c>
      <c r="I879" s="132">
        <v>3149363.5599999996</v>
      </c>
      <c r="J879" s="101" t="s">
        <v>889</v>
      </c>
      <c r="K879" s="245" t="s">
        <v>390</v>
      </c>
      <c r="L879" s="245">
        <v>43220</v>
      </c>
      <c r="M879" s="245" t="s">
        <v>421</v>
      </c>
      <c r="N879" s="101">
        <v>0</v>
      </c>
      <c r="O879" s="101" t="s">
        <v>392</v>
      </c>
      <c r="P879" s="101">
        <v>0</v>
      </c>
      <c r="Q879" s="101">
        <v>0</v>
      </c>
      <c r="R879" s="101" t="s">
        <v>410</v>
      </c>
      <c r="S879" s="101" t="s">
        <v>600</v>
      </c>
      <c r="T879" s="101" t="s">
        <v>394</v>
      </c>
      <c r="U879" s="101" t="s">
        <v>88</v>
      </c>
      <c r="V879" s="245">
        <v>46371</v>
      </c>
      <c r="W879" s="101" t="s">
        <v>445</v>
      </c>
      <c r="X879" s="101" t="s">
        <v>76</v>
      </c>
      <c r="Y879" s="101" t="s">
        <v>392</v>
      </c>
      <c r="Z879" s="101" t="s">
        <v>412</v>
      </c>
      <c r="AA879" s="101" t="s">
        <v>478</v>
      </c>
      <c r="AB879" s="101">
        <v>3101053970</v>
      </c>
      <c r="AC879" s="101" t="s">
        <v>414</v>
      </c>
      <c r="AD879" s="101" t="s">
        <v>79</v>
      </c>
      <c r="AE879" s="101" t="s">
        <v>75</v>
      </c>
      <c r="AF879" s="101" t="s">
        <v>400</v>
      </c>
      <c r="AI879" s="101" t="s">
        <v>172</v>
      </c>
    </row>
    <row r="880" spans="1:35">
      <c r="A880" s="246" t="s">
        <v>109</v>
      </c>
      <c r="B880" s="246" t="s">
        <v>78</v>
      </c>
      <c r="C880" s="246" t="s">
        <v>126</v>
      </c>
      <c r="D880" s="246" t="s">
        <v>337</v>
      </c>
      <c r="E880" s="246" t="s">
        <v>336</v>
      </c>
      <c r="F880" s="246"/>
      <c r="G880" s="132">
        <v>-207625</v>
      </c>
      <c r="H880" s="132" t="s">
        <v>1681</v>
      </c>
      <c r="I880" s="132">
        <v>-207625</v>
      </c>
      <c r="J880" s="101" t="s">
        <v>889</v>
      </c>
      <c r="K880" s="245" t="s">
        <v>390</v>
      </c>
      <c r="L880" s="245">
        <v>42536</v>
      </c>
      <c r="M880" s="245" t="s">
        <v>391</v>
      </c>
      <c r="N880" s="101">
        <v>0</v>
      </c>
      <c r="O880" s="101" t="s">
        <v>392</v>
      </c>
      <c r="P880" s="101">
        <v>0</v>
      </c>
      <c r="Q880" s="101">
        <v>0</v>
      </c>
      <c r="R880" s="101" t="s">
        <v>450</v>
      </c>
      <c r="S880" s="101">
        <v>194060</v>
      </c>
      <c r="T880" s="101" t="s">
        <v>394</v>
      </c>
      <c r="V880" s="245">
        <v>42536</v>
      </c>
      <c r="W880" s="101" t="s">
        <v>441</v>
      </c>
      <c r="X880" s="101" t="s">
        <v>76</v>
      </c>
      <c r="Y880" s="101" t="s">
        <v>392</v>
      </c>
      <c r="Z880" s="101" t="s">
        <v>430</v>
      </c>
      <c r="AA880" s="101" t="s">
        <v>78</v>
      </c>
      <c r="AB880" s="101">
        <v>4101000279</v>
      </c>
      <c r="AC880" s="101" t="s">
        <v>431</v>
      </c>
      <c r="AD880" s="101" t="s">
        <v>431</v>
      </c>
      <c r="AE880" s="101" t="s">
        <v>75</v>
      </c>
      <c r="AF880" s="101" t="s">
        <v>400</v>
      </c>
      <c r="AG880" s="101" t="s">
        <v>532</v>
      </c>
      <c r="AI880" s="101" t="s">
        <v>760</v>
      </c>
    </row>
    <row r="881" spans="1:35">
      <c r="A881" s="246" t="s">
        <v>109</v>
      </c>
      <c r="B881" s="246" t="s">
        <v>78</v>
      </c>
      <c r="C881" s="246" t="s">
        <v>116</v>
      </c>
      <c r="D881" s="246" t="s">
        <v>884</v>
      </c>
      <c r="E881" s="246" t="s">
        <v>336</v>
      </c>
      <c r="F881" s="246"/>
      <c r="G881" s="132">
        <v>-83050000</v>
      </c>
      <c r="H881" s="132" t="s">
        <v>1682</v>
      </c>
      <c r="I881" s="132">
        <v>-83050000</v>
      </c>
      <c r="J881" s="101" t="s">
        <v>889</v>
      </c>
      <c r="K881" s="245" t="s">
        <v>390</v>
      </c>
      <c r="L881" s="245">
        <v>42536</v>
      </c>
      <c r="M881" s="245" t="s">
        <v>421</v>
      </c>
      <c r="N881" s="101">
        <v>0</v>
      </c>
      <c r="O881" s="101" t="s">
        <v>392</v>
      </c>
      <c r="P881" s="101">
        <v>0</v>
      </c>
      <c r="Q881" s="101">
        <v>0</v>
      </c>
      <c r="R881" s="101" t="s">
        <v>450</v>
      </c>
      <c r="S881" s="101">
        <v>194060</v>
      </c>
      <c r="T881" s="101" t="s">
        <v>394</v>
      </c>
      <c r="V881" s="245">
        <v>42536</v>
      </c>
      <c r="W881" s="101" t="s">
        <v>441</v>
      </c>
      <c r="X881" s="101" t="s">
        <v>76</v>
      </c>
      <c r="Y881" s="101" t="s">
        <v>392</v>
      </c>
      <c r="Z881" s="101" t="s">
        <v>430</v>
      </c>
      <c r="AA881" s="101" t="s">
        <v>78</v>
      </c>
      <c r="AB881" s="101">
        <v>4101000279</v>
      </c>
      <c r="AC881" s="101" t="s">
        <v>431</v>
      </c>
      <c r="AD881" s="101" t="s">
        <v>431</v>
      </c>
      <c r="AE881" s="101" t="s">
        <v>75</v>
      </c>
      <c r="AF881" s="101" t="s">
        <v>400</v>
      </c>
      <c r="AG881" s="101" t="s">
        <v>532</v>
      </c>
      <c r="AI881" s="101" t="s">
        <v>760</v>
      </c>
    </row>
    <row r="882" spans="1:35">
      <c r="A882" s="246" t="s">
        <v>109</v>
      </c>
      <c r="B882" s="246" t="s">
        <v>66</v>
      </c>
      <c r="C882" s="246" t="s">
        <v>126</v>
      </c>
      <c r="D882" s="246" t="s">
        <v>272</v>
      </c>
      <c r="E882" s="246"/>
      <c r="F882" s="246" t="s">
        <v>275</v>
      </c>
      <c r="G882" s="132" t="s">
        <v>815</v>
      </c>
      <c r="H882" s="132" t="s">
        <v>1683</v>
      </c>
      <c r="I882" s="132">
        <v>-25475.33</v>
      </c>
      <c r="J882" s="101" t="s">
        <v>889</v>
      </c>
      <c r="K882" s="245" t="s">
        <v>390</v>
      </c>
      <c r="L882" s="245">
        <v>42551</v>
      </c>
      <c r="M882" s="245" t="s">
        <v>391</v>
      </c>
      <c r="N882" s="101">
        <v>0</v>
      </c>
      <c r="O882" s="101" t="s">
        <v>392</v>
      </c>
      <c r="P882" s="101">
        <v>0</v>
      </c>
      <c r="Q882" s="101">
        <v>0</v>
      </c>
      <c r="R882" s="101" t="s">
        <v>422</v>
      </c>
      <c r="S882" s="101" t="s">
        <v>706</v>
      </c>
      <c r="T882" s="101" t="s">
        <v>394</v>
      </c>
      <c r="U882" s="101" t="s">
        <v>12</v>
      </c>
      <c r="V882" s="245">
        <v>14248</v>
      </c>
      <c r="W882" s="101" t="s">
        <v>411</v>
      </c>
      <c r="X882" s="101" t="s">
        <v>77</v>
      </c>
      <c r="Y882" s="101" t="s">
        <v>392</v>
      </c>
      <c r="Z882" s="101" t="s">
        <v>412</v>
      </c>
      <c r="AA882" s="101" t="s">
        <v>413</v>
      </c>
      <c r="AB882" s="101">
        <v>101000512</v>
      </c>
      <c r="AC882" s="101" t="s">
        <v>414</v>
      </c>
      <c r="AD882" s="101" t="s">
        <v>79</v>
      </c>
      <c r="AE882" s="101" t="s">
        <v>6</v>
      </c>
      <c r="AF882" s="101" t="s">
        <v>400</v>
      </c>
      <c r="AI882" s="101" t="s">
        <v>190</v>
      </c>
    </row>
    <row r="883" spans="1:35">
      <c r="A883" s="246" t="s">
        <v>109</v>
      </c>
      <c r="B883" s="246" t="s">
        <v>66</v>
      </c>
      <c r="C883" s="246" t="s">
        <v>265</v>
      </c>
      <c r="D883" s="246" t="s">
        <v>291</v>
      </c>
      <c r="E883" s="246"/>
      <c r="F883" s="246" t="s">
        <v>275</v>
      </c>
      <c r="G883" s="132" t="s">
        <v>816</v>
      </c>
      <c r="H883" s="132" t="s">
        <v>1684</v>
      </c>
      <c r="I883" s="132">
        <v>-903886.29999999993</v>
      </c>
      <c r="J883" s="101" t="s">
        <v>889</v>
      </c>
      <c r="K883" s="245" t="s">
        <v>390</v>
      </c>
      <c r="L883" s="245">
        <v>42551</v>
      </c>
      <c r="M883" s="245" t="s">
        <v>421</v>
      </c>
      <c r="N883" s="101">
        <v>0</v>
      </c>
      <c r="O883" s="101" t="s">
        <v>392</v>
      </c>
      <c r="P883" s="101">
        <v>0</v>
      </c>
      <c r="Q883" s="101">
        <v>0</v>
      </c>
      <c r="R883" s="101" t="s">
        <v>422</v>
      </c>
      <c r="S883" s="101" t="s">
        <v>706</v>
      </c>
      <c r="T883" s="101" t="s">
        <v>394</v>
      </c>
      <c r="U883" s="101" t="s">
        <v>12</v>
      </c>
      <c r="V883" s="245">
        <v>14248</v>
      </c>
      <c r="W883" s="101" t="s">
        <v>411</v>
      </c>
      <c r="X883" s="101" t="s">
        <v>77</v>
      </c>
      <c r="Y883" s="101" t="s">
        <v>392</v>
      </c>
      <c r="Z883" s="101" t="s">
        <v>412</v>
      </c>
      <c r="AA883" s="101" t="s">
        <v>413</v>
      </c>
      <c r="AB883" s="101">
        <v>101000512</v>
      </c>
      <c r="AC883" s="101" t="s">
        <v>414</v>
      </c>
      <c r="AD883" s="101" t="s">
        <v>79</v>
      </c>
      <c r="AE883" s="101" t="s">
        <v>6</v>
      </c>
      <c r="AF883" s="101" t="s">
        <v>400</v>
      </c>
      <c r="AI883" s="101" t="s">
        <v>190</v>
      </c>
    </row>
    <row r="884" spans="1:35">
      <c r="A884" s="246" t="s">
        <v>111</v>
      </c>
      <c r="B884" s="246" t="s">
        <v>66</v>
      </c>
      <c r="C884" s="246" t="s">
        <v>126</v>
      </c>
      <c r="D884" s="246" t="s">
        <v>273</v>
      </c>
      <c r="E884" s="246"/>
      <c r="F884" s="246" t="s">
        <v>277</v>
      </c>
      <c r="G884" s="132">
        <v>-19485</v>
      </c>
      <c r="H884" s="132" t="s">
        <v>1685</v>
      </c>
      <c r="I884" s="132">
        <v>-19485</v>
      </c>
      <c r="J884" s="101" t="s">
        <v>889</v>
      </c>
      <c r="K884" s="245" t="s">
        <v>390</v>
      </c>
      <c r="L884" s="245">
        <v>42734</v>
      </c>
      <c r="M884" s="245" t="s">
        <v>391</v>
      </c>
      <c r="N884" s="101">
        <v>0</v>
      </c>
      <c r="O884" s="101" t="s">
        <v>392</v>
      </c>
      <c r="P884" s="101">
        <v>0</v>
      </c>
      <c r="Q884" s="101">
        <v>0</v>
      </c>
      <c r="R884" s="101" t="s">
        <v>422</v>
      </c>
      <c r="S884" s="101" t="s">
        <v>706</v>
      </c>
      <c r="T884" s="101" t="s">
        <v>394</v>
      </c>
      <c r="U884" s="101" t="s">
        <v>12</v>
      </c>
      <c r="V884" s="245">
        <v>14248</v>
      </c>
      <c r="W884" s="101" t="s">
        <v>411</v>
      </c>
      <c r="X884" s="101" t="s">
        <v>77</v>
      </c>
      <c r="Y884" s="101" t="s">
        <v>392</v>
      </c>
      <c r="Z884" s="101" t="s">
        <v>412</v>
      </c>
      <c r="AA884" s="101" t="s">
        <v>413</v>
      </c>
      <c r="AB884" s="101">
        <v>101000512</v>
      </c>
      <c r="AC884" s="101" t="s">
        <v>414</v>
      </c>
      <c r="AD884" s="101" t="s">
        <v>79</v>
      </c>
      <c r="AE884" s="101" t="s">
        <v>6</v>
      </c>
      <c r="AF884" s="101" t="s">
        <v>400</v>
      </c>
      <c r="AI884" s="101" t="s">
        <v>190</v>
      </c>
    </row>
    <row r="885" spans="1:35">
      <c r="A885" s="246" t="s">
        <v>112</v>
      </c>
      <c r="B885" s="246" t="s">
        <v>66</v>
      </c>
      <c r="C885" s="246" t="s">
        <v>126</v>
      </c>
      <c r="D885" s="246" t="s">
        <v>270</v>
      </c>
      <c r="E885" s="246"/>
      <c r="F885" s="246" t="s">
        <v>278</v>
      </c>
      <c r="G885" s="132">
        <v>-19485</v>
      </c>
      <c r="H885" s="132" t="s">
        <v>1685</v>
      </c>
      <c r="I885" s="132">
        <v>-19485</v>
      </c>
      <c r="J885" s="101" t="s">
        <v>889</v>
      </c>
      <c r="K885" s="245" t="s">
        <v>390</v>
      </c>
      <c r="L885" s="245">
        <v>42916</v>
      </c>
      <c r="M885" s="245" t="s">
        <v>391</v>
      </c>
      <c r="N885" s="101">
        <v>0</v>
      </c>
      <c r="O885" s="101" t="s">
        <v>392</v>
      </c>
      <c r="P885" s="101">
        <v>0</v>
      </c>
      <c r="Q885" s="101">
        <v>0</v>
      </c>
      <c r="R885" s="101" t="s">
        <v>422</v>
      </c>
      <c r="S885" s="101" t="s">
        <v>706</v>
      </c>
      <c r="T885" s="101" t="s">
        <v>394</v>
      </c>
      <c r="U885" s="101" t="s">
        <v>12</v>
      </c>
      <c r="V885" s="245">
        <v>14248</v>
      </c>
      <c r="W885" s="101" t="s">
        <v>411</v>
      </c>
      <c r="X885" s="101" t="s">
        <v>77</v>
      </c>
      <c r="Y885" s="101" t="s">
        <v>392</v>
      </c>
      <c r="Z885" s="101" t="s">
        <v>412</v>
      </c>
      <c r="AA885" s="101" t="s">
        <v>413</v>
      </c>
      <c r="AB885" s="101">
        <v>101000512</v>
      </c>
      <c r="AC885" s="101" t="s">
        <v>414</v>
      </c>
      <c r="AD885" s="101" t="s">
        <v>79</v>
      </c>
      <c r="AE885" s="101" t="s">
        <v>6</v>
      </c>
      <c r="AF885" s="101" t="s">
        <v>400</v>
      </c>
      <c r="AI885" s="101" t="s">
        <v>190</v>
      </c>
    </row>
    <row r="886" spans="1:35">
      <c r="A886" s="246" t="s">
        <v>113</v>
      </c>
      <c r="B886" s="246" t="s">
        <v>66</v>
      </c>
      <c r="C886" s="246" t="s">
        <v>126</v>
      </c>
      <c r="D886" s="246" t="s">
        <v>271</v>
      </c>
      <c r="E886" s="246"/>
      <c r="F886" s="246" t="s">
        <v>279</v>
      </c>
      <c r="G886" s="132" t="s">
        <v>415</v>
      </c>
      <c r="H886" s="132" t="s">
        <v>1686</v>
      </c>
      <c r="I886" s="132">
        <v>-19376.75</v>
      </c>
      <c r="J886" s="101" t="s">
        <v>889</v>
      </c>
      <c r="K886" s="245" t="s">
        <v>390</v>
      </c>
      <c r="L886" s="245">
        <v>43098</v>
      </c>
      <c r="M886" s="245" t="s">
        <v>391</v>
      </c>
      <c r="N886" s="101">
        <v>0</v>
      </c>
      <c r="O886" s="101" t="s">
        <v>392</v>
      </c>
      <c r="P886" s="101">
        <v>0</v>
      </c>
      <c r="Q886" s="101">
        <v>0</v>
      </c>
      <c r="R886" s="101" t="s">
        <v>422</v>
      </c>
      <c r="S886" s="101" t="s">
        <v>706</v>
      </c>
      <c r="T886" s="101" t="s">
        <v>394</v>
      </c>
      <c r="U886" s="101" t="s">
        <v>12</v>
      </c>
      <c r="V886" s="245">
        <v>14248</v>
      </c>
      <c r="W886" s="101" t="s">
        <v>411</v>
      </c>
      <c r="X886" s="101" t="s">
        <v>77</v>
      </c>
      <c r="Y886" s="101" t="s">
        <v>392</v>
      </c>
      <c r="Z886" s="101" t="s">
        <v>412</v>
      </c>
      <c r="AA886" s="101" t="s">
        <v>413</v>
      </c>
      <c r="AB886" s="101">
        <v>101000512</v>
      </c>
      <c r="AC886" s="101" t="s">
        <v>414</v>
      </c>
      <c r="AD886" s="101" t="s">
        <v>79</v>
      </c>
      <c r="AE886" s="101" t="s">
        <v>6</v>
      </c>
      <c r="AF886" s="101" t="s">
        <v>400</v>
      </c>
      <c r="AI886" s="101" t="s">
        <v>190</v>
      </c>
    </row>
    <row r="887" spans="1:35">
      <c r="A887" s="246" t="s">
        <v>110</v>
      </c>
      <c r="B887" s="246" t="s">
        <v>66</v>
      </c>
      <c r="C887" s="246" t="s">
        <v>126</v>
      </c>
      <c r="D887" s="246" t="s">
        <v>281</v>
      </c>
      <c r="E887" s="246"/>
      <c r="F887" s="246"/>
      <c r="G887" s="132" t="s">
        <v>578</v>
      </c>
      <c r="H887" s="132" t="s">
        <v>1687</v>
      </c>
      <c r="I887" s="132">
        <v>-237434.78999999998</v>
      </c>
      <c r="J887" s="101" t="s">
        <v>889</v>
      </c>
      <c r="K887" s="245" t="s">
        <v>390</v>
      </c>
      <c r="L887" s="245">
        <v>42674</v>
      </c>
      <c r="M887" s="245" t="s">
        <v>391</v>
      </c>
      <c r="N887" s="101">
        <v>0</v>
      </c>
      <c r="O887" s="101" t="s">
        <v>392</v>
      </c>
      <c r="P887" s="101">
        <v>0</v>
      </c>
      <c r="Q887" s="101">
        <v>0</v>
      </c>
      <c r="R887" s="101" t="s">
        <v>422</v>
      </c>
      <c r="S887" s="101" t="s">
        <v>568</v>
      </c>
      <c r="T887" s="101" t="s">
        <v>394</v>
      </c>
      <c r="U887" s="101" t="s">
        <v>83</v>
      </c>
      <c r="V887" s="245">
        <v>46371</v>
      </c>
      <c r="W887" s="101" t="s">
        <v>445</v>
      </c>
      <c r="X887" s="101" t="s">
        <v>76</v>
      </c>
      <c r="Y887" s="101" t="s">
        <v>392</v>
      </c>
      <c r="Z887" s="101" t="s">
        <v>412</v>
      </c>
      <c r="AA887" s="101" t="s">
        <v>478</v>
      </c>
      <c r="AB887" s="101">
        <v>3101053970</v>
      </c>
      <c r="AC887" s="101" t="s">
        <v>414</v>
      </c>
      <c r="AD887" s="101" t="s">
        <v>79</v>
      </c>
      <c r="AE887" s="101" t="s">
        <v>75</v>
      </c>
      <c r="AF887" s="101" t="s">
        <v>400</v>
      </c>
      <c r="AI887" s="101" t="s">
        <v>172</v>
      </c>
    </row>
    <row r="888" spans="1:35">
      <c r="A888" s="246" t="s">
        <v>110</v>
      </c>
      <c r="B888" s="246" t="s">
        <v>66</v>
      </c>
      <c r="C888" s="246" t="s">
        <v>264</v>
      </c>
      <c r="D888" s="246" t="s">
        <v>289</v>
      </c>
      <c r="E888" s="246"/>
      <c r="F888" s="246"/>
      <c r="G888" s="132" t="s">
        <v>579</v>
      </c>
      <c r="H888" s="132" t="s">
        <v>1688</v>
      </c>
      <c r="I888" s="132">
        <v>4073000.1</v>
      </c>
      <c r="J888" s="101" t="s">
        <v>889</v>
      </c>
      <c r="K888" s="245" t="s">
        <v>390</v>
      </c>
      <c r="L888" s="245">
        <v>42674</v>
      </c>
      <c r="M888" s="245" t="s">
        <v>421</v>
      </c>
      <c r="N888" s="101">
        <v>0</v>
      </c>
      <c r="O888" s="101" t="s">
        <v>392</v>
      </c>
      <c r="P888" s="101">
        <v>0</v>
      </c>
      <c r="Q888" s="101">
        <v>0</v>
      </c>
      <c r="R888" s="101" t="s">
        <v>410</v>
      </c>
      <c r="S888" s="101" t="s">
        <v>568</v>
      </c>
      <c r="T888" s="101" t="s">
        <v>394</v>
      </c>
      <c r="U888" s="101" t="s">
        <v>83</v>
      </c>
      <c r="V888" s="245">
        <v>46371</v>
      </c>
      <c r="W888" s="101" t="s">
        <v>445</v>
      </c>
      <c r="X888" s="101" t="s">
        <v>76</v>
      </c>
      <c r="Y888" s="101" t="s">
        <v>392</v>
      </c>
      <c r="Z888" s="101" t="s">
        <v>412</v>
      </c>
      <c r="AA888" s="101" t="s">
        <v>478</v>
      </c>
      <c r="AB888" s="101">
        <v>3101053970</v>
      </c>
      <c r="AC888" s="101" t="s">
        <v>414</v>
      </c>
      <c r="AD888" s="101" t="s">
        <v>79</v>
      </c>
      <c r="AE888" s="101" t="s">
        <v>75</v>
      </c>
      <c r="AF888" s="101" t="s">
        <v>400</v>
      </c>
      <c r="AI888" s="101" t="s">
        <v>172</v>
      </c>
    </row>
    <row r="889" spans="1:35">
      <c r="A889" s="246" t="s">
        <v>111</v>
      </c>
      <c r="B889" s="246" t="s">
        <v>66</v>
      </c>
      <c r="C889" s="246" t="s">
        <v>126</v>
      </c>
      <c r="D889" s="246" t="s">
        <v>273</v>
      </c>
      <c r="E889" s="246"/>
      <c r="F889" s="246"/>
      <c r="G889" s="132" t="s">
        <v>580</v>
      </c>
      <c r="H889" s="132" t="s">
        <v>1689</v>
      </c>
      <c r="I889" s="132">
        <v>-245770.47999999998</v>
      </c>
      <c r="J889" s="101" t="s">
        <v>889</v>
      </c>
      <c r="K889" s="245" t="s">
        <v>390</v>
      </c>
      <c r="L889" s="245">
        <v>42704</v>
      </c>
      <c r="M889" s="245" t="s">
        <v>391</v>
      </c>
      <c r="N889" s="101">
        <v>0</v>
      </c>
      <c r="O889" s="101" t="s">
        <v>392</v>
      </c>
      <c r="P889" s="101">
        <v>0</v>
      </c>
      <c r="Q889" s="101">
        <v>0</v>
      </c>
      <c r="R889" s="101" t="s">
        <v>422</v>
      </c>
      <c r="S889" s="101" t="s">
        <v>568</v>
      </c>
      <c r="T889" s="101" t="s">
        <v>394</v>
      </c>
      <c r="U889" s="101" t="s">
        <v>83</v>
      </c>
      <c r="V889" s="245">
        <v>46371</v>
      </c>
      <c r="W889" s="101" t="s">
        <v>445</v>
      </c>
      <c r="X889" s="101" t="s">
        <v>76</v>
      </c>
      <c r="Y889" s="101" t="s">
        <v>392</v>
      </c>
      <c r="Z889" s="101" t="s">
        <v>412</v>
      </c>
      <c r="AA889" s="101" t="s">
        <v>478</v>
      </c>
      <c r="AB889" s="101">
        <v>3101053970</v>
      </c>
      <c r="AC889" s="101" t="s">
        <v>414</v>
      </c>
      <c r="AD889" s="101" t="s">
        <v>79</v>
      </c>
      <c r="AE889" s="101" t="s">
        <v>75</v>
      </c>
      <c r="AF889" s="101" t="s">
        <v>400</v>
      </c>
      <c r="AI889" s="101" t="s">
        <v>172</v>
      </c>
    </row>
    <row r="890" spans="1:35">
      <c r="A890" s="246" t="s">
        <v>111</v>
      </c>
      <c r="B890" s="246" t="s">
        <v>66</v>
      </c>
      <c r="C890" s="246" t="s">
        <v>264</v>
      </c>
      <c r="D890" s="246" t="s">
        <v>284</v>
      </c>
      <c r="E890" s="246"/>
      <c r="F890" s="246"/>
      <c r="G890" s="132" t="s">
        <v>581</v>
      </c>
      <c r="H890" s="132" t="s">
        <v>1690</v>
      </c>
      <c r="I890" s="132">
        <v>4315993.3899999997</v>
      </c>
      <c r="J890" s="101" t="s">
        <v>889</v>
      </c>
      <c r="K890" s="245" t="s">
        <v>390</v>
      </c>
      <c r="L890" s="245">
        <v>42704</v>
      </c>
      <c r="M890" s="245" t="s">
        <v>421</v>
      </c>
      <c r="N890" s="101">
        <v>0</v>
      </c>
      <c r="O890" s="101" t="s">
        <v>392</v>
      </c>
      <c r="P890" s="101">
        <v>0</v>
      </c>
      <c r="Q890" s="101">
        <v>0</v>
      </c>
      <c r="R890" s="101" t="s">
        <v>410</v>
      </c>
      <c r="S890" s="101" t="s">
        <v>568</v>
      </c>
      <c r="T890" s="101" t="s">
        <v>394</v>
      </c>
      <c r="U890" s="101" t="s">
        <v>83</v>
      </c>
      <c r="V890" s="245">
        <v>46371</v>
      </c>
      <c r="W890" s="101" t="s">
        <v>445</v>
      </c>
      <c r="X890" s="101" t="s">
        <v>76</v>
      </c>
      <c r="Y890" s="101" t="s">
        <v>392</v>
      </c>
      <c r="Z890" s="101" t="s">
        <v>412</v>
      </c>
      <c r="AA890" s="101" t="s">
        <v>478</v>
      </c>
      <c r="AB890" s="101">
        <v>3101053970</v>
      </c>
      <c r="AC890" s="101" t="s">
        <v>414</v>
      </c>
      <c r="AD890" s="101" t="s">
        <v>79</v>
      </c>
      <c r="AE890" s="101" t="s">
        <v>75</v>
      </c>
      <c r="AF890" s="101" t="s">
        <v>400</v>
      </c>
      <c r="AI890" s="101" t="s">
        <v>172</v>
      </c>
    </row>
    <row r="891" spans="1:35">
      <c r="A891" s="246" t="s">
        <v>111</v>
      </c>
      <c r="B891" s="246" t="s">
        <v>66</v>
      </c>
      <c r="C891" s="246" t="s">
        <v>264</v>
      </c>
      <c r="D891" s="246" t="s">
        <v>284</v>
      </c>
      <c r="E891" s="246"/>
      <c r="F891" s="246"/>
      <c r="G891" s="132">
        <v>-66900000</v>
      </c>
      <c r="H891" s="132" t="s">
        <v>1691</v>
      </c>
      <c r="I891" s="132">
        <v>-66900000</v>
      </c>
      <c r="J891" s="101" t="s">
        <v>889</v>
      </c>
      <c r="K891" s="245" t="s">
        <v>390</v>
      </c>
      <c r="L891" s="245">
        <v>42719</v>
      </c>
      <c r="M891" s="245" t="s">
        <v>421</v>
      </c>
      <c r="N891" s="101">
        <v>0</v>
      </c>
      <c r="O891" s="101" t="s">
        <v>392</v>
      </c>
      <c r="P891" s="101">
        <v>0</v>
      </c>
      <c r="Q891" s="101">
        <v>0</v>
      </c>
      <c r="R891" s="101" t="s">
        <v>422</v>
      </c>
      <c r="S891" s="101" t="s">
        <v>568</v>
      </c>
      <c r="T891" s="101" t="s">
        <v>394</v>
      </c>
      <c r="U891" s="101" t="s">
        <v>83</v>
      </c>
      <c r="V891" s="245">
        <v>46371</v>
      </c>
      <c r="W891" s="101" t="s">
        <v>445</v>
      </c>
      <c r="X891" s="101" t="s">
        <v>76</v>
      </c>
      <c r="Y891" s="101" t="s">
        <v>392</v>
      </c>
      <c r="Z891" s="101" t="s">
        <v>412</v>
      </c>
      <c r="AA891" s="101" t="s">
        <v>478</v>
      </c>
      <c r="AB891" s="101">
        <v>3101053970</v>
      </c>
      <c r="AC891" s="101" t="s">
        <v>414</v>
      </c>
      <c r="AD891" s="101" t="s">
        <v>79</v>
      </c>
      <c r="AE891" s="101" t="s">
        <v>75</v>
      </c>
      <c r="AF891" s="101" t="s">
        <v>400</v>
      </c>
      <c r="AI891" s="101" t="s">
        <v>172</v>
      </c>
    </row>
    <row r="892" spans="1:35">
      <c r="A892" s="246" t="s">
        <v>111</v>
      </c>
      <c r="B892" s="246" t="s">
        <v>66</v>
      </c>
      <c r="C892" s="246" t="s">
        <v>264</v>
      </c>
      <c r="D892" s="246" t="s">
        <v>284</v>
      </c>
      <c r="E892" s="246"/>
      <c r="F892" s="246"/>
      <c r="G892" s="132" t="s">
        <v>582</v>
      </c>
      <c r="H892" s="132" t="s">
        <v>1692</v>
      </c>
      <c r="I892" s="132">
        <v>6421839.3899999997</v>
      </c>
      <c r="J892" s="101" t="s">
        <v>889</v>
      </c>
      <c r="K892" s="245" t="s">
        <v>390</v>
      </c>
      <c r="L892" s="245">
        <v>42734</v>
      </c>
      <c r="M892" s="245" t="s">
        <v>421</v>
      </c>
      <c r="N892" s="101">
        <v>0</v>
      </c>
      <c r="O892" s="101" t="s">
        <v>392</v>
      </c>
      <c r="P892" s="101">
        <v>0</v>
      </c>
      <c r="Q892" s="101">
        <v>0</v>
      </c>
      <c r="R892" s="101" t="s">
        <v>410</v>
      </c>
      <c r="S892" s="101" t="s">
        <v>568</v>
      </c>
      <c r="T892" s="101" t="s">
        <v>394</v>
      </c>
      <c r="U892" s="101" t="s">
        <v>83</v>
      </c>
      <c r="V892" s="245">
        <v>46371</v>
      </c>
      <c r="W892" s="101" t="s">
        <v>445</v>
      </c>
      <c r="X892" s="101" t="s">
        <v>76</v>
      </c>
      <c r="Y892" s="101" t="s">
        <v>392</v>
      </c>
      <c r="Z892" s="101" t="s">
        <v>412</v>
      </c>
      <c r="AA892" s="101" t="s">
        <v>478</v>
      </c>
      <c r="AB892" s="101">
        <v>3101053970</v>
      </c>
      <c r="AC892" s="101" t="s">
        <v>414</v>
      </c>
      <c r="AD892" s="101" t="s">
        <v>79</v>
      </c>
      <c r="AE892" s="101" t="s">
        <v>75</v>
      </c>
      <c r="AF892" s="101" t="s">
        <v>400</v>
      </c>
      <c r="AI892" s="101" t="s">
        <v>172</v>
      </c>
    </row>
    <row r="893" spans="1:35">
      <c r="A893" s="246" t="s">
        <v>111</v>
      </c>
      <c r="B893" s="246" t="s">
        <v>66</v>
      </c>
      <c r="C893" s="246" t="s">
        <v>126</v>
      </c>
      <c r="D893" s="246" t="s">
        <v>273</v>
      </c>
      <c r="E893" s="246"/>
      <c r="F893" s="246"/>
      <c r="G893" s="132" t="s">
        <v>583</v>
      </c>
      <c r="H893" s="132" t="s">
        <v>1693</v>
      </c>
      <c r="I893" s="132">
        <v>-132200.43</v>
      </c>
      <c r="J893" s="101" t="s">
        <v>889</v>
      </c>
      <c r="K893" s="245" t="s">
        <v>390</v>
      </c>
      <c r="L893" s="245">
        <v>42734</v>
      </c>
      <c r="M893" s="245" t="s">
        <v>391</v>
      </c>
      <c r="N893" s="101">
        <v>0</v>
      </c>
      <c r="O893" s="101" t="s">
        <v>392</v>
      </c>
      <c r="P893" s="101">
        <v>0</v>
      </c>
      <c r="Q893" s="101">
        <v>0</v>
      </c>
      <c r="R893" s="101" t="s">
        <v>422</v>
      </c>
      <c r="S893" s="101" t="s">
        <v>568</v>
      </c>
      <c r="T893" s="101" t="s">
        <v>394</v>
      </c>
      <c r="U893" s="101" t="s">
        <v>83</v>
      </c>
      <c r="V893" s="245">
        <v>46371</v>
      </c>
      <c r="W893" s="101" t="s">
        <v>445</v>
      </c>
      <c r="X893" s="101" t="s">
        <v>76</v>
      </c>
      <c r="Y893" s="101" t="s">
        <v>392</v>
      </c>
      <c r="Z893" s="101" t="s">
        <v>412</v>
      </c>
      <c r="AA893" s="101" t="s">
        <v>478</v>
      </c>
      <c r="AB893" s="101">
        <v>3101053970</v>
      </c>
      <c r="AC893" s="101" t="s">
        <v>414</v>
      </c>
      <c r="AD893" s="101" t="s">
        <v>79</v>
      </c>
      <c r="AE893" s="101" t="s">
        <v>75</v>
      </c>
      <c r="AF893" s="101" t="s">
        <v>400</v>
      </c>
      <c r="AI893" s="101" t="s">
        <v>172</v>
      </c>
    </row>
    <row r="894" spans="1:35">
      <c r="A894" s="246" t="s">
        <v>111</v>
      </c>
      <c r="B894" s="246" t="s">
        <v>66</v>
      </c>
      <c r="C894" s="246" t="s">
        <v>126</v>
      </c>
      <c r="D894" s="246" t="s">
        <v>273</v>
      </c>
      <c r="E894" s="246"/>
      <c r="F894" s="246"/>
      <c r="G894" s="132" t="s">
        <v>584</v>
      </c>
      <c r="H894" s="132" t="s">
        <v>1694</v>
      </c>
      <c r="I894" s="132">
        <v>-26128.6</v>
      </c>
      <c r="J894" s="101" t="s">
        <v>889</v>
      </c>
      <c r="K894" s="245" t="s">
        <v>390</v>
      </c>
      <c r="L894" s="245">
        <v>42766</v>
      </c>
      <c r="M894" s="245" t="s">
        <v>391</v>
      </c>
      <c r="N894" s="101">
        <v>0</v>
      </c>
      <c r="O894" s="101" t="s">
        <v>392</v>
      </c>
      <c r="P894" s="101">
        <v>0</v>
      </c>
      <c r="Q894" s="101">
        <v>0</v>
      </c>
      <c r="R894" s="101" t="s">
        <v>422</v>
      </c>
      <c r="S894" s="101" t="s">
        <v>568</v>
      </c>
      <c r="T894" s="101" t="s">
        <v>394</v>
      </c>
      <c r="U894" s="101" t="s">
        <v>83</v>
      </c>
      <c r="V894" s="245">
        <v>46371</v>
      </c>
      <c r="W894" s="101" t="s">
        <v>445</v>
      </c>
      <c r="X894" s="101" t="s">
        <v>76</v>
      </c>
      <c r="Y894" s="101" t="s">
        <v>392</v>
      </c>
      <c r="Z894" s="101" t="s">
        <v>412</v>
      </c>
      <c r="AA894" s="101" t="s">
        <v>478</v>
      </c>
      <c r="AB894" s="101">
        <v>3101053970</v>
      </c>
      <c r="AC894" s="101" t="s">
        <v>414</v>
      </c>
      <c r="AD894" s="101" t="s">
        <v>79</v>
      </c>
      <c r="AE894" s="101" t="s">
        <v>75</v>
      </c>
      <c r="AF894" s="101" t="s">
        <v>400</v>
      </c>
      <c r="AI894" s="101" t="s">
        <v>172</v>
      </c>
    </row>
    <row r="895" spans="1:35">
      <c r="A895" s="246" t="s">
        <v>111</v>
      </c>
      <c r="B895" s="246" t="s">
        <v>66</v>
      </c>
      <c r="C895" s="246" t="s">
        <v>264</v>
      </c>
      <c r="D895" s="246" t="s">
        <v>284</v>
      </c>
      <c r="E895" s="246"/>
      <c r="F895" s="246"/>
      <c r="G895" s="132" t="s">
        <v>585</v>
      </c>
      <c r="H895" s="132" t="s">
        <v>1695</v>
      </c>
      <c r="I895" s="132">
        <v>7827008.1399999997</v>
      </c>
      <c r="J895" s="101" t="s">
        <v>889</v>
      </c>
      <c r="K895" s="245" t="s">
        <v>390</v>
      </c>
      <c r="L895" s="245">
        <v>42766</v>
      </c>
      <c r="M895" s="245" t="s">
        <v>421</v>
      </c>
      <c r="N895" s="101">
        <v>0</v>
      </c>
      <c r="O895" s="101" t="s">
        <v>392</v>
      </c>
      <c r="P895" s="101">
        <v>0</v>
      </c>
      <c r="Q895" s="101">
        <v>0</v>
      </c>
      <c r="R895" s="101" t="s">
        <v>410</v>
      </c>
      <c r="S895" s="101" t="s">
        <v>568</v>
      </c>
      <c r="T895" s="101" t="s">
        <v>394</v>
      </c>
      <c r="U895" s="101" t="s">
        <v>83</v>
      </c>
      <c r="V895" s="245">
        <v>46371</v>
      </c>
      <c r="W895" s="101" t="s">
        <v>445</v>
      </c>
      <c r="X895" s="101" t="s">
        <v>76</v>
      </c>
      <c r="Y895" s="101" t="s">
        <v>392</v>
      </c>
      <c r="Z895" s="101" t="s">
        <v>412</v>
      </c>
      <c r="AA895" s="101" t="s">
        <v>478</v>
      </c>
      <c r="AB895" s="101">
        <v>3101053970</v>
      </c>
      <c r="AC895" s="101" t="s">
        <v>414</v>
      </c>
      <c r="AD895" s="101" t="s">
        <v>79</v>
      </c>
      <c r="AE895" s="101" t="s">
        <v>75</v>
      </c>
      <c r="AF895" s="101" t="s">
        <v>400</v>
      </c>
      <c r="AI895" s="101" t="s">
        <v>172</v>
      </c>
    </row>
    <row r="896" spans="1:35">
      <c r="A896" s="246" t="s">
        <v>111</v>
      </c>
      <c r="B896" s="246" t="s">
        <v>66</v>
      </c>
      <c r="C896" s="246" t="s">
        <v>126</v>
      </c>
      <c r="D896" s="246" t="s">
        <v>273</v>
      </c>
      <c r="E896" s="246"/>
      <c r="F896" s="246"/>
      <c r="G896" s="132" t="s">
        <v>586</v>
      </c>
      <c r="H896" s="132" t="s">
        <v>1696</v>
      </c>
      <c r="I896" s="132">
        <v>-52368.61</v>
      </c>
      <c r="J896" s="101" t="s">
        <v>889</v>
      </c>
      <c r="K896" s="245" t="s">
        <v>390</v>
      </c>
      <c r="L896" s="245">
        <v>42794</v>
      </c>
      <c r="M896" s="245" t="s">
        <v>391</v>
      </c>
      <c r="N896" s="101">
        <v>0</v>
      </c>
      <c r="O896" s="101" t="s">
        <v>392</v>
      </c>
      <c r="P896" s="101">
        <v>0</v>
      </c>
      <c r="Q896" s="101">
        <v>0</v>
      </c>
      <c r="R896" s="101" t="s">
        <v>422</v>
      </c>
      <c r="S896" s="101" t="s">
        <v>568</v>
      </c>
      <c r="T896" s="101" t="s">
        <v>394</v>
      </c>
      <c r="U896" s="101" t="s">
        <v>83</v>
      </c>
      <c r="V896" s="245">
        <v>46371</v>
      </c>
      <c r="W896" s="101" t="s">
        <v>445</v>
      </c>
      <c r="X896" s="101" t="s">
        <v>76</v>
      </c>
      <c r="Y896" s="101" t="s">
        <v>392</v>
      </c>
      <c r="Z896" s="101" t="s">
        <v>412</v>
      </c>
      <c r="AA896" s="101" t="s">
        <v>478</v>
      </c>
      <c r="AB896" s="101">
        <v>3101053970</v>
      </c>
      <c r="AC896" s="101" t="s">
        <v>414</v>
      </c>
      <c r="AD896" s="101" t="s">
        <v>79</v>
      </c>
      <c r="AE896" s="101" t="s">
        <v>75</v>
      </c>
      <c r="AF896" s="101" t="s">
        <v>400</v>
      </c>
      <c r="AI896" s="101" t="s">
        <v>172</v>
      </c>
    </row>
    <row r="897" spans="1:35">
      <c r="A897" s="246" t="s">
        <v>111</v>
      </c>
      <c r="B897" s="246" t="s">
        <v>66</v>
      </c>
      <c r="C897" s="246" t="s">
        <v>264</v>
      </c>
      <c r="D897" s="246" t="s">
        <v>284</v>
      </c>
      <c r="E897" s="246"/>
      <c r="F897" s="246"/>
      <c r="G897" s="132" t="s">
        <v>587</v>
      </c>
      <c r="H897" s="132" t="s">
        <v>1697</v>
      </c>
      <c r="I897" s="132">
        <v>8309003.5699999994</v>
      </c>
      <c r="J897" s="101" t="s">
        <v>889</v>
      </c>
      <c r="K897" s="245" t="s">
        <v>390</v>
      </c>
      <c r="L897" s="245">
        <v>42794</v>
      </c>
      <c r="M897" s="245" t="s">
        <v>421</v>
      </c>
      <c r="N897" s="101">
        <v>0</v>
      </c>
      <c r="O897" s="101" t="s">
        <v>392</v>
      </c>
      <c r="P897" s="101">
        <v>0</v>
      </c>
      <c r="Q897" s="101">
        <v>0</v>
      </c>
      <c r="R897" s="101" t="s">
        <v>410</v>
      </c>
      <c r="S897" s="101" t="s">
        <v>568</v>
      </c>
      <c r="T897" s="101" t="s">
        <v>394</v>
      </c>
      <c r="U897" s="101" t="s">
        <v>83</v>
      </c>
      <c r="V897" s="245">
        <v>46371</v>
      </c>
      <c r="W897" s="101" t="s">
        <v>445</v>
      </c>
      <c r="X897" s="101" t="s">
        <v>76</v>
      </c>
      <c r="Y897" s="101" t="s">
        <v>392</v>
      </c>
      <c r="Z897" s="101" t="s">
        <v>412</v>
      </c>
      <c r="AA897" s="101" t="s">
        <v>478</v>
      </c>
      <c r="AB897" s="101">
        <v>3101053970</v>
      </c>
      <c r="AC897" s="101" t="s">
        <v>414</v>
      </c>
      <c r="AD897" s="101" t="s">
        <v>79</v>
      </c>
      <c r="AE897" s="101" t="s">
        <v>75</v>
      </c>
      <c r="AF897" s="101" t="s">
        <v>400</v>
      </c>
      <c r="AI897" s="101" t="s">
        <v>172</v>
      </c>
    </row>
    <row r="898" spans="1:35">
      <c r="A898" s="246" t="s">
        <v>111</v>
      </c>
      <c r="B898" s="246" t="s">
        <v>66</v>
      </c>
      <c r="C898" s="246" t="s">
        <v>126</v>
      </c>
      <c r="D898" s="246" t="s">
        <v>273</v>
      </c>
      <c r="E898" s="246"/>
      <c r="F898" s="246"/>
      <c r="G898" s="132" t="s">
        <v>588</v>
      </c>
      <c r="H898" s="132" t="s">
        <v>1698</v>
      </c>
      <c r="I898" s="132">
        <v>-91789.45</v>
      </c>
      <c r="J898" s="101" t="s">
        <v>889</v>
      </c>
      <c r="K898" s="245" t="s">
        <v>390</v>
      </c>
      <c r="L898" s="245">
        <v>42825</v>
      </c>
      <c r="M898" s="245" t="s">
        <v>391</v>
      </c>
      <c r="N898" s="101">
        <v>0</v>
      </c>
      <c r="O898" s="101" t="s">
        <v>392</v>
      </c>
      <c r="P898" s="101">
        <v>0</v>
      </c>
      <c r="Q898" s="101">
        <v>0</v>
      </c>
      <c r="R898" s="101" t="s">
        <v>422</v>
      </c>
      <c r="S898" s="101" t="s">
        <v>568</v>
      </c>
      <c r="T898" s="101" t="s">
        <v>394</v>
      </c>
      <c r="U898" s="101" t="s">
        <v>83</v>
      </c>
      <c r="V898" s="245">
        <v>46371</v>
      </c>
      <c r="W898" s="101" t="s">
        <v>445</v>
      </c>
      <c r="X898" s="101" t="s">
        <v>76</v>
      </c>
      <c r="Y898" s="101" t="s">
        <v>392</v>
      </c>
      <c r="Z898" s="101" t="s">
        <v>412</v>
      </c>
      <c r="AA898" s="101" t="s">
        <v>478</v>
      </c>
      <c r="AB898" s="101">
        <v>3101053970</v>
      </c>
      <c r="AC898" s="101" t="s">
        <v>414</v>
      </c>
      <c r="AD898" s="101" t="s">
        <v>79</v>
      </c>
      <c r="AE898" s="101" t="s">
        <v>75</v>
      </c>
      <c r="AF898" s="101" t="s">
        <v>400</v>
      </c>
      <c r="AI898" s="101" t="s">
        <v>172</v>
      </c>
    </row>
    <row r="899" spans="1:35">
      <c r="A899" s="246" t="s">
        <v>111</v>
      </c>
      <c r="B899" s="246" t="s">
        <v>66</v>
      </c>
      <c r="C899" s="246" t="s">
        <v>264</v>
      </c>
      <c r="D899" s="246" t="s">
        <v>284</v>
      </c>
      <c r="E899" s="246"/>
      <c r="F899" s="246"/>
      <c r="G899" s="132" t="s">
        <v>589</v>
      </c>
      <c r="H899" s="132" t="s">
        <v>1699</v>
      </c>
      <c r="I899" s="132">
        <v>7496523.3700000001</v>
      </c>
      <c r="J899" s="101" t="s">
        <v>889</v>
      </c>
      <c r="K899" s="245" t="s">
        <v>390</v>
      </c>
      <c r="L899" s="245">
        <v>42825</v>
      </c>
      <c r="M899" s="245" t="s">
        <v>421</v>
      </c>
      <c r="N899" s="101">
        <v>0</v>
      </c>
      <c r="O899" s="101" t="s">
        <v>392</v>
      </c>
      <c r="P899" s="101">
        <v>0</v>
      </c>
      <c r="Q899" s="101">
        <v>0</v>
      </c>
      <c r="R899" s="101" t="s">
        <v>410</v>
      </c>
      <c r="S899" s="101" t="s">
        <v>568</v>
      </c>
      <c r="T899" s="101" t="s">
        <v>394</v>
      </c>
      <c r="U899" s="101" t="s">
        <v>83</v>
      </c>
      <c r="V899" s="245">
        <v>46371</v>
      </c>
      <c r="W899" s="101" t="s">
        <v>445</v>
      </c>
      <c r="X899" s="101" t="s">
        <v>76</v>
      </c>
      <c r="Y899" s="101" t="s">
        <v>392</v>
      </c>
      <c r="Z899" s="101" t="s">
        <v>412</v>
      </c>
      <c r="AA899" s="101" t="s">
        <v>478</v>
      </c>
      <c r="AB899" s="101">
        <v>3101053970</v>
      </c>
      <c r="AC899" s="101" t="s">
        <v>414</v>
      </c>
      <c r="AD899" s="101" t="s">
        <v>79</v>
      </c>
      <c r="AE899" s="101" t="s">
        <v>75</v>
      </c>
      <c r="AF899" s="101" t="s">
        <v>400</v>
      </c>
      <c r="AI899" s="101" t="s">
        <v>172</v>
      </c>
    </row>
    <row r="900" spans="1:35">
      <c r="A900" s="246" t="s">
        <v>111</v>
      </c>
      <c r="B900" s="246" t="s">
        <v>66</v>
      </c>
      <c r="C900" s="246" t="s">
        <v>264</v>
      </c>
      <c r="D900" s="246" t="s">
        <v>284</v>
      </c>
      <c r="E900" s="246"/>
      <c r="F900" s="246"/>
      <c r="G900" s="132" t="s">
        <v>590</v>
      </c>
      <c r="H900" s="132" t="s">
        <v>1700</v>
      </c>
      <c r="I900" s="132">
        <v>7808825.6299999999</v>
      </c>
      <c r="J900" s="101" t="s">
        <v>889</v>
      </c>
      <c r="K900" s="245" t="s">
        <v>390</v>
      </c>
      <c r="L900" s="245">
        <v>42853</v>
      </c>
      <c r="M900" s="245" t="s">
        <v>421</v>
      </c>
      <c r="N900" s="101">
        <v>0</v>
      </c>
      <c r="O900" s="101" t="s">
        <v>392</v>
      </c>
      <c r="P900" s="101">
        <v>0</v>
      </c>
      <c r="Q900" s="101">
        <v>0</v>
      </c>
      <c r="R900" s="101" t="s">
        <v>410</v>
      </c>
      <c r="S900" s="101" t="s">
        <v>568</v>
      </c>
      <c r="T900" s="101" t="s">
        <v>394</v>
      </c>
      <c r="U900" s="101" t="s">
        <v>83</v>
      </c>
      <c r="V900" s="245">
        <v>46371</v>
      </c>
      <c r="W900" s="101" t="s">
        <v>445</v>
      </c>
      <c r="X900" s="101" t="s">
        <v>76</v>
      </c>
      <c r="Y900" s="101" t="s">
        <v>392</v>
      </c>
      <c r="Z900" s="101" t="s">
        <v>412</v>
      </c>
      <c r="AA900" s="101" t="s">
        <v>478</v>
      </c>
      <c r="AB900" s="101">
        <v>3101053970</v>
      </c>
      <c r="AC900" s="101" t="s">
        <v>414</v>
      </c>
      <c r="AD900" s="101" t="s">
        <v>79</v>
      </c>
      <c r="AE900" s="101" t="s">
        <v>75</v>
      </c>
      <c r="AF900" s="101" t="s">
        <v>400</v>
      </c>
      <c r="AI900" s="101" t="s">
        <v>172</v>
      </c>
    </row>
    <row r="901" spans="1:35">
      <c r="A901" s="246" t="s">
        <v>111</v>
      </c>
      <c r="B901" s="246" t="s">
        <v>66</v>
      </c>
      <c r="C901" s="246" t="s">
        <v>126</v>
      </c>
      <c r="D901" s="246" t="s">
        <v>273</v>
      </c>
      <c r="E901" s="246"/>
      <c r="F901" s="246"/>
      <c r="G901" s="132" t="s">
        <v>591</v>
      </c>
      <c r="H901" s="132" t="s">
        <v>1701</v>
      </c>
      <c r="I901" s="132">
        <v>-120398.34</v>
      </c>
      <c r="J901" s="101" t="s">
        <v>889</v>
      </c>
      <c r="K901" s="245" t="s">
        <v>390</v>
      </c>
      <c r="L901" s="245">
        <v>42853</v>
      </c>
      <c r="M901" s="245" t="s">
        <v>391</v>
      </c>
      <c r="N901" s="101">
        <v>0</v>
      </c>
      <c r="O901" s="101" t="s">
        <v>392</v>
      </c>
      <c r="P901" s="101">
        <v>0</v>
      </c>
      <c r="Q901" s="101">
        <v>0</v>
      </c>
      <c r="R901" s="101" t="s">
        <v>422</v>
      </c>
      <c r="S901" s="101" t="s">
        <v>568</v>
      </c>
      <c r="T901" s="101" t="s">
        <v>394</v>
      </c>
      <c r="U901" s="101" t="s">
        <v>83</v>
      </c>
      <c r="V901" s="245">
        <v>46371</v>
      </c>
      <c r="W901" s="101" t="s">
        <v>445</v>
      </c>
      <c r="X901" s="101" t="s">
        <v>76</v>
      </c>
      <c r="Y901" s="101" t="s">
        <v>392</v>
      </c>
      <c r="Z901" s="101" t="s">
        <v>412</v>
      </c>
      <c r="AA901" s="101" t="s">
        <v>478</v>
      </c>
      <c r="AB901" s="101">
        <v>3101053970</v>
      </c>
      <c r="AC901" s="101" t="s">
        <v>414</v>
      </c>
      <c r="AD901" s="101" t="s">
        <v>79</v>
      </c>
      <c r="AE901" s="101" t="s">
        <v>75</v>
      </c>
      <c r="AF901" s="101" t="s">
        <v>400</v>
      </c>
      <c r="AI901" s="101" t="s">
        <v>172</v>
      </c>
    </row>
    <row r="902" spans="1:35">
      <c r="A902" s="246" t="s">
        <v>112</v>
      </c>
      <c r="B902" s="246" t="s">
        <v>66</v>
      </c>
      <c r="C902" s="246" t="s">
        <v>126</v>
      </c>
      <c r="D902" s="246" t="s">
        <v>270</v>
      </c>
      <c r="E902" s="246"/>
      <c r="F902" s="246"/>
      <c r="G902" s="132" t="s">
        <v>592</v>
      </c>
      <c r="H902" s="132" t="s">
        <v>1702</v>
      </c>
      <c r="I902" s="132">
        <v>-154067.94999999998</v>
      </c>
      <c r="J902" s="101" t="s">
        <v>889</v>
      </c>
      <c r="K902" s="245" t="s">
        <v>390</v>
      </c>
      <c r="L902" s="245">
        <v>42886</v>
      </c>
      <c r="M902" s="245" t="s">
        <v>391</v>
      </c>
      <c r="N902" s="101">
        <v>0</v>
      </c>
      <c r="O902" s="101" t="s">
        <v>392</v>
      </c>
      <c r="P902" s="101">
        <v>0</v>
      </c>
      <c r="Q902" s="101">
        <v>0</v>
      </c>
      <c r="R902" s="101" t="s">
        <v>422</v>
      </c>
      <c r="S902" s="101" t="s">
        <v>568</v>
      </c>
      <c r="T902" s="101" t="s">
        <v>394</v>
      </c>
      <c r="U902" s="101" t="s">
        <v>83</v>
      </c>
      <c r="V902" s="245">
        <v>46371</v>
      </c>
      <c r="W902" s="101" t="s">
        <v>445</v>
      </c>
      <c r="X902" s="101" t="s">
        <v>76</v>
      </c>
      <c r="Y902" s="101" t="s">
        <v>392</v>
      </c>
      <c r="Z902" s="101" t="s">
        <v>412</v>
      </c>
      <c r="AA902" s="101" t="s">
        <v>478</v>
      </c>
      <c r="AB902" s="101">
        <v>3101053970</v>
      </c>
      <c r="AC902" s="101" t="s">
        <v>414</v>
      </c>
      <c r="AD902" s="101" t="s">
        <v>79</v>
      </c>
      <c r="AE902" s="101" t="s">
        <v>75</v>
      </c>
      <c r="AF902" s="101" t="s">
        <v>400</v>
      </c>
      <c r="AI902" s="101" t="s">
        <v>172</v>
      </c>
    </row>
    <row r="903" spans="1:35">
      <c r="A903" s="246" t="s">
        <v>112</v>
      </c>
      <c r="B903" s="246" t="s">
        <v>66</v>
      </c>
      <c r="C903" s="246" t="s">
        <v>264</v>
      </c>
      <c r="D903" s="246" t="s">
        <v>290</v>
      </c>
      <c r="E903" s="246"/>
      <c r="F903" s="246"/>
      <c r="G903" s="132" t="s">
        <v>593</v>
      </c>
      <c r="H903" s="132" t="s">
        <v>1703</v>
      </c>
      <c r="I903" s="132">
        <v>5126924.92</v>
      </c>
      <c r="J903" s="101" t="s">
        <v>889</v>
      </c>
      <c r="K903" s="245" t="s">
        <v>390</v>
      </c>
      <c r="L903" s="245">
        <v>42886</v>
      </c>
      <c r="M903" s="245" t="s">
        <v>421</v>
      </c>
      <c r="N903" s="101">
        <v>0</v>
      </c>
      <c r="O903" s="101" t="s">
        <v>392</v>
      </c>
      <c r="P903" s="101">
        <v>0</v>
      </c>
      <c r="Q903" s="101">
        <v>0</v>
      </c>
      <c r="R903" s="101" t="s">
        <v>410</v>
      </c>
      <c r="S903" s="101" t="s">
        <v>568</v>
      </c>
      <c r="T903" s="101" t="s">
        <v>394</v>
      </c>
      <c r="U903" s="101" t="s">
        <v>83</v>
      </c>
      <c r="V903" s="245">
        <v>46371</v>
      </c>
      <c r="W903" s="101" t="s">
        <v>445</v>
      </c>
      <c r="X903" s="101" t="s">
        <v>76</v>
      </c>
      <c r="Y903" s="101" t="s">
        <v>392</v>
      </c>
      <c r="Z903" s="101" t="s">
        <v>412</v>
      </c>
      <c r="AA903" s="101" t="s">
        <v>478</v>
      </c>
      <c r="AB903" s="101">
        <v>3101053970</v>
      </c>
      <c r="AC903" s="101" t="s">
        <v>414</v>
      </c>
      <c r="AD903" s="101" t="s">
        <v>79</v>
      </c>
      <c r="AE903" s="101" t="s">
        <v>75</v>
      </c>
      <c r="AF903" s="101" t="s">
        <v>400</v>
      </c>
      <c r="AI903" s="101" t="s">
        <v>172</v>
      </c>
    </row>
    <row r="904" spans="1:35">
      <c r="A904" s="246" t="s">
        <v>112</v>
      </c>
      <c r="B904" s="246" t="s">
        <v>66</v>
      </c>
      <c r="C904" s="246" t="s">
        <v>126</v>
      </c>
      <c r="D904" s="246" t="s">
        <v>270</v>
      </c>
      <c r="E904" s="246"/>
      <c r="F904" s="246"/>
      <c r="G904" s="132" t="s">
        <v>594</v>
      </c>
      <c r="H904" s="132" t="s">
        <v>1704</v>
      </c>
      <c r="I904" s="132">
        <v>-169286.86</v>
      </c>
      <c r="J904" s="101" t="s">
        <v>889</v>
      </c>
      <c r="K904" s="245" t="s">
        <v>390</v>
      </c>
      <c r="L904" s="245">
        <v>42916</v>
      </c>
      <c r="M904" s="245" t="s">
        <v>391</v>
      </c>
      <c r="N904" s="101">
        <v>0</v>
      </c>
      <c r="O904" s="101" t="s">
        <v>392</v>
      </c>
      <c r="P904" s="101">
        <v>0</v>
      </c>
      <c r="Q904" s="101">
        <v>0</v>
      </c>
      <c r="R904" s="101" t="s">
        <v>422</v>
      </c>
      <c r="S904" s="101" t="s">
        <v>568</v>
      </c>
      <c r="T904" s="101" t="s">
        <v>394</v>
      </c>
      <c r="U904" s="101" t="s">
        <v>83</v>
      </c>
      <c r="V904" s="245">
        <v>46371</v>
      </c>
      <c r="W904" s="101" t="s">
        <v>445</v>
      </c>
      <c r="X904" s="101" t="s">
        <v>76</v>
      </c>
      <c r="Y904" s="101" t="s">
        <v>392</v>
      </c>
      <c r="Z904" s="101" t="s">
        <v>412</v>
      </c>
      <c r="AA904" s="101" t="s">
        <v>478</v>
      </c>
      <c r="AB904" s="101">
        <v>3101053970</v>
      </c>
      <c r="AC904" s="101" t="s">
        <v>414</v>
      </c>
      <c r="AD904" s="101" t="s">
        <v>79</v>
      </c>
      <c r="AE904" s="101" t="s">
        <v>75</v>
      </c>
      <c r="AF904" s="101" t="s">
        <v>400</v>
      </c>
      <c r="AI904" s="101" t="s">
        <v>172</v>
      </c>
    </row>
    <row r="905" spans="1:35">
      <c r="A905" s="246" t="s">
        <v>112</v>
      </c>
      <c r="B905" s="246" t="s">
        <v>66</v>
      </c>
      <c r="C905" s="246" t="s">
        <v>264</v>
      </c>
      <c r="D905" s="246" t="s">
        <v>290</v>
      </c>
      <c r="E905" s="246"/>
      <c r="F905" s="246"/>
      <c r="G905" s="132" t="s">
        <v>595</v>
      </c>
      <c r="H905" s="132" t="s">
        <v>1705</v>
      </c>
      <c r="I905" s="132">
        <v>4093968.8299999996</v>
      </c>
      <c r="J905" s="101" t="s">
        <v>889</v>
      </c>
      <c r="K905" s="245" t="s">
        <v>390</v>
      </c>
      <c r="L905" s="245">
        <v>42916</v>
      </c>
      <c r="M905" s="245" t="s">
        <v>421</v>
      </c>
      <c r="N905" s="101">
        <v>0</v>
      </c>
      <c r="O905" s="101" t="s">
        <v>392</v>
      </c>
      <c r="P905" s="101">
        <v>0</v>
      </c>
      <c r="Q905" s="101">
        <v>0</v>
      </c>
      <c r="R905" s="101" t="s">
        <v>410</v>
      </c>
      <c r="S905" s="101" t="s">
        <v>568</v>
      </c>
      <c r="T905" s="101" t="s">
        <v>394</v>
      </c>
      <c r="U905" s="101" t="s">
        <v>83</v>
      </c>
      <c r="V905" s="245">
        <v>46371</v>
      </c>
      <c r="W905" s="101" t="s">
        <v>445</v>
      </c>
      <c r="X905" s="101" t="s">
        <v>76</v>
      </c>
      <c r="Y905" s="101" t="s">
        <v>392</v>
      </c>
      <c r="Z905" s="101" t="s">
        <v>412</v>
      </c>
      <c r="AA905" s="101" t="s">
        <v>478</v>
      </c>
      <c r="AB905" s="101">
        <v>3101053970</v>
      </c>
      <c r="AC905" s="101" t="s">
        <v>414</v>
      </c>
      <c r="AD905" s="101" t="s">
        <v>79</v>
      </c>
      <c r="AE905" s="101" t="s">
        <v>75</v>
      </c>
      <c r="AF905" s="101" t="s">
        <v>400</v>
      </c>
      <c r="AI905" s="101" t="s">
        <v>172</v>
      </c>
    </row>
    <row r="906" spans="1:35">
      <c r="A906" s="246" t="s">
        <v>112</v>
      </c>
      <c r="B906" s="246" t="s">
        <v>66</v>
      </c>
      <c r="C906" s="246" t="s">
        <v>126</v>
      </c>
      <c r="D906" s="246" t="s">
        <v>270</v>
      </c>
      <c r="E906" s="246"/>
      <c r="F906" s="246"/>
      <c r="G906" s="132" t="s">
        <v>596</v>
      </c>
      <c r="H906" s="132" t="s">
        <v>1706</v>
      </c>
      <c r="I906" s="132">
        <v>-191588.41</v>
      </c>
      <c r="J906" s="101" t="s">
        <v>889</v>
      </c>
      <c r="K906" s="245" t="s">
        <v>390</v>
      </c>
      <c r="L906" s="245">
        <v>42947</v>
      </c>
      <c r="M906" s="245" t="s">
        <v>391</v>
      </c>
      <c r="N906" s="101">
        <v>0</v>
      </c>
      <c r="O906" s="101" t="s">
        <v>392</v>
      </c>
      <c r="P906" s="101">
        <v>0</v>
      </c>
      <c r="Q906" s="101">
        <v>0</v>
      </c>
      <c r="R906" s="101" t="s">
        <v>422</v>
      </c>
      <c r="S906" s="101" t="s">
        <v>568</v>
      </c>
      <c r="T906" s="101" t="s">
        <v>394</v>
      </c>
      <c r="U906" s="101" t="s">
        <v>83</v>
      </c>
      <c r="V906" s="245">
        <v>46371</v>
      </c>
      <c r="W906" s="101" t="s">
        <v>445</v>
      </c>
      <c r="X906" s="101" t="s">
        <v>76</v>
      </c>
      <c r="Y906" s="101" t="s">
        <v>392</v>
      </c>
      <c r="Z906" s="101" t="s">
        <v>412</v>
      </c>
      <c r="AA906" s="101" t="s">
        <v>478</v>
      </c>
      <c r="AB906" s="101">
        <v>3101053970</v>
      </c>
      <c r="AC906" s="101" t="s">
        <v>414</v>
      </c>
      <c r="AD906" s="101" t="s">
        <v>79</v>
      </c>
      <c r="AE906" s="101" t="s">
        <v>75</v>
      </c>
      <c r="AF906" s="101" t="s">
        <v>400</v>
      </c>
      <c r="AI906" s="101" t="s">
        <v>172</v>
      </c>
    </row>
    <row r="907" spans="1:35">
      <c r="A907" s="246" t="s">
        <v>112</v>
      </c>
      <c r="B907" s="246" t="s">
        <v>66</v>
      </c>
      <c r="C907" s="246" t="s">
        <v>264</v>
      </c>
      <c r="D907" s="246" t="s">
        <v>290</v>
      </c>
      <c r="E907" s="246"/>
      <c r="F907" s="246"/>
      <c r="G907" s="132" t="s">
        <v>597</v>
      </c>
      <c r="H907" s="132" t="s">
        <v>1707</v>
      </c>
      <c r="I907" s="132">
        <v>4059816.1</v>
      </c>
      <c r="J907" s="101" t="s">
        <v>889</v>
      </c>
      <c r="K907" s="245" t="s">
        <v>390</v>
      </c>
      <c r="L907" s="245">
        <v>42947</v>
      </c>
      <c r="M907" s="245" t="s">
        <v>421</v>
      </c>
      <c r="N907" s="101">
        <v>0</v>
      </c>
      <c r="O907" s="101" t="s">
        <v>392</v>
      </c>
      <c r="P907" s="101">
        <v>0</v>
      </c>
      <c r="Q907" s="101">
        <v>0</v>
      </c>
      <c r="R907" s="101" t="s">
        <v>410</v>
      </c>
      <c r="S907" s="101" t="s">
        <v>568</v>
      </c>
      <c r="T907" s="101" t="s">
        <v>394</v>
      </c>
      <c r="U907" s="101" t="s">
        <v>83</v>
      </c>
      <c r="V907" s="245">
        <v>46371</v>
      </c>
      <c r="W907" s="101" t="s">
        <v>445</v>
      </c>
      <c r="X907" s="101" t="s">
        <v>76</v>
      </c>
      <c r="Y907" s="101" t="s">
        <v>392</v>
      </c>
      <c r="Z907" s="101" t="s">
        <v>412</v>
      </c>
      <c r="AA907" s="101" t="s">
        <v>478</v>
      </c>
      <c r="AB907" s="101">
        <v>3101053970</v>
      </c>
      <c r="AC907" s="101" t="s">
        <v>414</v>
      </c>
      <c r="AD907" s="101" t="s">
        <v>79</v>
      </c>
      <c r="AE907" s="101" t="s">
        <v>75</v>
      </c>
      <c r="AF907" s="101" t="s">
        <v>400</v>
      </c>
      <c r="AI907" s="101" t="s">
        <v>172</v>
      </c>
    </row>
    <row r="908" spans="1:35">
      <c r="A908" s="246" t="s">
        <v>112</v>
      </c>
      <c r="B908" s="246" t="s">
        <v>66</v>
      </c>
      <c r="C908" s="246" t="s">
        <v>126</v>
      </c>
      <c r="D908" s="246" t="s">
        <v>270</v>
      </c>
      <c r="E908" s="246"/>
      <c r="F908" s="246"/>
      <c r="G908" s="132" t="s">
        <v>598</v>
      </c>
      <c r="H908" s="132" t="s">
        <v>1708</v>
      </c>
      <c r="I908" s="132">
        <v>-208108.06999999998</v>
      </c>
      <c r="J908" s="101" t="s">
        <v>889</v>
      </c>
      <c r="K908" s="245" t="s">
        <v>390</v>
      </c>
      <c r="L908" s="245">
        <v>42978</v>
      </c>
      <c r="M908" s="245" t="s">
        <v>391</v>
      </c>
      <c r="N908" s="101">
        <v>0</v>
      </c>
      <c r="O908" s="101" t="s">
        <v>392</v>
      </c>
      <c r="P908" s="101">
        <v>0</v>
      </c>
      <c r="Q908" s="101">
        <v>0</v>
      </c>
      <c r="R908" s="101" t="s">
        <v>422</v>
      </c>
      <c r="S908" s="101" t="s">
        <v>568</v>
      </c>
      <c r="T908" s="101" t="s">
        <v>394</v>
      </c>
      <c r="U908" s="101" t="s">
        <v>83</v>
      </c>
      <c r="V908" s="245">
        <v>46371</v>
      </c>
      <c r="W908" s="101" t="s">
        <v>445</v>
      </c>
      <c r="X908" s="101" t="s">
        <v>76</v>
      </c>
      <c r="Y908" s="101" t="s">
        <v>392</v>
      </c>
      <c r="Z908" s="101" t="s">
        <v>412</v>
      </c>
      <c r="AA908" s="101" t="s">
        <v>478</v>
      </c>
      <c r="AB908" s="101">
        <v>3101053970</v>
      </c>
      <c r="AC908" s="101" t="s">
        <v>414</v>
      </c>
      <c r="AD908" s="101" t="s">
        <v>79</v>
      </c>
      <c r="AE908" s="101" t="s">
        <v>75</v>
      </c>
      <c r="AF908" s="101" t="s">
        <v>400</v>
      </c>
      <c r="AI908" s="101" t="s">
        <v>172</v>
      </c>
    </row>
    <row r="909" spans="1:35">
      <c r="A909" s="246" t="s">
        <v>112</v>
      </c>
      <c r="B909" s="246" t="s">
        <v>66</v>
      </c>
      <c r="C909" s="246" t="s">
        <v>264</v>
      </c>
      <c r="D909" s="246" t="s">
        <v>290</v>
      </c>
      <c r="E909" s="246"/>
      <c r="F909" s="246"/>
      <c r="G909" s="132" t="s">
        <v>599</v>
      </c>
      <c r="H909" s="132" t="s">
        <v>1709</v>
      </c>
      <c r="I909" s="132">
        <v>4361986.41</v>
      </c>
      <c r="J909" s="101" t="s">
        <v>889</v>
      </c>
      <c r="K909" s="245" t="s">
        <v>390</v>
      </c>
      <c r="L909" s="245">
        <v>42978</v>
      </c>
      <c r="M909" s="245" t="s">
        <v>421</v>
      </c>
      <c r="N909" s="101">
        <v>0</v>
      </c>
      <c r="O909" s="101" t="s">
        <v>392</v>
      </c>
      <c r="P909" s="101">
        <v>0</v>
      </c>
      <c r="Q909" s="101">
        <v>0</v>
      </c>
      <c r="R909" s="101" t="s">
        <v>410</v>
      </c>
      <c r="S909" s="101" t="s">
        <v>568</v>
      </c>
      <c r="T909" s="101" t="s">
        <v>394</v>
      </c>
      <c r="U909" s="101" t="s">
        <v>83</v>
      </c>
      <c r="V909" s="245">
        <v>46371</v>
      </c>
      <c r="W909" s="101" t="s">
        <v>445</v>
      </c>
      <c r="X909" s="101" t="s">
        <v>76</v>
      </c>
      <c r="Y909" s="101" t="s">
        <v>392</v>
      </c>
      <c r="Z909" s="101" t="s">
        <v>412</v>
      </c>
      <c r="AA909" s="101" t="s">
        <v>478</v>
      </c>
      <c r="AB909" s="101">
        <v>3101053970</v>
      </c>
      <c r="AC909" s="101" t="s">
        <v>414</v>
      </c>
      <c r="AD909" s="101" t="s">
        <v>79</v>
      </c>
      <c r="AE909" s="101" t="s">
        <v>75</v>
      </c>
      <c r="AF909" s="101" t="s">
        <v>400</v>
      </c>
      <c r="AI909" s="101" t="s">
        <v>172</v>
      </c>
    </row>
    <row r="910" spans="1:35">
      <c r="A910" s="246" t="s">
        <v>112</v>
      </c>
      <c r="B910" s="246" t="s">
        <v>66</v>
      </c>
      <c r="C910" s="246" t="s">
        <v>264</v>
      </c>
      <c r="D910" s="246" t="s">
        <v>290</v>
      </c>
      <c r="E910" s="246"/>
      <c r="F910" s="246"/>
      <c r="G910" s="132" t="s">
        <v>688</v>
      </c>
      <c r="H910" s="132" t="s">
        <v>1710</v>
      </c>
      <c r="I910" s="132">
        <v>4413060.53</v>
      </c>
      <c r="J910" s="101" t="s">
        <v>889</v>
      </c>
      <c r="K910" s="245" t="s">
        <v>390</v>
      </c>
      <c r="L910" s="245">
        <v>43007</v>
      </c>
      <c r="M910" s="245" t="s">
        <v>421</v>
      </c>
      <c r="N910" s="101">
        <v>0</v>
      </c>
      <c r="O910" s="101" t="s">
        <v>392</v>
      </c>
      <c r="P910" s="101">
        <v>0</v>
      </c>
      <c r="Q910" s="101">
        <v>0</v>
      </c>
      <c r="R910" s="101" t="s">
        <v>410</v>
      </c>
      <c r="S910" s="101" t="s">
        <v>568</v>
      </c>
      <c r="T910" s="101" t="s">
        <v>394</v>
      </c>
      <c r="U910" s="101" t="s">
        <v>83</v>
      </c>
      <c r="V910" s="245">
        <v>46371</v>
      </c>
      <c r="W910" s="101" t="s">
        <v>445</v>
      </c>
      <c r="X910" s="101" t="s">
        <v>76</v>
      </c>
      <c r="Y910" s="101" t="s">
        <v>392</v>
      </c>
      <c r="Z910" s="101" t="s">
        <v>412</v>
      </c>
      <c r="AA910" s="101" t="s">
        <v>478</v>
      </c>
      <c r="AB910" s="101">
        <v>3101053970</v>
      </c>
      <c r="AC910" s="101" t="s">
        <v>414</v>
      </c>
      <c r="AD910" s="101" t="s">
        <v>79</v>
      </c>
      <c r="AE910" s="101" t="s">
        <v>75</v>
      </c>
      <c r="AF910" s="101" t="s">
        <v>400</v>
      </c>
      <c r="AI910" s="101" t="s">
        <v>172</v>
      </c>
    </row>
    <row r="911" spans="1:35">
      <c r="A911" s="246" t="s">
        <v>112</v>
      </c>
      <c r="B911" s="246" t="s">
        <v>66</v>
      </c>
      <c r="C911" s="246" t="s">
        <v>126</v>
      </c>
      <c r="D911" s="246" t="s">
        <v>270</v>
      </c>
      <c r="E911" s="246"/>
      <c r="F911" s="246"/>
      <c r="G911" s="132" t="s">
        <v>689</v>
      </c>
      <c r="H911" s="132" t="s">
        <v>1711</v>
      </c>
      <c r="I911" s="132">
        <v>-219150.84</v>
      </c>
      <c r="J911" s="101" t="s">
        <v>889</v>
      </c>
      <c r="K911" s="245" t="s">
        <v>390</v>
      </c>
      <c r="L911" s="245">
        <v>43007</v>
      </c>
      <c r="M911" s="245" t="s">
        <v>391</v>
      </c>
      <c r="N911" s="101">
        <v>0</v>
      </c>
      <c r="O911" s="101" t="s">
        <v>392</v>
      </c>
      <c r="P911" s="101">
        <v>0</v>
      </c>
      <c r="Q911" s="101">
        <v>0</v>
      </c>
      <c r="R911" s="101" t="s">
        <v>422</v>
      </c>
      <c r="S911" s="101" t="s">
        <v>568</v>
      </c>
      <c r="T911" s="101" t="s">
        <v>394</v>
      </c>
      <c r="U911" s="101" t="s">
        <v>83</v>
      </c>
      <c r="V911" s="245">
        <v>46371</v>
      </c>
      <c r="W911" s="101" t="s">
        <v>445</v>
      </c>
      <c r="X911" s="101" t="s">
        <v>76</v>
      </c>
      <c r="Y911" s="101" t="s">
        <v>392</v>
      </c>
      <c r="Z911" s="101" t="s">
        <v>412</v>
      </c>
      <c r="AA911" s="101" t="s">
        <v>478</v>
      </c>
      <c r="AB911" s="101">
        <v>3101053970</v>
      </c>
      <c r="AC911" s="101" t="s">
        <v>414</v>
      </c>
      <c r="AD911" s="101" t="s">
        <v>79</v>
      </c>
      <c r="AE911" s="101" t="s">
        <v>75</v>
      </c>
      <c r="AF911" s="101" t="s">
        <v>400</v>
      </c>
      <c r="AI911" s="101" t="s">
        <v>172</v>
      </c>
    </row>
    <row r="912" spans="1:35">
      <c r="A912" s="246" t="s">
        <v>112</v>
      </c>
      <c r="B912" s="246" t="s">
        <v>66</v>
      </c>
      <c r="C912" s="246" t="s">
        <v>126</v>
      </c>
      <c r="D912" s="246" t="s">
        <v>270</v>
      </c>
      <c r="E912" s="246"/>
      <c r="F912" s="246"/>
      <c r="G912" s="132" t="s">
        <v>690</v>
      </c>
      <c r="H912" s="132" t="s">
        <v>1712</v>
      </c>
      <c r="I912" s="132">
        <v>-243814.34</v>
      </c>
      <c r="J912" s="101" t="s">
        <v>889</v>
      </c>
      <c r="K912" s="245" t="s">
        <v>390</v>
      </c>
      <c r="L912" s="245">
        <v>43039</v>
      </c>
      <c r="M912" s="245" t="s">
        <v>391</v>
      </c>
      <c r="N912" s="101">
        <v>0</v>
      </c>
      <c r="O912" s="101" t="s">
        <v>392</v>
      </c>
      <c r="P912" s="101">
        <v>0</v>
      </c>
      <c r="Q912" s="101">
        <v>0</v>
      </c>
      <c r="R912" s="101" t="s">
        <v>422</v>
      </c>
      <c r="S912" s="101" t="s">
        <v>568</v>
      </c>
      <c r="T912" s="101" t="s">
        <v>394</v>
      </c>
      <c r="U912" s="101" t="s">
        <v>83</v>
      </c>
      <c r="V912" s="245">
        <v>46371</v>
      </c>
      <c r="W912" s="101" t="s">
        <v>445</v>
      </c>
      <c r="X912" s="101" t="s">
        <v>76</v>
      </c>
      <c r="Y912" s="101" t="s">
        <v>392</v>
      </c>
      <c r="Z912" s="101" t="s">
        <v>412</v>
      </c>
      <c r="AA912" s="101" t="s">
        <v>478</v>
      </c>
      <c r="AB912" s="101">
        <v>3101053970</v>
      </c>
      <c r="AC912" s="101" t="s">
        <v>414</v>
      </c>
      <c r="AD912" s="101" t="s">
        <v>79</v>
      </c>
      <c r="AE912" s="101" t="s">
        <v>75</v>
      </c>
      <c r="AF912" s="101" t="s">
        <v>400</v>
      </c>
      <c r="AI912" s="101" t="s">
        <v>172</v>
      </c>
    </row>
    <row r="913" spans="1:35">
      <c r="A913" s="246" t="s">
        <v>112</v>
      </c>
      <c r="B913" s="246" t="s">
        <v>66</v>
      </c>
      <c r="C913" s="246" t="s">
        <v>264</v>
      </c>
      <c r="D913" s="246" t="s">
        <v>290</v>
      </c>
      <c r="E913" s="246"/>
      <c r="F913" s="246"/>
      <c r="G913" s="132" t="s">
        <v>691</v>
      </c>
      <c r="H913" s="132" t="s">
        <v>1713</v>
      </c>
      <c r="I913" s="132">
        <v>4365881.3</v>
      </c>
      <c r="J913" s="101" t="s">
        <v>889</v>
      </c>
      <c r="K913" s="245" t="s">
        <v>390</v>
      </c>
      <c r="L913" s="245">
        <v>43039</v>
      </c>
      <c r="M913" s="245" t="s">
        <v>421</v>
      </c>
      <c r="N913" s="101">
        <v>0</v>
      </c>
      <c r="O913" s="101" t="s">
        <v>392</v>
      </c>
      <c r="P913" s="101">
        <v>0</v>
      </c>
      <c r="Q913" s="101">
        <v>0</v>
      </c>
      <c r="R913" s="101" t="s">
        <v>410</v>
      </c>
      <c r="S913" s="101" t="s">
        <v>568</v>
      </c>
      <c r="T913" s="101" t="s">
        <v>394</v>
      </c>
      <c r="U913" s="101" t="s">
        <v>83</v>
      </c>
      <c r="V913" s="245">
        <v>46371</v>
      </c>
      <c r="W913" s="101" t="s">
        <v>445</v>
      </c>
      <c r="X913" s="101" t="s">
        <v>76</v>
      </c>
      <c r="Y913" s="101" t="s">
        <v>392</v>
      </c>
      <c r="Z913" s="101" t="s">
        <v>412</v>
      </c>
      <c r="AA913" s="101" t="s">
        <v>478</v>
      </c>
      <c r="AB913" s="101">
        <v>3101053970</v>
      </c>
      <c r="AC913" s="101" t="s">
        <v>414</v>
      </c>
      <c r="AD913" s="101" t="s">
        <v>79</v>
      </c>
      <c r="AE913" s="101" t="s">
        <v>75</v>
      </c>
      <c r="AF913" s="101" t="s">
        <v>400</v>
      </c>
      <c r="AI913" s="101" t="s">
        <v>172</v>
      </c>
    </row>
    <row r="914" spans="1:35">
      <c r="A914" s="246" t="s">
        <v>113</v>
      </c>
      <c r="B914" s="246" t="s">
        <v>66</v>
      </c>
      <c r="C914" s="246" t="s">
        <v>126</v>
      </c>
      <c r="D914" s="246" t="s">
        <v>271</v>
      </c>
      <c r="E914" s="246"/>
      <c r="F914" s="246"/>
      <c r="G914" s="132" t="s">
        <v>692</v>
      </c>
      <c r="H914" s="132" t="s">
        <v>1714</v>
      </c>
      <c r="I914" s="132">
        <v>-253141.36</v>
      </c>
      <c r="J914" s="101" t="s">
        <v>889</v>
      </c>
      <c r="K914" s="245" t="s">
        <v>390</v>
      </c>
      <c r="L914" s="245">
        <v>43069</v>
      </c>
      <c r="M914" s="245" t="s">
        <v>391</v>
      </c>
      <c r="N914" s="101">
        <v>0</v>
      </c>
      <c r="O914" s="101" t="s">
        <v>392</v>
      </c>
      <c r="P914" s="101">
        <v>0</v>
      </c>
      <c r="Q914" s="101">
        <v>0</v>
      </c>
      <c r="R914" s="101" t="s">
        <v>422</v>
      </c>
      <c r="S914" s="101" t="s">
        <v>568</v>
      </c>
      <c r="T914" s="101" t="s">
        <v>394</v>
      </c>
      <c r="U914" s="101" t="s">
        <v>83</v>
      </c>
      <c r="V914" s="245">
        <v>46371</v>
      </c>
      <c r="W914" s="101" t="s">
        <v>445</v>
      </c>
      <c r="X914" s="101" t="s">
        <v>76</v>
      </c>
      <c r="Y914" s="101" t="s">
        <v>392</v>
      </c>
      <c r="Z914" s="101" t="s">
        <v>412</v>
      </c>
      <c r="AA914" s="101" t="s">
        <v>478</v>
      </c>
      <c r="AB914" s="101">
        <v>3101053970</v>
      </c>
      <c r="AC914" s="101" t="s">
        <v>414</v>
      </c>
      <c r="AD914" s="101" t="s">
        <v>79</v>
      </c>
      <c r="AE914" s="101" t="s">
        <v>75</v>
      </c>
      <c r="AF914" s="101" t="s">
        <v>400</v>
      </c>
      <c r="AI914" s="101" t="s">
        <v>172</v>
      </c>
    </row>
    <row r="915" spans="1:35">
      <c r="A915" s="246" t="s">
        <v>113</v>
      </c>
      <c r="B915" s="246" t="s">
        <v>66</v>
      </c>
      <c r="C915" s="246" t="s">
        <v>264</v>
      </c>
      <c r="D915" s="246" t="s">
        <v>285</v>
      </c>
      <c r="E915" s="246"/>
      <c r="F915" s="246"/>
      <c r="G915" s="132" t="s">
        <v>693</v>
      </c>
      <c r="H915" s="132" t="s">
        <v>1715</v>
      </c>
      <c r="I915" s="132">
        <v>4615161.8099999996</v>
      </c>
      <c r="J915" s="101" t="s">
        <v>889</v>
      </c>
      <c r="K915" s="245" t="s">
        <v>390</v>
      </c>
      <c r="L915" s="245">
        <v>43069</v>
      </c>
      <c r="M915" s="245" t="s">
        <v>421</v>
      </c>
      <c r="N915" s="101">
        <v>0</v>
      </c>
      <c r="O915" s="101" t="s">
        <v>392</v>
      </c>
      <c r="P915" s="101">
        <v>0</v>
      </c>
      <c r="Q915" s="101">
        <v>0</v>
      </c>
      <c r="R915" s="101" t="s">
        <v>410</v>
      </c>
      <c r="S915" s="101" t="s">
        <v>568</v>
      </c>
      <c r="T915" s="101" t="s">
        <v>394</v>
      </c>
      <c r="U915" s="101" t="s">
        <v>83</v>
      </c>
      <c r="V915" s="245">
        <v>46371</v>
      </c>
      <c r="W915" s="101" t="s">
        <v>445</v>
      </c>
      <c r="X915" s="101" t="s">
        <v>76</v>
      </c>
      <c r="Y915" s="101" t="s">
        <v>392</v>
      </c>
      <c r="Z915" s="101" t="s">
        <v>412</v>
      </c>
      <c r="AA915" s="101" t="s">
        <v>478</v>
      </c>
      <c r="AB915" s="101">
        <v>3101053970</v>
      </c>
      <c r="AC915" s="101" t="s">
        <v>414</v>
      </c>
      <c r="AD915" s="101" t="s">
        <v>79</v>
      </c>
      <c r="AE915" s="101" t="s">
        <v>75</v>
      </c>
      <c r="AF915" s="101" t="s">
        <v>400</v>
      </c>
      <c r="AI915" s="101" t="s">
        <v>172</v>
      </c>
    </row>
    <row r="916" spans="1:35">
      <c r="A916" s="246" t="s">
        <v>113</v>
      </c>
      <c r="B916" s="246" t="s">
        <v>66</v>
      </c>
      <c r="C916" s="246" t="s">
        <v>264</v>
      </c>
      <c r="D916" s="246" t="s">
        <v>285</v>
      </c>
      <c r="E916" s="246"/>
      <c r="F916" s="246"/>
      <c r="G916" s="132">
        <v>-68900000</v>
      </c>
      <c r="H916" s="132" t="s">
        <v>1716</v>
      </c>
      <c r="I916" s="132">
        <v>-68900000</v>
      </c>
      <c r="J916" s="101" t="s">
        <v>889</v>
      </c>
      <c r="K916" s="245" t="s">
        <v>390</v>
      </c>
      <c r="L916" s="245">
        <v>43084</v>
      </c>
      <c r="M916" s="245" t="s">
        <v>421</v>
      </c>
      <c r="N916" s="101">
        <v>0</v>
      </c>
      <c r="O916" s="101" t="s">
        <v>392</v>
      </c>
      <c r="P916" s="101">
        <v>0</v>
      </c>
      <c r="Q916" s="101">
        <v>0</v>
      </c>
      <c r="R916" s="101" t="s">
        <v>422</v>
      </c>
      <c r="S916" s="101" t="s">
        <v>568</v>
      </c>
      <c r="T916" s="101" t="s">
        <v>394</v>
      </c>
      <c r="U916" s="101" t="s">
        <v>83</v>
      </c>
      <c r="V916" s="245">
        <v>46371</v>
      </c>
      <c r="W916" s="101" t="s">
        <v>445</v>
      </c>
      <c r="X916" s="101" t="s">
        <v>76</v>
      </c>
      <c r="Y916" s="101" t="s">
        <v>392</v>
      </c>
      <c r="Z916" s="101" t="s">
        <v>412</v>
      </c>
      <c r="AA916" s="101" t="s">
        <v>478</v>
      </c>
      <c r="AB916" s="101">
        <v>3101053970</v>
      </c>
      <c r="AC916" s="101" t="s">
        <v>414</v>
      </c>
      <c r="AD916" s="101" t="s">
        <v>79</v>
      </c>
      <c r="AE916" s="101" t="s">
        <v>75</v>
      </c>
      <c r="AF916" s="101" t="s">
        <v>400</v>
      </c>
      <c r="AI916" s="101" t="s">
        <v>172</v>
      </c>
    </row>
    <row r="917" spans="1:35">
      <c r="A917" s="246" t="s">
        <v>113</v>
      </c>
      <c r="B917" s="246" t="s">
        <v>66</v>
      </c>
      <c r="C917" s="246" t="s">
        <v>264</v>
      </c>
      <c r="D917" s="246" t="s">
        <v>285</v>
      </c>
      <c r="E917" s="246"/>
      <c r="F917" s="246"/>
      <c r="G917" s="132" t="s">
        <v>694</v>
      </c>
      <c r="H917" s="132" t="s">
        <v>1717</v>
      </c>
      <c r="I917" s="132">
        <v>7103694.5799999991</v>
      </c>
      <c r="J917" s="101" t="s">
        <v>889</v>
      </c>
      <c r="K917" s="245" t="s">
        <v>390</v>
      </c>
      <c r="L917" s="245">
        <v>43098</v>
      </c>
      <c r="M917" s="245" t="s">
        <v>421</v>
      </c>
      <c r="N917" s="101">
        <v>0</v>
      </c>
      <c r="O917" s="101" t="s">
        <v>392</v>
      </c>
      <c r="P917" s="101">
        <v>0</v>
      </c>
      <c r="Q917" s="101">
        <v>0</v>
      </c>
      <c r="R917" s="101" t="s">
        <v>410</v>
      </c>
      <c r="S917" s="101" t="s">
        <v>568</v>
      </c>
      <c r="T917" s="101" t="s">
        <v>394</v>
      </c>
      <c r="U917" s="101" t="s">
        <v>83</v>
      </c>
      <c r="V917" s="245">
        <v>46371</v>
      </c>
      <c r="W917" s="101" t="s">
        <v>445</v>
      </c>
      <c r="X917" s="101" t="s">
        <v>76</v>
      </c>
      <c r="Y917" s="101" t="s">
        <v>392</v>
      </c>
      <c r="Z917" s="101" t="s">
        <v>412</v>
      </c>
      <c r="AA917" s="101" t="s">
        <v>478</v>
      </c>
      <c r="AB917" s="101">
        <v>3101053970</v>
      </c>
      <c r="AC917" s="101" t="s">
        <v>414</v>
      </c>
      <c r="AD917" s="101" t="s">
        <v>79</v>
      </c>
      <c r="AE917" s="101" t="s">
        <v>75</v>
      </c>
      <c r="AF917" s="101" t="s">
        <v>400</v>
      </c>
      <c r="AI917" s="101" t="s">
        <v>172</v>
      </c>
    </row>
    <row r="918" spans="1:35">
      <c r="A918" s="246" t="s">
        <v>113</v>
      </c>
      <c r="B918" s="246" t="s">
        <v>66</v>
      </c>
      <c r="C918" s="246" t="s">
        <v>126</v>
      </c>
      <c r="D918" s="246" t="s">
        <v>271</v>
      </c>
      <c r="E918" s="246"/>
      <c r="F918" s="246"/>
      <c r="G918" s="132" t="s">
        <v>695</v>
      </c>
      <c r="H918" s="132" t="s">
        <v>1718</v>
      </c>
      <c r="I918" s="132">
        <v>-137522.35999999999</v>
      </c>
      <c r="J918" s="101" t="s">
        <v>889</v>
      </c>
      <c r="K918" s="245" t="s">
        <v>390</v>
      </c>
      <c r="L918" s="245">
        <v>43098</v>
      </c>
      <c r="M918" s="245" t="s">
        <v>391</v>
      </c>
      <c r="N918" s="101">
        <v>0</v>
      </c>
      <c r="O918" s="101" t="s">
        <v>392</v>
      </c>
      <c r="P918" s="101">
        <v>0</v>
      </c>
      <c r="Q918" s="101">
        <v>0</v>
      </c>
      <c r="R918" s="101" t="s">
        <v>422</v>
      </c>
      <c r="S918" s="101" t="s">
        <v>568</v>
      </c>
      <c r="T918" s="101" t="s">
        <v>394</v>
      </c>
      <c r="U918" s="101" t="s">
        <v>83</v>
      </c>
      <c r="V918" s="245">
        <v>46371</v>
      </c>
      <c r="W918" s="101" t="s">
        <v>445</v>
      </c>
      <c r="X918" s="101" t="s">
        <v>76</v>
      </c>
      <c r="Y918" s="101" t="s">
        <v>392</v>
      </c>
      <c r="Z918" s="101" t="s">
        <v>412</v>
      </c>
      <c r="AA918" s="101" t="s">
        <v>478</v>
      </c>
      <c r="AB918" s="101">
        <v>3101053970</v>
      </c>
      <c r="AC918" s="101" t="s">
        <v>414</v>
      </c>
      <c r="AD918" s="101" t="s">
        <v>79</v>
      </c>
      <c r="AE918" s="101" t="s">
        <v>75</v>
      </c>
      <c r="AF918" s="101" t="s">
        <v>400</v>
      </c>
      <c r="AI918" s="101" t="s">
        <v>172</v>
      </c>
    </row>
    <row r="919" spans="1:35">
      <c r="A919" s="246" t="s">
        <v>113</v>
      </c>
      <c r="B919" s="246" t="s">
        <v>66</v>
      </c>
      <c r="C919" s="246" t="s">
        <v>126</v>
      </c>
      <c r="D919" s="246" t="s">
        <v>271</v>
      </c>
      <c r="E919" s="246"/>
      <c r="F919" s="246"/>
      <c r="G919" s="132" t="s">
        <v>696</v>
      </c>
      <c r="H919" s="132" t="s">
        <v>1719</v>
      </c>
      <c r="I919" s="132">
        <v>-28905.42</v>
      </c>
      <c r="J919" s="101" t="s">
        <v>889</v>
      </c>
      <c r="K919" s="245" t="s">
        <v>390</v>
      </c>
      <c r="L919" s="245">
        <v>43131</v>
      </c>
      <c r="M919" s="245" t="s">
        <v>391</v>
      </c>
      <c r="N919" s="101">
        <v>0</v>
      </c>
      <c r="O919" s="101" t="s">
        <v>392</v>
      </c>
      <c r="P919" s="101">
        <v>0</v>
      </c>
      <c r="Q919" s="101">
        <v>0</v>
      </c>
      <c r="R919" s="101" t="s">
        <v>422</v>
      </c>
      <c r="S919" s="101" t="s">
        <v>568</v>
      </c>
      <c r="T919" s="101" t="s">
        <v>394</v>
      </c>
      <c r="U919" s="101" t="s">
        <v>83</v>
      </c>
      <c r="V919" s="245">
        <v>46371</v>
      </c>
      <c r="W919" s="101" t="s">
        <v>445</v>
      </c>
      <c r="X919" s="101" t="s">
        <v>76</v>
      </c>
      <c r="Y919" s="101" t="s">
        <v>392</v>
      </c>
      <c r="Z919" s="101" t="s">
        <v>412</v>
      </c>
      <c r="AA919" s="101" t="s">
        <v>478</v>
      </c>
      <c r="AB919" s="101">
        <v>3101053970</v>
      </c>
      <c r="AC919" s="101" t="s">
        <v>414</v>
      </c>
      <c r="AD919" s="101" t="s">
        <v>79</v>
      </c>
      <c r="AE919" s="101" t="s">
        <v>75</v>
      </c>
      <c r="AF919" s="101" t="s">
        <v>400</v>
      </c>
      <c r="AI919" s="101" t="s">
        <v>172</v>
      </c>
    </row>
    <row r="920" spans="1:35">
      <c r="A920" s="246" t="s">
        <v>113</v>
      </c>
      <c r="B920" s="246" t="s">
        <v>66</v>
      </c>
      <c r="C920" s="246" t="s">
        <v>264</v>
      </c>
      <c r="D920" s="246" t="s">
        <v>285</v>
      </c>
      <c r="E920" s="246"/>
      <c r="F920" s="246"/>
      <c r="G920" s="132" t="s">
        <v>697</v>
      </c>
      <c r="H920" s="132" t="s">
        <v>1720</v>
      </c>
      <c r="I920" s="132">
        <v>8641794.4900000002</v>
      </c>
      <c r="J920" s="101" t="s">
        <v>889</v>
      </c>
      <c r="K920" s="245" t="s">
        <v>390</v>
      </c>
      <c r="L920" s="245">
        <v>43131</v>
      </c>
      <c r="M920" s="245" t="s">
        <v>421</v>
      </c>
      <c r="N920" s="101">
        <v>0</v>
      </c>
      <c r="O920" s="101" t="s">
        <v>392</v>
      </c>
      <c r="P920" s="101">
        <v>0</v>
      </c>
      <c r="Q920" s="101">
        <v>0</v>
      </c>
      <c r="R920" s="101" t="s">
        <v>410</v>
      </c>
      <c r="S920" s="101" t="s">
        <v>568</v>
      </c>
      <c r="T920" s="101" t="s">
        <v>394</v>
      </c>
      <c r="U920" s="101" t="s">
        <v>83</v>
      </c>
      <c r="V920" s="245">
        <v>46371</v>
      </c>
      <c r="W920" s="101" t="s">
        <v>445</v>
      </c>
      <c r="X920" s="101" t="s">
        <v>76</v>
      </c>
      <c r="Y920" s="101" t="s">
        <v>392</v>
      </c>
      <c r="Z920" s="101" t="s">
        <v>412</v>
      </c>
      <c r="AA920" s="101" t="s">
        <v>478</v>
      </c>
      <c r="AB920" s="101">
        <v>3101053970</v>
      </c>
      <c r="AC920" s="101" t="s">
        <v>414</v>
      </c>
      <c r="AD920" s="101" t="s">
        <v>79</v>
      </c>
      <c r="AE920" s="101" t="s">
        <v>75</v>
      </c>
      <c r="AF920" s="101" t="s">
        <v>400</v>
      </c>
      <c r="AI920" s="101" t="s">
        <v>172</v>
      </c>
    </row>
    <row r="921" spans="1:35">
      <c r="A921" s="246" t="s">
        <v>113</v>
      </c>
      <c r="B921" s="246" t="s">
        <v>66</v>
      </c>
      <c r="C921" s="246" t="s">
        <v>126</v>
      </c>
      <c r="D921" s="246" t="s">
        <v>271</v>
      </c>
      <c r="E921" s="246"/>
      <c r="F921" s="246"/>
      <c r="G921" s="132" t="s">
        <v>698</v>
      </c>
      <c r="H921" s="132" t="s">
        <v>1721</v>
      </c>
      <c r="I921" s="132">
        <v>-57869.2</v>
      </c>
      <c r="J921" s="101" t="s">
        <v>889</v>
      </c>
      <c r="K921" s="245" t="s">
        <v>390</v>
      </c>
      <c r="L921" s="245">
        <v>43159</v>
      </c>
      <c r="M921" s="245" t="s">
        <v>391</v>
      </c>
      <c r="N921" s="101">
        <v>0</v>
      </c>
      <c r="O921" s="101" t="s">
        <v>392</v>
      </c>
      <c r="P921" s="101">
        <v>0</v>
      </c>
      <c r="Q921" s="101">
        <v>0</v>
      </c>
      <c r="R921" s="101" t="s">
        <v>422</v>
      </c>
      <c r="S921" s="101" t="s">
        <v>568</v>
      </c>
      <c r="T921" s="101" t="s">
        <v>394</v>
      </c>
      <c r="U921" s="101" t="s">
        <v>83</v>
      </c>
      <c r="V921" s="245">
        <v>46371</v>
      </c>
      <c r="W921" s="101" t="s">
        <v>445</v>
      </c>
      <c r="X921" s="101" t="s">
        <v>76</v>
      </c>
      <c r="Y921" s="101" t="s">
        <v>392</v>
      </c>
      <c r="Z921" s="101" t="s">
        <v>412</v>
      </c>
      <c r="AA921" s="101" t="s">
        <v>478</v>
      </c>
      <c r="AB921" s="101">
        <v>3101053970</v>
      </c>
      <c r="AC921" s="101" t="s">
        <v>414</v>
      </c>
      <c r="AD921" s="101" t="s">
        <v>79</v>
      </c>
      <c r="AE921" s="101" t="s">
        <v>75</v>
      </c>
      <c r="AF921" s="101" t="s">
        <v>400</v>
      </c>
      <c r="AI921" s="101" t="s">
        <v>172</v>
      </c>
    </row>
    <row r="922" spans="1:35">
      <c r="A922" s="246" t="s">
        <v>113</v>
      </c>
      <c r="B922" s="246" t="s">
        <v>66</v>
      </c>
      <c r="C922" s="246" t="s">
        <v>264</v>
      </c>
      <c r="D922" s="246" t="s">
        <v>285</v>
      </c>
      <c r="E922" s="246"/>
      <c r="F922" s="246"/>
      <c r="G922" s="132" t="s">
        <v>699</v>
      </c>
      <c r="H922" s="132" t="s">
        <v>1722</v>
      </c>
      <c r="I922" s="132">
        <v>9192842.5500000007</v>
      </c>
      <c r="J922" s="101" t="s">
        <v>889</v>
      </c>
      <c r="K922" s="245" t="s">
        <v>390</v>
      </c>
      <c r="L922" s="245">
        <v>43159</v>
      </c>
      <c r="M922" s="245" t="s">
        <v>421</v>
      </c>
      <c r="N922" s="101">
        <v>0</v>
      </c>
      <c r="O922" s="101" t="s">
        <v>392</v>
      </c>
      <c r="P922" s="101">
        <v>0</v>
      </c>
      <c r="Q922" s="101">
        <v>0</v>
      </c>
      <c r="R922" s="101" t="s">
        <v>410</v>
      </c>
      <c r="S922" s="101" t="s">
        <v>568</v>
      </c>
      <c r="T922" s="101" t="s">
        <v>394</v>
      </c>
      <c r="U922" s="101" t="s">
        <v>83</v>
      </c>
      <c r="V922" s="245">
        <v>46371</v>
      </c>
      <c r="W922" s="101" t="s">
        <v>445</v>
      </c>
      <c r="X922" s="101" t="s">
        <v>76</v>
      </c>
      <c r="Y922" s="101" t="s">
        <v>392</v>
      </c>
      <c r="Z922" s="101" t="s">
        <v>412</v>
      </c>
      <c r="AA922" s="101" t="s">
        <v>478</v>
      </c>
      <c r="AB922" s="101">
        <v>3101053970</v>
      </c>
      <c r="AC922" s="101" t="s">
        <v>414</v>
      </c>
      <c r="AD922" s="101" t="s">
        <v>79</v>
      </c>
      <c r="AE922" s="101" t="s">
        <v>75</v>
      </c>
      <c r="AF922" s="101" t="s">
        <v>400</v>
      </c>
      <c r="AI922" s="101" t="s">
        <v>172</v>
      </c>
    </row>
    <row r="923" spans="1:35">
      <c r="A923" s="246" t="s">
        <v>110</v>
      </c>
      <c r="B923" s="246" t="s">
        <v>66</v>
      </c>
      <c r="C923" s="246" t="s">
        <v>126</v>
      </c>
      <c r="D923" s="246" t="s">
        <v>281</v>
      </c>
      <c r="E923" s="246"/>
      <c r="F923" s="246" t="s">
        <v>276</v>
      </c>
      <c r="G923" s="132" t="s">
        <v>537</v>
      </c>
      <c r="H923" s="132" t="s">
        <v>1723</v>
      </c>
      <c r="I923" s="132">
        <v>-6816.6399999999994</v>
      </c>
      <c r="J923" s="101" t="s">
        <v>889</v>
      </c>
      <c r="K923" s="245" t="s">
        <v>390</v>
      </c>
      <c r="L923" s="245">
        <v>42632</v>
      </c>
      <c r="M923" s="245" t="s">
        <v>391</v>
      </c>
      <c r="N923" s="101">
        <v>0</v>
      </c>
      <c r="O923" s="101" t="s">
        <v>392</v>
      </c>
      <c r="P923" s="101">
        <v>0</v>
      </c>
      <c r="Q923" s="101">
        <v>0</v>
      </c>
      <c r="R923" s="101" t="s">
        <v>444</v>
      </c>
      <c r="S923" s="101" t="s">
        <v>538</v>
      </c>
      <c r="T923" s="101" t="s">
        <v>394</v>
      </c>
      <c r="U923" s="101" t="s">
        <v>39</v>
      </c>
      <c r="V923" s="245">
        <v>17976</v>
      </c>
      <c r="W923" s="101" t="s">
        <v>411</v>
      </c>
      <c r="X923" s="101" t="s">
        <v>77</v>
      </c>
      <c r="Y923" s="101" t="s">
        <v>392</v>
      </c>
      <c r="Z923" s="101" t="s">
        <v>412</v>
      </c>
      <c r="AA923" s="101" t="s">
        <v>539</v>
      </c>
      <c r="AB923" s="101">
        <v>3101057097</v>
      </c>
      <c r="AC923" s="101" t="s">
        <v>414</v>
      </c>
      <c r="AD923" s="101" t="s">
        <v>79</v>
      </c>
      <c r="AE923" s="101" t="s">
        <v>6</v>
      </c>
      <c r="AF923" s="101" t="s">
        <v>400</v>
      </c>
      <c r="AI923" s="101" t="s">
        <v>190</v>
      </c>
    </row>
    <row r="924" spans="1:35">
      <c r="A924" s="246" t="s">
        <v>110</v>
      </c>
      <c r="B924" s="246" t="s">
        <v>66</v>
      </c>
      <c r="C924" s="246" t="s">
        <v>265</v>
      </c>
      <c r="D924" s="246" t="s">
        <v>283</v>
      </c>
      <c r="E924" s="246"/>
      <c r="F924" s="246" t="s">
        <v>276</v>
      </c>
      <c r="G924" s="132" t="s">
        <v>540</v>
      </c>
      <c r="H924" s="132" t="s">
        <v>1724</v>
      </c>
      <c r="I924" s="132">
        <v>320445.18</v>
      </c>
      <c r="J924" s="101" t="s">
        <v>889</v>
      </c>
      <c r="K924" s="245" t="s">
        <v>390</v>
      </c>
      <c r="L924" s="245">
        <v>42634</v>
      </c>
      <c r="M924" s="245" t="s">
        <v>421</v>
      </c>
      <c r="N924" s="101">
        <v>0</v>
      </c>
      <c r="O924" s="101" t="s">
        <v>392</v>
      </c>
      <c r="P924" s="101">
        <v>0</v>
      </c>
      <c r="Q924" s="101">
        <v>0</v>
      </c>
      <c r="R924" s="101" t="s">
        <v>453</v>
      </c>
      <c r="S924" s="101" t="s">
        <v>538</v>
      </c>
      <c r="T924" s="101" t="s">
        <v>394</v>
      </c>
      <c r="U924" s="101" t="s">
        <v>39</v>
      </c>
      <c r="V924" s="245">
        <v>17976</v>
      </c>
      <c r="W924" s="101" t="s">
        <v>411</v>
      </c>
      <c r="X924" s="101" t="s">
        <v>77</v>
      </c>
      <c r="Y924" s="101" t="s">
        <v>392</v>
      </c>
      <c r="Z924" s="101" t="s">
        <v>412</v>
      </c>
      <c r="AA924" s="101" t="s">
        <v>539</v>
      </c>
      <c r="AB924" s="101">
        <v>3101057097</v>
      </c>
      <c r="AC924" s="101" t="s">
        <v>414</v>
      </c>
      <c r="AD924" s="101" t="s">
        <v>79</v>
      </c>
      <c r="AE924" s="101" t="s">
        <v>6</v>
      </c>
      <c r="AF924" s="101" t="s">
        <v>400</v>
      </c>
      <c r="AI924" s="101" t="s">
        <v>190</v>
      </c>
    </row>
    <row r="925" spans="1:35">
      <c r="A925" s="246" t="s">
        <v>111</v>
      </c>
      <c r="B925" s="246" t="s">
        <v>66</v>
      </c>
      <c r="C925" s="246" t="s">
        <v>126</v>
      </c>
      <c r="D925" s="246" t="s">
        <v>273</v>
      </c>
      <c r="E925" s="246"/>
      <c r="F925" s="246" t="s">
        <v>277</v>
      </c>
      <c r="G925" s="132" t="s">
        <v>541</v>
      </c>
      <c r="H925" s="132" t="s">
        <v>1725</v>
      </c>
      <c r="I925" s="132">
        <v>-13743.169999999998</v>
      </c>
      <c r="J925" s="101" t="s">
        <v>889</v>
      </c>
      <c r="K925" s="245" t="s">
        <v>390</v>
      </c>
      <c r="L925" s="245">
        <v>42811</v>
      </c>
      <c r="M925" s="245" t="s">
        <v>391</v>
      </c>
      <c r="N925" s="101">
        <v>0</v>
      </c>
      <c r="O925" s="101" t="s">
        <v>392</v>
      </c>
      <c r="P925" s="101">
        <v>0</v>
      </c>
      <c r="Q925" s="101">
        <v>0</v>
      </c>
      <c r="R925" s="101" t="s">
        <v>444</v>
      </c>
      <c r="S925" s="101" t="s">
        <v>538</v>
      </c>
      <c r="T925" s="101" t="s">
        <v>394</v>
      </c>
      <c r="U925" s="101" t="s">
        <v>39</v>
      </c>
      <c r="V925" s="245">
        <v>17976</v>
      </c>
      <c r="W925" s="101" t="s">
        <v>411</v>
      </c>
      <c r="X925" s="101" t="s">
        <v>77</v>
      </c>
      <c r="Y925" s="101" t="s">
        <v>392</v>
      </c>
      <c r="Z925" s="101" t="s">
        <v>412</v>
      </c>
      <c r="AA925" s="101" t="s">
        <v>539</v>
      </c>
      <c r="AB925" s="101">
        <v>3101057097</v>
      </c>
      <c r="AC925" s="101" t="s">
        <v>414</v>
      </c>
      <c r="AD925" s="101" t="s">
        <v>79</v>
      </c>
      <c r="AE925" s="101" t="s">
        <v>6</v>
      </c>
      <c r="AF925" s="101" t="s">
        <v>400</v>
      </c>
      <c r="AI925" s="101" t="s">
        <v>190</v>
      </c>
    </row>
    <row r="926" spans="1:35">
      <c r="A926" s="246" t="s">
        <v>112</v>
      </c>
      <c r="B926" s="246" t="s">
        <v>66</v>
      </c>
      <c r="C926" s="246" t="s">
        <v>126</v>
      </c>
      <c r="D926" s="246" t="s">
        <v>270</v>
      </c>
      <c r="E926" s="246"/>
      <c r="F926" s="246" t="s">
        <v>278</v>
      </c>
      <c r="G926" s="132" t="s">
        <v>542</v>
      </c>
      <c r="H926" s="132" t="s">
        <v>1726</v>
      </c>
      <c r="I926" s="132">
        <v>-14130.28</v>
      </c>
      <c r="J926" s="101" t="s">
        <v>889</v>
      </c>
      <c r="K926" s="245" t="s">
        <v>390</v>
      </c>
      <c r="L926" s="245">
        <v>42997</v>
      </c>
      <c r="M926" s="245" t="s">
        <v>391</v>
      </c>
      <c r="N926" s="101">
        <v>0</v>
      </c>
      <c r="O926" s="101" t="s">
        <v>392</v>
      </c>
      <c r="P926" s="101">
        <v>0</v>
      </c>
      <c r="Q926" s="101">
        <v>0</v>
      </c>
      <c r="R926" s="101" t="s">
        <v>444</v>
      </c>
      <c r="S926" s="101" t="s">
        <v>538</v>
      </c>
      <c r="T926" s="101" t="s">
        <v>394</v>
      </c>
      <c r="U926" s="101" t="s">
        <v>39</v>
      </c>
      <c r="V926" s="245">
        <v>17976</v>
      </c>
      <c r="W926" s="101" t="s">
        <v>411</v>
      </c>
      <c r="X926" s="101" t="s">
        <v>77</v>
      </c>
      <c r="Y926" s="101" t="s">
        <v>392</v>
      </c>
      <c r="Z926" s="101" t="s">
        <v>412</v>
      </c>
      <c r="AA926" s="101" t="s">
        <v>539</v>
      </c>
      <c r="AB926" s="101">
        <v>3101057097</v>
      </c>
      <c r="AC926" s="101" t="s">
        <v>414</v>
      </c>
      <c r="AD926" s="101" t="s">
        <v>79</v>
      </c>
      <c r="AE926" s="101" t="s">
        <v>6</v>
      </c>
      <c r="AF926" s="101" t="s">
        <v>400</v>
      </c>
      <c r="AI926" s="101" t="s">
        <v>190</v>
      </c>
    </row>
    <row r="927" spans="1:35">
      <c r="A927" s="246" t="s">
        <v>113</v>
      </c>
      <c r="B927" s="246" t="s">
        <v>66</v>
      </c>
      <c r="C927" s="246" t="s">
        <v>126</v>
      </c>
      <c r="D927" s="246" t="s">
        <v>271</v>
      </c>
      <c r="E927" s="246"/>
      <c r="F927" s="246" t="s">
        <v>279</v>
      </c>
      <c r="G927" s="132">
        <v>-13975</v>
      </c>
      <c r="H927" s="132" t="s">
        <v>1727</v>
      </c>
      <c r="I927" s="132">
        <v>-13975</v>
      </c>
      <c r="J927" s="101" t="s">
        <v>889</v>
      </c>
      <c r="K927" s="245" t="s">
        <v>390</v>
      </c>
      <c r="L927" s="245">
        <v>43178</v>
      </c>
      <c r="M927" s="245" t="s">
        <v>391</v>
      </c>
      <c r="N927" s="101">
        <v>0</v>
      </c>
      <c r="O927" s="101" t="s">
        <v>392</v>
      </c>
      <c r="P927" s="101">
        <v>0</v>
      </c>
      <c r="Q927" s="101">
        <v>0</v>
      </c>
      <c r="R927" s="101" t="s">
        <v>444</v>
      </c>
      <c r="S927" s="101" t="s">
        <v>538</v>
      </c>
      <c r="T927" s="101" t="s">
        <v>394</v>
      </c>
      <c r="U927" s="101" t="s">
        <v>39</v>
      </c>
      <c r="V927" s="245">
        <v>17976</v>
      </c>
      <c r="W927" s="101" t="s">
        <v>411</v>
      </c>
      <c r="X927" s="101" t="s">
        <v>77</v>
      </c>
      <c r="Y927" s="101" t="s">
        <v>392</v>
      </c>
      <c r="Z927" s="101" t="s">
        <v>412</v>
      </c>
      <c r="AA927" s="101" t="s">
        <v>539</v>
      </c>
      <c r="AB927" s="101">
        <v>3101057097</v>
      </c>
      <c r="AC927" s="101" t="s">
        <v>414</v>
      </c>
      <c r="AD927" s="101" t="s">
        <v>79</v>
      </c>
      <c r="AE927" s="101" t="s">
        <v>6</v>
      </c>
      <c r="AF927" s="101" t="s">
        <v>400</v>
      </c>
      <c r="AI927" s="101" t="s">
        <v>190</v>
      </c>
    </row>
    <row r="928" spans="1:35">
      <c r="A928" s="246" t="s">
        <v>103</v>
      </c>
      <c r="B928" s="246" t="s">
        <v>78</v>
      </c>
      <c r="C928" s="246" t="s">
        <v>126</v>
      </c>
      <c r="D928" s="246" t="s">
        <v>886</v>
      </c>
      <c r="E928" s="246" t="s">
        <v>887</v>
      </c>
      <c r="F928" s="246"/>
      <c r="G928" s="132" t="s">
        <v>707</v>
      </c>
      <c r="H928" s="132" t="s">
        <v>1728</v>
      </c>
      <c r="I928" s="132">
        <v>-22656.249999999996</v>
      </c>
      <c r="J928" s="101" t="s">
        <v>889</v>
      </c>
      <c r="K928" s="245" t="s">
        <v>390</v>
      </c>
      <c r="L928" s="245">
        <v>42506</v>
      </c>
      <c r="M928" s="245" t="s">
        <v>391</v>
      </c>
      <c r="N928" s="101">
        <v>0</v>
      </c>
      <c r="O928" s="101" t="s">
        <v>392</v>
      </c>
      <c r="P928" s="101">
        <v>0</v>
      </c>
      <c r="Q928" s="101">
        <v>0</v>
      </c>
      <c r="R928" s="101" t="s">
        <v>438</v>
      </c>
      <c r="S928" s="101">
        <v>194026</v>
      </c>
      <c r="T928" s="101" t="s">
        <v>394</v>
      </c>
      <c r="V928" s="245">
        <v>47253</v>
      </c>
      <c r="W928" s="101" t="s">
        <v>424</v>
      </c>
      <c r="X928" s="101" t="s">
        <v>76</v>
      </c>
      <c r="Y928" s="101" t="s">
        <v>392</v>
      </c>
      <c r="Z928" s="101" t="s">
        <v>430</v>
      </c>
      <c r="AA928" s="101" t="s">
        <v>78</v>
      </c>
      <c r="AB928" s="101">
        <v>4101000279</v>
      </c>
      <c r="AC928" s="101" t="s">
        <v>431</v>
      </c>
      <c r="AD928" s="101" t="s">
        <v>431</v>
      </c>
      <c r="AE928" s="101" t="s">
        <v>75</v>
      </c>
      <c r="AF928" s="101" t="s">
        <v>400</v>
      </c>
      <c r="AG928" s="101" t="s">
        <v>427</v>
      </c>
      <c r="AI928" s="101" t="s">
        <v>760</v>
      </c>
    </row>
    <row r="929" spans="1:35">
      <c r="A929" s="246" t="s">
        <v>111</v>
      </c>
      <c r="B929" s="246" t="s">
        <v>78</v>
      </c>
      <c r="C929" s="246" t="s">
        <v>126</v>
      </c>
      <c r="D929" s="246" t="s">
        <v>768</v>
      </c>
      <c r="E929" s="246" t="s">
        <v>769</v>
      </c>
      <c r="F929" s="246"/>
      <c r="G929" s="132" t="s">
        <v>707</v>
      </c>
      <c r="H929" s="132" t="s">
        <v>1728</v>
      </c>
      <c r="I929" s="132">
        <v>-22656.249999999996</v>
      </c>
      <c r="J929" s="101" t="s">
        <v>889</v>
      </c>
      <c r="K929" s="245" t="s">
        <v>390</v>
      </c>
      <c r="L929" s="245">
        <v>42689</v>
      </c>
      <c r="M929" s="245" t="s">
        <v>391</v>
      </c>
      <c r="N929" s="101">
        <v>0</v>
      </c>
      <c r="O929" s="101" t="s">
        <v>392</v>
      </c>
      <c r="P929" s="101">
        <v>0</v>
      </c>
      <c r="Q929" s="101">
        <v>0</v>
      </c>
      <c r="R929" s="101" t="s">
        <v>438</v>
      </c>
      <c r="S929" s="101">
        <v>194026</v>
      </c>
      <c r="T929" s="101" t="s">
        <v>394</v>
      </c>
      <c r="V929" s="245">
        <v>47253</v>
      </c>
      <c r="W929" s="101" t="s">
        <v>424</v>
      </c>
      <c r="X929" s="101" t="s">
        <v>76</v>
      </c>
      <c r="Y929" s="101" t="s">
        <v>392</v>
      </c>
      <c r="Z929" s="101" t="s">
        <v>430</v>
      </c>
      <c r="AA929" s="101" t="s">
        <v>78</v>
      </c>
      <c r="AB929" s="101">
        <v>4101000279</v>
      </c>
      <c r="AC929" s="101" t="s">
        <v>431</v>
      </c>
      <c r="AD929" s="101" t="s">
        <v>431</v>
      </c>
      <c r="AE929" s="101" t="s">
        <v>75</v>
      </c>
      <c r="AF929" s="101" t="s">
        <v>400</v>
      </c>
      <c r="AG929" s="101" t="s">
        <v>427</v>
      </c>
      <c r="AI929" s="101" t="s">
        <v>760</v>
      </c>
    </row>
    <row r="930" spans="1:35">
      <c r="A930" s="246" t="s">
        <v>112</v>
      </c>
      <c r="B930" s="246" t="s">
        <v>78</v>
      </c>
      <c r="C930" s="246" t="s">
        <v>126</v>
      </c>
      <c r="D930" s="246" t="s">
        <v>341</v>
      </c>
      <c r="E930" s="246" t="s">
        <v>342</v>
      </c>
      <c r="F930" s="246"/>
      <c r="G930" s="132" t="s">
        <v>707</v>
      </c>
      <c r="H930" s="132" t="s">
        <v>1728</v>
      </c>
      <c r="I930" s="132">
        <v>-22656.249999999996</v>
      </c>
      <c r="J930" s="101" t="s">
        <v>889</v>
      </c>
      <c r="K930" s="245" t="s">
        <v>390</v>
      </c>
      <c r="L930" s="245">
        <v>42870</v>
      </c>
      <c r="M930" s="245" t="s">
        <v>391</v>
      </c>
      <c r="N930" s="101">
        <v>0</v>
      </c>
      <c r="O930" s="101" t="s">
        <v>392</v>
      </c>
      <c r="P930" s="101">
        <v>0</v>
      </c>
      <c r="Q930" s="101">
        <v>0</v>
      </c>
      <c r="R930" s="101" t="s">
        <v>438</v>
      </c>
      <c r="S930" s="101">
        <v>194026</v>
      </c>
      <c r="T930" s="101" t="s">
        <v>394</v>
      </c>
      <c r="V930" s="245">
        <v>47253</v>
      </c>
      <c r="W930" s="101" t="s">
        <v>424</v>
      </c>
      <c r="X930" s="101" t="s">
        <v>76</v>
      </c>
      <c r="Y930" s="101" t="s">
        <v>392</v>
      </c>
      <c r="Z930" s="101" t="s">
        <v>430</v>
      </c>
      <c r="AA930" s="101" t="s">
        <v>78</v>
      </c>
      <c r="AB930" s="101">
        <v>4101000279</v>
      </c>
      <c r="AC930" s="101" t="s">
        <v>431</v>
      </c>
      <c r="AD930" s="101" t="s">
        <v>431</v>
      </c>
      <c r="AE930" s="101" t="s">
        <v>75</v>
      </c>
      <c r="AF930" s="101" t="s">
        <v>400</v>
      </c>
      <c r="AG930" s="101" t="s">
        <v>427</v>
      </c>
      <c r="AI930" s="101" t="s">
        <v>760</v>
      </c>
    </row>
    <row r="931" spans="1:35">
      <c r="A931" s="246" t="s">
        <v>113</v>
      </c>
      <c r="B931" s="246" t="s">
        <v>78</v>
      </c>
      <c r="C931" s="246" t="s">
        <v>126</v>
      </c>
      <c r="D931" s="246" t="s">
        <v>339</v>
      </c>
      <c r="E931" s="246" t="s">
        <v>340</v>
      </c>
      <c r="F931" s="246"/>
      <c r="G931" s="132" t="s">
        <v>707</v>
      </c>
      <c r="H931" s="132" t="s">
        <v>1728</v>
      </c>
      <c r="I931" s="132">
        <v>-22656.249999999996</v>
      </c>
      <c r="J931" s="101" t="s">
        <v>889</v>
      </c>
      <c r="K931" s="245" t="s">
        <v>390</v>
      </c>
      <c r="L931" s="245">
        <v>43054</v>
      </c>
      <c r="M931" s="245" t="s">
        <v>391</v>
      </c>
      <c r="N931" s="101">
        <v>0</v>
      </c>
      <c r="O931" s="101" t="s">
        <v>392</v>
      </c>
      <c r="P931" s="101">
        <v>0</v>
      </c>
      <c r="Q931" s="101">
        <v>0</v>
      </c>
      <c r="R931" s="101" t="s">
        <v>438</v>
      </c>
      <c r="S931" s="101">
        <v>194026</v>
      </c>
      <c r="T931" s="101" t="s">
        <v>394</v>
      </c>
      <c r="V931" s="245">
        <v>47253</v>
      </c>
      <c r="W931" s="101" t="s">
        <v>424</v>
      </c>
      <c r="X931" s="101" t="s">
        <v>76</v>
      </c>
      <c r="Y931" s="101" t="s">
        <v>392</v>
      </c>
      <c r="Z931" s="101" t="s">
        <v>430</v>
      </c>
      <c r="AA931" s="101" t="s">
        <v>78</v>
      </c>
      <c r="AB931" s="101">
        <v>4101000279</v>
      </c>
      <c r="AC931" s="101" t="s">
        <v>431</v>
      </c>
      <c r="AD931" s="101" t="s">
        <v>431</v>
      </c>
      <c r="AE931" s="101" t="s">
        <v>75</v>
      </c>
      <c r="AF931" s="101" t="s">
        <v>400</v>
      </c>
      <c r="AG931" s="101" t="s">
        <v>427</v>
      </c>
      <c r="AI931" s="101" t="s">
        <v>760</v>
      </c>
    </row>
    <row r="932" spans="1:35">
      <c r="A932" s="246" t="s">
        <v>110</v>
      </c>
      <c r="B932" s="246" t="s">
        <v>78</v>
      </c>
      <c r="C932" s="246" t="s">
        <v>126</v>
      </c>
      <c r="D932" s="246" t="s">
        <v>770</v>
      </c>
      <c r="E932" s="246" t="s">
        <v>771</v>
      </c>
      <c r="F932" s="246" t="s">
        <v>276</v>
      </c>
      <c r="G932" s="132" t="s">
        <v>1729</v>
      </c>
      <c r="H932" s="132" t="s">
        <v>1730</v>
      </c>
      <c r="I932" s="132">
        <v>-5.17</v>
      </c>
      <c r="J932" s="101" t="s">
        <v>889</v>
      </c>
      <c r="K932" s="245" t="s">
        <v>390</v>
      </c>
      <c r="L932" s="245">
        <v>42674</v>
      </c>
      <c r="M932" s="245" t="s">
        <v>391</v>
      </c>
      <c r="N932" s="101">
        <v>0</v>
      </c>
      <c r="O932" s="101" t="s">
        <v>392</v>
      </c>
      <c r="P932" s="101">
        <v>0</v>
      </c>
      <c r="Q932" s="101">
        <v>0</v>
      </c>
      <c r="R932" s="101" t="s">
        <v>393</v>
      </c>
      <c r="S932" s="101" t="s">
        <v>861</v>
      </c>
      <c r="T932" s="101" t="s">
        <v>394</v>
      </c>
      <c r="V932" s="245">
        <v>14427</v>
      </c>
      <c r="W932" s="101" t="s">
        <v>395</v>
      </c>
      <c r="X932" s="101" t="s">
        <v>795</v>
      </c>
      <c r="Y932" s="101" t="s">
        <v>396</v>
      </c>
      <c r="Z932" s="101" t="s">
        <v>402</v>
      </c>
      <c r="AA932" s="101" t="s">
        <v>78</v>
      </c>
      <c r="AB932" s="101">
        <v>4101000279</v>
      </c>
      <c r="AC932" s="101" t="s">
        <v>398</v>
      </c>
      <c r="AD932" s="101" t="s">
        <v>403</v>
      </c>
      <c r="AE932" s="101" t="s">
        <v>6</v>
      </c>
      <c r="AF932" s="101" t="s">
        <v>400</v>
      </c>
      <c r="AI932" s="101" t="s">
        <v>760</v>
      </c>
    </row>
    <row r="933" spans="1:35">
      <c r="A933" s="246" t="s">
        <v>111</v>
      </c>
      <c r="B933" s="246" t="s">
        <v>78</v>
      </c>
      <c r="C933" s="246" t="s">
        <v>126</v>
      </c>
      <c r="D933" s="246" t="s">
        <v>768</v>
      </c>
      <c r="E933" s="246" t="s">
        <v>769</v>
      </c>
      <c r="F933" s="246" t="s">
        <v>277</v>
      </c>
      <c r="G933" s="132" t="s">
        <v>1731</v>
      </c>
      <c r="H933" s="132" t="s">
        <v>1732</v>
      </c>
      <c r="I933" s="132">
        <v>-16.59</v>
      </c>
      <c r="J933" s="101" t="s">
        <v>889</v>
      </c>
      <c r="K933" s="245" t="s">
        <v>390</v>
      </c>
      <c r="L933" s="245">
        <v>42704</v>
      </c>
      <c r="M933" s="245" t="s">
        <v>391</v>
      </c>
      <c r="N933" s="101">
        <v>0</v>
      </c>
      <c r="O933" s="101" t="s">
        <v>392</v>
      </c>
      <c r="P933" s="101">
        <v>0</v>
      </c>
      <c r="Q933" s="101">
        <v>0</v>
      </c>
      <c r="R933" s="101" t="s">
        <v>393</v>
      </c>
      <c r="S933" s="101" t="s">
        <v>861</v>
      </c>
      <c r="T933" s="101" t="s">
        <v>394</v>
      </c>
      <c r="V933" s="245">
        <v>14427</v>
      </c>
      <c r="W933" s="101" t="s">
        <v>395</v>
      </c>
      <c r="X933" s="101" t="s">
        <v>795</v>
      </c>
      <c r="Y933" s="101" t="s">
        <v>396</v>
      </c>
      <c r="Z933" s="101" t="s">
        <v>402</v>
      </c>
      <c r="AA933" s="101" t="s">
        <v>78</v>
      </c>
      <c r="AB933" s="101">
        <v>4101000279</v>
      </c>
      <c r="AC933" s="101" t="s">
        <v>398</v>
      </c>
      <c r="AD933" s="101" t="s">
        <v>403</v>
      </c>
      <c r="AE933" s="101" t="s">
        <v>6</v>
      </c>
      <c r="AF933" s="101" t="s">
        <v>400</v>
      </c>
      <c r="AI933" s="101" t="s">
        <v>760</v>
      </c>
    </row>
    <row r="934" spans="1:35">
      <c r="A934" s="246" t="s">
        <v>111</v>
      </c>
      <c r="B934" s="246" t="s">
        <v>78</v>
      </c>
      <c r="C934" s="246" t="s">
        <v>126</v>
      </c>
      <c r="D934" s="246" t="s">
        <v>768</v>
      </c>
      <c r="E934" s="246" t="s">
        <v>769</v>
      </c>
      <c r="F934" s="246" t="s">
        <v>277</v>
      </c>
      <c r="G934" s="132" t="s">
        <v>1733</v>
      </c>
      <c r="H934" s="132" t="s">
        <v>1734</v>
      </c>
      <c r="I934" s="132">
        <v>-25.86</v>
      </c>
      <c r="J934" s="101" t="s">
        <v>889</v>
      </c>
      <c r="K934" s="245" t="s">
        <v>390</v>
      </c>
      <c r="L934" s="245">
        <v>42734</v>
      </c>
      <c r="M934" s="245" t="s">
        <v>391</v>
      </c>
      <c r="N934" s="101">
        <v>0</v>
      </c>
      <c r="O934" s="101" t="s">
        <v>392</v>
      </c>
      <c r="P934" s="101">
        <v>0</v>
      </c>
      <c r="Q934" s="101">
        <v>0</v>
      </c>
      <c r="R934" s="101" t="s">
        <v>393</v>
      </c>
      <c r="S934" s="101" t="s">
        <v>861</v>
      </c>
      <c r="T934" s="101" t="s">
        <v>394</v>
      </c>
      <c r="V934" s="245">
        <v>14427</v>
      </c>
      <c r="W934" s="101" t="s">
        <v>395</v>
      </c>
      <c r="X934" s="101" t="s">
        <v>795</v>
      </c>
      <c r="Y934" s="101" t="s">
        <v>396</v>
      </c>
      <c r="Z934" s="101" t="s">
        <v>402</v>
      </c>
      <c r="AA934" s="101" t="s">
        <v>78</v>
      </c>
      <c r="AB934" s="101">
        <v>4101000279</v>
      </c>
      <c r="AC934" s="101" t="s">
        <v>398</v>
      </c>
      <c r="AD934" s="101" t="s">
        <v>403</v>
      </c>
      <c r="AE934" s="101" t="s">
        <v>6</v>
      </c>
      <c r="AF934" s="101" t="s">
        <v>400</v>
      </c>
      <c r="AI934" s="101" t="s">
        <v>760</v>
      </c>
    </row>
    <row r="935" spans="1:35">
      <c r="A935" s="246" t="s">
        <v>111</v>
      </c>
      <c r="B935" s="246" t="s">
        <v>78</v>
      </c>
      <c r="C935" s="246" t="s">
        <v>126</v>
      </c>
      <c r="D935" s="246" t="s">
        <v>768</v>
      </c>
      <c r="E935" s="246" t="s">
        <v>769</v>
      </c>
      <c r="F935" s="246" t="s">
        <v>277</v>
      </c>
      <c r="G935" s="132" t="s">
        <v>1735</v>
      </c>
      <c r="H935" s="132" t="s">
        <v>1736</v>
      </c>
      <c r="I935" s="132">
        <v>-27.91</v>
      </c>
      <c r="J935" s="101" t="s">
        <v>889</v>
      </c>
      <c r="K935" s="245" t="s">
        <v>390</v>
      </c>
      <c r="L935" s="245">
        <v>42766</v>
      </c>
      <c r="M935" s="245" t="s">
        <v>391</v>
      </c>
      <c r="N935" s="101">
        <v>0</v>
      </c>
      <c r="O935" s="101" t="s">
        <v>392</v>
      </c>
      <c r="P935" s="101">
        <v>0</v>
      </c>
      <c r="Q935" s="101">
        <v>0</v>
      </c>
      <c r="R935" s="101" t="s">
        <v>393</v>
      </c>
      <c r="S935" s="101" t="s">
        <v>861</v>
      </c>
      <c r="T935" s="101" t="s">
        <v>394</v>
      </c>
      <c r="V935" s="245">
        <v>14427</v>
      </c>
      <c r="W935" s="101" t="s">
        <v>395</v>
      </c>
      <c r="X935" s="101" t="s">
        <v>795</v>
      </c>
      <c r="Y935" s="101" t="s">
        <v>396</v>
      </c>
      <c r="Z935" s="101" t="s">
        <v>402</v>
      </c>
      <c r="AA935" s="101" t="s">
        <v>78</v>
      </c>
      <c r="AB935" s="101">
        <v>4101000279</v>
      </c>
      <c r="AC935" s="101" t="s">
        <v>398</v>
      </c>
      <c r="AD935" s="101" t="s">
        <v>403</v>
      </c>
      <c r="AE935" s="101" t="s">
        <v>6</v>
      </c>
      <c r="AF935" s="101" t="s">
        <v>400</v>
      </c>
      <c r="AI935" s="101" t="s">
        <v>760</v>
      </c>
    </row>
    <row r="936" spans="1:35">
      <c r="A936" s="246" t="s">
        <v>111</v>
      </c>
      <c r="B936" s="246" t="s">
        <v>78</v>
      </c>
      <c r="C936" s="246" t="s">
        <v>126</v>
      </c>
      <c r="D936" s="246" t="s">
        <v>768</v>
      </c>
      <c r="E936" s="246" t="s">
        <v>769</v>
      </c>
      <c r="F936" s="246" t="s">
        <v>277</v>
      </c>
      <c r="G936" s="132" t="s">
        <v>1737</v>
      </c>
      <c r="H936" s="132" t="s">
        <v>1738</v>
      </c>
      <c r="I936" s="132">
        <v>-37.11</v>
      </c>
      <c r="J936" s="101" t="s">
        <v>889</v>
      </c>
      <c r="K936" s="245" t="s">
        <v>390</v>
      </c>
      <c r="L936" s="245">
        <v>42794</v>
      </c>
      <c r="M936" s="245" t="s">
        <v>391</v>
      </c>
      <c r="N936" s="101">
        <v>0</v>
      </c>
      <c r="O936" s="101" t="s">
        <v>392</v>
      </c>
      <c r="P936" s="101">
        <v>0</v>
      </c>
      <c r="Q936" s="101">
        <v>0</v>
      </c>
      <c r="R936" s="101" t="s">
        <v>393</v>
      </c>
      <c r="S936" s="101" t="s">
        <v>861</v>
      </c>
      <c r="T936" s="101" t="s">
        <v>394</v>
      </c>
      <c r="V936" s="245">
        <v>14427</v>
      </c>
      <c r="W936" s="101" t="s">
        <v>395</v>
      </c>
      <c r="X936" s="101" t="s">
        <v>795</v>
      </c>
      <c r="Y936" s="101" t="s">
        <v>396</v>
      </c>
      <c r="Z936" s="101" t="s">
        <v>402</v>
      </c>
      <c r="AA936" s="101" t="s">
        <v>78</v>
      </c>
      <c r="AB936" s="101">
        <v>4101000279</v>
      </c>
      <c r="AC936" s="101" t="s">
        <v>398</v>
      </c>
      <c r="AD936" s="101" t="s">
        <v>403</v>
      </c>
      <c r="AE936" s="101" t="s">
        <v>6</v>
      </c>
      <c r="AF936" s="101" t="s">
        <v>400</v>
      </c>
      <c r="AI936" s="101" t="s">
        <v>760</v>
      </c>
    </row>
    <row r="937" spans="1:35">
      <c r="A937" s="246" t="s">
        <v>111</v>
      </c>
      <c r="B937" s="246" t="s">
        <v>78</v>
      </c>
      <c r="C937" s="246" t="s">
        <v>126</v>
      </c>
      <c r="D937" s="246" t="s">
        <v>768</v>
      </c>
      <c r="E937" s="246" t="s">
        <v>769</v>
      </c>
      <c r="F937" s="246" t="s">
        <v>277</v>
      </c>
      <c r="G937" s="132" t="s">
        <v>1739</v>
      </c>
      <c r="H937" s="132" t="s">
        <v>1740</v>
      </c>
      <c r="I937" s="132">
        <v>-52.199999999999996</v>
      </c>
      <c r="J937" s="101" t="s">
        <v>889</v>
      </c>
      <c r="K937" s="245" t="s">
        <v>390</v>
      </c>
      <c r="L937" s="245">
        <v>42825</v>
      </c>
      <c r="M937" s="245" t="s">
        <v>391</v>
      </c>
      <c r="N937" s="101">
        <v>0</v>
      </c>
      <c r="O937" s="101" t="s">
        <v>392</v>
      </c>
      <c r="P937" s="101">
        <v>0</v>
      </c>
      <c r="Q937" s="101">
        <v>0</v>
      </c>
      <c r="R937" s="101" t="s">
        <v>393</v>
      </c>
      <c r="S937" s="101" t="s">
        <v>861</v>
      </c>
      <c r="T937" s="101" t="s">
        <v>394</v>
      </c>
      <c r="V937" s="245">
        <v>14427</v>
      </c>
      <c r="W937" s="101" t="s">
        <v>395</v>
      </c>
      <c r="X937" s="101" t="s">
        <v>795</v>
      </c>
      <c r="Y937" s="101" t="s">
        <v>396</v>
      </c>
      <c r="Z937" s="101" t="s">
        <v>402</v>
      </c>
      <c r="AA937" s="101" t="s">
        <v>78</v>
      </c>
      <c r="AB937" s="101">
        <v>4101000279</v>
      </c>
      <c r="AC937" s="101" t="s">
        <v>398</v>
      </c>
      <c r="AD937" s="101" t="s">
        <v>403</v>
      </c>
      <c r="AE937" s="101" t="s">
        <v>6</v>
      </c>
      <c r="AF937" s="101" t="s">
        <v>400</v>
      </c>
      <c r="AI937" s="101" t="s">
        <v>760</v>
      </c>
    </row>
    <row r="938" spans="1:35">
      <c r="A938" s="246" t="s">
        <v>111</v>
      </c>
      <c r="B938" s="246" t="s">
        <v>78</v>
      </c>
      <c r="C938" s="246" t="s">
        <v>126</v>
      </c>
      <c r="D938" s="246" t="s">
        <v>768</v>
      </c>
      <c r="E938" s="246" t="s">
        <v>769</v>
      </c>
      <c r="F938" s="246" t="s">
        <v>277</v>
      </c>
      <c r="G938" s="132" t="s">
        <v>1741</v>
      </c>
      <c r="H938" s="132" t="s">
        <v>1742</v>
      </c>
      <c r="I938" s="132">
        <v>-47.47</v>
      </c>
      <c r="J938" s="101" t="s">
        <v>889</v>
      </c>
      <c r="K938" s="245" t="s">
        <v>390</v>
      </c>
      <c r="L938" s="245">
        <v>42853</v>
      </c>
      <c r="M938" s="245" t="s">
        <v>391</v>
      </c>
      <c r="N938" s="101">
        <v>0</v>
      </c>
      <c r="O938" s="101" t="s">
        <v>392</v>
      </c>
      <c r="P938" s="101">
        <v>0</v>
      </c>
      <c r="Q938" s="101">
        <v>0</v>
      </c>
      <c r="R938" s="101" t="s">
        <v>393</v>
      </c>
      <c r="S938" s="101" t="s">
        <v>861</v>
      </c>
      <c r="T938" s="101" t="s">
        <v>394</v>
      </c>
      <c r="V938" s="245">
        <v>14427</v>
      </c>
      <c r="W938" s="101" t="s">
        <v>395</v>
      </c>
      <c r="X938" s="101" t="s">
        <v>795</v>
      </c>
      <c r="Y938" s="101" t="s">
        <v>396</v>
      </c>
      <c r="Z938" s="101" t="s">
        <v>402</v>
      </c>
      <c r="AA938" s="101" t="s">
        <v>78</v>
      </c>
      <c r="AB938" s="101">
        <v>4101000279</v>
      </c>
      <c r="AC938" s="101" t="s">
        <v>398</v>
      </c>
      <c r="AD938" s="101" t="s">
        <v>403</v>
      </c>
      <c r="AE938" s="101" t="s">
        <v>6</v>
      </c>
      <c r="AF938" s="101" t="s">
        <v>400</v>
      </c>
      <c r="AI938" s="101" t="s">
        <v>760</v>
      </c>
    </row>
    <row r="939" spans="1:35">
      <c r="A939" s="246" t="s">
        <v>112</v>
      </c>
      <c r="B939" s="246" t="s">
        <v>78</v>
      </c>
      <c r="C939" s="246" t="s">
        <v>126</v>
      </c>
      <c r="D939" s="246" t="s">
        <v>341</v>
      </c>
      <c r="E939" s="246" t="s">
        <v>342</v>
      </c>
      <c r="F939" s="246" t="s">
        <v>278</v>
      </c>
      <c r="G939" s="132" t="s">
        <v>1743</v>
      </c>
      <c r="H939" s="132" t="s">
        <v>1744</v>
      </c>
      <c r="I939" s="132">
        <v>-71.569999999999993</v>
      </c>
      <c r="J939" s="101" t="s">
        <v>889</v>
      </c>
      <c r="K939" s="245" t="s">
        <v>390</v>
      </c>
      <c r="L939" s="245">
        <v>42886</v>
      </c>
      <c r="M939" s="245" t="s">
        <v>391</v>
      </c>
      <c r="N939" s="101">
        <v>0</v>
      </c>
      <c r="O939" s="101" t="s">
        <v>392</v>
      </c>
      <c r="P939" s="101">
        <v>0</v>
      </c>
      <c r="Q939" s="101">
        <v>0</v>
      </c>
      <c r="R939" s="101" t="s">
        <v>393</v>
      </c>
      <c r="S939" s="101" t="s">
        <v>861</v>
      </c>
      <c r="T939" s="101" t="s">
        <v>394</v>
      </c>
      <c r="V939" s="245">
        <v>14427</v>
      </c>
      <c r="W939" s="101" t="s">
        <v>395</v>
      </c>
      <c r="X939" s="101" t="s">
        <v>795</v>
      </c>
      <c r="Y939" s="101" t="s">
        <v>396</v>
      </c>
      <c r="Z939" s="101" t="s">
        <v>402</v>
      </c>
      <c r="AA939" s="101" t="s">
        <v>78</v>
      </c>
      <c r="AB939" s="101">
        <v>4101000279</v>
      </c>
      <c r="AC939" s="101" t="s">
        <v>398</v>
      </c>
      <c r="AD939" s="101" t="s">
        <v>403</v>
      </c>
      <c r="AE939" s="101" t="s">
        <v>6</v>
      </c>
      <c r="AF939" s="101" t="s">
        <v>400</v>
      </c>
      <c r="AI939" s="101" t="s">
        <v>760</v>
      </c>
    </row>
    <row r="940" spans="1:35">
      <c r="A940" s="246" t="s">
        <v>112</v>
      </c>
      <c r="B940" s="246" t="s">
        <v>78</v>
      </c>
      <c r="C940" s="246" t="s">
        <v>126</v>
      </c>
      <c r="D940" s="246" t="s">
        <v>341</v>
      </c>
      <c r="E940" s="246" t="s">
        <v>342</v>
      </c>
      <c r="F940" s="246" t="s">
        <v>278</v>
      </c>
      <c r="G940" s="132" t="s">
        <v>1745</v>
      </c>
      <c r="H940" s="132" t="s">
        <v>1746</v>
      </c>
      <c r="I940" s="132">
        <v>-74.839999999999989</v>
      </c>
      <c r="J940" s="101" t="s">
        <v>889</v>
      </c>
      <c r="K940" s="245" t="s">
        <v>390</v>
      </c>
      <c r="L940" s="245">
        <v>42916</v>
      </c>
      <c r="M940" s="245" t="s">
        <v>391</v>
      </c>
      <c r="N940" s="101">
        <v>0</v>
      </c>
      <c r="O940" s="101" t="s">
        <v>392</v>
      </c>
      <c r="P940" s="101">
        <v>0</v>
      </c>
      <c r="Q940" s="101">
        <v>0</v>
      </c>
      <c r="R940" s="101" t="s">
        <v>393</v>
      </c>
      <c r="S940" s="101" t="s">
        <v>861</v>
      </c>
      <c r="T940" s="101" t="s">
        <v>394</v>
      </c>
      <c r="V940" s="245">
        <v>14427</v>
      </c>
      <c r="W940" s="101" t="s">
        <v>395</v>
      </c>
      <c r="X940" s="101" t="s">
        <v>795</v>
      </c>
      <c r="Y940" s="101" t="s">
        <v>396</v>
      </c>
      <c r="Z940" s="101" t="s">
        <v>402</v>
      </c>
      <c r="AA940" s="101" t="s">
        <v>78</v>
      </c>
      <c r="AB940" s="101">
        <v>4101000279</v>
      </c>
      <c r="AC940" s="101" t="s">
        <v>398</v>
      </c>
      <c r="AD940" s="101" t="s">
        <v>403</v>
      </c>
      <c r="AE940" s="101" t="s">
        <v>6</v>
      </c>
      <c r="AF940" s="101" t="s">
        <v>400</v>
      </c>
      <c r="AI940" s="101" t="s">
        <v>760</v>
      </c>
    </row>
    <row r="941" spans="1:35">
      <c r="A941" s="246" t="s">
        <v>112</v>
      </c>
      <c r="B941" s="246" t="s">
        <v>78</v>
      </c>
      <c r="C941" s="246" t="s">
        <v>126</v>
      </c>
      <c r="D941" s="246" t="s">
        <v>341</v>
      </c>
      <c r="E941" s="246" t="s">
        <v>342</v>
      </c>
      <c r="F941" s="246" t="s">
        <v>278</v>
      </c>
      <c r="G941" s="132" t="s">
        <v>1747</v>
      </c>
      <c r="H941" s="132" t="s">
        <v>1748</v>
      </c>
      <c r="I941" s="132">
        <v>-77.61</v>
      </c>
      <c r="J941" s="101" t="s">
        <v>889</v>
      </c>
      <c r="K941" s="245" t="s">
        <v>390</v>
      </c>
      <c r="L941" s="245">
        <v>42947</v>
      </c>
      <c r="M941" s="245" t="s">
        <v>391</v>
      </c>
      <c r="N941" s="101">
        <v>0</v>
      </c>
      <c r="O941" s="101" t="s">
        <v>392</v>
      </c>
      <c r="P941" s="101">
        <v>0</v>
      </c>
      <c r="Q941" s="101">
        <v>0</v>
      </c>
      <c r="R941" s="101" t="s">
        <v>393</v>
      </c>
      <c r="S941" s="101" t="s">
        <v>861</v>
      </c>
      <c r="T941" s="101" t="s">
        <v>394</v>
      </c>
      <c r="V941" s="245">
        <v>14427</v>
      </c>
      <c r="W941" s="101" t="s">
        <v>395</v>
      </c>
      <c r="X941" s="101" t="s">
        <v>795</v>
      </c>
      <c r="Y941" s="101" t="s">
        <v>396</v>
      </c>
      <c r="Z941" s="101" t="s">
        <v>402</v>
      </c>
      <c r="AA941" s="101" t="s">
        <v>78</v>
      </c>
      <c r="AB941" s="101">
        <v>4101000279</v>
      </c>
      <c r="AC941" s="101" t="s">
        <v>398</v>
      </c>
      <c r="AD941" s="101" t="s">
        <v>403</v>
      </c>
      <c r="AE941" s="101" t="s">
        <v>6</v>
      </c>
      <c r="AF941" s="101" t="s">
        <v>400</v>
      </c>
      <c r="AI941" s="101" t="s">
        <v>760</v>
      </c>
    </row>
    <row r="942" spans="1:35">
      <c r="A942" s="246" t="s">
        <v>112</v>
      </c>
      <c r="B942" s="246" t="s">
        <v>78</v>
      </c>
      <c r="C942" s="246" t="s">
        <v>126</v>
      </c>
      <c r="D942" s="246" t="s">
        <v>341</v>
      </c>
      <c r="E942" s="246" t="s">
        <v>342</v>
      </c>
      <c r="F942" s="246" t="s">
        <v>278</v>
      </c>
      <c r="G942" s="132" t="s">
        <v>1749</v>
      </c>
      <c r="H942" s="132" t="s">
        <v>1750</v>
      </c>
      <c r="I942" s="132">
        <v>-77.61999999999999</v>
      </c>
      <c r="J942" s="101" t="s">
        <v>889</v>
      </c>
      <c r="K942" s="245" t="s">
        <v>390</v>
      </c>
      <c r="L942" s="245">
        <v>42978</v>
      </c>
      <c r="M942" s="245" t="s">
        <v>391</v>
      </c>
      <c r="N942" s="101">
        <v>0</v>
      </c>
      <c r="O942" s="101" t="s">
        <v>392</v>
      </c>
      <c r="P942" s="101">
        <v>0</v>
      </c>
      <c r="Q942" s="101">
        <v>0</v>
      </c>
      <c r="R942" s="101" t="s">
        <v>393</v>
      </c>
      <c r="S942" s="101" t="s">
        <v>861</v>
      </c>
      <c r="T942" s="101" t="s">
        <v>394</v>
      </c>
      <c r="V942" s="245">
        <v>14427</v>
      </c>
      <c r="W942" s="101" t="s">
        <v>395</v>
      </c>
      <c r="X942" s="101" t="s">
        <v>795</v>
      </c>
      <c r="Y942" s="101" t="s">
        <v>396</v>
      </c>
      <c r="Z942" s="101" t="s">
        <v>402</v>
      </c>
      <c r="AA942" s="101" t="s">
        <v>78</v>
      </c>
      <c r="AB942" s="101">
        <v>4101000279</v>
      </c>
      <c r="AC942" s="101" t="s">
        <v>398</v>
      </c>
      <c r="AD942" s="101" t="s">
        <v>403</v>
      </c>
      <c r="AE942" s="101" t="s">
        <v>6</v>
      </c>
      <c r="AF942" s="101" t="s">
        <v>400</v>
      </c>
      <c r="AI942" s="101" t="s">
        <v>760</v>
      </c>
    </row>
    <row r="943" spans="1:35">
      <c r="A943" s="246" t="s">
        <v>112</v>
      </c>
      <c r="B943" s="246" t="s">
        <v>78</v>
      </c>
      <c r="C943" s="246" t="s">
        <v>126</v>
      </c>
      <c r="D943" s="246" t="s">
        <v>341</v>
      </c>
      <c r="E943" s="246" t="s">
        <v>342</v>
      </c>
      <c r="F943" s="246" t="s">
        <v>278</v>
      </c>
      <c r="G943" s="132" t="s">
        <v>1751</v>
      </c>
      <c r="H943" s="132" t="s">
        <v>1752</v>
      </c>
      <c r="I943" s="132">
        <v>-72.61</v>
      </c>
      <c r="J943" s="101" t="s">
        <v>889</v>
      </c>
      <c r="K943" s="245" t="s">
        <v>390</v>
      </c>
      <c r="L943" s="245">
        <v>43007</v>
      </c>
      <c r="M943" s="245" t="s">
        <v>391</v>
      </c>
      <c r="N943" s="101">
        <v>0</v>
      </c>
      <c r="O943" s="101" t="s">
        <v>392</v>
      </c>
      <c r="P943" s="101">
        <v>0</v>
      </c>
      <c r="Q943" s="101">
        <v>0</v>
      </c>
      <c r="R943" s="101" t="s">
        <v>393</v>
      </c>
      <c r="S943" s="101" t="s">
        <v>861</v>
      </c>
      <c r="T943" s="101" t="s">
        <v>394</v>
      </c>
      <c r="V943" s="245">
        <v>14427</v>
      </c>
      <c r="W943" s="101" t="s">
        <v>395</v>
      </c>
      <c r="X943" s="101" t="s">
        <v>795</v>
      </c>
      <c r="Y943" s="101" t="s">
        <v>396</v>
      </c>
      <c r="Z943" s="101" t="s">
        <v>402</v>
      </c>
      <c r="AA943" s="101" t="s">
        <v>78</v>
      </c>
      <c r="AB943" s="101">
        <v>4101000279</v>
      </c>
      <c r="AC943" s="101" t="s">
        <v>398</v>
      </c>
      <c r="AD943" s="101" t="s">
        <v>403</v>
      </c>
      <c r="AE943" s="101" t="s">
        <v>6</v>
      </c>
      <c r="AF943" s="101" t="s">
        <v>400</v>
      </c>
      <c r="AI943" s="101" t="s">
        <v>760</v>
      </c>
    </row>
    <row r="944" spans="1:35">
      <c r="A944" s="246" t="s">
        <v>112</v>
      </c>
      <c r="B944" s="246" t="s">
        <v>78</v>
      </c>
      <c r="C944" s="246" t="s">
        <v>126</v>
      </c>
      <c r="D944" s="246" t="s">
        <v>341</v>
      </c>
      <c r="E944" s="246" t="s">
        <v>342</v>
      </c>
      <c r="F944" s="246" t="s">
        <v>278</v>
      </c>
      <c r="G944" s="132" t="s">
        <v>1753</v>
      </c>
      <c r="H944" s="132" t="s">
        <v>1754</v>
      </c>
      <c r="I944" s="132">
        <v>-80.12</v>
      </c>
      <c r="J944" s="101" t="s">
        <v>889</v>
      </c>
      <c r="K944" s="245" t="s">
        <v>390</v>
      </c>
      <c r="L944" s="245">
        <v>43039</v>
      </c>
      <c r="M944" s="245" t="s">
        <v>391</v>
      </c>
      <c r="N944" s="101">
        <v>0</v>
      </c>
      <c r="O944" s="101" t="s">
        <v>392</v>
      </c>
      <c r="P944" s="101">
        <v>0</v>
      </c>
      <c r="Q944" s="101">
        <v>0</v>
      </c>
      <c r="R944" s="101" t="s">
        <v>393</v>
      </c>
      <c r="S944" s="101" t="s">
        <v>861</v>
      </c>
      <c r="T944" s="101" t="s">
        <v>394</v>
      </c>
      <c r="V944" s="245">
        <v>14427</v>
      </c>
      <c r="W944" s="101" t="s">
        <v>395</v>
      </c>
      <c r="X944" s="101" t="s">
        <v>795</v>
      </c>
      <c r="Y944" s="101" t="s">
        <v>396</v>
      </c>
      <c r="Z944" s="101" t="s">
        <v>402</v>
      </c>
      <c r="AA944" s="101" t="s">
        <v>78</v>
      </c>
      <c r="AB944" s="101">
        <v>4101000279</v>
      </c>
      <c r="AC944" s="101" t="s">
        <v>398</v>
      </c>
      <c r="AD944" s="101" t="s">
        <v>403</v>
      </c>
      <c r="AE944" s="101" t="s">
        <v>6</v>
      </c>
      <c r="AF944" s="101" t="s">
        <v>400</v>
      </c>
      <c r="AI944" s="101" t="s">
        <v>760</v>
      </c>
    </row>
    <row r="945" spans="1:35">
      <c r="A945" s="246" t="s">
        <v>113</v>
      </c>
      <c r="B945" s="246" t="s">
        <v>78</v>
      </c>
      <c r="C945" s="246" t="s">
        <v>126</v>
      </c>
      <c r="D945" s="246" t="s">
        <v>339</v>
      </c>
      <c r="E945" s="246" t="s">
        <v>340</v>
      </c>
      <c r="F945" s="246" t="s">
        <v>279</v>
      </c>
      <c r="G945" s="132" t="s">
        <v>1755</v>
      </c>
      <c r="H945" s="132" t="s">
        <v>1756</v>
      </c>
      <c r="I945" s="132">
        <v>-75.11</v>
      </c>
      <c r="J945" s="101" t="s">
        <v>889</v>
      </c>
      <c r="K945" s="245" t="s">
        <v>390</v>
      </c>
      <c r="L945" s="245">
        <v>43069</v>
      </c>
      <c r="M945" s="245" t="s">
        <v>391</v>
      </c>
      <c r="N945" s="101">
        <v>0</v>
      </c>
      <c r="O945" s="101" t="s">
        <v>392</v>
      </c>
      <c r="P945" s="101">
        <v>0</v>
      </c>
      <c r="Q945" s="101">
        <v>0</v>
      </c>
      <c r="R945" s="101" t="s">
        <v>393</v>
      </c>
      <c r="S945" s="101" t="s">
        <v>861</v>
      </c>
      <c r="T945" s="101" t="s">
        <v>394</v>
      </c>
      <c r="V945" s="245">
        <v>14427</v>
      </c>
      <c r="W945" s="101" t="s">
        <v>395</v>
      </c>
      <c r="X945" s="101" t="s">
        <v>795</v>
      </c>
      <c r="Y945" s="101" t="s">
        <v>396</v>
      </c>
      <c r="Z945" s="101" t="s">
        <v>402</v>
      </c>
      <c r="AA945" s="101" t="s">
        <v>78</v>
      </c>
      <c r="AB945" s="101">
        <v>4101000279</v>
      </c>
      <c r="AC945" s="101" t="s">
        <v>398</v>
      </c>
      <c r="AD945" s="101" t="s">
        <v>403</v>
      </c>
      <c r="AE945" s="101" t="s">
        <v>6</v>
      </c>
      <c r="AF945" s="101" t="s">
        <v>400</v>
      </c>
      <c r="AI945" s="101" t="s">
        <v>760</v>
      </c>
    </row>
    <row r="946" spans="1:35">
      <c r="A946" s="246" t="s">
        <v>113</v>
      </c>
      <c r="B946" s="246" t="s">
        <v>78</v>
      </c>
      <c r="C946" s="246" t="s">
        <v>126</v>
      </c>
      <c r="D946" s="246" t="s">
        <v>339</v>
      </c>
      <c r="E946" s="246" t="s">
        <v>340</v>
      </c>
      <c r="F946" s="246" t="s">
        <v>279</v>
      </c>
      <c r="G946" s="132" t="s">
        <v>1751</v>
      </c>
      <c r="H946" s="132" t="s">
        <v>1752</v>
      </c>
      <c r="I946" s="132">
        <v>-72.61</v>
      </c>
      <c r="J946" s="101" t="s">
        <v>889</v>
      </c>
      <c r="K946" s="245" t="s">
        <v>390</v>
      </c>
      <c r="L946" s="245">
        <v>43098</v>
      </c>
      <c r="M946" s="245" t="s">
        <v>391</v>
      </c>
      <c r="N946" s="101">
        <v>0</v>
      </c>
      <c r="O946" s="101" t="s">
        <v>392</v>
      </c>
      <c r="P946" s="101">
        <v>0</v>
      </c>
      <c r="Q946" s="101">
        <v>0</v>
      </c>
      <c r="R946" s="101" t="s">
        <v>393</v>
      </c>
      <c r="S946" s="101" t="s">
        <v>861</v>
      </c>
      <c r="T946" s="101" t="s">
        <v>394</v>
      </c>
      <c r="V946" s="245">
        <v>14427</v>
      </c>
      <c r="W946" s="101" t="s">
        <v>395</v>
      </c>
      <c r="X946" s="101" t="s">
        <v>795</v>
      </c>
      <c r="Y946" s="101" t="s">
        <v>396</v>
      </c>
      <c r="Z946" s="101" t="s">
        <v>402</v>
      </c>
      <c r="AA946" s="101" t="s">
        <v>78</v>
      </c>
      <c r="AB946" s="101">
        <v>4101000279</v>
      </c>
      <c r="AC946" s="101" t="s">
        <v>398</v>
      </c>
      <c r="AD946" s="101" t="s">
        <v>403</v>
      </c>
      <c r="AE946" s="101" t="s">
        <v>6</v>
      </c>
      <c r="AF946" s="101" t="s">
        <v>400</v>
      </c>
      <c r="AI946" s="101" t="s">
        <v>760</v>
      </c>
    </row>
    <row r="947" spans="1:35">
      <c r="A947" s="246" t="s">
        <v>110</v>
      </c>
      <c r="B947" s="246" t="s">
        <v>78</v>
      </c>
      <c r="C947" s="246" t="s">
        <v>126</v>
      </c>
      <c r="D947" s="246" t="s">
        <v>770</v>
      </c>
      <c r="E947" s="246" t="s">
        <v>771</v>
      </c>
      <c r="F947" s="246"/>
      <c r="G947" s="132">
        <v>-13750</v>
      </c>
      <c r="H947" s="132" t="s">
        <v>1757</v>
      </c>
      <c r="I947" s="132">
        <v>-13749.999999999998</v>
      </c>
      <c r="J947" s="101" t="s">
        <v>889</v>
      </c>
      <c r="K947" s="245" t="s">
        <v>390</v>
      </c>
      <c r="L947" s="245">
        <v>42597</v>
      </c>
      <c r="M947" s="245" t="s">
        <v>391</v>
      </c>
      <c r="N947" s="101">
        <v>0</v>
      </c>
      <c r="O947" s="101" t="s">
        <v>392</v>
      </c>
      <c r="P947" s="101">
        <v>0</v>
      </c>
      <c r="Q947" s="101">
        <v>0</v>
      </c>
      <c r="R947" s="101" t="s">
        <v>450</v>
      </c>
      <c r="S947" s="101">
        <v>194028</v>
      </c>
      <c r="T947" s="101" t="s">
        <v>394</v>
      </c>
      <c r="V947" s="245">
        <v>46980</v>
      </c>
      <c r="W947" s="101" t="s">
        <v>411</v>
      </c>
      <c r="X947" s="101" t="s">
        <v>77</v>
      </c>
      <c r="Y947" s="101" t="s">
        <v>392</v>
      </c>
      <c r="Z947" s="101" t="s">
        <v>430</v>
      </c>
      <c r="AA947" s="101" t="s">
        <v>78</v>
      </c>
      <c r="AB947" s="101">
        <v>4101000279</v>
      </c>
      <c r="AC947" s="101" t="s">
        <v>431</v>
      </c>
      <c r="AD947" s="101" t="s">
        <v>431</v>
      </c>
      <c r="AE947" s="101" t="s">
        <v>75</v>
      </c>
      <c r="AF947" s="101" t="s">
        <v>400</v>
      </c>
      <c r="AG947" s="101" t="s">
        <v>452</v>
      </c>
      <c r="AI947" s="101" t="s">
        <v>760</v>
      </c>
    </row>
    <row r="948" spans="1:35">
      <c r="A948" s="246" t="s">
        <v>111</v>
      </c>
      <c r="B948" s="246" t="s">
        <v>78</v>
      </c>
      <c r="C948" s="246" t="s">
        <v>126</v>
      </c>
      <c r="D948" s="246" t="s">
        <v>768</v>
      </c>
      <c r="E948" s="246" t="s">
        <v>769</v>
      </c>
      <c r="F948" s="246"/>
      <c r="G948" s="132">
        <v>-13750</v>
      </c>
      <c r="H948" s="132" t="s">
        <v>1757</v>
      </c>
      <c r="I948" s="132">
        <v>-13749.999999999998</v>
      </c>
      <c r="J948" s="101" t="s">
        <v>889</v>
      </c>
      <c r="K948" s="245" t="s">
        <v>390</v>
      </c>
      <c r="L948" s="245">
        <v>42781</v>
      </c>
      <c r="M948" s="245" t="s">
        <v>391</v>
      </c>
      <c r="N948" s="101">
        <v>0</v>
      </c>
      <c r="O948" s="101" t="s">
        <v>392</v>
      </c>
      <c r="P948" s="101">
        <v>0</v>
      </c>
      <c r="Q948" s="101">
        <v>0</v>
      </c>
      <c r="R948" s="101" t="s">
        <v>450</v>
      </c>
      <c r="S948" s="101">
        <v>194028</v>
      </c>
      <c r="T948" s="101" t="s">
        <v>394</v>
      </c>
      <c r="V948" s="245">
        <v>46980</v>
      </c>
      <c r="W948" s="101" t="s">
        <v>411</v>
      </c>
      <c r="X948" s="101" t="s">
        <v>77</v>
      </c>
      <c r="Y948" s="101" t="s">
        <v>392</v>
      </c>
      <c r="Z948" s="101" t="s">
        <v>430</v>
      </c>
      <c r="AA948" s="101" t="s">
        <v>78</v>
      </c>
      <c r="AB948" s="101">
        <v>4101000279</v>
      </c>
      <c r="AC948" s="101" t="s">
        <v>431</v>
      </c>
      <c r="AD948" s="101" t="s">
        <v>431</v>
      </c>
      <c r="AE948" s="101" t="s">
        <v>75</v>
      </c>
      <c r="AF948" s="101" t="s">
        <v>400</v>
      </c>
      <c r="AG948" s="101" t="s">
        <v>452</v>
      </c>
      <c r="AI948" s="101" t="s">
        <v>760</v>
      </c>
    </row>
    <row r="949" spans="1:35">
      <c r="A949" s="246" t="s">
        <v>112</v>
      </c>
      <c r="B949" s="246" t="s">
        <v>78</v>
      </c>
      <c r="C949" s="246" t="s">
        <v>126</v>
      </c>
      <c r="D949" s="246" t="s">
        <v>341</v>
      </c>
      <c r="E949" s="246" t="s">
        <v>342</v>
      </c>
      <c r="F949" s="246"/>
      <c r="G949" s="132">
        <v>-13750</v>
      </c>
      <c r="H949" s="132" t="s">
        <v>1757</v>
      </c>
      <c r="I949" s="132">
        <v>-13749.999999999998</v>
      </c>
      <c r="J949" s="101" t="s">
        <v>889</v>
      </c>
      <c r="K949" s="245" t="s">
        <v>390</v>
      </c>
      <c r="L949" s="245">
        <v>42962</v>
      </c>
      <c r="M949" s="245" t="s">
        <v>391</v>
      </c>
      <c r="N949" s="101">
        <v>0</v>
      </c>
      <c r="O949" s="101" t="s">
        <v>392</v>
      </c>
      <c r="P949" s="101">
        <v>0</v>
      </c>
      <c r="Q949" s="101">
        <v>0</v>
      </c>
      <c r="R949" s="101" t="s">
        <v>450</v>
      </c>
      <c r="S949" s="101">
        <v>194028</v>
      </c>
      <c r="T949" s="101" t="s">
        <v>394</v>
      </c>
      <c r="V949" s="245">
        <v>46980</v>
      </c>
      <c r="W949" s="101" t="s">
        <v>411</v>
      </c>
      <c r="X949" s="101" t="s">
        <v>77</v>
      </c>
      <c r="Y949" s="101" t="s">
        <v>392</v>
      </c>
      <c r="Z949" s="101" t="s">
        <v>430</v>
      </c>
      <c r="AA949" s="101" t="s">
        <v>78</v>
      </c>
      <c r="AB949" s="101">
        <v>4101000279</v>
      </c>
      <c r="AC949" s="101" t="s">
        <v>431</v>
      </c>
      <c r="AD949" s="101" t="s">
        <v>431</v>
      </c>
      <c r="AE949" s="101" t="s">
        <v>75</v>
      </c>
      <c r="AF949" s="101" t="s">
        <v>400</v>
      </c>
      <c r="AG949" s="101" t="s">
        <v>452</v>
      </c>
      <c r="AI949" s="101" t="s">
        <v>760</v>
      </c>
    </row>
    <row r="950" spans="1:35">
      <c r="A950" s="246" t="s">
        <v>113</v>
      </c>
      <c r="B950" s="246" t="s">
        <v>78</v>
      </c>
      <c r="C950" s="246" t="s">
        <v>126</v>
      </c>
      <c r="D950" s="246" t="s">
        <v>339</v>
      </c>
      <c r="E950" s="246" t="s">
        <v>340</v>
      </c>
      <c r="F950" s="246"/>
      <c r="G950" s="132">
        <v>-13750</v>
      </c>
      <c r="H950" s="132" t="s">
        <v>1757</v>
      </c>
      <c r="I950" s="132">
        <v>-13749.999999999998</v>
      </c>
      <c r="J950" s="101" t="s">
        <v>889</v>
      </c>
      <c r="K950" s="245" t="s">
        <v>390</v>
      </c>
      <c r="L950" s="245">
        <v>43146</v>
      </c>
      <c r="M950" s="245" t="s">
        <v>391</v>
      </c>
      <c r="N950" s="101">
        <v>0</v>
      </c>
      <c r="O950" s="101" t="s">
        <v>392</v>
      </c>
      <c r="P950" s="101">
        <v>0</v>
      </c>
      <c r="Q950" s="101">
        <v>0</v>
      </c>
      <c r="R950" s="101" t="s">
        <v>450</v>
      </c>
      <c r="S950" s="101">
        <v>194028</v>
      </c>
      <c r="T950" s="101" t="s">
        <v>394</v>
      </c>
      <c r="V950" s="245">
        <v>46980</v>
      </c>
      <c r="W950" s="101" t="s">
        <v>411</v>
      </c>
      <c r="X950" s="101" t="s">
        <v>77</v>
      </c>
      <c r="Y950" s="101" t="s">
        <v>392</v>
      </c>
      <c r="Z950" s="101" t="s">
        <v>430</v>
      </c>
      <c r="AA950" s="101" t="s">
        <v>78</v>
      </c>
      <c r="AB950" s="101">
        <v>4101000279</v>
      </c>
      <c r="AC950" s="101" t="s">
        <v>431</v>
      </c>
      <c r="AD950" s="101" t="s">
        <v>431</v>
      </c>
      <c r="AE950" s="101" t="s">
        <v>75</v>
      </c>
      <c r="AF950" s="101" t="s">
        <v>400</v>
      </c>
      <c r="AG950" s="101" t="s">
        <v>452</v>
      </c>
      <c r="AI950" s="101" t="s">
        <v>760</v>
      </c>
    </row>
    <row r="951" spans="1:35">
      <c r="A951" s="246" t="s">
        <v>103</v>
      </c>
      <c r="B951" s="246" t="s">
        <v>78</v>
      </c>
      <c r="C951" s="246" t="s">
        <v>126</v>
      </c>
      <c r="D951" s="246" t="s">
        <v>886</v>
      </c>
      <c r="E951" s="246" t="s">
        <v>887</v>
      </c>
      <c r="F951" s="246"/>
      <c r="G951" s="132">
        <v>-234375</v>
      </c>
      <c r="H951" s="132" t="s">
        <v>1758</v>
      </c>
      <c r="I951" s="132">
        <v>-234375</v>
      </c>
      <c r="J951" s="101" t="s">
        <v>889</v>
      </c>
      <c r="K951" s="245" t="s">
        <v>390</v>
      </c>
      <c r="L951" s="245">
        <v>42506</v>
      </c>
      <c r="M951" s="245" t="s">
        <v>391</v>
      </c>
      <c r="N951" s="101">
        <v>0</v>
      </c>
      <c r="O951" s="101" t="s">
        <v>392</v>
      </c>
      <c r="P951" s="101">
        <v>0</v>
      </c>
      <c r="Q951" s="101">
        <v>0</v>
      </c>
      <c r="R951" s="101" t="s">
        <v>438</v>
      </c>
      <c r="S951" s="101">
        <v>193120</v>
      </c>
      <c r="T951" s="101" t="s">
        <v>394</v>
      </c>
      <c r="V951" s="245">
        <v>47253</v>
      </c>
      <c r="W951" s="101" t="s">
        <v>424</v>
      </c>
      <c r="X951" s="101" t="s">
        <v>76</v>
      </c>
      <c r="Y951" s="101" t="s">
        <v>392</v>
      </c>
      <c r="Z951" s="101" t="s">
        <v>430</v>
      </c>
      <c r="AA951" s="101" t="s">
        <v>78</v>
      </c>
      <c r="AB951" s="101">
        <v>4101000279</v>
      </c>
      <c r="AC951" s="101" t="s">
        <v>431</v>
      </c>
      <c r="AD951" s="101" t="s">
        <v>431</v>
      </c>
      <c r="AE951" s="101" t="s">
        <v>75</v>
      </c>
      <c r="AF951" s="101" t="s">
        <v>400</v>
      </c>
      <c r="AG951" s="101" t="s">
        <v>427</v>
      </c>
      <c r="AI951" s="101" t="s">
        <v>760</v>
      </c>
    </row>
    <row r="952" spans="1:35">
      <c r="A952" s="246" t="s">
        <v>111</v>
      </c>
      <c r="B952" s="246" t="s">
        <v>78</v>
      </c>
      <c r="C952" s="246" t="s">
        <v>126</v>
      </c>
      <c r="D952" s="246" t="s">
        <v>768</v>
      </c>
      <c r="E952" s="246" t="s">
        <v>769</v>
      </c>
      <c r="F952" s="246"/>
      <c r="G952" s="132">
        <v>-234375</v>
      </c>
      <c r="H952" s="132" t="s">
        <v>1758</v>
      </c>
      <c r="I952" s="132">
        <v>-234375</v>
      </c>
      <c r="J952" s="101" t="s">
        <v>889</v>
      </c>
      <c r="K952" s="245" t="s">
        <v>390</v>
      </c>
      <c r="L952" s="245">
        <v>42689</v>
      </c>
      <c r="M952" s="245" t="s">
        <v>391</v>
      </c>
      <c r="N952" s="101">
        <v>0</v>
      </c>
      <c r="O952" s="101" t="s">
        <v>392</v>
      </c>
      <c r="P952" s="101">
        <v>0</v>
      </c>
      <c r="Q952" s="101">
        <v>0</v>
      </c>
      <c r="R952" s="101" t="s">
        <v>438</v>
      </c>
      <c r="S952" s="101">
        <v>193120</v>
      </c>
      <c r="T952" s="101" t="s">
        <v>394</v>
      </c>
      <c r="V952" s="245">
        <v>47253</v>
      </c>
      <c r="W952" s="101" t="s">
        <v>424</v>
      </c>
      <c r="X952" s="101" t="s">
        <v>76</v>
      </c>
      <c r="Y952" s="101" t="s">
        <v>392</v>
      </c>
      <c r="Z952" s="101" t="s">
        <v>430</v>
      </c>
      <c r="AA952" s="101" t="s">
        <v>78</v>
      </c>
      <c r="AB952" s="101">
        <v>4101000279</v>
      </c>
      <c r="AC952" s="101" t="s">
        <v>431</v>
      </c>
      <c r="AD952" s="101" t="s">
        <v>431</v>
      </c>
      <c r="AE952" s="101" t="s">
        <v>75</v>
      </c>
      <c r="AF952" s="101" t="s">
        <v>400</v>
      </c>
      <c r="AG952" s="101" t="s">
        <v>427</v>
      </c>
      <c r="AI952" s="101" t="s">
        <v>760</v>
      </c>
    </row>
    <row r="953" spans="1:35">
      <c r="A953" s="246" t="s">
        <v>112</v>
      </c>
      <c r="B953" s="246" t="s">
        <v>78</v>
      </c>
      <c r="C953" s="246" t="s">
        <v>126</v>
      </c>
      <c r="D953" s="246" t="s">
        <v>341</v>
      </c>
      <c r="E953" s="246" t="s">
        <v>342</v>
      </c>
      <c r="F953" s="246"/>
      <c r="G953" s="132">
        <v>-234375</v>
      </c>
      <c r="H953" s="132" t="s">
        <v>1758</v>
      </c>
      <c r="I953" s="132">
        <v>-234375</v>
      </c>
      <c r="J953" s="101" t="s">
        <v>889</v>
      </c>
      <c r="K953" s="245" t="s">
        <v>390</v>
      </c>
      <c r="L953" s="245">
        <v>42870</v>
      </c>
      <c r="M953" s="245" t="s">
        <v>391</v>
      </c>
      <c r="N953" s="101">
        <v>0</v>
      </c>
      <c r="O953" s="101" t="s">
        <v>392</v>
      </c>
      <c r="P953" s="101">
        <v>0</v>
      </c>
      <c r="Q953" s="101">
        <v>0</v>
      </c>
      <c r="R953" s="101" t="s">
        <v>438</v>
      </c>
      <c r="S953" s="101">
        <v>193120</v>
      </c>
      <c r="T953" s="101" t="s">
        <v>394</v>
      </c>
      <c r="V953" s="245">
        <v>47253</v>
      </c>
      <c r="W953" s="101" t="s">
        <v>424</v>
      </c>
      <c r="X953" s="101" t="s">
        <v>76</v>
      </c>
      <c r="Y953" s="101" t="s">
        <v>392</v>
      </c>
      <c r="Z953" s="101" t="s">
        <v>430</v>
      </c>
      <c r="AA953" s="101" t="s">
        <v>78</v>
      </c>
      <c r="AB953" s="101">
        <v>4101000279</v>
      </c>
      <c r="AC953" s="101" t="s">
        <v>431</v>
      </c>
      <c r="AD953" s="101" t="s">
        <v>431</v>
      </c>
      <c r="AE953" s="101" t="s">
        <v>75</v>
      </c>
      <c r="AF953" s="101" t="s">
        <v>400</v>
      </c>
      <c r="AG953" s="101" t="s">
        <v>427</v>
      </c>
      <c r="AI953" s="101" t="s">
        <v>760</v>
      </c>
    </row>
    <row r="954" spans="1:35">
      <c r="A954" s="246" t="s">
        <v>113</v>
      </c>
      <c r="B954" s="246" t="s">
        <v>78</v>
      </c>
      <c r="C954" s="246" t="s">
        <v>126</v>
      </c>
      <c r="D954" s="246" t="s">
        <v>339</v>
      </c>
      <c r="E954" s="246" t="s">
        <v>340</v>
      </c>
      <c r="F954" s="246"/>
      <c r="G954" s="132">
        <v>-234375</v>
      </c>
      <c r="H954" s="132" t="s">
        <v>1758</v>
      </c>
      <c r="I954" s="132">
        <v>-234375</v>
      </c>
      <c r="J954" s="101" t="s">
        <v>889</v>
      </c>
      <c r="K954" s="245" t="s">
        <v>390</v>
      </c>
      <c r="L954" s="245">
        <v>43054</v>
      </c>
      <c r="M954" s="245" t="s">
        <v>391</v>
      </c>
      <c r="N954" s="101">
        <v>0</v>
      </c>
      <c r="O954" s="101" t="s">
        <v>392</v>
      </c>
      <c r="P954" s="101">
        <v>0</v>
      </c>
      <c r="Q954" s="101">
        <v>0</v>
      </c>
      <c r="R954" s="101" t="s">
        <v>438</v>
      </c>
      <c r="S954" s="101">
        <v>193120</v>
      </c>
      <c r="T954" s="101" t="s">
        <v>394</v>
      </c>
      <c r="V954" s="245">
        <v>47253</v>
      </c>
      <c r="W954" s="101" t="s">
        <v>424</v>
      </c>
      <c r="X954" s="101" t="s">
        <v>76</v>
      </c>
      <c r="Y954" s="101" t="s">
        <v>392</v>
      </c>
      <c r="Z954" s="101" t="s">
        <v>430</v>
      </c>
      <c r="AA954" s="101" t="s">
        <v>78</v>
      </c>
      <c r="AB954" s="101">
        <v>4101000279</v>
      </c>
      <c r="AC954" s="101" t="s">
        <v>431</v>
      </c>
      <c r="AD954" s="101" t="s">
        <v>431</v>
      </c>
      <c r="AE954" s="101" t="s">
        <v>75</v>
      </c>
      <c r="AF954" s="101" t="s">
        <v>400</v>
      </c>
      <c r="AG954" s="101" t="s">
        <v>427</v>
      </c>
      <c r="AI954" s="101" t="s">
        <v>760</v>
      </c>
    </row>
    <row r="955" spans="1:35">
      <c r="A955" s="246" t="s">
        <v>111</v>
      </c>
      <c r="B955" s="246" t="s">
        <v>66</v>
      </c>
      <c r="C955" s="246" t="s">
        <v>126</v>
      </c>
      <c r="D955" s="246" t="s">
        <v>273</v>
      </c>
      <c r="E955" s="246"/>
      <c r="F955" s="246"/>
      <c r="G955" s="132">
        <v>0</v>
      </c>
      <c r="H955" s="132">
        <v>0</v>
      </c>
      <c r="I955" s="132">
        <v>0</v>
      </c>
      <c r="J955" s="101" t="s">
        <v>889</v>
      </c>
      <c r="K955" s="245" t="s">
        <v>390</v>
      </c>
      <c r="L955" s="245">
        <v>42856</v>
      </c>
      <c r="M955" s="245" t="s">
        <v>391</v>
      </c>
      <c r="N955" s="101">
        <v>0</v>
      </c>
      <c r="O955" s="101" t="s">
        <v>392</v>
      </c>
      <c r="P955" s="101">
        <v>0</v>
      </c>
      <c r="Q955" s="101">
        <v>0</v>
      </c>
      <c r="R955" s="101" t="s">
        <v>428</v>
      </c>
      <c r="S955" s="101">
        <v>157751</v>
      </c>
      <c r="T955" s="101" t="s">
        <v>394</v>
      </c>
      <c r="V955" s="245">
        <v>42932</v>
      </c>
      <c r="W955" s="101" t="s">
        <v>627</v>
      </c>
      <c r="X955" s="101" t="s">
        <v>429</v>
      </c>
      <c r="Y955" s="101" t="s">
        <v>392</v>
      </c>
      <c r="Z955" s="101" t="s">
        <v>430</v>
      </c>
      <c r="AA955" s="101" t="s">
        <v>628</v>
      </c>
      <c r="AB955" s="101">
        <v>3101055606</v>
      </c>
      <c r="AC955" s="101" t="s">
        <v>431</v>
      </c>
      <c r="AD955" s="101" t="s">
        <v>431</v>
      </c>
      <c r="AE955" s="101" t="s">
        <v>75</v>
      </c>
      <c r="AF955" s="101" t="s">
        <v>400</v>
      </c>
      <c r="AG955" s="101" t="s">
        <v>432</v>
      </c>
      <c r="AI955" s="101" t="s">
        <v>760</v>
      </c>
    </row>
    <row r="956" spans="1:35">
      <c r="A956" s="246" t="s">
        <v>112</v>
      </c>
      <c r="B956" s="246" t="s">
        <v>66</v>
      </c>
      <c r="C956" s="246" t="s">
        <v>126</v>
      </c>
      <c r="D956" s="246" t="s">
        <v>270</v>
      </c>
      <c r="E956" s="246"/>
      <c r="F956" s="246"/>
      <c r="G956" s="132">
        <v>0</v>
      </c>
      <c r="H956" s="132">
        <v>0</v>
      </c>
      <c r="I956" s="132">
        <v>0</v>
      </c>
      <c r="J956" s="101" t="s">
        <v>889</v>
      </c>
      <c r="K956" s="245" t="s">
        <v>390</v>
      </c>
      <c r="L956" s="245">
        <v>42887</v>
      </c>
      <c r="M956" s="245" t="s">
        <v>391</v>
      </c>
      <c r="N956" s="101">
        <v>0</v>
      </c>
      <c r="O956" s="101" t="s">
        <v>392</v>
      </c>
      <c r="P956" s="101">
        <v>0</v>
      </c>
      <c r="Q956" s="101">
        <v>0</v>
      </c>
      <c r="R956" s="101" t="s">
        <v>428</v>
      </c>
      <c r="S956" s="101">
        <v>157751</v>
      </c>
      <c r="T956" s="101" t="s">
        <v>394</v>
      </c>
      <c r="V956" s="245">
        <v>42932</v>
      </c>
      <c r="W956" s="101" t="s">
        <v>627</v>
      </c>
      <c r="X956" s="101" t="s">
        <v>429</v>
      </c>
      <c r="Y956" s="101" t="s">
        <v>392</v>
      </c>
      <c r="Z956" s="101" t="s">
        <v>430</v>
      </c>
      <c r="AA956" s="101" t="s">
        <v>628</v>
      </c>
      <c r="AB956" s="101">
        <v>3101055606</v>
      </c>
      <c r="AC956" s="101" t="s">
        <v>431</v>
      </c>
      <c r="AD956" s="101" t="s">
        <v>431</v>
      </c>
      <c r="AE956" s="101" t="s">
        <v>75</v>
      </c>
      <c r="AF956" s="101" t="s">
        <v>400</v>
      </c>
      <c r="AG956" s="101" t="s">
        <v>432</v>
      </c>
      <c r="AI956" s="101" t="s">
        <v>760</v>
      </c>
    </row>
    <row r="957" spans="1:35">
      <c r="A957" s="246" t="s">
        <v>112</v>
      </c>
      <c r="B957" s="246" t="s">
        <v>66</v>
      </c>
      <c r="C957" s="246" t="s">
        <v>126</v>
      </c>
      <c r="D957" s="246" t="s">
        <v>270</v>
      </c>
      <c r="E957" s="246"/>
      <c r="F957" s="246"/>
      <c r="G957" s="132">
        <v>0</v>
      </c>
      <c r="H957" s="132">
        <v>0</v>
      </c>
      <c r="I957" s="132">
        <v>0</v>
      </c>
      <c r="J957" s="101" t="s">
        <v>889</v>
      </c>
      <c r="K957" s="245" t="s">
        <v>390</v>
      </c>
      <c r="L957" s="245">
        <v>42933</v>
      </c>
      <c r="M957" s="245" t="s">
        <v>391</v>
      </c>
      <c r="N957" s="101">
        <v>0</v>
      </c>
      <c r="O957" s="101" t="s">
        <v>392</v>
      </c>
      <c r="P957" s="101">
        <v>0</v>
      </c>
      <c r="Q957" s="101">
        <v>0</v>
      </c>
      <c r="R957" s="101" t="s">
        <v>428</v>
      </c>
      <c r="S957" s="101">
        <v>157751</v>
      </c>
      <c r="T957" s="101" t="s">
        <v>394</v>
      </c>
      <c r="V957" s="245">
        <v>42932</v>
      </c>
      <c r="W957" s="101" t="s">
        <v>627</v>
      </c>
      <c r="X957" s="101" t="s">
        <v>429</v>
      </c>
      <c r="Y957" s="101" t="s">
        <v>392</v>
      </c>
      <c r="Z957" s="101" t="s">
        <v>430</v>
      </c>
      <c r="AA957" s="101" t="s">
        <v>628</v>
      </c>
      <c r="AB957" s="101">
        <v>3101055606</v>
      </c>
      <c r="AC957" s="101" t="s">
        <v>431</v>
      </c>
      <c r="AD957" s="101" t="s">
        <v>431</v>
      </c>
      <c r="AE957" s="101" t="s">
        <v>75</v>
      </c>
      <c r="AF957" s="101" t="s">
        <v>400</v>
      </c>
      <c r="AG957" s="101" t="s">
        <v>432</v>
      </c>
      <c r="AI957" s="101" t="s">
        <v>760</v>
      </c>
    </row>
    <row r="958" spans="1:35">
      <c r="A958" s="246" t="s">
        <v>112</v>
      </c>
      <c r="B958" s="246" t="s">
        <v>66</v>
      </c>
      <c r="C958" s="246" t="s">
        <v>116</v>
      </c>
      <c r="D958" s="246" t="s">
        <v>330</v>
      </c>
      <c r="E958" s="246"/>
      <c r="F958" s="246"/>
      <c r="G958" s="132">
        <v>0</v>
      </c>
      <c r="H958" s="132">
        <v>0</v>
      </c>
      <c r="I958" s="132">
        <v>0</v>
      </c>
      <c r="J958" s="101" t="s">
        <v>889</v>
      </c>
      <c r="K958" s="245" t="s">
        <v>390</v>
      </c>
      <c r="L958" s="245">
        <v>42933</v>
      </c>
      <c r="M958" s="245" t="s">
        <v>421</v>
      </c>
      <c r="N958" s="101">
        <v>0</v>
      </c>
      <c r="O958" s="101" t="s">
        <v>392</v>
      </c>
      <c r="P958" s="101">
        <v>0</v>
      </c>
      <c r="Q958" s="101">
        <v>0</v>
      </c>
      <c r="R958" s="101" t="s">
        <v>428</v>
      </c>
      <c r="S958" s="101">
        <v>157751</v>
      </c>
      <c r="T958" s="101" t="s">
        <v>394</v>
      </c>
      <c r="V958" s="245">
        <v>42932</v>
      </c>
      <c r="W958" s="101" t="s">
        <v>627</v>
      </c>
      <c r="X958" s="101" t="s">
        <v>429</v>
      </c>
      <c r="Y958" s="101" t="s">
        <v>392</v>
      </c>
      <c r="Z958" s="101" t="s">
        <v>430</v>
      </c>
      <c r="AA958" s="101" t="s">
        <v>628</v>
      </c>
      <c r="AB958" s="101">
        <v>3101055606</v>
      </c>
      <c r="AC958" s="101" t="s">
        <v>431</v>
      </c>
      <c r="AD958" s="101" t="s">
        <v>431</v>
      </c>
      <c r="AE958" s="101" t="s">
        <v>75</v>
      </c>
      <c r="AF958" s="101" t="s">
        <v>400</v>
      </c>
      <c r="AG958" s="101" t="s">
        <v>432</v>
      </c>
      <c r="AI958" s="101" t="s">
        <v>760</v>
      </c>
    </row>
    <row r="959" spans="1:35">
      <c r="A959" s="246" t="s">
        <v>109</v>
      </c>
      <c r="B959" s="246" t="s">
        <v>78</v>
      </c>
      <c r="C959" s="246" t="s">
        <v>126</v>
      </c>
      <c r="D959" s="246" t="s">
        <v>337</v>
      </c>
      <c r="E959" s="246" t="s">
        <v>336</v>
      </c>
      <c r="F959" s="246" t="s">
        <v>275</v>
      </c>
      <c r="G959" s="132" t="s">
        <v>757</v>
      </c>
      <c r="H959" s="132" t="s">
        <v>1759</v>
      </c>
      <c r="I959" s="132">
        <v>1172.1599999999999</v>
      </c>
      <c r="J959" s="101" t="s">
        <v>889</v>
      </c>
      <c r="K959" s="245" t="s">
        <v>390</v>
      </c>
      <c r="L959" s="245">
        <v>42551</v>
      </c>
      <c r="M959" s="245" t="s">
        <v>391</v>
      </c>
      <c r="N959" s="101">
        <v>0</v>
      </c>
      <c r="O959" s="101" t="s">
        <v>392</v>
      </c>
      <c r="P959" s="101">
        <v>0</v>
      </c>
      <c r="Q959" s="101">
        <v>0</v>
      </c>
      <c r="R959" s="101" t="s">
        <v>393</v>
      </c>
      <c r="S959" s="101" t="s">
        <v>861</v>
      </c>
      <c r="T959" s="101" t="s">
        <v>394</v>
      </c>
      <c r="V959" s="245">
        <v>14427</v>
      </c>
      <c r="W959" s="101" t="s">
        <v>395</v>
      </c>
      <c r="X959" s="101" t="s">
        <v>795</v>
      </c>
      <c r="Y959" s="101" t="s">
        <v>396</v>
      </c>
      <c r="Z959" s="101" t="s">
        <v>402</v>
      </c>
      <c r="AA959" s="101" t="s">
        <v>78</v>
      </c>
      <c r="AB959" s="101">
        <v>4101000279</v>
      </c>
      <c r="AC959" s="101" t="s">
        <v>398</v>
      </c>
      <c r="AD959" s="101" t="s">
        <v>403</v>
      </c>
      <c r="AE959" s="101" t="s">
        <v>6</v>
      </c>
      <c r="AF959" s="101" t="s">
        <v>400</v>
      </c>
      <c r="AI959" s="101" t="s">
        <v>760</v>
      </c>
    </row>
    <row r="960" spans="1:35">
      <c r="A960" s="246" t="s">
        <v>109</v>
      </c>
      <c r="B960" s="246" t="s">
        <v>78</v>
      </c>
      <c r="C960" s="246" t="s">
        <v>126</v>
      </c>
      <c r="D960" s="246" t="s">
        <v>337</v>
      </c>
      <c r="E960" s="246" t="s">
        <v>336</v>
      </c>
      <c r="F960" s="246" t="s">
        <v>275</v>
      </c>
      <c r="G960" s="132" t="s">
        <v>862</v>
      </c>
      <c r="H960" s="132" t="s">
        <v>1760</v>
      </c>
      <c r="I960" s="132">
        <v>261.86</v>
      </c>
      <c r="J960" s="101" t="s">
        <v>889</v>
      </c>
      <c r="K960" s="245" t="s">
        <v>390</v>
      </c>
      <c r="L960" s="245">
        <v>42551</v>
      </c>
      <c r="M960" s="245" t="s">
        <v>391</v>
      </c>
      <c r="N960" s="101">
        <v>0</v>
      </c>
      <c r="O960" s="101" t="s">
        <v>392</v>
      </c>
      <c r="P960" s="101">
        <v>0</v>
      </c>
      <c r="Q960" s="101">
        <v>0</v>
      </c>
      <c r="R960" s="101" t="s">
        <v>393</v>
      </c>
      <c r="S960" s="101" t="s">
        <v>861</v>
      </c>
      <c r="T960" s="101" t="s">
        <v>394</v>
      </c>
      <c r="V960" s="245">
        <v>14427</v>
      </c>
      <c r="W960" s="101" t="s">
        <v>395</v>
      </c>
      <c r="X960" s="101" t="s">
        <v>795</v>
      </c>
      <c r="Y960" s="101" t="s">
        <v>396</v>
      </c>
      <c r="Z960" s="101" t="s">
        <v>402</v>
      </c>
      <c r="AA960" s="101" t="s">
        <v>78</v>
      </c>
      <c r="AB960" s="101">
        <v>4101000279</v>
      </c>
      <c r="AC960" s="101" t="s">
        <v>398</v>
      </c>
      <c r="AD960" s="101" t="s">
        <v>403</v>
      </c>
      <c r="AE960" s="101" t="s">
        <v>6</v>
      </c>
      <c r="AF960" s="101" t="s">
        <v>400</v>
      </c>
      <c r="AI960" s="101" t="s">
        <v>760</v>
      </c>
    </row>
    <row r="961" spans="1:35">
      <c r="A961" s="246" t="s">
        <v>109</v>
      </c>
      <c r="B961" s="246" t="s">
        <v>78</v>
      </c>
      <c r="C961" s="246" t="s">
        <v>126</v>
      </c>
      <c r="D961" s="246" t="s">
        <v>337</v>
      </c>
      <c r="E961" s="246" t="s">
        <v>336</v>
      </c>
      <c r="F961" s="246" t="s">
        <v>275</v>
      </c>
      <c r="G961" s="132" t="s">
        <v>863</v>
      </c>
      <c r="H961" s="132" t="s">
        <v>1761</v>
      </c>
      <c r="I961" s="132">
        <v>4040.83</v>
      </c>
      <c r="J961" s="101" t="s">
        <v>889</v>
      </c>
      <c r="K961" s="245" t="s">
        <v>390</v>
      </c>
      <c r="L961" s="245">
        <v>42551</v>
      </c>
      <c r="M961" s="245" t="s">
        <v>391</v>
      </c>
      <c r="N961" s="101">
        <v>0</v>
      </c>
      <c r="O961" s="101" t="s">
        <v>392</v>
      </c>
      <c r="P961" s="101">
        <v>0</v>
      </c>
      <c r="Q961" s="101">
        <v>0</v>
      </c>
      <c r="R961" s="101" t="s">
        <v>393</v>
      </c>
      <c r="S961" s="101" t="s">
        <v>861</v>
      </c>
      <c r="T961" s="101" t="s">
        <v>394</v>
      </c>
      <c r="V961" s="245">
        <v>14427</v>
      </c>
      <c r="W961" s="101" t="s">
        <v>395</v>
      </c>
      <c r="X961" s="101" t="s">
        <v>795</v>
      </c>
      <c r="Y961" s="101" t="s">
        <v>396</v>
      </c>
      <c r="Z961" s="101" t="s">
        <v>402</v>
      </c>
      <c r="AA961" s="101" t="s">
        <v>78</v>
      </c>
      <c r="AB961" s="101">
        <v>4101000279</v>
      </c>
      <c r="AC961" s="101" t="s">
        <v>398</v>
      </c>
      <c r="AD961" s="101" t="s">
        <v>403</v>
      </c>
      <c r="AE961" s="101" t="s">
        <v>6</v>
      </c>
      <c r="AF961" s="101" t="s">
        <v>400</v>
      </c>
      <c r="AI961" s="101" t="s">
        <v>760</v>
      </c>
    </row>
    <row r="962" spans="1:35">
      <c r="A962" s="246" t="s">
        <v>109</v>
      </c>
      <c r="B962" s="246" t="s">
        <v>78</v>
      </c>
      <c r="C962" s="246" t="s">
        <v>126</v>
      </c>
      <c r="D962" s="246" t="s">
        <v>337</v>
      </c>
      <c r="E962" s="246" t="s">
        <v>336</v>
      </c>
      <c r="F962" s="246" t="s">
        <v>275</v>
      </c>
      <c r="G962" s="132" t="s">
        <v>864</v>
      </c>
      <c r="H962" s="132" t="s">
        <v>1762</v>
      </c>
      <c r="I962" s="132">
        <v>2577.29</v>
      </c>
      <c r="J962" s="101" t="s">
        <v>889</v>
      </c>
      <c r="K962" s="245" t="s">
        <v>390</v>
      </c>
      <c r="L962" s="245">
        <v>42551</v>
      </c>
      <c r="M962" s="245" t="s">
        <v>391</v>
      </c>
      <c r="N962" s="101">
        <v>0</v>
      </c>
      <c r="O962" s="101" t="s">
        <v>392</v>
      </c>
      <c r="P962" s="101">
        <v>0</v>
      </c>
      <c r="Q962" s="101">
        <v>0</v>
      </c>
      <c r="R962" s="101" t="s">
        <v>393</v>
      </c>
      <c r="S962" s="101" t="s">
        <v>861</v>
      </c>
      <c r="T962" s="101" t="s">
        <v>394</v>
      </c>
      <c r="V962" s="245">
        <v>14427</v>
      </c>
      <c r="W962" s="101" t="s">
        <v>395</v>
      </c>
      <c r="X962" s="101" t="s">
        <v>795</v>
      </c>
      <c r="Y962" s="101" t="s">
        <v>396</v>
      </c>
      <c r="Z962" s="101" t="s">
        <v>402</v>
      </c>
      <c r="AA962" s="101" t="s">
        <v>78</v>
      </c>
      <c r="AB962" s="101">
        <v>4101000279</v>
      </c>
      <c r="AC962" s="101" t="s">
        <v>398</v>
      </c>
      <c r="AD962" s="101" t="s">
        <v>403</v>
      </c>
      <c r="AE962" s="101" t="s">
        <v>6</v>
      </c>
      <c r="AF962" s="101" t="s">
        <v>400</v>
      </c>
      <c r="AI962" s="101" t="s">
        <v>760</v>
      </c>
    </row>
    <row r="963" spans="1:35">
      <c r="A963" s="246" t="s">
        <v>111</v>
      </c>
      <c r="B963" s="246" t="s">
        <v>78</v>
      </c>
      <c r="C963" s="246" t="s">
        <v>126</v>
      </c>
      <c r="D963" s="246" t="s">
        <v>768</v>
      </c>
      <c r="E963" s="246" t="s">
        <v>769</v>
      </c>
      <c r="F963" s="246" t="s">
        <v>277</v>
      </c>
      <c r="G963" s="132">
        <v>6600</v>
      </c>
      <c r="H963" s="132" t="s">
        <v>1763</v>
      </c>
      <c r="I963" s="132">
        <v>6600</v>
      </c>
      <c r="J963" s="101" t="s">
        <v>889</v>
      </c>
      <c r="K963" s="245" t="s">
        <v>390</v>
      </c>
      <c r="L963" s="245">
        <v>42734</v>
      </c>
      <c r="M963" s="245" t="s">
        <v>391</v>
      </c>
      <c r="N963" s="101">
        <v>0</v>
      </c>
      <c r="O963" s="101" t="s">
        <v>392</v>
      </c>
      <c r="P963" s="101">
        <v>0</v>
      </c>
      <c r="Q963" s="101">
        <v>0</v>
      </c>
      <c r="R963" s="101" t="s">
        <v>393</v>
      </c>
      <c r="S963" s="101" t="s">
        <v>861</v>
      </c>
      <c r="T963" s="101" t="s">
        <v>394</v>
      </c>
      <c r="V963" s="245">
        <v>14427</v>
      </c>
      <c r="W963" s="101" t="s">
        <v>395</v>
      </c>
      <c r="X963" s="101" t="s">
        <v>795</v>
      </c>
      <c r="Y963" s="101" t="s">
        <v>396</v>
      </c>
      <c r="Z963" s="101" t="s">
        <v>402</v>
      </c>
      <c r="AA963" s="101" t="s">
        <v>78</v>
      </c>
      <c r="AB963" s="101">
        <v>4101000279</v>
      </c>
      <c r="AC963" s="101" t="s">
        <v>398</v>
      </c>
      <c r="AD963" s="101" t="s">
        <v>403</v>
      </c>
      <c r="AE963" s="101" t="s">
        <v>6</v>
      </c>
      <c r="AF963" s="101" t="s">
        <v>400</v>
      </c>
      <c r="AI963" s="101" t="s">
        <v>760</v>
      </c>
    </row>
    <row r="964" spans="1:35">
      <c r="A964" s="246" t="s">
        <v>112</v>
      </c>
      <c r="B964" s="246" t="s">
        <v>78</v>
      </c>
      <c r="C964" s="246" t="s">
        <v>126</v>
      </c>
      <c r="D964" s="246" t="s">
        <v>341</v>
      </c>
      <c r="E964" s="246" t="s">
        <v>342</v>
      </c>
      <c r="F964" s="246" t="s">
        <v>278</v>
      </c>
      <c r="G964" s="132">
        <v>6600</v>
      </c>
      <c r="H964" s="132" t="s">
        <v>1763</v>
      </c>
      <c r="I964" s="132">
        <v>6600</v>
      </c>
      <c r="J964" s="101" t="s">
        <v>889</v>
      </c>
      <c r="K964" s="245" t="s">
        <v>390</v>
      </c>
      <c r="L964" s="245">
        <v>42916</v>
      </c>
      <c r="M964" s="245" t="s">
        <v>391</v>
      </c>
      <c r="N964" s="101">
        <v>0</v>
      </c>
      <c r="O964" s="101" t="s">
        <v>392</v>
      </c>
      <c r="P964" s="101">
        <v>0</v>
      </c>
      <c r="Q964" s="101">
        <v>0</v>
      </c>
      <c r="R964" s="101" t="s">
        <v>393</v>
      </c>
      <c r="S964" s="101" t="s">
        <v>861</v>
      </c>
      <c r="T964" s="101" t="s">
        <v>394</v>
      </c>
      <c r="V964" s="245">
        <v>14427</v>
      </c>
      <c r="W964" s="101" t="s">
        <v>395</v>
      </c>
      <c r="X964" s="101" t="s">
        <v>795</v>
      </c>
      <c r="Y964" s="101" t="s">
        <v>396</v>
      </c>
      <c r="Z964" s="101" t="s">
        <v>402</v>
      </c>
      <c r="AA964" s="101" t="s">
        <v>78</v>
      </c>
      <c r="AB964" s="101">
        <v>4101000279</v>
      </c>
      <c r="AC964" s="101" t="s">
        <v>398</v>
      </c>
      <c r="AD964" s="101" t="s">
        <v>403</v>
      </c>
      <c r="AE964" s="101" t="s">
        <v>6</v>
      </c>
      <c r="AF964" s="101" t="s">
        <v>400</v>
      </c>
      <c r="AI964" s="101" t="s">
        <v>760</v>
      </c>
    </row>
    <row r="965" spans="1:35">
      <c r="A965" s="246" t="s">
        <v>113</v>
      </c>
      <c r="B965" s="246" t="s">
        <v>78</v>
      </c>
      <c r="C965" s="246" t="s">
        <v>126</v>
      </c>
      <c r="D965" s="246" t="s">
        <v>339</v>
      </c>
      <c r="E965" s="246" t="s">
        <v>340</v>
      </c>
      <c r="F965" s="246" t="s">
        <v>279</v>
      </c>
      <c r="G965" s="132" t="s">
        <v>758</v>
      </c>
      <c r="H965" s="132" t="s">
        <v>1764</v>
      </c>
      <c r="I965" s="132">
        <v>6563.329999999999</v>
      </c>
      <c r="J965" s="101" t="s">
        <v>889</v>
      </c>
      <c r="K965" s="245" t="s">
        <v>390</v>
      </c>
      <c r="L965" s="245">
        <v>43098</v>
      </c>
      <c r="M965" s="245" t="s">
        <v>391</v>
      </c>
      <c r="N965" s="101">
        <v>0</v>
      </c>
      <c r="O965" s="101" t="s">
        <v>392</v>
      </c>
      <c r="P965" s="101">
        <v>0</v>
      </c>
      <c r="Q965" s="101">
        <v>0</v>
      </c>
      <c r="R965" s="101" t="s">
        <v>393</v>
      </c>
      <c r="S965" s="101" t="s">
        <v>861</v>
      </c>
      <c r="T965" s="101" t="s">
        <v>394</v>
      </c>
      <c r="V965" s="245">
        <v>14427</v>
      </c>
      <c r="W965" s="101" t="s">
        <v>395</v>
      </c>
      <c r="X965" s="101" t="s">
        <v>795</v>
      </c>
      <c r="Y965" s="101" t="s">
        <v>396</v>
      </c>
      <c r="Z965" s="101" t="s">
        <v>402</v>
      </c>
      <c r="AA965" s="101" t="s">
        <v>78</v>
      </c>
      <c r="AB965" s="101">
        <v>4101000279</v>
      </c>
      <c r="AC965" s="101" t="s">
        <v>398</v>
      </c>
      <c r="AD965" s="101" t="s">
        <v>403</v>
      </c>
      <c r="AE965" s="101" t="s">
        <v>6</v>
      </c>
      <c r="AF965" s="101" t="s">
        <v>400</v>
      </c>
      <c r="AI965" s="101" t="s">
        <v>760</v>
      </c>
    </row>
    <row r="966" spans="1:35">
      <c r="A966" s="246" t="s">
        <v>113</v>
      </c>
      <c r="B966" s="246" t="s">
        <v>78</v>
      </c>
      <c r="C966" s="246" t="s">
        <v>126</v>
      </c>
      <c r="D966" s="246" t="s">
        <v>339</v>
      </c>
      <c r="E966" s="246" t="s">
        <v>340</v>
      </c>
      <c r="F966" s="246" t="s">
        <v>279</v>
      </c>
      <c r="G966" s="132" t="s">
        <v>1765</v>
      </c>
      <c r="H966" s="132" t="s">
        <v>1766</v>
      </c>
      <c r="I966" s="132">
        <v>-82.63</v>
      </c>
      <c r="J966" s="101" t="s">
        <v>889</v>
      </c>
      <c r="K966" s="245" t="s">
        <v>390</v>
      </c>
      <c r="L966" s="245">
        <v>43131</v>
      </c>
      <c r="M966" s="245" t="s">
        <v>391</v>
      </c>
      <c r="N966" s="101">
        <v>0</v>
      </c>
      <c r="O966" s="101" t="s">
        <v>392</v>
      </c>
      <c r="P966" s="101">
        <v>0</v>
      </c>
      <c r="Q966" s="101">
        <v>0</v>
      </c>
      <c r="R966" s="101" t="s">
        <v>393</v>
      </c>
      <c r="S966" s="101" t="s">
        <v>861</v>
      </c>
      <c r="T966" s="101" t="s">
        <v>394</v>
      </c>
      <c r="V966" s="245">
        <v>14427</v>
      </c>
      <c r="W966" s="101" t="s">
        <v>395</v>
      </c>
      <c r="X966" s="101" t="s">
        <v>795</v>
      </c>
      <c r="Y966" s="101" t="s">
        <v>396</v>
      </c>
      <c r="Z966" s="101" t="s">
        <v>402</v>
      </c>
      <c r="AA966" s="101" t="s">
        <v>78</v>
      </c>
      <c r="AB966" s="101">
        <v>4101000279</v>
      </c>
      <c r="AC966" s="101" t="s">
        <v>398</v>
      </c>
      <c r="AD966" s="101" t="s">
        <v>403</v>
      </c>
      <c r="AE966" s="101" t="s">
        <v>6</v>
      </c>
      <c r="AF966" s="101" t="s">
        <v>400</v>
      </c>
      <c r="AI966" s="101" t="s">
        <v>760</v>
      </c>
    </row>
    <row r="967" spans="1:35">
      <c r="A967" s="246" t="s">
        <v>113</v>
      </c>
      <c r="B967" s="246" t="s">
        <v>78</v>
      </c>
      <c r="C967" s="246" t="s">
        <v>126</v>
      </c>
      <c r="D967" s="246" t="s">
        <v>339</v>
      </c>
      <c r="E967" s="246" t="s">
        <v>340</v>
      </c>
      <c r="F967" s="246" t="s">
        <v>279</v>
      </c>
      <c r="G967" s="132" t="s">
        <v>1767</v>
      </c>
      <c r="H967" s="132" t="s">
        <v>1768</v>
      </c>
      <c r="I967" s="132">
        <v>-70.099999999999994</v>
      </c>
      <c r="J967" s="101" t="s">
        <v>889</v>
      </c>
      <c r="K967" s="245" t="s">
        <v>390</v>
      </c>
      <c r="L967" s="245">
        <v>43159</v>
      </c>
      <c r="M967" s="245" t="s">
        <v>391</v>
      </c>
      <c r="N967" s="101">
        <v>0</v>
      </c>
      <c r="O967" s="101" t="s">
        <v>392</v>
      </c>
      <c r="P967" s="101">
        <v>0</v>
      </c>
      <c r="Q967" s="101">
        <v>0</v>
      </c>
      <c r="R967" s="101" t="s">
        <v>393</v>
      </c>
      <c r="S967" s="101" t="s">
        <v>861</v>
      </c>
      <c r="T967" s="101" t="s">
        <v>394</v>
      </c>
      <c r="V967" s="245">
        <v>14427</v>
      </c>
      <c r="W967" s="101" t="s">
        <v>395</v>
      </c>
      <c r="X967" s="101" t="s">
        <v>795</v>
      </c>
      <c r="Y967" s="101" t="s">
        <v>396</v>
      </c>
      <c r="Z967" s="101" t="s">
        <v>402</v>
      </c>
      <c r="AA967" s="101" t="s">
        <v>78</v>
      </c>
      <c r="AB967" s="101">
        <v>4101000279</v>
      </c>
      <c r="AC967" s="101" t="s">
        <v>398</v>
      </c>
      <c r="AD967" s="101" t="s">
        <v>403</v>
      </c>
      <c r="AE967" s="101" t="s">
        <v>6</v>
      </c>
      <c r="AF967" s="101" t="s">
        <v>400</v>
      </c>
      <c r="AI967" s="101" t="s">
        <v>760</v>
      </c>
    </row>
    <row r="968" spans="1:35">
      <c r="A968" s="246" t="s">
        <v>113</v>
      </c>
      <c r="B968" s="246" t="s">
        <v>78</v>
      </c>
      <c r="C968" s="246" t="s">
        <v>126</v>
      </c>
      <c r="D968" s="246" t="s">
        <v>339</v>
      </c>
      <c r="E968" s="246" t="s">
        <v>340</v>
      </c>
      <c r="F968" s="246" t="s">
        <v>279</v>
      </c>
      <c r="G968" s="132" t="s">
        <v>1751</v>
      </c>
      <c r="H968" s="132" t="s">
        <v>1752</v>
      </c>
      <c r="I968" s="132">
        <v>-72.61</v>
      </c>
      <c r="J968" s="101" t="s">
        <v>889</v>
      </c>
      <c r="K968" s="245" t="s">
        <v>390</v>
      </c>
      <c r="L968" s="245">
        <v>43188</v>
      </c>
      <c r="M968" s="245" t="s">
        <v>391</v>
      </c>
      <c r="N968" s="101">
        <v>0</v>
      </c>
      <c r="O968" s="101" t="s">
        <v>392</v>
      </c>
      <c r="P968" s="101">
        <v>0</v>
      </c>
      <c r="Q968" s="101">
        <v>0</v>
      </c>
      <c r="R968" s="101" t="s">
        <v>393</v>
      </c>
      <c r="S968" s="101" t="s">
        <v>861</v>
      </c>
      <c r="T968" s="101" t="s">
        <v>394</v>
      </c>
      <c r="V968" s="245">
        <v>14427</v>
      </c>
      <c r="W968" s="101" t="s">
        <v>395</v>
      </c>
      <c r="X968" s="101" t="s">
        <v>795</v>
      </c>
      <c r="Y968" s="101" t="s">
        <v>396</v>
      </c>
      <c r="Z968" s="101" t="s">
        <v>402</v>
      </c>
      <c r="AA968" s="101" t="s">
        <v>78</v>
      </c>
      <c r="AB968" s="101">
        <v>4101000279</v>
      </c>
      <c r="AC968" s="101" t="s">
        <v>398</v>
      </c>
      <c r="AD968" s="101" t="s">
        <v>403</v>
      </c>
      <c r="AE968" s="101" t="s">
        <v>6</v>
      </c>
      <c r="AF968" s="101" t="s">
        <v>400</v>
      </c>
      <c r="AI968" s="101" t="s">
        <v>760</v>
      </c>
    </row>
    <row r="969" spans="1:35">
      <c r="A969" s="246" t="s">
        <v>113</v>
      </c>
      <c r="B969" s="246" t="s">
        <v>78</v>
      </c>
      <c r="C969" s="246" t="s">
        <v>126</v>
      </c>
      <c r="D969" s="246" t="s">
        <v>339</v>
      </c>
      <c r="E969" s="246" t="s">
        <v>340</v>
      </c>
      <c r="F969" s="246" t="s">
        <v>279</v>
      </c>
      <c r="G969" s="132" t="s">
        <v>1753</v>
      </c>
      <c r="H969" s="132" t="s">
        <v>1754</v>
      </c>
      <c r="I969" s="132">
        <v>-80.12</v>
      </c>
      <c r="J969" s="101" t="s">
        <v>889</v>
      </c>
      <c r="K969" s="245" t="s">
        <v>390</v>
      </c>
      <c r="L969" s="245">
        <v>43220</v>
      </c>
      <c r="M969" s="245" t="s">
        <v>391</v>
      </c>
      <c r="N969" s="101">
        <v>0</v>
      </c>
      <c r="O969" s="101" t="s">
        <v>392</v>
      </c>
      <c r="P969" s="101">
        <v>0</v>
      </c>
      <c r="Q969" s="101">
        <v>0</v>
      </c>
      <c r="R969" s="101" t="s">
        <v>393</v>
      </c>
      <c r="S969" s="101" t="s">
        <v>861</v>
      </c>
      <c r="T969" s="101" t="s">
        <v>394</v>
      </c>
      <c r="V969" s="245">
        <v>14427</v>
      </c>
      <c r="W969" s="101" t="s">
        <v>395</v>
      </c>
      <c r="X969" s="101" t="s">
        <v>795</v>
      </c>
      <c r="Y969" s="101" t="s">
        <v>396</v>
      </c>
      <c r="Z969" s="101" t="s">
        <v>402</v>
      </c>
      <c r="AA969" s="101" t="s">
        <v>78</v>
      </c>
      <c r="AB969" s="101">
        <v>4101000279</v>
      </c>
      <c r="AC969" s="101" t="s">
        <v>398</v>
      </c>
      <c r="AD969" s="101" t="s">
        <v>403</v>
      </c>
      <c r="AE969" s="101" t="s">
        <v>6</v>
      </c>
      <c r="AF969" s="101" t="s">
        <v>400</v>
      </c>
      <c r="AI969" s="101" t="s">
        <v>760</v>
      </c>
    </row>
    <row r="970" spans="1:35">
      <c r="A970" s="246" t="s">
        <v>101</v>
      </c>
      <c r="B970" s="246" t="s">
        <v>78</v>
      </c>
      <c r="C970" s="246" t="s">
        <v>126</v>
      </c>
      <c r="D970" s="246" t="s">
        <v>764</v>
      </c>
      <c r="E970" s="246" t="s">
        <v>765</v>
      </c>
      <c r="F970" s="246" t="s">
        <v>312</v>
      </c>
      <c r="G970" s="132">
        <v>0</v>
      </c>
      <c r="H970" s="132">
        <v>0</v>
      </c>
      <c r="I970" s="132">
        <v>0</v>
      </c>
      <c r="J970" s="101" t="s">
        <v>889</v>
      </c>
      <c r="K970" s="245" t="s">
        <v>390</v>
      </c>
      <c r="L970" s="245">
        <v>42501</v>
      </c>
      <c r="M970" s="245" t="s">
        <v>391</v>
      </c>
      <c r="N970" s="101">
        <v>0</v>
      </c>
      <c r="O970" s="101" t="s">
        <v>392</v>
      </c>
      <c r="P970" s="101">
        <v>0</v>
      </c>
      <c r="Q970" s="101">
        <v>0</v>
      </c>
      <c r="R970" s="101" t="s">
        <v>393</v>
      </c>
      <c r="S970" s="101" t="s">
        <v>423</v>
      </c>
      <c r="T970" s="101" t="s">
        <v>394</v>
      </c>
      <c r="V970" s="245">
        <v>36525</v>
      </c>
      <c r="W970" s="101" t="s">
        <v>424</v>
      </c>
      <c r="X970" s="101" t="s">
        <v>425</v>
      </c>
      <c r="Y970" s="101" t="s">
        <v>396</v>
      </c>
      <c r="Z970" s="101" t="s">
        <v>426</v>
      </c>
      <c r="AA970" s="101" t="s">
        <v>78</v>
      </c>
      <c r="AB970" s="101">
        <v>4101000279</v>
      </c>
      <c r="AC970" s="101" t="s">
        <v>419</v>
      </c>
      <c r="AD970" s="101" t="s">
        <v>94</v>
      </c>
      <c r="AE970" s="101" t="s">
        <v>6</v>
      </c>
      <c r="AF970" s="101" t="s">
        <v>400</v>
      </c>
      <c r="AG970" s="101" t="s">
        <v>427</v>
      </c>
      <c r="AI970" s="101" t="s">
        <v>760</v>
      </c>
    </row>
    <row r="971" spans="1:35">
      <c r="K971" s="245"/>
    </row>
    <row r="972" spans="1:35">
      <c r="K972" s="245"/>
    </row>
    <row r="973" spans="1:35">
      <c r="K973" s="245"/>
    </row>
    <row r="974" spans="1:35">
      <c r="K974" s="245"/>
    </row>
    <row r="975" spans="1:35">
      <c r="K975" s="245"/>
    </row>
    <row r="976" spans="1:35">
      <c r="K976" s="245"/>
    </row>
    <row r="977" spans="11:11">
      <c r="K977" s="245"/>
    </row>
    <row r="978" spans="11:11">
      <c r="K978" s="245"/>
    </row>
    <row r="979" spans="11:11">
      <c r="K979" s="245"/>
    </row>
    <row r="980" spans="11:11">
      <c r="K980" s="245"/>
    </row>
    <row r="981" spans="11:11">
      <c r="K981" s="245"/>
    </row>
    <row r="982" spans="11:11">
      <c r="K982" s="245"/>
    </row>
    <row r="983" spans="11:11">
      <c r="K983" s="245"/>
    </row>
    <row r="984" spans="11:11">
      <c r="K984" s="245"/>
    </row>
    <row r="985" spans="11:11">
      <c r="K985" s="245"/>
    </row>
    <row r="986" spans="11:11">
      <c r="K986" s="245"/>
    </row>
    <row r="987" spans="11:11">
      <c r="K987" s="245"/>
    </row>
    <row r="988" spans="11:11">
      <c r="K988" s="245"/>
    </row>
    <row r="989" spans="11:11">
      <c r="K989" s="245"/>
    </row>
    <row r="990" spans="11:11">
      <c r="K990" s="245"/>
    </row>
    <row r="991" spans="11:11">
      <c r="K991" s="245"/>
    </row>
    <row r="992" spans="11:11">
      <c r="K992" s="245"/>
    </row>
    <row r="993" spans="11:11">
      <c r="K993" s="245"/>
    </row>
    <row r="994" spans="11:11">
      <c r="K994" s="245"/>
    </row>
    <row r="995" spans="11:11">
      <c r="K995" s="245"/>
    </row>
    <row r="996" spans="11:11">
      <c r="K996" s="245"/>
    </row>
    <row r="997" spans="11:11">
      <c r="K997" s="245"/>
    </row>
    <row r="998" spans="11:11">
      <c r="K998" s="245"/>
    </row>
    <row r="999" spans="11:11">
      <c r="K999" s="245"/>
    </row>
    <row r="1000" spans="11:11">
      <c r="K1000" s="245"/>
    </row>
    <row r="1001" spans="11:11">
      <c r="K1001" s="245"/>
    </row>
    <row r="1002" spans="11:11">
      <c r="K1002" s="245"/>
    </row>
    <row r="1003" spans="11:11">
      <c r="K1003" s="245"/>
    </row>
    <row r="1004" spans="11:11">
      <c r="K1004" s="245"/>
    </row>
    <row r="1005" spans="11:11">
      <c r="K1005" s="245"/>
    </row>
    <row r="1006" spans="11:11">
      <c r="K1006" s="245"/>
    </row>
    <row r="1007" spans="11:11">
      <c r="K1007" s="245"/>
    </row>
    <row r="1008" spans="11:11">
      <c r="K1008" s="245"/>
    </row>
    <row r="1009" spans="11:11">
      <c r="K1009" s="245"/>
    </row>
    <row r="1010" spans="11:11">
      <c r="K1010" s="245"/>
    </row>
    <row r="1011" spans="11:11">
      <c r="K1011" s="245"/>
    </row>
    <row r="1012" spans="11:11">
      <c r="K1012" s="245"/>
    </row>
    <row r="1013" spans="11:11">
      <c r="K1013" s="245"/>
    </row>
    <row r="1014" spans="11:11">
      <c r="K1014" s="245"/>
    </row>
    <row r="1015" spans="11:11">
      <c r="K1015" s="245"/>
    </row>
    <row r="1016" spans="11:11">
      <c r="K1016" s="245"/>
    </row>
    <row r="1017" spans="11:11">
      <c r="K1017" s="245"/>
    </row>
    <row r="1018" spans="11:11">
      <c r="K1018" s="245"/>
    </row>
    <row r="1019" spans="11:11">
      <c r="K1019" s="245"/>
    </row>
    <row r="1020" spans="11:11">
      <c r="K1020" s="245"/>
    </row>
    <row r="1021" spans="11:11">
      <c r="K1021" s="245"/>
    </row>
    <row r="1022" spans="11:11">
      <c r="K1022" s="245"/>
    </row>
    <row r="1023" spans="11:11">
      <c r="K1023" s="245"/>
    </row>
    <row r="1024" spans="11:11">
      <c r="K1024" s="245"/>
    </row>
    <row r="1025" spans="11:11">
      <c r="K1025" s="245"/>
    </row>
    <row r="1026" spans="11:11">
      <c r="K1026" s="245"/>
    </row>
    <row r="1027" spans="11:11">
      <c r="K1027" s="245"/>
    </row>
    <row r="1028" spans="11:11">
      <c r="K1028" s="245"/>
    </row>
    <row r="1029" spans="11:11">
      <c r="K1029" s="245"/>
    </row>
    <row r="1030" spans="11:11">
      <c r="K1030" s="245"/>
    </row>
    <row r="1031" spans="11:11">
      <c r="K1031" s="245"/>
    </row>
    <row r="1032" spans="11:11">
      <c r="K1032" s="245"/>
    </row>
    <row r="1033" spans="11:11">
      <c r="K1033" s="245"/>
    </row>
    <row r="1034" spans="11:11">
      <c r="K1034" s="245"/>
    </row>
    <row r="1035" spans="11:11">
      <c r="K1035" s="245"/>
    </row>
    <row r="1036" spans="11:11">
      <c r="K1036" s="245"/>
    </row>
    <row r="1037" spans="11:11">
      <c r="K1037" s="245"/>
    </row>
    <row r="1038" spans="11:11">
      <c r="K1038" s="245"/>
    </row>
    <row r="1039" spans="11:11">
      <c r="K1039" s="245"/>
    </row>
    <row r="1040" spans="11:11">
      <c r="K1040" s="245"/>
    </row>
    <row r="1041" spans="11:11">
      <c r="K1041" s="245"/>
    </row>
    <row r="1042" spans="11:11">
      <c r="K1042" s="245"/>
    </row>
    <row r="1043" spans="11:11">
      <c r="K1043" s="245"/>
    </row>
    <row r="1044" spans="11:11">
      <c r="K1044" s="245"/>
    </row>
    <row r="1045" spans="11:11">
      <c r="K1045" s="245"/>
    </row>
    <row r="1046" spans="11:11">
      <c r="K1046" s="245"/>
    </row>
    <row r="1047" spans="11:11">
      <c r="K1047" s="245"/>
    </row>
    <row r="1048" spans="11:11">
      <c r="K1048" s="245"/>
    </row>
    <row r="1049" spans="11:11">
      <c r="K1049" s="245"/>
    </row>
    <row r="1050" spans="11:11">
      <c r="K1050" s="245"/>
    </row>
    <row r="1051" spans="11:11">
      <c r="K1051" s="245"/>
    </row>
    <row r="1052" spans="11:11">
      <c r="K1052" s="245"/>
    </row>
    <row r="1053" spans="11:11">
      <c r="K1053" s="245"/>
    </row>
  </sheetData>
  <phoneticPr fontId="7" type="noConversion"/>
  <pageMargins left="0.75" right="0.75" top="1" bottom="1" header="0.5" footer="0.5"/>
  <pageSetup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FD174"/>
  <sheetViews>
    <sheetView workbookViewId="0">
      <selection activeCell="E5" sqref="E5"/>
    </sheetView>
  </sheetViews>
  <sheetFormatPr defaultRowHeight="11.25"/>
  <cols>
    <col min="1" max="1" width="6" style="174" customWidth="1"/>
    <col min="2" max="2" width="15.140625" style="174" customWidth="1"/>
    <col min="3" max="3" width="13.140625" style="174" bestFit="1" customWidth="1"/>
    <col min="4" max="4" width="8.140625" style="174" bestFit="1" customWidth="1"/>
    <col min="5" max="5" width="11.5703125" style="174" bestFit="1" customWidth="1"/>
    <col min="6" max="6" width="6.7109375" style="174" bestFit="1" customWidth="1"/>
    <col min="7" max="7" width="33.5703125" style="174" bestFit="1" customWidth="1"/>
    <col min="8" max="8" width="31.5703125" style="174" bestFit="1" customWidth="1"/>
    <col min="9" max="9" width="22.140625" style="174" bestFit="1" customWidth="1"/>
    <col min="10" max="10" width="6" style="174" customWidth="1"/>
    <col min="11" max="11" width="6" style="224" customWidth="1"/>
    <col min="12" max="12" width="6" style="174" customWidth="1"/>
    <col min="13" max="13" width="46.5703125" style="174" bestFit="1" customWidth="1"/>
    <col min="14" max="14" width="11.85546875" style="174" bestFit="1" customWidth="1"/>
    <col min="15" max="15" width="7.140625" style="178" bestFit="1" customWidth="1"/>
    <col min="16" max="16" width="7.140625" style="174" bestFit="1" customWidth="1"/>
    <col min="17" max="17" width="8.7109375" style="174" bestFit="1" customWidth="1"/>
    <col min="18" max="19" width="7.42578125" style="174" bestFit="1" customWidth="1"/>
    <col min="20" max="21" width="7.140625" style="174" bestFit="1" customWidth="1"/>
    <col min="22" max="22" width="10.140625" style="174" bestFit="1" customWidth="1"/>
    <col min="23" max="58" width="7" style="174" bestFit="1" customWidth="1"/>
    <col min="59" max="59" width="7" style="178" bestFit="1" customWidth="1"/>
    <col min="60" max="78" width="7" style="174" bestFit="1" customWidth="1"/>
    <col min="79" max="81" width="11.85546875" style="174" bestFit="1" customWidth="1"/>
    <col min="82" max="82" width="11.28515625" style="174" bestFit="1" customWidth="1"/>
    <col min="83" max="84" width="11.85546875" style="174" bestFit="1" customWidth="1"/>
    <col min="85" max="85" width="13.5703125" style="174" bestFit="1" customWidth="1"/>
    <col min="86" max="86" width="10.85546875" style="174" bestFit="1" customWidth="1"/>
    <col min="87" max="89" width="10.28515625" style="174" bestFit="1" customWidth="1"/>
    <col min="90" max="90" width="11.85546875" style="174" bestFit="1" customWidth="1"/>
    <col min="91" max="91" width="10.85546875" style="174" bestFit="1" customWidth="1"/>
    <col min="92" max="92" width="11.85546875" style="174" bestFit="1" customWidth="1"/>
    <col min="93" max="93" width="13.5703125" style="174" bestFit="1" customWidth="1"/>
    <col min="94" max="94" width="11.85546875" style="174" bestFit="1" customWidth="1"/>
    <col min="95" max="95" width="10.28515625" style="174" bestFit="1" customWidth="1"/>
    <col min="96" max="97" width="14.5703125" style="174" bestFit="1" customWidth="1"/>
    <col min="98" max="98" width="11.28515625" style="174" bestFit="1" customWidth="1"/>
    <col min="99" max="99" width="10.28515625" style="174" bestFit="1" customWidth="1"/>
    <col min="100" max="100" width="13.5703125" style="174" bestFit="1" customWidth="1"/>
    <col min="101" max="101" width="11.28515625" style="174" bestFit="1" customWidth="1"/>
    <col min="102" max="102" width="11.85546875" style="174" bestFit="1" customWidth="1"/>
    <col min="103" max="103" width="14.5703125" style="174" bestFit="1" customWidth="1"/>
    <col min="104" max="104" width="10.85546875" style="174" bestFit="1" customWidth="1"/>
    <col min="105" max="105" width="10.28515625" style="174" bestFit="1" customWidth="1"/>
    <col min="106" max="106" width="11.85546875" style="174" bestFit="1" customWidth="1"/>
    <col min="107" max="107" width="11.28515625" style="174" bestFit="1" customWidth="1"/>
    <col min="108" max="108" width="10.28515625" style="174" bestFit="1" customWidth="1"/>
    <col min="109" max="109" width="11.85546875" style="174" bestFit="1" customWidth="1"/>
    <col min="110" max="110" width="10.85546875" style="174" bestFit="1" customWidth="1"/>
    <col min="111" max="111" width="10.28515625" style="174" bestFit="1" customWidth="1"/>
    <col min="112" max="112" width="11.85546875" style="174" bestFit="1" customWidth="1"/>
    <col min="113" max="113" width="14.5703125" style="174" bestFit="1" customWidth="1"/>
    <col min="114" max="114" width="10.28515625" style="174" bestFit="1" customWidth="1"/>
    <col min="115" max="115" width="10.85546875" style="174" bestFit="1" customWidth="1"/>
    <col min="116" max="116" width="11.28515625" style="174" bestFit="1" customWidth="1"/>
    <col min="117" max="117" width="10.28515625" style="174" bestFit="1" customWidth="1"/>
    <col min="118" max="118" width="11.28515625" style="174" bestFit="1" customWidth="1"/>
    <col min="119" max="119" width="10.85546875" style="174" bestFit="1" customWidth="1"/>
    <col min="120" max="120" width="11.85546875" style="174" bestFit="1" customWidth="1"/>
    <col min="121" max="122" width="10.28515625" style="174" bestFit="1" customWidth="1"/>
    <col min="123" max="123" width="12.7109375" style="174" bestFit="1" customWidth="1"/>
    <col min="124" max="124" width="11.85546875" style="174" bestFit="1" customWidth="1"/>
    <col min="125" max="125" width="11.28515625" style="174" bestFit="1" customWidth="1"/>
    <col min="126" max="126" width="10.85546875" style="174" bestFit="1" customWidth="1"/>
    <col min="127" max="127" width="11.28515625" style="174" bestFit="1" customWidth="1"/>
    <col min="128" max="129" width="10.28515625" style="174" bestFit="1" customWidth="1"/>
    <col min="130" max="131" width="11.28515625" style="174" bestFit="1" customWidth="1"/>
    <col min="132" max="132" width="10.28515625" style="174" bestFit="1" customWidth="1"/>
    <col min="133" max="133" width="13.5703125" style="174" bestFit="1" customWidth="1"/>
    <col min="134" max="134" width="14.5703125" style="174" bestFit="1" customWidth="1"/>
    <col min="135" max="135" width="12.7109375" style="174" customWidth="1"/>
    <col min="136" max="136" width="13.85546875" style="174" bestFit="1" customWidth="1"/>
    <col min="137" max="137" width="11.28515625" style="174" bestFit="1" customWidth="1"/>
    <col min="138" max="138" width="10.85546875" style="174" bestFit="1" customWidth="1"/>
    <col min="139" max="139" width="11.85546875" style="174" bestFit="1" customWidth="1"/>
    <col min="140" max="140" width="10.28515625" style="174" bestFit="1" customWidth="1"/>
    <col min="141" max="141" width="10.28515625" style="174" customWidth="1"/>
    <col min="142" max="142" width="12.7109375" style="174" bestFit="1" customWidth="1"/>
    <col min="143" max="143" width="10.85546875" style="174" bestFit="1" customWidth="1"/>
    <col min="144" max="144" width="11.85546875" style="174" bestFit="1" customWidth="1"/>
    <col min="145" max="145" width="12.7109375" style="174" bestFit="1" customWidth="1"/>
    <col min="146" max="146" width="11.85546875" style="174" bestFit="1" customWidth="1"/>
    <col min="147" max="147" width="10.28515625" style="174" bestFit="1" customWidth="1"/>
    <col min="148" max="148" width="11.28515625" style="174" bestFit="1" customWidth="1"/>
    <col min="149" max="149" width="12.7109375" style="174" bestFit="1" customWidth="1"/>
    <col min="150" max="150" width="11.85546875" style="174" bestFit="1" customWidth="1"/>
    <col min="151" max="153" width="11.28515625" style="174" bestFit="1" customWidth="1"/>
    <col min="154" max="154" width="12.7109375" style="174" bestFit="1" customWidth="1"/>
    <col min="155" max="155" width="14.5703125" style="174" bestFit="1" customWidth="1"/>
    <col min="156" max="156" width="12.7109375" style="174" bestFit="1" customWidth="1"/>
    <col min="157" max="157" width="14.5703125" style="174" bestFit="1" customWidth="1"/>
    <col min="158" max="158" width="12.7109375" style="174" bestFit="1" customWidth="1"/>
    <col min="159" max="160" width="13.85546875" style="174" bestFit="1" customWidth="1"/>
    <col min="161" max="16384" width="9.140625" style="174"/>
  </cols>
  <sheetData>
    <row r="2" spans="2:160" ht="20.25" thickBot="1">
      <c r="B2" s="226" t="s">
        <v>323</v>
      </c>
      <c r="C2" s="226"/>
      <c r="D2" s="226"/>
      <c r="E2" s="226"/>
      <c r="F2" s="226"/>
      <c r="G2" s="226"/>
      <c r="H2" s="226"/>
      <c r="I2" s="226"/>
    </row>
    <row r="3" spans="2:160" ht="21" thickTop="1" thickBot="1">
      <c r="B3" s="226"/>
      <c r="C3" s="226"/>
      <c r="D3" s="226"/>
      <c r="E3" s="226"/>
      <c r="F3" s="226"/>
      <c r="G3" s="226"/>
      <c r="H3" s="226"/>
      <c r="I3" s="226"/>
    </row>
    <row r="4" spans="2:160" ht="16.5" thickTop="1" thickBot="1">
      <c r="H4" s="221" t="s">
        <v>320</v>
      </c>
      <c r="I4" s="221" t="s">
        <v>321</v>
      </c>
    </row>
    <row r="5" spans="2:160" ht="15">
      <c r="H5" s="222">
        <f>SUM(H11:H101)</f>
        <v>-136570146.18999988</v>
      </c>
      <c r="I5" s="222">
        <f>SUM(I11:I101)</f>
        <v>109167424.87461416</v>
      </c>
    </row>
    <row r="6" spans="2:160" ht="12" thickBot="1">
      <c r="E6" s="219"/>
      <c r="H6" s="218" t="b">
        <f>ROUND(H5,0)=ROUND(N11,0)</f>
        <v>1</v>
      </c>
      <c r="I6" s="218"/>
    </row>
    <row r="7" spans="2:160" ht="16.5" thickTop="1" thickBot="1">
      <c r="E7" s="229" t="s">
        <v>319</v>
      </c>
      <c r="H7" s="218"/>
      <c r="I7" s="218"/>
    </row>
    <row r="8" spans="2:160" ht="16.5" thickTop="1" thickBot="1">
      <c r="E8" s="230">
        <f>SUM(E11:E101)</f>
        <v>1.0000000000000011</v>
      </c>
    </row>
    <row r="9" spans="2:160" ht="12" thickTop="1">
      <c r="B9" s="208" t="s">
        <v>296</v>
      </c>
      <c r="C9" s="208"/>
      <c r="D9" s="208"/>
      <c r="E9" s="208"/>
      <c r="F9" s="208"/>
      <c r="G9" s="208"/>
      <c r="H9" s="208"/>
      <c r="I9" s="208"/>
      <c r="M9" s="208" t="s">
        <v>318</v>
      </c>
      <c r="N9" s="208"/>
      <c r="O9" s="208"/>
    </row>
    <row r="10" spans="2:160" ht="12">
      <c r="B10" s="227" t="s">
        <v>297</v>
      </c>
      <c r="C10" s="228" t="s">
        <v>305</v>
      </c>
      <c r="D10" s="228" t="s">
        <v>145</v>
      </c>
      <c r="E10" s="228" t="s">
        <v>317</v>
      </c>
      <c r="F10" s="228" t="s">
        <v>146</v>
      </c>
      <c r="G10" s="228" t="s">
        <v>298</v>
      </c>
      <c r="H10" s="228" t="s">
        <v>299</v>
      </c>
      <c r="I10" s="228" t="s">
        <v>300</v>
      </c>
      <c r="M10" s="206" t="s">
        <v>310</v>
      </c>
      <c r="N10" s="206" t="s">
        <v>311</v>
      </c>
    </row>
    <row r="11" spans="2:160" ht="12.75">
      <c r="B11" s="215"/>
      <c r="C11" s="177">
        <v>0</v>
      </c>
      <c r="D11" s="179">
        <f>Report_date</f>
        <v>42522</v>
      </c>
      <c r="E11" s="179"/>
      <c r="F11" s="179" t="s">
        <v>101</v>
      </c>
      <c r="G11" s="179"/>
      <c r="H11" s="177"/>
      <c r="I11" s="180">
        <v>0</v>
      </c>
      <c r="M11" s="206" t="s">
        <v>172</v>
      </c>
      <c r="N11" s="207">
        <f>SUMIF('GIC Deposits'!$K:$K,"=GICS Deposit Collateralized",'GIC Deposits'!$D:$D)*-1</f>
        <v>-136570146.19</v>
      </c>
      <c r="O11" s="181"/>
      <c r="P11" s="181"/>
      <c r="Q11" s="181"/>
      <c r="R11" s="181"/>
      <c r="S11" s="181"/>
      <c r="T11" s="181"/>
      <c r="U11" s="181"/>
      <c r="V11" s="181"/>
      <c r="W11" s="181"/>
      <c r="X11" s="181"/>
      <c r="Y11" s="181"/>
      <c r="Z11" s="181"/>
      <c r="AA11" s="181"/>
      <c r="AB11" s="181"/>
      <c r="AC11" s="181"/>
      <c r="AD11" s="181"/>
      <c r="AE11" s="181"/>
      <c r="AF11" s="181"/>
      <c r="AG11" s="181"/>
      <c r="AH11" s="181"/>
      <c r="AI11" s="181"/>
      <c r="AJ11" s="181"/>
      <c r="AK11" s="181"/>
      <c r="AL11" s="181"/>
      <c r="AM11" s="181"/>
      <c r="AN11" s="181"/>
      <c r="AO11" s="181"/>
      <c r="AP11" s="181"/>
      <c r="AQ11" s="181"/>
      <c r="AR11" s="181"/>
      <c r="AS11" s="181"/>
      <c r="AT11" s="181"/>
      <c r="AU11" s="181"/>
      <c r="AV11" s="181"/>
      <c r="AW11" s="181"/>
      <c r="AX11" s="181"/>
      <c r="AY11" s="181"/>
      <c r="AZ11" s="181"/>
      <c r="BA11" s="181"/>
      <c r="BB11" s="181"/>
      <c r="BC11" s="181"/>
      <c r="BD11" s="181"/>
      <c r="BE11" s="181"/>
      <c r="BF11" s="181"/>
      <c r="BG11" s="181"/>
      <c r="BH11" s="181"/>
      <c r="BI11" s="181"/>
      <c r="BJ11" s="181"/>
      <c r="BK11" s="181"/>
      <c r="BL11" s="181"/>
      <c r="BM11" s="181"/>
      <c r="BN11" s="181"/>
      <c r="BO11" s="181"/>
      <c r="BP11" s="181"/>
      <c r="BQ11" s="181"/>
      <c r="BR11" s="181"/>
      <c r="BS11" s="181"/>
      <c r="BT11" s="181"/>
      <c r="BU11" s="181"/>
      <c r="BV11" s="181"/>
      <c r="BW11" s="181"/>
      <c r="BX11" s="181"/>
      <c r="BY11" s="181"/>
      <c r="BZ11" s="181"/>
      <c r="CA11" s="181"/>
      <c r="CB11" s="181"/>
      <c r="CC11" s="181"/>
      <c r="CD11" s="181"/>
      <c r="CE11" s="181"/>
      <c r="CF11" s="181"/>
      <c r="CG11" s="181"/>
      <c r="CH11" s="181"/>
      <c r="CI11" s="181"/>
      <c r="CJ11" s="181"/>
      <c r="CK11" s="181"/>
      <c r="CL11" s="181"/>
      <c r="CM11" s="181"/>
      <c r="CN11" s="181"/>
      <c r="CO11" s="181"/>
      <c r="CP11" s="181"/>
      <c r="CQ11" s="181"/>
      <c r="CR11" s="181"/>
      <c r="CS11" s="181"/>
      <c r="CT11" s="181"/>
      <c r="CU11" s="181"/>
      <c r="CV11" s="181"/>
      <c r="CW11" s="181"/>
      <c r="CX11" s="181"/>
      <c r="CY11" s="181"/>
      <c r="CZ11" s="181"/>
      <c r="DA11" s="181"/>
      <c r="DB11" s="181"/>
      <c r="DC11" s="181"/>
      <c r="DD11" s="181"/>
      <c r="DE11" s="181"/>
      <c r="DF11" s="184"/>
      <c r="DG11" s="184"/>
      <c r="DH11" s="184"/>
      <c r="DI11" s="184"/>
      <c r="DJ11" s="184"/>
      <c r="DK11" s="184"/>
      <c r="DL11" s="184"/>
      <c r="DM11" s="184"/>
      <c r="DN11" s="184"/>
      <c r="DO11" s="184"/>
      <c r="DP11" s="184"/>
      <c r="DQ11" s="184"/>
      <c r="DR11" s="184"/>
      <c r="DS11" s="184"/>
      <c r="DT11" s="184"/>
      <c r="DU11" s="184"/>
      <c r="DV11" s="184"/>
      <c r="DW11" s="184"/>
      <c r="DX11" s="184"/>
      <c r="DY11" s="184"/>
      <c r="DZ11" s="184"/>
      <c r="EA11" s="184"/>
      <c r="EB11" s="184"/>
      <c r="EC11" s="184"/>
      <c r="ED11" s="184"/>
      <c r="EE11" s="184"/>
      <c r="EF11" s="184"/>
      <c r="EG11" s="184"/>
      <c r="EH11" s="184"/>
      <c r="EI11" s="184"/>
      <c r="EJ11" s="184"/>
      <c r="EK11" s="184"/>
      <c r="EL11" s="184"/>
      <c r="EM11" s="184"/>
      <c r="EN11" s="184"/>
      <c r="EO11" s="184"/>
      <c r="EP11" s="184"/>
      <c r="EQ11" s="184"/>
      <c r="ER11" s="184"/>
      <c r="ES11" s="184"/>
      <c r="ET11" s="184"/>
      <c r="EU11" s="184"/>
      <c r="EV11" s="184"/>
      <c r="EW11" s="184"/>
      <c r="EX11" s="184"/>
      <c r="EY11" s="184"/>
      <c r="EZ11" s="184"/>
      <c r="FA11" s="184"/>
      <c r="FB11" s="184"/>
      <c r="FC11" s="184"/>
      <c r="FD11" s="184"/>
    </row>
    <row r="12" spans="2:160" ht="12.75">
      <c r="B12" s="215">
        <v>1</v>
      </c>
      <c r="C12" s="177">
        <v>1</v>
      </c>
      <c r="D12" s="179">
        <f>WORKDAY(D11,1)</f>
        <v>42523</v>
      </c>
      <c r="E12" s="216">
        <f t="shared" ref="E12:E43" si="0">VLOOKUP(D12,$N$33:$P$122,3,0)</f>
        <v>6.049550284428068E-2</v>
      </c>
      <c r="F12" s="179" t="str">
        <f>VLOOKUP(D12,Lookups!$D$4:$E$16,2,1)</f>
        <v>1D</v>
      </c>
      <c r="G12" s="179"/>
      <c r="H12" s="217">
        <f>E12*$N$11</f>
        <v>-8261879.6672809729</v>
      </c>
      <c r="I12" s="180">
        <v>0</v>
      </c>
      <c r="M12" s="206" t="s">
        <v>190</v>
      </c>
      <c r="N12" s="207">
        <f>SUMIF('GIC Deposits'!$K:$K,"=GICS Deposit",'GIC Deposits'!$D:$D)*-1</f>
        <v>-14632052.820000004</v>
      </c>
      <c r="O12" s="181"/>
      <c r="P12" s="181"/>
      <c r="Q12" s="181"/>
      <c r="R12" s="181"/>
      <c r="S12" s="181"/>
      <c r="T12" s="181"/>
      <c r="U12" s="181"/>
      <c r="V12" s="181"/>
      <c r="W12" s="181"/>
      <c r="X12" s="181"/>
      <c r="Y12" s="181"/>
      <c r="Z12" s="181"/>
      <c r="AA12" s="181"/>
      <c r="AB12" s="181"/>
      <c r="AC12" s="181"/>
      <c r="AD12" s="181"/>
      <c r="AE12" s="181"/>
      <c r="AF12" s="181"/>
      <c r="AG12" s="181"/>
      <c r="AH12" s="181"/>
      <c r="AI12" s="181"/>
      <c r="AJ12" s="181"/>
      <c r="AK12" s="181"/>
      <c r="AL12" s="181"/>
      <c r="AM12" s="181"/>
      <c r="AN12" s="181"/>
      <c r="AO12" s="181"/>
      <c r="AP12" s="181"/>
      <c r="AQ12" s="181"/>
      <c r="AR12" s="181"/>
      <c r="AS12" s="181"/>
      <c r="AT12" s="181"/>
      <c r="AU12" s="181"/>
      <c r="AV12" s="181"/>
      <c r="AW12" s="181"/>
      <c r="AX12" s="181"/>
      <c r="AY12" s="181"/>
      <c r="AZ12" s="181"/>
      <c r="BA12" s="181"/>
      <c r="BB12" s="181"/>
      <c r="BC12" s="181"/>
      <c r="BD12" s="181"/>
      <c r="BE12" s="181"/>
      <c r="BF12" s="181"/>
      <c r="BG12" s="181"/>
      <c r="BH12" s="181"/>
      <c r="BI12" s="181"/>
      <c r="BJ12" s="181"/>
      <c r="BK12" s="181"/>
      <c r="BL12" s="181"/>
      <c r="BM12" s="181"/>
      <c r="BN12" s="181"/>
      <c r="BO12" s="181"/>
      <c r="BP12" s="181"/>
      <c r="BQ12" s="181"/>
      <c r="BR12" s="181"/>
      <c r="BS12" s="181"/>
      <c r="BT12" s="181"/>
      <c r="BU12" s="181"/>
      <c r="BV12" s="181"/>
      <c r="BW12" s="181"/>
      <c r="BX12" s="181"/>
      <c r="BY12" s="181"/>
      <c r="BZ12" s="181"/>
      <c r="CA12" s="181"/>
      <c r="CB12" s="181"/>
      <c r="CC12" s="181"/>
      <c r="CD12" s="181"/>
      <c r="CE12" s="181"/>
      <c r="CF12" s="181"/>
      <c r="CG12" s="181"/>
      <c r="CH12" s="181"/>
      <c r="CI12" s="181"/>
      <c r="CJ12" s="181"/>
      <c r="CK12" s="181"/>
      <c r="CL12" s="181"/>
      <c r="CM12" s="181"/>
      <c r="CN12" s="181"/>
      <c r="CO12" s="181"/>
      <c r="CP12" s="181"/>
      <c r="CQ12" s="181"/>
      <c r="CR12" s="181"/>
      <c r="CS12" s="181"/>
      <c r="CT12" s="181"/>
      <c r="CU12" s="181"/>
      <c r="CV12" s="181"/>
      <c r="CW12" s="181"/>
      <c r="CX12" s="181"/>
      <c r="CY12" s="181"/>
      <c r="CZ12" s="181"/>
      <c r="DA12" s="181"/>
      <c r="DB12" s="181"/>
      <c r="DC12" s="181"/>
      <c r="DD12" s="181"/>
      <c r="DE12" s="181"/>
      <c r="DF12" s="184"/>
      <c r="DG12" s="184"/>
      <c r="DH12" s="184"/>
      <c r="DI12" s="184"/>
      <c r="DJ12" s="184"/>
      <c r="DK12" s="184"/>
      <c r="DL12" s="184"/>
      <c r="DM12" s="184"/>
      <c r="DN12" s="184"/>
      <c r="DO12" s="184"/>
      <c r="DP12" s="184"/>
      <c r="DQ12" s="184"/>
      <c r="DR12" s="184"/>
      <c r="DS12" s="184"/>
      <c r="DT12" s="184"/>
      <c r="DU12" s="184"/>
      <c r="DV12" s="184"/>
      <c r="DW12" s="184"/>
      <c r="DX12" s="184"/>
      <c r="DY12" s="184"/>
      <c r="DZ12" s="184"/>
      <c r="EA12" s="184"/>
      <c r="EB12" s="184"/>
      <c r="EC12" s="184"/>
      <c r="ED12" s="184"/>
      <c r="EE12" s="184"/>
      <c r="EF12" s="184"/>
      <c r="EG12" s="184"/>
      <c r="EH12" s="184"/>
      <c r="EI12" s="184"/>
      <c r="EJ12" s="184"/>
      <c r="EK12" s="184"/>
      <c r="EL12" s="184"/>
      <c r="EM12" s="184"/>
      <c r="EN12" s="184"/>
      <c r="EO12" s="184"/>
      <c r="EP12" s="184"/>
      <c r="EQ12" s="184"/>
      <c r="ER12" s="184"/>
      <c r="ES12" s="184"/>
      <c r="ET12" s="184"/>
      <c r="EU12" s="184"/>
      <c r="EV12" s="184"/>
      <c r="EW12" s="184"/>
      <c r="EX12" s="184"/>
      <c r="EY12" s="184"/>
      <c r="EZ12" s="184"/>
      <c r="FA12" s="184"/>
      <c r="FB12" s="184"/>
      <c r="FC12" s="184"/>
      <c r="FD12" s="184"/>
    </row>
    <row r="13" spans="2:160" ht="15">
      <c r="B13" s="215">
        <f t="shared" ref="B13:B44" si="1">DAYS360(D$11,D12)+1</f>
        <v>2</v>
      </c>
      <c r="C13" s="177">
        <v>2</v>
      </c>
      <c r="D13" s="179">
        <f>WORKDAY(D12,1)</f>
        <v>42524</v>
      </c>
      <c r="E13" s="216">
        <f t="shared" si="0"/>
        <v>6.049550284428068E-2</v>
      </c>
      <c r="F13" s="179" t="str">
        <f>VLOOKUP(D13,Lookups!$D$4:$E$16,2,1)</f>
        <v>2D</v>
      </c>
      <c r="G13" s="179"/>
      <c r="H13" s="217">
        <f t="shared" ref="H13:H77" si="2">E13*$N$11</f>
        <v>-8261879.6672809729</v>
      </c>
      <c r="I13" s="180">
        <f t="shared" ref="I13:I44" si="3">-H12*(1-$N$16)</f>
        <v>6609503.7338247783</v>
      </c>
      <c r="M13" s="209" t="s">
        <v>62</v>
      </c>
      <c r="N13" s="220">
        <f>N11+N12</f>
        <v>-151202199.00999999</v>
      </c>
      <c r="O13" s="181"/>
      <c r="P13" s="181"/>
      <c r="Q13" s="181"/>
      <c r="R13" s="181"/>
      <c r="S13" s="181"/>
      <c r="T13" s="181"/>
      <c r="U13" s="181"/>
      <c r="V13" s="181"/>
      <c r="W13" s="181"/>
      <c r="X13" s="181"/>
      <c r="Y13" s="181"/>
      <c r="Z13" s="181"/>
      <c r="AA13" s="181"/>
      <c r="AB13" s="181"/>
      <c r="AC13" s="181"/>
      <c r="AD13" s="181"/>
      <c r="AE13" s="181"/>
      <c r="AF13" s="181"/>
      <c r="AG13" s="181"/>
      <c r="AH13" s="181"/>
      <c r="AI13" s="181"/>
      <c r="AJ13" s="181"/>
      <c r="AK13" s="181"/>
      <c r="AL13" s="181"/>
      <c r="AM13" s="181"/>
      <c r="AN13" s="181"/>
      <c r="AO13" s="181"/>
      <c r="AP13" s="181"/>
      <c r="AQ13" s="181"/>
      <c r="AR13" s="181"/>
      <c r="AS13" s="181"/>
      <c r="AT13" s="181"/>
      <c r="AU13" s="181"/>
      <c r="AV13" s="181"/>
      <c r="AW13" s="181"/>
      <c r="AX13" s="181"/>
      <c r="AY13" s="181"/>
      <c r="AZ13" s="181"/>
      <c r="BA13" s="181"/>
      <c r="BB13" s="181"/>
      <c r="BC13" s="181"/>
      <c r="BD13" s="181"/>
      <c r="BE13" s="181"/>
      <c r="BF13" s="181"/>
      <c r="BG13" s="181"/>
      <c r="BH13" s="181"/>
      <c r="BI13" s="181"/>
      <c r="BJ13" s="181"/>
      <c r="BK13" s="181"/>
      <c r="BL13" s="181"/>
      <c r="BM13" s="181"/>
      <c r="BN13" s="181"/>
      <c r="BO13" s="181"/>
      <c r="BP13" s="181"/>
      <c r="BQ13" s="181"/>
      <c r="BR13" s="181"/>
      <c r="BS13" s="181"/>
      <c r="BT13" s="181"/>
      <c r="BU13" s="181"/>
      <c r="BV13" s="181"/>
      <c r="BW13" s="181"/>
      <c r="BX13" s="181"/>
      <c r="BY13" s="181"/>
      <c r="BZ13" s="181"/>
      <c r="CA13" s="181"/>
      <c r="CB13" s="181"/>
      <c r="CC13" s="181"/>
      <c r="CD13" s="181"/>
      <c r="CE13" s="181"/>
      <c r="CF13" s="181"/>
      <c r="CG13" s="181"/>
      <c r="CH13" s="181"/>
      <c r="CI13" s="181"/>
      <c r="CJ13" s="181"/>
      <c r="CK13" s="181"/>
      <c r="CL13" s="181"/>
      <c r="CM13" s="181"/>
      <c r="CN13" s="181"/>
      <c r="CO13" s="181"/>
      <c r="CP13" s="181"/>
      <c r="CQ13" s="181"/>
      <c r="CR13" s="181"/>
      <c r="CS13" s="181"/>
      <c r="CT13" s="181"/>
      <c r="CU13" s="181"/>
      <c r="CV13" s="181"/>
      <c r="CW13" s="181"/>
      <c r="CX13" s="181"/>
      <c r="CY13" s="181"/>
      <c r="CZ13" s="181"/>
      <c r="DA13" s="181"/>
      <c r="DB13" s="181"/>
      <c r="DC13" s="181"/>
      <c r="DD13" s="181"/>
      <c r="DE13" s="181"/>
      <c r="DF13" s="184"/>
      <c r="DG13" s="184"/>
      <c r="DH13" s="184"/>
      <c r="DI13" s="184"/>
      <c r="DJ13" s="184"/>
      <c r="DK13" s="184"/>
      <c r="DL13" s="184"/>
      <c r="DM13" s="184"/>
      <c r="DN13" s="184"/>
      <c r="DO13" s="184"/>
      <c r="DP13" s="184"/>
      <c r="DQ13" s="184"/>
      <c r="DR13" s="184"/>
      <c r="DS13" s="184"/>
      <c r="DT13" s="184"/>
      <c r="DU13" s="184"/>
      <c r="DV13" s="184"/>
      <c r="DW13" s="184"/>
      <c r="DX13" s="184"/>
      <c r="DY13" s="184"/>
      <c r="DZ13" s="184"/>
      <c r="EA13" s="184"/>
      <c r="EB13" s="184"/>
      <c r="EC13" s="184"/>
      <c r="ED13" s="184"/>
      <c r="EE13" s="184"/>
      <c r="EF13" s="184"/>
      <c r="EG13" s="184"/>
      <c r="EH13" s="184"/>
      <c r="EI13" s="184"/>
      <c r="EJ13" s="184"/>
      <c r="EK13" s="184"/>
      <c r="EL13" s="184"/>
      <c r="EM13" s="184"/>
      <c r="EN13" s="184"/>
      <c r="EO13" s="184"/>
      <c r="EP13" s="184"/>
      <c r="EQ13" s="184"/>
      <c r="ER13" s="184"/>
      <c r="ES13" s="184"/>
      <c r="ET13" s="184"/>
      <c r="EU13" s="184"/>
      <c r="EV13" s="184"/>
      <c r="EW13" s="184"/>
      <c r="EX13" s="184"/>
      <c r="EY13" s="184"/>
      <c r="EZ13" s="184"/>
      <c r="FA13" s="184"/>
      <c r="FB13" s="184"/>
      <c r="FC13" s="184"/>
      <c r="FD13" s="184"/>
    </row>
    <row r="14" spans="2:160" ht="12.75">
      <c r="B14" s="215">
        <f t="shared" si="1"/>
        <v>3</v>
      </c>
      <c r="C14" s="177">
        <v>3</v>
      </c>
      <c r="D14" s="179">
        <f t="shared" ref="D14:D77" si="4">WORKDAY(D13,1)</f>
        <v>42527</v>
      </c>
      <c r="E14" s="216">
        <f t="shared" si="0"/>
        <v>6.049550284428068E-2</v>
      </c>
      <c r="F14" s="179" t="str">
        <f>VLOOKUP(D14,Lookups!$D$4:$E$16,2,1)</f>
        <v>3D</v>
      </c>
      <c r="G14" s="180">
        <f>$N$12/4</f>
        <v>-3658013.205000001</v>
      </c>
      <c r="H14" s="217">
        <f t="shared" si="2"/>
        <v>-8261879.6672809729</v>
      </c>
      <c r="I14" s="180">
        <f t="shared" si="3"/>
        <v>6609503.7338247783</v>
      </c>
      <c r="AA14" s="184"/>
      <c r="AB14" s="184"/>
      <c r="AC14" s="184"/>
      <c r="AD14" s="184"/>
      <c r="AE14" s="184"/>
      <c r="AF14" s="184"/>
      <c r="AG14" s="184"/>
      <c r="AH14" s="184"/>
      <c r="AI14" s="184"/>
      <c r="AJ14" s="184"/>
      <c r="AK14" s="184"/>
      <c r="AL14" s="184"/>
      <c r="AM14" s="184"/>
      <c r="AN14" s="184"/>
      <c r="AO14" s="184"/>
      <c r="AP14" s="184"/>
      <c r="AQ14" s="184"/>
      <c r="AR14" s="184"/>
      <c r="AS14" s="184"/>
      <c r="AT14" s="184"/>
      <c r="AU14" s="184"/>
      <c r="AV14" s="184"/>
      <c r="AW14" s="184"/>
      <c r="AX14" s="184"/>
      <c r="AY14" s="184"/>
      <c r="AZ14" s="184"/>
      <c r="BA14" s="184"/>
      <c r="BB14" s="184"/>
      <c r="BC14" s="184"/>
      <c r="BD14" s="184"/>
      <c r="BE14" s="184"/>
      <c r="BF14" s="184"/>
      <c r="BG14" s="186"/>
      <c r="BH14" s="184"/>
      <c r="BI14" s="184"/>
      <c r="BJ14" s="184"/>
      <c r="BK14" s="184"/>
      <c r="BL14" s="184"/>
      <c r="BM14" s="184"/>
      <c r="BN14" s="184"/>
      <c r="BO14" s="184"/>
      <c r="BP14" s="184"/>
      <c r="BQ14" s="184"/>
      <c r="BR14" s="184"/>
      <c r="BS14" s="184"/>
      <c r="BT14" s="184"/>
      <c r="BU14" s="184"/>
      <c r="BV14" s="184"/>
      <c r="BW14" s="184"/>
      <c r="BX14" s="184"/>
      <c r="BY14" s="184"/>
      <c r="BZ14" s="184"/>
      <c r="CA14" s="184"/>
      <c r="CB14" s="184"/>
      <c r="CD14" s="184"/>
      <c r="CE14" s="184"/>
      <c r="CF14" s="184"/>
      <c r="CG14" s="184"/>
      <c r="CH14" s="184"/>
      <c r="CI14" s="184"/>
      <c r="CJ14" s="184"/>
      <c r="CK14" s="184"/>
      <c r="CL14" s="184"/>
      <c r="CM14" s="184"/>
      <c r="CN14" s="184"/>
      <c r="CO14" s="184"/>
      <c r="CP14" s="184"/>
      <c r="CQ14" s="184"/>
      <c r="CR14" s="184"/>
      <c r="CS14" s="184"/>
      <c r="CT14" s="184"/>
      <c r="CU14" s="184"/>
      <c r="CV14" s="184"/>
      <c r="CW14" s="184"/>
      <c r="CX14" s="184"/>
      <c r="CY14" s="184"/>
      <c r="CZ14" s="184"/>
      <c r="DA14" s="184"/>
      <c r="DB14" s="184"/>
      <c r="DC14" s="184"/>
      <c r="DD14" s="184"/>
      <c r="DE14" s="184"/>
      <c r="DF14" s="184"/>
      <c r="DG14" s="184"/>
      <c r="DH14" s="184"/>
      <c r="DI14" s="184"/>
      <c r="DJ14" s="184"/>
      <c r="DK14" s="184"/>
      <c r="DL14" s="184"/>
      <c r="DM14" s="184"/>
      <c r="DN14" s="184"/>
      <c r="DO14" s="184"/>
      <c r="DP14" s="184"/>
      <c r="DQ14" s="184"/>
      <c r="DR14" s="184"/>
      <c r="DS14" s="184"/>
      <c r="DT14" s="184"/>
      <c r="DU14" s="184"/>
      <c r="DV14" s="184"/>
      <c r="DW14" s="184"/>
      <c r="DX14" s="184"/>
      <c r="DY14" s="184"/>
      <c r="DZ14" s="184"/>
      <c r="EA14" s="184"/>
      <c r="EB14" s="184"/>
      <c r="EC14" s="184"/>
      <c r="ED14" s="184"/>
      <c r="EE14" s="184"/>
      <c r="EF14" s="184"/>
      <c r="EG14" s="184"/>
      <c r="EH14" s="184"/>
      <c r="EI14" s="184"/>
      <c r="EJ14" s="184"/>
      <c r="EK14" s="184"/>
      <c r="EL14" s="184"/>
      <c r="EM14" s="184"/>
      <c r="EN14" s="184"/>
      <c r="EO14" s="184"/>
      <c r="EP14" s="184"/>
      <c r="EQ14" s="184"/>
      <c r="ER14" s="184"/>
      <c r="ES14" s="184"/>
      <c r="ET14" s="184"/>
      <c r="EU14" s="184"/>
      <c r="EV14" s="184"/>
      <c r="EW14" s="184"/>
      <c r="EX14" s="184"/>
      <c r="EY14" s="184"/>
      <c r="EZ14" s="184"/>
      <c r="FA14" s="184"/>
      <c r="FB14" s="184"/>
      <c r="FC14" s="184"/>
      <c r="FD14" s="184"/>
    </row>
    <row r="15" spans="2:160" ht="12.75">
      <c r="B15" s="215">
        <f t="shared" si="1"/>
        <v>6</v>
      </c>
      <c r="C15" s="177">
        <v>4</v>
      </c>
      <c r="D15" s="179">
        <f t="shared" si="4"/>
        <v>42528</v>
      </c>
      <c r="E15" s="216">
        <f t="shared" si="0"/>
        <v>2.2172107894863017E-3</v>
      </c>
      <c r="F15" s="179" t="str">
        <f>VLOOKUP(D15,Lookups!$D$4:$E$16,2,1)</f>
        <v>4D</v>
      </c>
      <c r="G15" s="180">
        <f t="shared" ref="G15:G17" si="5">$N$12/4</f>
        <v>-3658013.205000001</v>
      </c>
      <c r="H15" s="217">
        <f t="shared" si="2"/>
        <v>-302804.80165418953</v>
      </c>
      <c r="I15" s="180">
        <f t="shared" si="3"/>
        <v>6609503.7338247783</v>
      </c>
      <c r="M15" s="208" t="s">
        <v>318</v>
      </c>
      <c r="N15" s="208"/>
      <c r="O15" s="208"/>
      <c r="AA15" s="184"/>
      <c r="AB15" s="184"/>
      <c r="AC15" s="184"/>
      <c r="AD15" s="184"/>
      <c r="AE15" s="184"/>
      <c r="AF15" s="184"/>
      <c r="AG15" s="184"/>
      <c r="AH15" s="184"/>
      <c r="AI15" s="184"/>
      <c r="AJ15" s="184"/>
      <c r="AK15" s="184"/>
      <c r="AL15" s="184"/>
      <c r="AM15" s="184"/>
      <c r="AN15" s="184"/>
      <c r="AO15" s="184"/>
      <c r="AP15" s="184"/>
      <c r="AQ15" s="184"/>
      <c r="AR15" s="184"/>
      <c r="AS15" s="184"/>
      <c r="AT15" s="184"/>
      <c r="AU15" s="184"/>
      <c r="AV15" s="184"/>
      <c r="AW15" s="184"/>
      <c r="AX15" s="184"/>
      <c r="AY15" s="184"/>
      <c r="AZ15" s="184"/>
      <c r="BA15" s="184"/>
      <c r="BB15" s="184"/>
      <c r="BC15" s="184"/>
      <c r="BD15" s="184"/>
      <c r="BE15" s="184"/>
      <c r="BF15" s="184"/>
      <c r="BG15" s="186"/>
      <c r="BH15" s="184"/>
      <c r="BI15" s="184"/>
      <c r="BJ15" s="184"/>
      <c r="BK15" s="184"/>
      <c r="BL15" s="184"/>
      <c r="BM15" s="184"/>
      <c r="BN15" s="184"/>
      <c r="BO15" s="184"/>
      <c r="BP15" s="184"/>
      <c r="BQ15" s="184"/>
      <c r="BR15" s="184"/>
      <c r="BS15" s="184"/>
      <c r="BT15" s="184"/>
      <c r="BU15" s="184"/>
      <c r="BV15" s="184"/>
      <c r="BW15" s="184"/>
      <c r="BX15" s="184"/>
      <c r="BY15" s="184"/>
      <c r="BZ15" s="184"/>
      <c r="CA15" s="184"/>
      <c r="CB15" s="184"/>
      <c r="CD15" s="184"/>
      <c r="CE15" s="184"/>
      <c r="CF15" s="184"/>
      <c r="CG15" s="184"/>
      <c r="CH15" s="184"/>
      <c r="CI15" s="184"/>
      <c r="CJ15" s="184"/>
      <c r="CK15" s="184"/>
      <c r="CL15" s="184"/>
      <c r="CM15" s="184"/>
      <c r="CN15" s="184"/>
      <c r="CO15" s="184"/>
      <c r="CP15" s="184"/>
      <c r="CQ15" s="184"/>
      <c r="CR15" s="184"/>
      <c r="CS15" s="184"/>
      <c r="CT15" s="184"/>
      <c r="CU15" s="184"/>
      <c r="CV15" s="184"/>
      <c r="CW15" s="184"/>
      <c r="CX15" s="184"/>
      <c r="CY15" s="184"/>
      <c r="CZ15" s="184"/>
      <c r="DA15" s="184"/>
      <c r="DB15" s="184"/>
      <c r="DC15" s="184"/>
      <c r="DD15" s="184"/>
      <c r="DE15" s="184"/>
      <c r="DF15" s="184"/>
      <c r="DG15" s="184"/>
      <c r="DH15" s="184"/>
      <c r="DI15" s="184"/>
      <c r="DJ15" s="184"/>
      <c r="DK15" s="184"/>
      <c r="DL15" s="184"/>
      <c r="DM15" s="184"/>
      <c r="DN15" s="184"/>
      <c r="DO15" s="184"/>
      <c r="DP15" s="184"/>
      <c r="DQ15" s="184"/>
      <c r="DR15" s="184"/>
      <c r="DS15" s="184"/>
      <c r="DT15" s="184"/>
      <c r="DU15" s="184"/>
      <c r="DV15" s="184"/>
      <c r="DW15" s="184"/>
      <c r="DX15" s="184"/>
      <c r="DY15" s="184"/>
      <c r="DZ15" s="184"/>
      <c r="EA15" s="184"/>
      <c r="EB15" s="184"/>
      <c r="EC15" s="184"/>
      <c r="ED15" s="184"/>
      <c r="EE15" s="184"/>
      <c r="EF15" s="184"/>
      <c r="EG15" s="184"/>
      <c r="EH15" s="184"/>
      <c r="EI15" s="184"/>
      <c r="EJ15" s="184"/>
      <c r="EK15" s="184"/>
      <c r="EL15" s="184"/>
      <c r="EM15" s="184"/>
      <c r="EN15" s="184"/>
      <c r="EO15" s="184"/>
      <c r="EP15" s="184"/>
      <c r="EQ15" s="184"/>
      <c r="ER15" s="184"/>
      <c r="ES15" s="184"/>
      <c r="ET15" s="184"/>
      <c r="EU15" s="184"/>
      <c r="EV15" s="184"/>
      <c r="EW15" s="184"/>
      <c r="EX15" s="184"/>
      <c r="EY15" s="184"/>
      <c r="EZ15" s="184"/>
      <c r="FA15" s="184"/>
      <c r="FB15" s="184"/>
      <c r="FC15" s="184"/>
      <c r="FD15" s="184"/>
    </row>
    <row r="16" spans="2:160" ht="12.75">
      <c r="B16" s="215">
        <f t="shared" si="1"/>
        <v>7</v>
      </c>
      <c r="C16" s="177">
        <v>5</v>
      </c>
      <c r="D16" s="179">
        <f t="shared" si="4"/>
        <v>42529</v>
      </c>
      <c r="E16" s="216">
        <f t="shared" si="0"/>
        <v>2.2172107894863017E-3</v>
      </c>
      <c r="F16" s="179" t="str">
        <f>VLOOKUP(D16,Lookups!$D$4:$E$16,2,1)</f>
        <v>5D</v>
      </c>
      <c r="G16" s="180">
        <f t="shared" si="5"/>
        <v>-3658013.205000001</v>
      </c>
      <c r="H16" s="217">
        <f t="shared" si="2"/>
        <v>-302804.80165418953</v>
      </c>
      <c r="I16" s="180">
        <f t="shared" si="3"/>
        <v>242243.84132335163</v>
      </c>
      <c r="M16" s="182" t="s">
        <v>301</v>
      </c>
      <c r="N16" s="185">
        <v>0.2</v>
      </c>
      <c r="O16" s="181"/>
      <c r="P16" s="181"/>
    </row>
    <row r="17" spans="1:160" ht="12.75">
      <c r="A17" s="178"/>
      <c r="B17" s="215">
        <f t="shared" si="1"/>
        <v>8</v>
      </c>
      <c r="C17" s="177">
        <v>6</v>
      </c>
      <c r="D17" s="179">
        <f t="shared" si="4"/>
        <v>42530</v>
      </c>
      <c r="E17" s="216">
        <f t="shared" si="0"/>
        <v>2.2172107894863017E-3</v>
      </c>
      <c r="F17" s="179" t="str">
        <f>VLOOKUP(D17,Lookups!$D$4:$E$16,2,1)</f>
        <v>2W</v>
      </c>
      <c r="G17" s="180">
        <f t="shared" si="5"/>
        <v>-3658013.205000001</v>
      </c>
      <c r="H17" s="217">
        <f t="shared" si="2"/>
        <v>-302804.80165418953</v>
      </c>
      <c r="I17" s="180">
        <f t="shared" si="3"/>
        <v>242243.84132335163</v>
      </c>
      <c r="J17" s="178"/>
      <c r="K17" s="214"/>
      <c r="L17" s="178"/>
      <c r="M17" s="182" t="s">
        <v>302</v>
      </c>
      <c r="N17" s="187">
        <f>-(N12)/1000000</f>
        <v>14.632052820000004</v>
      </c>
      <c r="O17" s="181"/>
      <c r="P17" s="181"/>
      <c r="Q17" s="181"/>
      <c r="R17" s="181"/>
      <c r="S17" s="181"/>
      <c r="T17" s="181"/>
      <c r="U17" s="181"/>
      <c r="V17" s="181"/>
      <c r="W17" s="181"/>
      <c r="X17" s="181"/>
      <c r="Y17" s="181"/>
      <c r="Z17" s="181"/>
      <c r="AA17" s="181"/>
      <c r="AB17" s="181"/>
      <c r="AC17" s="181"/>
      <c r="AD17" s="181"/>
      <c r="AE17" s="181"/>
      <c r="AF17" s="181"/>
      <c r="AG17" s="181"/>
      <c r="AH17" s="181"/>
      <c r="AI17" s="181"/>
      <c r="AJ17" s="181"/>
      <c r="AK17" s="181"/>
      <c r="AL17" s="181"/>
      <c r="AM17" s="181"/>
      <c r="AN17" s="181"/>
      <c r="AO17" s="181"/>
      <c r="AP17" s="181"/>
      <c r="AQ17" s="181"/>
      <c r="AR17" s="181"/>
      <c r="AS17" s="181"/>
      <c r="AT17" s="181"/>
      <c r="AU17" s="181"/>
      <c r="AV17" s="181"/>
      <c r="AW17" s="181"/>
      <c r="AX17" s="181"/>
      <c r="AY17" s="181"/>
      <c r="AZ17" s="181"/>
      <c r="BA17" s="181"/>
      <c r="BB17" s="181"/>
      <c r="BC17" s="181"/>
      <c r="BD17" s="181"/>
      <c r="BE17" s="181"/>
      <c r="BF17" s="181"/>
      <c r="BG17" s="181"/>
      <c r="BH17" s="181"/>
      <c r="BI17" s="181"/>
      <c r="BJ17" s="181"/>
      <c r="BK17" s="181"/>
      <c r="BL17" s="181"/>
      <c r="BM17" s="181"/>
      <c r="BN17" s="181"/>
      <c r="BO17" s="181"/>
      <c r="BP17" s="181"/>
      <c r="BQ17" s="181"/>
      <c r="BR17" s="181"/>
      <c r="BS17" s="181"/>
      <c r="BT17" s="181"/>
      <c r="BU17" s="181"/>
      <c r="BV17" s="181"/>
      <c r="BW17" s="181"/>
      <c r="BX17" s="181"/>
      <c r="BY17" s="181"/>
      <c r="BZ17" s="181"/>
      <c r="CA17" s="181"/>
      <c r="CB17" s="181"/>
      <c r="CC17" s="181"/>
      <c r="CD17" s="181"/>
      <c r="CE17" s="181"/>
      <c r="CF17" s="181"/>
      <c r="CG17" s="181"/>
      <c r="CH17" s="181"/>
      <c r="CI17" s="181"/>
      <c r="CJ17" s="181"/>
      <c r="CK17" s="181"/>
      <c r="CL17" s="181"/>
      <c r="CM17" s="181"/>
      <c r="CN17" s="181"/>
      <c r="CO17" s="181"/>
      <c r="CP17" s="181"/>
      <c r="CQ17" s="181"/>
      <c r="CR17" s="181"/>
      <c r="CS17" s="181"/>
      <c r="CT17" s="181"/>
      <c r="CU17" s="181"/>
      <c r="CV17" s="181"/>
      <c r="CW17" s="181"/>
      <c r="CX17" s="181"/>
      <c r="CY17" s="181"/>
      <c r="CZ17" s="181"/>
      <c r="DA17" s="181"/>
      <c r="DB17" s="181"/>
      <c r="DC17" s="181"/>
      <c r="DD17" s="181"/>
      <c r="DE17" s="181"/>
      <c r="DF17" s="181"/>
      <c r="DG17" s="181"/>
      <c r="DH17" s="181"/>
      <c r="DI17" s="181"/>
      <c r="DJ17" s="181"/>
      <c r="DK17" s="186"/>
      <c r="DL17" s="186"/>
      <c r="DM17" s="186"/>
      <c r="DN17" s="186"/>
      <c r="DO17" s="186"/>
      <c r="DP17" s="186"/>
      <c r="DQ17" s="186"/>
      <c r="DR17" s="186"/>
      <c r="DS17" s="186"/>
      <c r="DT17" s="186"/>
      <c r="DU17" s="186"/>
      <c r="DV17" s="186"/>
      <c r="DW17" s="186"/>
      <c r="DX17" s="186"/>
      <c r="DY17" s="186"/>
      <c r="DZ17" s="186"/>
      <c r="EA17" s="186"/>
      <c r="EB17" s="186"/>
      <c r="EC17" s="186"/>
      <c r="ED17" s="186"/>
      <c r="EE17" s="186"/>
      <c r="EF17" s="186"/>
      <c r="EG17" s="186"/>
      <c r="EH17" s="186"/>
      <c r="EI17" s="186"/>
      <c r="EJ17" s="186"/>
      <c r="EK17" s="186"/>
      <c r="EL17" s="186"/>
      <c r="EM17" s="186"/>
      <c r="EN17" s="186"/>
      <c r="EO17" s="186"/>
      <c r="EP17" s="186"/>
      <c r="EQ17" s="186"/>
      <c r="ER17" s="186"/>
      <c r="ES17" s="186"/>
      <c r="ET17" s="186"/>
      <c r="EU17" s="186"/>
      <c r="EV17" s="186"/>
      <c r="EW17" s="186"/>
      <c r="EX17" s="186"/>
      <c r="EY17" s="186"/>
      <c r="EZ17" s="186"/>
      <c r="FA17" s="186"/>
      <c r="FB17" s="186"/>
      <c r="FC17" s="186"/>
      <c r="FD17" s="186"/>
    </row>
    <row r="18" spans="1:160" ht="12.75">
      <c r="A18" s="178"/>
      <c r="B18" s="215">
        <f t="shared" si="1"/>
        <v>9</v>
      </c>
      <c r="C18" s="177">
        <v>7</v>
      </c>
      <c r="D18" s="179">
        <f t="shared" si="4"/>
        <v>42531</v>
      </c>
      <c r="E18" s="216">
        <f t="shared" si="0"/>
        <v>2.2172107894863017E-3</v>
      </c>
      <c r="F18" s="179" t="str">
        <f>VLOOKUP(D18,Lookups!$D$4:$E$16,2,1)</f>
        <v>2W</v>
      </c>
      <c r="G18" s="179"/>
      <c r="H18" s="217">
        <f t="shared" si="2"/>
        <v>-302804.80165418953</v>
      </c>
      <c r="I18" s="180">
        <f t="shared" si="3"/>
        <v>242243.84132335163</v>
      </c>
      <c r="J18" s="178"/>
      <c r="K18" s="214"/>
      <c r="L18" s="178"/>
      <c r="M18" s="183" t="s">
        <v>303</v>
      </c>
      <c r="N18" s="188">
        <f>-(N11)/1000000</f>
        <v>136.57014619</v>
      </c>
      <c r="O18" s="176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75"/>
      <c r="AE18" s="175"/>
      <c r="AF18" s="175"/>
      <c r="AG18" s="175"/>
      <c r="AH18" s="175"/>
      <c r="AI18" s="175"/>
      <c r="AJ18" s="175"/>
      <c r="AK18" s="175"/>
      <c r="AL18" s="175"/>
      <c r="AM18" s="175"/>
      <c r="AN18" s="175"/>
      <c r="AO18" s="175"/>
      <c r="AP18" s="175"/>
      <c r="AQ18" s="175"/>
      <c r="AR18" s="175"/>
      <c r="AS18" s="175"/>
      <c r="AT18" s="175"/>
      <c r="AU18" s="175"/>
      <c r="AV18" s="175"/>
      <c r="AW18" s="175"/>
      <c r="AX18" s="175"/>
      <c r="AY18" s="175"/>
      <c r="AZ18" s="175"/>
      <c r="BA18" s="175"/>
      <c r="BB18" s="175"/>
      <c r="BC18" s="175"/>
      <c r="BD18" s="175"/>
      <c r="BE18" s="175"/>
      <c r="BF18" s="175"/>
      <c r="BG18" s="176"/>
      <c r="BH18" s="175"/>
      <c r="BI18" s="175"/>
      <c r="BJ18" s="175"/>
      <c r="BK18" s="175"/>
      <c r="BL18" s="175"/>
      <c r="BM18" s="175"/>
      <c r="BN18" s="175"/>
      <c r="BO18" s="175"/>
      <c r="BP18" s="175"/>
      <c r="BQ18" s="175"/>
      <c r="BR18" s="175"/>
      <c r="BS18" s="175"/>
      <c r="BT18" s="175"/>
      <c r="BU18" s="175"/>
      <c r="BV18" s="175"/>
      <c r="BW18" s="175"/>
      <c r="BX18" s="175"/>
      <c r="BY18" s="175"/>
      <c r="BZ18" s="175"/>
      <c r="CA18" s="175"/>
      <c r="CB18" s="175"/>
      <c r="CC18" s="175"/>
      <c r="CD18" s="175"/>
      <c r="CE18" s="175"/>
      <c r="CF18" s="175"/>
      <c r="CG18" s="175"/>
      <c r="CH18" s="175"/>
      <c r="CI18" s="175"/>
      <c r="CJ18" s="175"/>
      <c r="CK18" s="175"/>
      <c r="CL18" s="175"/>
      <c r="CM18" s="175"/>
      <c r="CN18" s="175"/>
      <c r="CO18" s="175"/>
      <c r="CP18" s="175"/>
      <c r="CQ18" s="175"/>
      <c r="CR18" s="175"/>
      <c r="CS18" s="175"/>
      <c r="CT18" s="175"/>
      <c r="CU18" s="175"/>
      <c r="CV18" s="175"/>
      <c r="CW18" s="175"/>
      <c r="CX18" s="175"/>
      <c r="CY18" s="175"/>
      <c r="CZ18" s="175"/>
      <c r="DA18" s="175"/>
      <c r="DB18" s="175"/>
      <c r="DC18" s="175"/>
      <c r="DD18" s="175"/>
      <c r="DE18" s="175"/>
      <c r="DF18" s="175"/>
      <c r="DG18" s="175"/>
      <c r="DH18" s="175"/>
      <c r="DI18" s="175"/>
      <c r="DJ18" s="175"/>
      <c r="DK18" s="175"/>
      <c r="DL18" s="175"/>
      <c r="DM18" s="175"/>
      <c r="DN18" s="175"/>
      <c r="DO18" s="175"/>
      <c r="DP18" s="175"/>
      <c r="DQ18" s="175"/>
      <c r="DR18" s="175"/>
      <c r="DS18" s="175"/>
      <c r="DT18" s="175"/>
      <c r="DU18" s="175"/>
      <c r="DV18" s="175"/>
      <c r="DW18" s="175"/>
      <c r="DX18" s="175"/>
      <c r="DY18" s="175"/>
      <c r="DZ18" s="175"/>
      <c r="EA18" s="175"/>
      <c r="EB18" s="175"/>
      <c r="EC18" s="175"/>
      <c r="ED18" s="175"/>
      <c r="EE18" s="175"/>
      <c r="EF18" s="175"/>
      <c r="EG18" s="175"/>
      <c r="EH18" s="175"/>
      <c r="EI18" s="175"/>
      <c r="EJ18" s="175"/>
      <c r="EK18" s="175"/>
      <c r="EL18" s="175"/>
      <c r="EM18" s="175"/>
      <c r="EN18" s="175"/>
      <c r="EO18" s="175"/>
      <c r="EP18" s="175"/>
      <c r="EQ18" s="175"/>
      <c r="ER18" s="175"/>
      <c r="ES18" s="175"/>
      <c r="ET18" s="175"/>
      <c r="EU18" s="175"/>
      <c r="EV18" s="175"/>
      <c r="EW18" s="175"/>
      <c r="EX18" s="175"/>
      <c r="EY18" s="175"/>
      <c r="EZ18" s="175"/>
      <c r="FA18" s="175"/>
      <c r="FB18" s="175"/>
      <c r="FC18" s="175"/>
      <c r="FD18" s="175"/>
    </row>
    <row r="19" spans="1:160" ht="12.75">
      <c r="A19" s="178"/>
      <c r="B19" s="215">
        <f t="shared" si="1"/>
        <v>10</v>
      </c>
      <c r="C19" s="177">
        <v>8</v>
      </c>
      <c r="D19" s="179">
        <f t="shared" si="4"/>
        <v>42534</v>
      </c>
      <c r="E19" s="216">
        <f t="shared" si="0"/>
        <v>2.2534845156555296E-3</v>
      </c>
      <c r="F19" s="179" t="str">
        <f>VLOOKUP(D19,Lookups!$D$4:$E$16,2,1)</f>
        <v>2W</v>
      </c>
      <c r="G19" s="179"/>
      <c r="H19" s="217">
        <f t="shared" si="2"/>
        <v>-307758.70973997703</v>
      </c>
      <c r="I19" s="180">
        <f t="shared" si="3"/>
        <v>242243.84132335163</v>
      </c>
      <c r="J19" s="178"/>
      <c r="K19" s="214"/>
      <c r="L19" s="178"/>
      <c r="M19" s="184"/>
      <c r="N19" s="178"/>
      <c r="P19" s="186"/>
      <c r="Q19" s="186"/>
      <c r="R19" s="186"/>
      <c r="S19" s="186"/>
      <c r="T19" s="186"/>
      <c r="U19" s="186"/>
      <c r="V19" s="186"/>
      <c r="W19" s="186"/>
      <c r="X19" s="186"/>
      <c r="Z19" s="186"/>
      <c r="AA19" s="186"/>
      <c r="AB19" s="186"/>
      <c r="AC19" s="186"/>
      <c r="AD19" s="186"/>
      <c r="AE19" s="186"/>
      <c r="AF19" s="186"/>
      <c r="AG19" s="186"/>
      <c r="AH19" s="186"/>
      <c r="AI19" s="186"/>
      <c r="AJ19" s="186"/>
      <c r="AK19" s="186"/>
      <c r="AL19" s="186"/>
      <c r="AM19" s="186"/>
      <c r="AN19" s="186"/>
      <c r="AO19" s="186"/>
      <c r="AP19" s="186"/>
      <c r="AQ19" s="186"/>
      <c r="AR19" s="186"/>
      <c r="AS19" s="186"/>
      <c r="AT19" s="186"/>
      <c r="AU19" s="186"/>
      <c r="AV19" s="186"/>
      <c r="AW19" s="186"/>
      <c r="AX19" s="186"/>
      <c r="AY19" s="186"/>
      <c r="AZ19" s="186"/>
      <c r="BA19" s="186"/>
      <c r="BB19" s="186"/>
      <c r="BC19" s="186"/>
      <c r="BD19" s="186"/>
      <c r="BE19" s="186"/>
      <c r="BF19" s="186"/>
      <c r="BG19" s="186"/>
      <c r="BH19" s="186"/>
      <c r="BI19" s="186"/>
      <c r="BJ19" s="186"/>
      <c r="BK19" s="186"/>
      <c r="BL19" s="186"/>
      <c r="BM19" s="186"/>
      <c r="BN19" s="186"/>
      <c r="BO19" s="186"/>
      <c r="BP19" s="186"/>
      <c r="BQ19" s="186"/>
      <c r="BR19" s="186"/>
      <c r="BS19" s="186"/>
      <c r="BT19" s="186"/>
      <c r="BU19" s="186"/>
      <c r="BV19" s="186"/>
      <c r="BW19" s="186"/>
      <c r="BX19" s="186"/>
      <c r="BY19" s="186"/>
      <c r="BZ19" s="186"/>
      <c r="CA19" s="186"/>
      <c r="CB19" s="186"/>
      <c r="CC19" s="186"/>
      <c r="CD19" s="186"/>
      <c r="CE19" s="186"/>
      <c r="CF19" s="186"/>
      <c r="CG19" s="186"/>
      <c r="CH19" s="186"/>
      <c r="CI19" s="186"/>
      <c r="CJ19" s="186"/>
      <c r="CK19" s="186"/>
      <c r="CL19" s="186"/>
      <c r="CM19" s="186"/>
      <c r="CN19" s="186"/>
      <c r="CO19" s="186"/>
      <c r="CP19" s="186"/>
      <c r="CQ19" s="186"/>
      <c r="CR19" s="186"/>
      <c r="CS19" s="186"/>
      <c r="CT19" s="186"/>
      <c r="CU19" s="186"/>
      <c r="CV19" s="186"/>
      <c r="CW19" s="186"/>
      <c r="CX19" s="186"/>
      <c r="CY19" s="186"/>
      <c r="CZ19" s="186"/>
      <c r="DA19" s="186"/>
      <c r="DB19" s="186"/>
      <c r="DC19" s="186"/>
      <c r="DD19" s="186"/>
      <c r="DE19" s="186"/>
      <c r="DF19" s="186"/>
      <c r="DG19" s="186"/>
      <c r="DH19" s="186"/>
      <c r="DI19" s="186"/>
      <c r="DJ19" s="186"/>
      <c r="DK19" s="186"/>
      <c r="DL19" s="186"/>
      <c r="DM19" s="186"/>
      <c r="DN19" s="186"/>
      <c r="DO19" s="186"/>
      <c r="DP19" s="186"/>
      <c r="DQ19" s="186"/>
      <c r="DR19" s="186"/>
      <c r="DS19" s="186"/>
      <c r="DT19" s="186"/>
      <c r="DU19" s="186"/>
      <c r="DV19" s="186"/>
      <c r="DW19" s="186"/>
      <c r="DX19" s="186"/>
      <c r="DY19" s="186"/>
      <c r="DZ19" s="186"/>
      <c r="EA19" s="186"/>
      <c r="EB19" s="186"/>
      <c r="EC19" s="186"/>
      <c r="ED19" s="186"/>
      <c r="EE19" s="186"/>
      <c r="EF19" s="186"/>
      <c r="EG19" s="186"/>
      <c r="EH19" s="186"/>
      <c r="EI19" s="186"/>
      <c r="EJ19" s="186"/>
      <c r="EK19" s="186"/>
      <c r="EL19" s="186"/>
      <c r="EM19" s="186"/>
      <c r="EN19" s="186"/>
      <c r="EO19" s="186"/>
      <c r="EP19" s="186"/>
      <c r="EQ19" s="186"/>
      <c r="ER19" s="186"/>
      <c r="ES19" s="186"/>
      <c r="ET19" s="186"/>
      <c r="EU19" s="186"/>
      <c r="EV19" s="186"/>
      <c r="EW19" s="186"/>
      <c r="EX19" s="186"/>
      <c r="EY19" s="186"/>
      <c r="EZ19" s="186"/>
      <c r="FA19" s="186"/>
      <c r="FB19" s="186"/>
      <c r="FC19" s="186"/>
      <c r="FD19" s="186"/>
    </row>
    <row r="20" spans="1:160" ht="12.75">
      <c r="A20" s="178"/>
      <c r="B20" s="215">
        <f t="shared" si="1"/>
        <v>13</v>
      </c>
      <c r="C20" s="177">
        <v>9</v>
      </c>
      <c r="D20" s="179">
        <f t="shared" si="4"/>
        <v>42535</v>
      </c>
      <c r="E20" s="216">
        <f t="shared" si="0"/>
        <v>2.2534845156555296E-3</v>
      </c>
      <c r="F20" s="179" t="str">
        <f>VLOOKUP(D20,Lookups!$D$4:$E$16,2,1)</f>
        <v>2W</v>
      </c>
      <c r="G20" s="179"/>
      <c r="H20" s="217">
        <f t="shared" si="2"/>
        <v>-307758.70973997703</v>
      </c>
      <c r="I20" s="180">
        <f t="shared" si="3"/>
        <v>246206.96779198165</v>
      </c>
      <c r="J20" s="178"/>
      <c r="K20" s="214"/>
      <c r="L20" s="178"/>
      <c r="M20" s="184"/>
      <c r="N20" s="178"/>
      <c r="P20" s="186"/>
      <c r="Q20" s="186"/>
      <c r="R20" s="186"/>
      <c r="S20" s="186"/>
      <c r="T20" s="186"/>
      <c r="U20" s="186"/>
      <c r="V20" s="186"/>
      <c r="W20" s="186"/>
      <c r="X20" s="186"/>
      <c r="Z20" s="186"/>
      <c r="AA20" s="186"/>
      <c r="AB20" s="186"/>
      <c r="AC20" s="186"/>
      <c r="AD20" s="186"/>
      <c r="AE20" s="186"/>
      <c r="AF20" s="186"/>
      <c r="AG20" s="186"/>
      <c r="AH20" s="186"/>
      <c r="AI20" s="186"/>
      <c r="AJ20" s="186"/>
      <c r="AK20" s="186"/>
      <c r="AL20" s="186"/>
      <c r="AM20" s="186"/>
      <c r="AN20" s="186"/>
      <c r="AO20" s="186"/>
      <c r="AP20" s="186"/>
      <c r="AQ20" s="186"/>
      <c r="AR20" s="186"/>
      <c r="AS20" s="186"/>
      <c r="AT20" s="186"/>
      <c r="AU20" s="186"/>
      <c r="AV20" s="186"/>
      <c r="AW20" s="186"/>
      <c r="AX20" s="186"/>
      <c r="AY20" s="186"/>
      <c r="AZ20" s="186"/>
      <c r="BA20" s="186"/>
      <c r="BB20" s="186"/>
      <c r="BC20" s="186"/>
      <c r="BD20" s="186"/>
      <c r="BE20" s="186"/>
      <c r="BF20" s="186"/>
      <c r="BG20" s="186"/>
      <c r="BH20" s="186"/>
      <c r="BI20" s="186"/>
      <c r="BJ20" s="186"/>
      <c r="BK20" s="186"/>
      <c r="BL20" s="186"/>
      <c r="BM20" s="186"/>
      <c r="BN20" s="186"/>
      <c r="BO20" s="186"/>
      <c r="BP20" s="186"/>
      <c r="BQ20" s="186"/>
      <c r="BR20" s="186"/>
      <c r="BS20" s="186"/>
      <c r="BT20" s="186"/>
      <c r="BU20" s="186"/>
      <c r="BV20" s="186"/>
      <c r="BW20" s="186"/>
      <c r="BX20" s="186"/>
      <c r="BY20" s="186"/>
      <c r="BZ20" s="186"/>
      <c r="CA20" s="186"/>
      <c r="CB20" s="186"/>
      <c r="CC20" s="186"/>
      <c r="CD20" s="186"/>
      <c r="CE20" s="186"/>
      <c r="CF20" s="186"/>
      <c r="CG20" s="186"/>
      <c r="CH20" s="186"/>
      <c r="CI20" s="186"/>
      <c r="CJ20" s="186"/>
      <c r="CK20" s="186"/>
      <c r="CL20" s="186"/>
      <c r="CM20" s="186"/>
      <c r="CN20" s="186"/>
      <c r="CO20" s="186"/>
      <c r="CP20" s="186"/>
      <c r="CQ20" s="186"/>
      <c r="CR20" s="186"/>
      <c r="CS20" s="186"/>
      <c r="CT20" s="186"/>
      <c r="CU20" s="186"/>
      <c r="CV20" s="186"/>
      <c r="CW20" s="186"/>
      <c r="CX20" s="186"/>
      <c r="CY20" s="186"/>
      <c r="CZ20" s="186"/>
      <c r="DA20" s="186"/>
      <c r="DB20" s="186"/>
      <c r="DC20" s="186"/>
      <c r="DD20" s="186"/>
      <c r="DE20" s="186"/>
      <c r="DF20" s="186"/>
      <c r="DG20" s="186"/>
      <c r="DH20" s="186"/>
      <c r="DI20" s="186"/>
      <c r="DJ20" s="186"/>
      <c r="DK20" s="186"/>
      <c r="DL20" s="186"/>
      <c r="DM20" s="186"/>
      <c r="DN20" s="186"/>
      <c r="DO20" s="186"/>
      <c r="DP20" s="186"/>
      <c r="DQ20" s="186"/>
      <c r="DR20" s="186"/>
      <c r="DS20" s="186"/>
      <c r="DT20" s="186"/>
      <c r="DU20" s="186"/>
      <c r="DV20" s="186"/>
      <c r="DW20" s="186"/>
      <c r="DX20" s="186"/>
      <c r="DY20" s="186"/>
      <c r="DZ20" s="186"/>
      <c r="EA20" s="186"/>
      <c r="EB20" s="186"/>
      <c r="EC20" s="186"/>
      <c r="ED20" s="186"/>
      <c r="EE20" s="186"/>
      <c r="EF20" s="186"/>
      <c r="EG20" s="186"/>
      <c r="EH20" s="186"/>
      <c r="EI20" s="186"/>
      <c r="EJ20" s="186"/>
      <c r="EK20" s="186"/>
      <c r="EL20" s="186"/>
      <c r="EM20" s="186"/>
      <c r="EN20" s="186"/>
      <c r="EO20" s="186"/>
      <c r="EP20" s="186"/>
      <c r="EQ20" s="186"/>
      <c r="ER20" s="186"/>
      <c r="ES20" s="186"/>
      <c r="ET20" s="186"/>
      <c r="EU20" s="186"/>
      <c r="EV20" s="186"/>
      <c r="EW20" s="186"/>
      <c r="EX20" s="186"/>
      <c r="EY20" s="186"/>
      <c r="EZ20" s="186"/>
      <c r="FA20" s="186"/>
      <c r="FB20" s="186"/>
      <c r="FC20" s="186"/>
      <c r="FD20" s="186"/>
    </row>
    <row r="21" spans="1:160" ht="12.75">
      <c r="B21" s="215">
        <f t="shared" si="1"/>
        <v>14</v>
      </c>
      <c r="C21" s="177">
        <v>10</v>
      </c>
      <c r="D21" s="179">
        <f t="shared" si="4"/>
        <v>42536</v>
      </c>
      <c r="E21" s="216">
        <f t="shared" si="0"/>
        <v>2.2534845156555296E-3</v>
      </c>
      <c r="F21" s="179" t="str">
        <f>VLOOKUP(D21,Lookups!$D$4:$E$16,2,1)</f>
        <v>2W</v>
      </c>
      <c r="G21" s="179"/>
      <c r="H21" s="217">
        <f t="shared" si="2"/>
        <v>-307758.70973997703</v>
      </c>
      <c r="I21" s="180">
        <f t="shared" si="3"/>
        <v>246206.96779198165</v>
      </c>
      <c r="M21" s="184"/>
      <c r="N21" s="178"/>
      <c r="P21" s="186"/>
      <c r="Q21" s="186"/>
      <c r="R21" s="186"/>
      <c r="S21" s="186"/>
      <c r="T21" s="186"/>
      <c r="U21" s="186"/>
      <c r="V21" s="186"/>
      <c r="W21" s="186"/>
      <c r="X21" s="186"/>
      <c r="Z21" s="186"/>
      <c r="AA21" s="186"/>
      <c r="AB21" s="186"/>
      <c r="AC21" s="186"/>
      <c r="AD21" s="186"/>
      <c r="AE21" s="186"/>
      <c r="AF21" s="186"/>
      <c r="AG21" s="186"/>
      <c r="AH21" s="186"/>
      <c r="AI21" s="186"/>
      <c r="AJ21" s="186"/>
      <c r="AK21" s="186"/>
      <c r="AL21" s="186"/>
      <c r="AM21" s="186"/>
      <c r="AN21" s="186"/>
      <c r="AO21" s="186"/>
      <c r="AP21" s="186"/>
      <c r="AQ21" s="186"/>
      <c r="AR21" s="186"/>
      <c r="AS21" s="186"/>
      <c r="AT21" s="186"/>
      <c r="AU21" s="186"/>
      <c r="AV21" s="186"/>
      <c r="AW21" s="186"/>
      <c r="AX21" s="186"/>
      <c r="AY21" s="186"/>
      <c r="AZ21" s="186"/>
      <c r="BA21" s="186"/>
      <c r="BB21" s="186"/>
      <c r="BC21" s="186"/>
      <c r="BD21" s="186"/>
      <c r="BE21" s="186"/>
      <c r="BF21" s="186"/>
      <c r="BG21" s="186"/>
      <c r="BH21" s="186"/>
      <c r="BI21" s="186"/>
      <c r="BJ21" s="186"/>
      <c r="BK21" s="186"/>
      <c r="BL21" s="186"/>
      <c r="BM21" s="186"/>
      <c r="BN21" s="186"/>
      <c r="BO21" s="186"/>
      <c r="BP21" s="186"/>
      <c r="BQ21" s="186"/>
      <c r="BR21" s="186"/>
      <c r="BS21" s="186"/>
      <c r="BT21" s="186"/>
      <c r="BU21" s="186"/>
      <c r="BV21" s="186"/>
      <c r="BW21" s="186"/>
      <c r="BX21" s="186"/>
      <c r="BY21" s="186"/>
      <c r="BZ21" s="186"/>
      <c r="CA21" s="186"/>
      <c r="CB21" s="186"/>
      <c r="CC21" s="186"/>
      <c r="CD21" s="186"/>
      <c r="CE21" s="186"/>
      <c r="CF21" s="186"/>
      <c r="CG21" s="186"/>
      <c r="CH21" s="186"/>
      <c r="CI21" s="186"/>
      <c r="CJ21" s="186"/>
      <c r="CK21" s="186"/>
      <c r="CL21" s="186"/>
      <c r="CM21" s="186"/>
      <c r="CN21" s="186"/>
      <c r="CO21" s="186"/>
      <c r="CP21" s="186"/>
      <c r="CQ21" s="186"/>
      <c r="CR21" s="186"/>
      <c r="CS21" s="186"/>
      <c r="CT21" s="186"/>
      <c r="CU21" s="186"/>
      <c r="CV21" s="186"/>
      <c r="CW21" s="186"/>
      <c r="CX21" s="186"/>
      <c r="CY21" s="186"/>
      <c r="CZ21" s="186"/>
      <c r="DA21" s="186"/>
      <c r="DB21" s="186"/>
      <c r="DC21" s="186"/>
      <c r="DD21" s="186"/>
      <c r="DE21" s="186"/>
      <c r="DF21" s="186"/>
      <c r="DG21" s="186"/>
      <c r="DH21" s="186"/>
      <c r="DI21" s="186"/>
      <c r="DJ21" s="186"/>
      <c r="DK21" s="186"/>
      <c r="DL21" s="186"/>
      <c r="DM21" s="186"/>
      <c r="DN21" s="186"/>
      <c r="DO21" s="186"/>
      <c r="DP21" s="186"/>
      <c r="DQ21" s="186"/>
      <c r="DR21" s="186"/>
      <c r="DS21" s="186"/>
      <c r="DT21" s="186"/>
      <c r="DU21" s="186"/>
      <c r="DV21" s="186"/>
      <c r="DW21" s="186"/>
      <c r="DX21" s="186"/>
      <c r="DY21" s="186"/>
      <c r="DZ21" s="186"/>
      <c r="EA21" s="186"/>
      <c r="EB21" s="186"/>
      <c r="EC21" s="186"/>
      <c r="ED21" s="186"/>
      <c r="EE21" s="186"/>
      <c r="EF21" s="186"/>
      <c r="EG21" s="186"/>
      <c r="EH21" s="186"/>
      <c r="EI21" s="186"/>
      <c r="EJ21" s="186"/>
      <c r="EK21" s="186"/>
      <c r="EL21" s="186"/>
      <c r="EM21" s="186"/>
      <c r="EN21" s="186"/>
      <c r="EO21" s="186"/>
      <c r="EP21" s="186"/>
      <c r="EQ21" s="186"/>
      <c r="ER21" s="186"/>
      <c r="ES21" s="186"/>
      <c r="ET21" s="186"/>
      <c r="EU21" s="186"/>
      <c r="EV21" s="186"/>
      <c r="EW21" s="186"/>
      <c r="EX21" s="186"/>
      <c r="EY21" s="186"/>
      <c r="EZ21" s="186"/>
      <c r="FA21" s="186"/>
      <c r="FB21" s="186"/>
      <c r="FC21" s="186"/>
      <c r="FD21" s="186"/>
    </row>
    <row r="22" spans="1:160" ht="12.75">
      <c r="B22" s="215">
        <f t="shared" si="1"/>
        <v>15</v>
      </c>
      <c r="C22" s="177">
        <v>11</v>
      </c>
      <c r="D22" s="179">
        <f t="shared" si="4"/>
        <v>42537</v>
      </c>
      <c r="E22" s="216">
        <f t="shared" si="0"/>
        <v>2.9887157794883101E-2</v>
      </c>
      <c r="F22" s="179" t="str">
        <f>VLOOKUP(D22,Lookups!$D$4:$E$16,2,1)</f>
        <v>3W</v>
      </c>
      <c r="G22" s="179"/>
      <c r="H22" s="217">
        <f t="shared" si="2"/>
        <v>-4081693.5092507829</v>
      </c>
      <c r="I22" s="180">
        <f t="shared" si="3"/>
        <v>246206.96779198165</v>
      </c>
      <c r="M22" s="208" t="s">
        <v>322</v>
      </c>
      <c r="N22" s="208"/>
      <c r="O22" s="208"/>
      <c r="P22" s="186"/>
      <c r="Q22" s="186"/>
      <c r="R22" s="186"/>
      <c r="S22" s="186"/>
      <c r="T22" s="186"/>
      <c r="U22" s="186"/>
      <c r="V22" s="186"/>
      <c r="W22" s="186"/>
      <c r="X22" s="184"/>
      <c r="Y22" s="184"/>
      <c r="Z22" s="184"/>
      <c r="AA22" s="186"/>
      <c r="AC22" s="186"/>
      <c r="AD22" s="186"/>
      <c r="AE22" s="186"/>
      <c r="AF22" s="186"/>
      <c r="AG22" s="186"/>
      <c r="AH22" s="186"/>
      <c r="AI22" s="186"/>
      <c r="AJ22" s="186"/>
      <c r="AK22" s="186"/>
      <c r="AL22" s="186"/>
      <c r="AM22" s="186"/>
      <c r="AN22" s="186"/>
      <c r="AO22" s="186"/>
      <c r="AP22" s="186"/>
      <c r="AQ22" s="186"/>
      <c r="AR22" s="186"/>
      <c r="AS22" s="186"/>
      <c r="AT22" s="186"/>
      <c r="AU22" s="186"/>
      <c r="AV22" s="186"/>
      <c r="AW22" s="186"/>
      <c r="AX22" s="186"/>
      <c r="AY22" s="186"/>
      <c r="AZ22" s="186"/>
      <c r="BA22" s="186"/>
      <c r="BB22" s="186"/>
      <c r="BC22" s="186"/>
      <c r="BD22" s="186"/>
      <c r="BE22" s="186"/>
      <c r="BF22" s="186"/>
      <c r="BG22" s="186"/>
      <c r="BH22" s="186"/>
      <c r="BI22" s="186"/>
      <c r="BJ22" s="186"/>
      <c r="BK22" s="186"/>
      <c r="BL22" s="186"/>
      <c r="BM22" s="186"/>
      <c r="BN22" s="186"/>
      <c r="BO22" s="186"/>
      <c r="BP22" s="186"/>
      <c r="BQ22" s="186"/>
      <c r="BR22" s="186"/>
      <c r="BS22" s="186"/>
      <c r="BT22" s="186"/>
      <c r="BU22" s="186"/>
      <c r="BV22" s="186"/>
      <c r="BW22" s="186"/>
      <c r="BX22" s="186"/>
      <c r="BY22" s="186"/>
      <c r="BZ22" s="186"/>
      <c r="CA22" s="186"/>
      <c r="CB22" s="186"/>
      <c r="CC22" s="186"/>
      <c r="CD22" s="186"/>
      <c r="CE22" s="186"/>
      <c r="CF22" s="186"/>
      <c r="CG22" s="186"/>
      <c r="CH22" s="186"/>
      <c r="CI22" s="186"/>
      <c r="CJ22" s="186"/>
      <c r="CK22" s="186"/>
      <c r="CL22" s="186"/>
      <c r="CM22" s="186"/>
      <c r="CN22" s="186"/>
      <c r="CO22" s="186"/>
      <c r="CP22" s="186"/>
      <c r="CQ22" s="186"/>
      <c r="CR22" s="186"/>
      <c r="CS22" s="186"/>
      <c r="CT22" s="186"/>
      <c r="CU22" s="186"/>
      <c r="CV22" s="186"/>
      <c r="CW22" s="186"/>
      <c r="CX22" s="186"/>
      <c r="CY22" s="186"/>
      <c r="CZ22" s="186"/>
      <c r="DA22" s="186"/>
      <c r="DB22" s="186"/>
      <c r="DC22" s="186"/>
      <c r="DD22" s="186"/>
      <c r="DE22" s="186"/>
      <c r="DF22" s="186"/>
      <c r="DG22" s="186"/>
      <c r="DH22" s="186"/>
      <c r="DI22" s="186"/>
      <c r="DJ22" s="186"/>
      <c r="DK22" s="186"/>
      <c r="DL22" s="186"/>
      <c r="DM22" s="186"/>
      <c r="DN22" s="186"/>
      <c r="DO22" s="186"/>
      <c r="DP22" s="186"/>
      <c r="DQ22" s="186"/>
      <c r="DR22" s="186"/>
      <c r="DS22" s="186"/>
      <c r="DT22" s="186"/>
      <c r="DU22" s="186"/>
      <c r="DV22" s="186"/>
      <c r="DW22" s="186"/>
      <c r="DX22" s="186"/>
      <c r="DY22" s="186"/>
      <c r="DZ22" s="186"/>
      <c r="EA22" s="186"/>
      <c r="EB22" s="186"/>
      <c r="EC22" s="186"/>
      <c r="ED22" s="186"/>
      <c r="EE22" s="186"/>
      <c r="EF22" s="186"/>
      <c r="EG22" s="186"/>
      <c r="EH22" s="186"/>
      <c r="EI22" s="186"/>
      <c r="EJ22" s="186"/>
      <c r="EK22" s="186"/>
      <c r="EL22" s="186"/>
      <c r="EM22" s="186"/>
      <c r="EN22" s="186"/>
      <c r="EO22" s="186"/>
      <c r="EP22" s="186"/>
      <c r="EQ22" s="186"/>
      <c r="ER22" s="186"/>
      <c r="ES22" s="186"/>
      <c r="ET22" s="186"/>
      <c r="EU22" s="186"/>
      <c r="EV22" s="186"/>
      <c r="EW22" s="186"/>
      <c r="EX22" s="186"/>
      <c r="EY22" s="186"/>
      <c r="EZ22" s="186"/>
      <c r="FA22" s="186"/>
      <c r="FB22" s="186"/>
      <c r="FC22" s="186"/>
      <c r="FD22" s="186"/>
    </row>
    <row r="23" spans="1:160" ht="12.75">
      <c r="B23" s="215">
        <f t="shared" si="1"/>
        <v>16</v>
      </c>
      <c r="C23" s="177">
        <v>12</v>
      </c>
      <c r="D23" s="179">
        <f t="shared" si="4"/>
        <v>42538</v>
      </c>
      <c r="E23" s="216">
        <f t="shared" si="0"/>
        <v>2.9887157794883101E-2</v>
      </c>
      <c r="F23" s="179" t="str">
        <f>VLOOKUP(D23,Lookups!$D$4:$E$16,2,1)</f>
        <v>3W</v>
      </c>
      <c r="G23" s="179"/>
      <c r="H23" s="217">
        <f t="shared" si="2"/>
        <v>-4081693.5092507829</v>
      </c>
      <c r="I23" s="180">
        <f t="shared" si="3"/>
        <v>3265354.8074006266</v>
      </c>
      <c r="M23" s="189" t="s">
        <v>304</v>
      </c>
      <c r="N23" s="186"/>
      <c r="O23" s="186"/>
      <c r="P23" s="186"/>
      <c r="Q23" s="186"/>
      <c r="R23" s="186"/>
      <c r="S23" s="186"/>
      <c r="T23" s="186"/>
      <c r="U23" s="184"/>
      <c r="V23" s="184"/>
      <c r="X23" s="184"/>
      <c r="Y23" s="186"/>
      <c r="AA23" s="186"/>
      <c r="AB23" s="186"/>
      <c r="AC23" s="186"/>
      <c r="AD23" s="186"/>
      <c r="AE23" s="186"/>
      <c r="AF23" s="186"/>
      <c r="AG23" s="186"/>
      <c r="AH23" s="186"/>
      <c r="AI23" s="186"/>
      <c r="AJ23" s="186"/>
      <c r="AK23" s="186"/>
      <c r="AL23" s="186"/>
      <c r="AM23" s="186"/>
      <c r="AN23" s="186"/>
      <c r="AO23" s="186"/>
      <c r="AP23" s="186"/>
      <c r="AQ23" s="186"/>
      <c r="AR23" s="186"/>
      <c r="AS23" s="186"/>
      <c r="AT23" s="186"/>
      <c r="AU23" s="186"/>
      <c r="AV23" s="186"/>
      <c r="AW23" s="186"/>
      <c r="AX23" s="186"/>
      <c r="AY23" s="186"/>
      <c r="AZ23" s="186"/>
      <c r="BA23" s="186"/>
      <c r="BB23" s="186"/>
      <c r="BC23" s="186"/>
      <c r="BD23" s="186"/>
      <c r="BE23" s="186"/>
      <c r="BF23" s="186"/>
      <c r="BG23" s="186"/>
      <c r="BH23" s="186"/>
      <c r="BI23" s="186"/>
      <c r="BJ23" s="186"/>
      <c r="BK23" s="186"/>
      <c r="BL23" s="186"/>
      <c r="BM23" s="186"/>
      <c r="BN23" s="186"/>
      <c r="BO23" s="186"/>
      <c r="BP23" s="186"/>
      <c r="BQ23" s="186"/>
      <c r="BR23" s="186"/>
      <c r="BS23" s="186"/>
      <c r="BT23" s="186"/>
      <c r="BU23" s="186"/>
      <c r="BV23" s="186"/>
      <c r="BW23" s="186"/>
      <c r="BX23" s="186"/>
      <c r="BY23" s="186"/>
      <c r="BZ23" s="186"/>
      <c r="CA23" s="186"/>
      <c r="CB23" s="186"/>
      <c r="CC23" s="186"/>
      <c r="CD23" s="186"/>
      <c r="CE23" s="186"/>
      <c r="CF23" s="186"/>
      <c r="CG23" s="186"/>
      <c r="CH23" s="186"/>
      <c r="CI23" s="186"/>
      <c r="CJ23" s="186"/>
      <c r="CK23" s="186"/>
      <c r="CL23" s="186"/>
      <c r="CM23" s="186"/>
      <c r="CN23" s="186"/>
      <c r="CO23" s="186"/>
      <c r="CP23" s="186"/>
      <c r="CQ23" s="186"/>
      <c r="CR23" s="186"/>
      <c r="CS23" s="186"/>
      <c r="CT23" s="186"/>
      <c r="CU23" s="186"/>
      <c r="CV23" s="186"/>
      <c r="CW23" s="186"/>
      <c r="CX23" s="186"/>
      <c r="CY23" s="186"/>
      <c r="CZ23" s="186"/>
      <c r="DA23" s="186"/>
      <c r="DB23" s="186"/>
      <c r="DC23" s="186"/>
      <c r="DD23" s="186"/>
      <c r="DE23" s="186"/>
      <c r="DF23" s="186"/>
      <c r="DG23" s="186"/>
      <c r="DH23" s="186"/>
      <c r="DI23" s="186"/>
      <c r="DJ23" s="186"/>
      <c r="DK23" s="186"/>
      <c r="DL23" s="186"/>
      <c r="DM23" s="186"/>
      <c r="DN23" s="186"/>
      <c r="DO23" s="186"/>
      <c r="DP23" s="186"/>
      <c r="DQ23" s="186"/>
      <c r="DR23" s="186"/>
      <c r="DS23" s="186"/>
      <c r="DT23" s="186"/>
      <c r="DU23" s="186"/>
      <c r="DV23" s="186"/>
      <c r="DW23" s="186"/>
      <c r="DX23" s="186"/>
      <c r="DY23" s="186"/>
      <c r="DZ23" s="186"/>
      <c r="EA23" s="186"/>
      <c r="EB23" s="186"/>
      <c r="EC23" s="186"/>
      <c r="ED23" s="186"/>
      <c r="EE23" s="186"/>
      <c r="EF23" s="186"/>
      <c r="EG23" s="186"/>
      <c r="EH23" s="186"/>
      <c r="EI23" s="186"/>
      <c r="EJ23" s="186"/>
      <c r="EK23" s="186"/>
      <c r="EL23" s="186"/>
      <c r="EM23" s="186"/>
      <c r="EN23" s="186"/>
      <c r="EO23" s="186"/>
      <c r="EP23" s="186"/>
      <c r="EQ23" s="186"/>
      <c r="ER23" s="186"/>
      <c r="ES23" s="186"/>
      <c r="ET23" s="186"/>
      <c r="EU23" s="186"/>
      <c r="EV23" s="186"/>
      <c r="EW23" s="186"/>
      <c r="EX23" s="186"/>
      <c r="EY23" s="186"/>
      <c r="EZ23" s="186"/>
      <c r="FA23" s="186"/>
      <c r="FB23" s="186"/>
    </row>
    <row r="24" spans="1:160" ht="12.75">
      <c r="A24" s="184"/>
      <c r="B24" s="215">
        <f t="shared" si="1"/>
        <v>17</v>
      </c>
      <c r="C24" s="177">
        <v>13</v>
      </c>
      <c r="D24" s="179">
        <f t="shared" si="4"/>
        <v>42541</v>
      </c>
      <c r="E24" s="216">
        <f t="shared" si="0"/>
        <v>2.9887157794883101E-2</v>
      </c>
      <c r="F24" s="179" t="str">
        <f>VLOOKUP(D24,Lookups!$D$4:$E$16,2,1)</f>
        <v>3W</v>
      </c>
      <c r="G24" s="179"/>
      <c r="H24" s="217">
        <f t="shared" si="2"/>
        <v>-4081693.5092507829</v>
      </c>
      <c r="I24" s="180">
        <f t="shared" si="3"/>
        <v>3265354.8074006266</v>
      </c>
      <c r="J24" s="184"/>
      <c r="K24" s="225"/>
      <c r="L24" s="184"/>
      <c r="M24" s="178"/>
      <c r="N24" s="178"/>
      <c r="O24" s="176"/>
      <c r="P24" s="178"/>
      <c r="Q24" s="178"/>
      <c r="R24" s="176"/>
      <c r="S24" s="178"/>
      <c r="T24" s="178"/>
      <c r="U24" s="178"/>
      <c r="V24" s="178"/>
      <c r="X24" s="190"/>
      <c r="Z24" s="191"/>
      <c r="AC24" s="190"/>
      <c r="AD24" s="191"/>
      <c r="BE24" s="178"/>
      <c r="BG24" s="174"/>
    </row>
    <row r="25" spans="1:160" ht="12.75">
      <c r="B25" s="215">
        <f t="shared" si="1"/>
        <v>20</v>
      </c>
      <c r="C25" s="177">
        <v>14</v>
      </c>
      <c r="D25" s="179">
        <f t="shared" si="4"/>
        <v>42542</v>
      </c>
      <c r="E25" s="216">
        <f t="shared" si="0"/>
        <v>2.9887157794883101E-2</v>
      </c>
      <c r="F25" s="179" t="str">
        <f>VLOOKUP(D25,Lookups!$D$4:$E$16,2,1)</f>
        <v>3W</v>
      </c>
      <c r="G25" s="179"/>
      <c r="H25" s="217">
        <f t="shared" si="2"/>
        <v>-4081693.5092507829</v>
      </c>
      <c r="I25" s="180">
        <f t="shared" si="3"/>
        <v>3265354.8074006266</v>
      </c>
      <c r="M25" s="192" t="s">
        <v>306</v>
      </c>
      <c r="N25" s="193">
        <v>3</v>
      </c>
      <c r="O25" s="193">
        <v>7</v>
      </c>
      <c r="P25" s="193">
        <v>10</v>
      </c>
      <c r="Q25" s="193">
        <v>30</v>
      </c>
      <c r="R25" s="193">
        <v>45</v>
      </c>
      <c r="S25" s="193">
        <v>60</v>
      </c>
      <c r="T25" s="193">
        <v>75</v>
      </c>
      <c r="U25" s="194">
        <v>90</v>
      </c>
      <c r="X25" s="195"/>
      <c r="Y25" s="196"/>
      <c r="AC25" s="195"/>
      <c r="BC25" s="178"/>
      <c r="BG25" s="174"/>
    </row>
    <row r="26" spans="1:160" ht="18" thickBot="1">
      <c r="A26" s="184"/>
      <c r="B26" s="215">
        <f t="shared" si="1"/>
        <v>21</v>
      </c>
      <c r="C26" s="177">
        <v>15</v>
      </c>
      <c r="D26" s="179">
        <f t="shared" si="4"/>
        <v>42543</v>
      </c>
      <c r="E26" s="216">
        <f t="shared" si="0"/>
        <v>2.9887157794883101E-2</v>
      </c>
      <c r="F26" s="179" t="str">
        <f>VLOOKUP(D26,Lookups!$D$4:$E$16,2,1)</f>
        <v>3W</v>
      </c>
      <c r="G26" s="179"/>
      <c r="H26" s="217">
        <f t="shared" si="2"/>
        <v>-4081693.5092507829</v>
      </c>
      <c r="I26" s="180">
        <f t="shared" si="3"/>
        <v>3265354.8074006266</v>
      </c>
      <c r="J26" s="184"/>
      <c r="K26" s="225"/>
      <c r="L26" s="184"/>
      <c r="M26" s="183" t="s">
        <v>307</v>
      </c>
      <c r="N26" s="197">
        <v>-794.99829436000005</v>
      </c>
      <c r="O26" s="197">
        <v>-38.849803440000002</v>
      </c>
      <c r="P26" s="197">
        <v>-29.614041740000001</v>
      </c>
      <c r="Q26" s="197">
        <v>-2618.4028402200001</v>
      </c>
      <c r="R26" s="197">
        <v>-160.92624455000001</v>
      </c>
      <c r="S26" s="197">
        <v>-679.57001545000003</v>
      </c>
      <c r="T26" s="197">
        <v>-4.7803696000000002</v>
      </c>
      <c r="U26" s="198">
        <v>-53.339897430000001</v>
      </c>
      <c r="V26" s="210" t="s">
        <v>319</v>
      </c>
      <c r="X26" s="195"/>
      <c r="Y26" s="196"/>
      <c r="AC26" s="195"/>
      <c r="BC26" s="178"/>
      <c r="BG26" s="174"/>
    </row>
    <row r="27" spans="1:160" ht="18.75" thickTop="1" thickBot="1">
      <c r="A27" s="184"/>
      <c r="B27" s="215">
        <f t="shared" si="1"/>
        <v>22</v>
      </c>
      <c r="C27" s="177">
        <v>16</v>
      </c>
      <c r="D27" s="179">
        <f t="shared" si="4"/>
        <v>42544</v>
      </c>
      <c r="E27" s="216">
        <f t="shared" si="0"/>
        <v>2.9887157794883101E-2</v>
      </c>
      <c r="F27" s="179" t="str">
        <f>VLOOKUP(D27,Lookups!$D$4:$E$16,2,1)</f>
        <v>1M</v>
      </c>
      <c r="G27" s="179"/>
      <c r="H27" s="217">
        <f t="shared" si="2"/>
        <v>-4081693.5092507829</v>
      </c>
      <c r="I27" s="180">
        <f t="shared" si="3"/>
        <v>3265354.8074006266</v>
      </c>
      <c r="J27" s="184"/>
      <c r="K27" s="225"/>
      <c r="L27" s="184"/>
      <c r="M27" s="199" t="s">
        <v>308</v>
      </c>
      <c r="N27" s="200">
        <f t="shared" ref="N27:U27" si="6">N26/SUM($N$26:$U$26)</f>
        <v>0.18148650853284204</v>
      </c>
      <c r="O27" s="200">
        <f t="shared" si="6"/>
        <v>8.8688431579452068E-3</v>
      </c>
      <c r="P27" s="200">
        <f t="shared" si="6"/>
        <v>6.7604535469665888E-3</v>
      </c>
      <c r="Q27" s="200">
        <f t="shared" si="6"/>
        <v>0.59774315589766203</v>
      </c>
      <c r="R27" s="200">
        <f t="shared" si="6"/>
        <v>3.6737113100592939E-2</v>
      </c>
      <c r="S27" s="200">
        <f t="shared" si="6"/>
        <v>0.15513591699830878</v>
      </c>
      <c r="T27" s="200">
        <f t="shared" si="6"/>
        <v>1.091288615781199E-3</v>
      </c>
      <c r="U27" s="200">
        <f t="shared" si="6"/>
        <v>1.2176720149901345E-2</v>
      </c>
      <c r="V27" s="223">
        <f>SUM(N27:U27)</f>
        <v>1.0000000000000002</v>
      </c>
      <c r="X27" s="201"/>
      <c r="Y27" s="196"/>
      <c r="AC27" s="201"/>
      <c r="BC27" s="178"/>
      <c r="BG27" s="174"/>
    </row>
    <row r="28" spans="1:160" ht="15.75" thickTop="1">
      <c r="A28" s="184"/>
      <c r="B28" s="215">
        <f t="shared" si="1"/>
        <v>23</v>
      </c>
      <c r="C28" s="177">
        <v>17</v>
      </c>
      <c r="D28" s="179">
        <f t="shared" si="4"/>
        <v>42545</v>
      </c>
      <c r="E28" s="216">
        <f t="shared" si="0"/>
        <v>2.9887157794883101E-2</v>
      </c>
      <c r="F28" s="179" t="str">
        <f>VLOOKUP(D28,Lookups!$D$4:$E$16,2,1)</f>
        <v>1M</v>
      </c>
      <c r="G28" s="179"/>
      <c r="H28" s="217">
        <f t="shared" si="2"/>
        <v>-4081693.5092507829</v>
      </c>
      <c r="I28" s="180">
        <f t="shared" si="3"/>
        <v>3265354.8074006266</v>
      </c>
      <c r="J28" s="184"/>
      <c r="K28" s="225"/>
      <c r="L28" s="184"/>
      <c r="M28" s="211" t="s">
        <v>313</v>
      </c>
      <c r="N28" s="212">
        <f>N27/N25</f>
        <v>6.049550284428068E-2</v>
      </c>
      <c r="O28" s="212">
        <f>O27/(O25-N25)</f>
        <v>2.2172107894863017E-3</v>
      </c>
      <c r="P28" s="212">
        <f>P27/(P25-O25)</f>
        <v>2.2534845156555296E-3</v>
      </c>
      <c r="Q28" s="212">
        <f t="shared" ref="Q28:U28" si="7">Q27/(Q25-P25)</f>
        <v>2.9887157794883101E-2</v>
      </c>
      <c r="R28" s="212">
        <f t="shared" si="7"/>
        <v>2.4491408733728626E-3</v>
      </c>
      <c r="S28" s="212">
        <f t="shared" si="7"/>
        <v>1.0342394466553918E-2</v>
      </c>
      <c r="T28" s="212">
        <f t="shared" si="7"/>
        <v>7.2752574385413267E-5</v>
      </c>
      <c r="U28" s="212">
        <f t="shared" si="7"/>
        <v>8.1178134332675637E-4</v>
      </c>
      <c r="V28" s="178"/>
      <c r="W28" s="178"/>
      <c r="X28" s="195"/>
      <c r="Y28" s="196"/>
      <c r="Z28" s="196"/>
      <c r="AC28" s="195"/>
      <c r="BE28" s="178"/>
      <c r="BG28" s="174"/>
    </row>
    <row r="29" spans="1:160" ht="12.75">
      <c r="B29" s="215">
        <f t="shared" si="1"/>
        <v>24</v>
      </c>
      <c r="C29" s="177">
        <v>18</v>
      </c>
      <c r="D29" s="179">
        <f t="shared" si="4"/>
        <v>42548</v>
      </c>
      <c r="E29" s="216">
        <f t="shared" si="0"/>
        <v>2.9887157794883101E-2</v>
      </c>
      <c r="F29" s="179" t="str">
        <f>VLOOKUP(D29,Lookups!$D$4:$E$16,2,1)</f>
        <v>1M</v>
      </c>
      <c r="G29" s="179"/>
      <c r="H29" s="217">
        <f t="shared" si="2"/>
        <v>-4081693.5092507829</v>
      </c>
      <c r="I29" s="180">
        <f t="shared" si="3"/>
        <v>3265354.8074006266</v>
      </c>
      <c r="M29" s="176"/>
      <c r="N29" s="202"/>
      <c r="P29" s="204"/>
      <c r="Q29" s="204"/>
      <c r="R29" s="204"/>
      <c r="S29" s="204"/>
      <c r="T29" s="204"/>
      <c r="U29" s="204"/>
      <c r="V29" s="204"/>
      <c r="W29" s="178"/>
      <c r="X29" s="195"/>
      <c r="Y29" s="196"/>
      <c r="AC29" s="195"/>
      <c r="BE29" s="178"/>
      <c r="BG29" s="174"/>
    </row>
    <row r="30" spans="1:160" ht="12.75">
      <c r="B30" s="215">
        <f t="shared" si="1"/>
        <v>27</v>
      </c>
      <c r="C30" s="177">
        <v>19</v>
      </c>
      <c r="D30" s="179">
        <f t="shared" si="4"/>
        <v>42549</v>
      </c>
      <c r="E30" s="216">
        <f t="shared" si="0"/>
        <v>2.9887157794883101E-2</v>
      </c>
      <c r="F30" s="179" t="str">
        <f>VLOOKUP(D30,Lookups!$D$4:$E$16,2,1)</f>
        <v>1M</v>
      </c>
      <c r="G30" s="179"/>
      <c r="H30" s="217">
        <f t="shared" si="2"/>
        <v>-4081693.5092507829</v>
      </c>
      <c r="I30" s="180">
        <f t="shared" si="3"/>
        <v>3265354.8074006266</v>
      </c>
      <c r="M30" s="176"/>
      <c r="N30" s="202"/>
      <c r="P30" s="176"/>
      <c r="Q30" s="202"/>
      <c r="R30" s="178"/>
      <c r="S30" s="176"/>
      <c r="T30" s="203"/>
      <c r="U30" s="178"/>
      <c r="V30" s="178"/>
      <c r="W30" s="178"/>
      <c r="X30" s="201"/>
      <c r="Y30" s="196"/>
      <c r="AC30" s="201"/>
      <c r="BE30" s="178"/>
      <c r="BG30" s="174"/>
    </row>
    <row r="31" spans="1:160" ht="12.75">
      <c r="B31" s="215">
        <f t="shared" si="1"/>
        <v>28</v>
      </c>
      <c r="C31" s="177">
        <v>20</v>
      </c>
      <c r="D31" s="179">
        <f t="shared" si="4"/>
        <v>42550</v>
      </c>
      <c r="E31" s="216">
        <f t="shared" si="0"/>
        <v>2.9887157794883101E-2</v>
      </c>
      <c r="F31" s="179" t="str">
        <f>VLOOKUP(D31,Lookups!$D$4:$E$16,2,1)</f>
        <v>1M</v>
      </c>
      <c r="G31" s="179"/>
      <c r="H31" s="217">
        <f t="shared" si="2"/>
        <v>-4081693.5092507829</v>
      </c>
      <c r="I31" s="180">
        <f t="shared" si="3"/>
        <v>3265354.8074006266</v>
      </c>
      <c r="M31" s="202" t="s">
        <v>309</v>
      </c>
      <c r="O31" s="204"/>
      <c r="P31" s="176"/>
      <c r="Q31" s="202"/>
      <c r="R31" s="178"/>
      <c r="S31" s="176"/>
      <c r="T31" s="203"/>
      <c r="X31" s="195"/>
      <c r="Y31" s="196"/>
      <c r="Z31" s="196"/>
      <c r="AC31" s="195"/>
      <c r="BE31" s="178"/>
      <c r="BG31" s="174"/>
    </row>
    <row r="32" spans="1:160" ht="12.75">
      <c r="B32" s="215">
        <f t="shared" si="1"/>
        <v>29</v>
      </c>
      <c r="C32" s="177">
        <v>21</v>
      </c>
      <c r="D32" s="179">
        <f t="shared" si="4"/>
        <v>42551</v>
      </c>
      <c r="E32" s="216">
        <f t="shared" si="0"/>
        <v>2.9887157794883101E-2</v>
      </c>
      <c r="F32" s="179" t="str">
        <f>VLOOKUP(D32,Lookups!$D$4:$E$16,2,1)</f>
        <v>1M</v>
      </c>
      <c r="G32" s="179"/>
      <c r="H32" s="217">
        <f t="shared" si="2"/>
        <v>-4081693.5092507829</v>
      </c>
      <c r="I32" s="180">
        <f t="shared" si="3"/>
        <v>3265354.8074006266</v>
      </c>
      <c r="M32" s="176" t="s">
        <v>314</v>
      </c>
      <c r="N32" s="202" t="s">
        <v>315</v>
      </c>
      <c r="O32" s="178" t="s">
        <v>146</v>
      </c>
      <c r="P32" s="176" t="s">
        <v>316</v>
      </c>
      <c r="Q32" s="202"/>
      <c r="R32" s="178"/>
      <c r="S32" s="176"/>
      <c r="T32" s="203"/>
      <c r="X32" s="195"/>
      <c r="Y32" s="196"/>
      <c r="AC32" s="195"/>
      <c r="BE32" s="178"/>
      <c r="BG32" s="174"/>
    </row>
    <row r="33" spans="2:59" ht="12.75">
      <c r="B33" s="215">
        <f t="shared" si="1"/>
        <v>30</v>
      </c>
      <c r="C33" s="177">
        <v>22</v>
      </c>
      <c r="D33" s="179">
        <f t="shared" si="4"/>
        <v>42552</v>
      </c>
      <c r="E33" s="216">
        <f t="shared" si="0"/>
        <v>2.9887157794883101E-2</v>
      </c>
      <c r="F33" s="179" t="str">
        <f>VLOOKUP(D33,Lookups!$D$4:$E$16,2,1)</f>
        <v>1M</v>
      </c>
      <c r="G33" s="179"/>
      <c r="H33" s="217">
        <f t="shared" si="2"/>
        <v>-4081693.5092507829</v>
      </c>
      <c r="I33" s="180">
        <f t="shared" si="3"/>
        <v>3265354.8074006266</v>
      </c>
      <c r="M33" s="176">
        <v>1</v>
      </c>
      <c r="N33" s="179">
        <f t="shared" ref="N33:N64" si="8">WORKDAY(Report_date,M33)</f>
        <v>42523</v>
      </c>
      <c r="O33" s="178" t="str">
        <f>VLOOKUP(N33,$D$10:$F$101,3,0)</f>
        <v>1D</v>
      </c>
      <c r="P33" s="213">
        <f>$N$28</f>
        <v>6.049550284428068E-2</v>
      </c>
      <c r="R33" s="178"/>
      <c r="S33" s="176"/>
      <c r="T33" s="203"/>
      <c r="X33" s="201"/>
      <c r="Y33" s="196"/>
      <c r="AC33" s="201"/>
      <c r="BE33" s="178"/>
      <c r="BG33" s="174"/>
    </row>
    <row r="34" spans="2:59" ht="12.75">
      <c r="B34" s="215">
        <f t="shared" si="1"/>
        <v>31</v>
      </c>
      <c r="C34" s="177">
        <v>23</v>
      </c>
      <c r="D34" s="179">
        <f t="shared" si="4"/>
        <v>42555</v>
      </c>
      <c r="E34" s="216">
        <f t="shared" si="0"/>
        <v>2.9887157794883101E-2</v>
      </c>
      <c r="F34" s="179" t="str">
        <f>VLOOKUP(D34,Lookups!$D$4:$E$16,2,1)</f>
        <v>3M</v>
      </c>
      <c r="G34" s="179"/>
      <c r="H34" s="217">
        <f t="shared" si="2"/>
        <v>-4081693.5092507829</v>
      </c>
      <c r="I34" s="180">
        <f t="shared" si="3"/>
        <v>3265354.8074006266</v>
      </c>
      <c r="M34" s="176">
        <v>2</v>
      </c>
      <c r="N34" s="179">
        <f t="shared" si="8"/>
        <v>42524</v>
      </c>
      <c r="O34" s="178" t="str">
        <f t="shared" ref="O34:O97" si="9">VLOOKUP(N34,$D$10:$F$101,3,0)</f>
        <v>2D</v>
      </c>
      <c r="P34" s="213">
        <f t="shared" ref="P34:P35" si="10">$N$28</f>
        <v>6.049550284428068E-2</v>
      </c>
      <c r="Q34" s="205"/>
      <c r="R34" s="178"/>
      <c r="S34" s="176"/>
      <c r="T34" s="203"/>
      <c r="X34" s="195"/>
      <c r="Y34" s="196"/>
      <c r="AC34" s="195"/>
      <c r="BE34" s="178"/>
      <c r="BG34" s="174"/>
    </row>
    <row r="35" spans="2:59" ht="12.75">
      <c r="B35" s="215">
        <f t="shared" si="1"/>
        <v>34</v>
      </c>
      <c r="C35" s="177">
        <v>24</v>
      </c>
      <c r="D35" s="179">
        <f t="shared" si="4"/>
        <v>42556</v>
      </c>
      <c r="E35" s="216">
        <f t="shared" si="0"/>
        <v>2.9887157794883101E-2</v>
      </c>
      <c r="F35" s="179" t="str">
        <f>VLOOKUP(D35,Lookups!$D$4:$E$16,2,1)</f>
        <v>3M</v>
      </c>
      <c r="G35" s="179"/>
      <c r="H35" s="217">
        <f t="shared" si="2"/>
        <v>-4081693.5092507829</v>
      </c>
      <c r="I35" s="180">
        <f t="shared" si="3"/>
        <v>3265354.8074006266</v>
      </c>
      <c r="M35" s="176">
        <v>3</v>
      </c>
      <c r="N35" s="179">
        <f t="shared" si="8"/>
        <v>42527</v>
      </c>
      <c r="O35" s="178" t="str">
        <f t="shared" si="9"/>
        <v>3D</v>
      </c>
      <c r="P35" s="213">
        <f t="shared" si="10"/>
        <v>6.049550284428068E-2</v>
      </c>
      <c r="R35" s="178"/>
      <c r="S35" s="176"/>
      <c r="T35" s="203"/>
      <c r="X35" s="195"/>
      <c r="Y35" s="196"/>
      <c r="AC35" s="195"/>
      <c r="BE35" s="178"/>
      <c r="BG35" s="174"/>
    </row>
    <row r="36" spans="2:59" ht="12.75">
      <c r="B36" s="215">
        <f t="shared" si="1"/>
        <v>35</v>
      </c>
      <c r="C36" s="177">
        <v>25</v>
      </c>
      <c r="D36" s="179">
        <f t="shared" si="4"/>
        <v>42557</v>
      </c>
      <c r="E36" s="216">
        <f t="shared" si="0"/>
        <v>2.9887157794883101E-2</v>
      </c>
      <c r="F36" s="179" t="str">
        <f>VLOOKUP(D36,Lookups!$D$4:$E$16,2,1)</f>
        <v>3M</v>
      </c>
      <c r="G36" s="179"/>
      <c r="H36" s="217">
        <f t="shared" si="2"/>
        <v>-4081693.5092507829</v>
      </c>
      <c r="I36" s="180">
        <f t="shared" si="3"/>
        <v>3265354.8074006266</v>
      </c>
      <c r="M36" s="176">
        <v>4</v>
      </c>
      <c r="N36" s="179">
        <f t="shared" si="8"/>
        <v>42528</v>
      </c>
      <c r="O36" s="178" t="str">
        <f t="shared" si="9"/>
        <v>4D</v>
      </c>
      <c r="P36" s="213">
        <f>$O$28</f>
        <v>2.2172107894863017E-3</v>
      </c>
      <c r="R36" s="178"/>
      <c r="S36" s="176"/>
      <c r="T36" s="203"/>
      <c r="X36" s="201"/>
      <c r="Y36" s="196"/>
      <c r="AC36" s="201"/>
      <c r="BE36" s="178"/>
      <c r="BG36" s="174"/>
    </row>
    <row r="37" spans="2:59" ht="12.75">
      <c r="B37" s="215">
        <f t="shared" si="1"/>
        <v>36</v>
      </c>
      <c r="C37" s="177">
        <v>26</v>
      </c>
      <c r="D37" s="179">
        <f t="shared" si="4"/>
        <v>42558</v>
      </c>
      <c r="E37" s="216">
        <f t="shared" si="0"/>
        <v>2.9887157794883101E-2</v>
      </c>
      <c r="F37" s="179" t="str">
        <f>VLOOKUP(D37,Lookups!$D$4:$E$16,2,1)</f>
        <v>3M</v>
      </c>
      <c r="G37" s="179"/>
      <c r="H37" s="217">
        <f t="shared" si="2"/>
        <v>-4081693.5092507829</v>
      </c>
      <c r="I37" s="180">
        <f t="shared" si="3"/>
        <v>3265354.8074006266</v>
      </c>
      <c r="M37" s="176">
        <v>5</v>
      </c>
      <c r="N37" s="179">
        <f t="shared" si="8"/>
        <v>42529</v>
      </c>
      <c r="O37" s="178" t="str">
        <f t="shared" si="9"/>
        <v>5D</v>
      </c>
      <c r="P37" s="213">
        <f t="shared" ref="P37:P39" si="11">$O$28</f>
        <v>2.2172107894863017E-3</v>
      </c>
      <c r="T37" s="203"/>
      <c r="X37" s="195"/>
      <c r="Y37" s="196"/>
      <c r="AC37" s="195"/>
      <c r="BE37" s="178"/>
      <c r="BG37" s="174"/>
    </row>
    <row r="38" spans="2:59" ht="12.75">
      <c r="B38" s="215">
        <f t="shared" si="1"/>
        <v>37</v>
      </c>
      <c r="C38" s="177">
        <v>27</v>
      </c>
      <c r="D38" s="179">
        <f t="shared" si="4"/>
        <v>42559</v>
      </c>
      <c r="E38" s="216">
        <f t="shared" si="0"/>
        <v>2.9887157794883101E-2</v>
      </c>
      <c r="F38" s="179" t="str">
        <f>VLOOKUP(D38,Lookups!$D$4:$E$16,2,1)</f>
        <v>3M</v>
      </c>
      <c r="G38" s="179"/>
      <c r="H38" s="217">
        <f t="shared" si="2"/>
        <v>-4081693.5092507829</v>
      </c>
      <c r="I38" s="180">
        <f t="shared" si="3"/>
        <v>3265354.8074006266</v>
      </c>
      <c r="M38" s="176">
        <v>6</v>
      </c>
      <c r="N38" s="179">
        <f t="shared" si="8"/>
        <v>42530</v>
      </c>
      <c r="O38" s="178" t="str">
        <f t="shared" si="9"/>
        <v>2W</v>
      </c>
      <c r="P38" s="213">
        <f t="shared" si="11"/>
        <v>2.2172107894863017E-3</v>
      </c>
      <c r="T38" s="203"/>
      <c r="X38" s="195"/>
      <c r="Y38" s="196"/>
      <c r="AC38" s="195"/>
      <c r="BE38" s="178"/>
      <c r="BG38" s="174"/>
    </row>
    <row r="39" spans="2:59" ht="12.75">
      <c r="B39" s="215">
        <f t="shared" si="1"/>
        <v>38</v>
      </c>
      <c r="C39" s="177">
        <v>28</v>
      </c>
      <c r="D39" s="179">
        <f t="shared" si="4"/>
        <v>42562</v>
      </c>
      <c r="E39" s="216">
        <f t="shared" si="0"/>
        <v>2.9887157794883101E-2</v>
      </c>
      <c r="F39" s="179" t="str">
        <f>VLOOKUP(D39,Lookups!$D$4:$E$16,2,1)</f>
        <v>3M</v>
      </c>
      <c r="G39" s="179"/>
      <c r="H39" s="217">
        <f t="shared" si="2"/>
        <v>-4081693.5092507829</v>
      </c>
      <c r="I39" s="180">
        <f t="shared" si="3"/>
        <v>3265354.8074006266</v>
      </c>
      <c r="M39" s="176">
        <v>7</v>
      </c>
      <c r="N39" s="179">
        <f t="shared" si="8"/>
        <v>42531</v>
      </c>
      <c r="O39" s="178" t="str">
        <f t="shared" si="9"/>
        <v>2W</v>
      </c>
      <c r="P39" s="213">
        <f t="shared" si="11"/>
        <v>2.2172107894863017E-3</v>
      </c>
      <c r="T39" s="203"/>
      <c r="X39" s="201"/>
      <c r="Y39" s="196"/>
      <c r="AC39" s="201"/>
      <c r="BG39" s="174"/>
    </row>
    <row r="40" spans="2:59" ht="12.75">
      <c r="B40" s="215">
        <f t="shared" si="1"/>
        <v>41</v>
      </c>
      <c r="C40" s="177">
        <v>29</v>
      </c>
      <c r="D40" s="179">
        <f t="shared" si="4"/>
        <v>42563</v>
      </c>
      <c r="E40" s="216">
        <f t="shared" si="0"/>
        <v>2.9887157794883101E-2</v>
      </c>
      <c r="F40" s="179" t="str">
        <f>VLOOKUP(D40,Lookups!$D$4:$E$16,2,1)</f>
        <v>3M</v>
      </c>
      <c r="G40" s="179"/>
      <c r="H40" s="217">
        <f t="shared" si="2"/>
        <v>-4081693.5092507829</v>
      </c>
      <c r="I40" s="180">
        <f t="shared" si="3"/>
        <v>3265354.8074006266</v>
      </c>
      <c r="M40" s="176">
        <v>8</v>
      </c>
      <c r="N40" s="179">
        <f t="shared" si="8"/>
        <v>42534</v>
      </c>
      <c r="O40" s="178" t="str">
        <f t="shared" si="9"/>
        <v>2W</v>
      </c>
      <c r="P40" s="213">
        <f>$P$28</f>
        <v>2.2534845156555296E-3</v>
      </c>
      <c r="R40" s="178"/>
      <c r="S40" s="176"/>
      <c r="T40" s="203"/>
      <c r="X40" s="195"/>
      <c r="Y40" s="196"/>
      <c r="AC40" s="195"/>
      <c r="BG40" s="174"/>
    </row>
    <row r="41" spans="2:59" ht="12.75">
      <c r="B41" s="215">
        <f t="shared" si="1"/>
        <v>42</v>
      </c>
      <c r="C41" s="177">
        <v>30</v>
      </c>
      <c r="D41" s="179">
        <f t="shared" si="4"/>
        <v>42564</v>
      </c>
      <c r="E41" s="216">
        <f t="shared" si="0"/>
        <v>2.9887157794883101E-2</v>
      </c>
      <c r="F41" s="179" t="str">
        <f>VLOOKUP(D41,Lookups!$D$4:$E$16,2,1)</f>
        <v>3M</v>
      </c>
      <c r="G41" s="179"/>
      <c r="H41" s="217">
        <f t="shared" si="2"/>
        <v>-4081693.5092507829</v>
      </c>
      <c r="I41" s="180">
        <f t="shared" si="3"/>
        <v>3265354.8074006266</v>
      </c>
      <c r="M41" s="176">
        <v>9</v>
      </c>
      <c r="N41" s="179">
        <f t="shared" si="8"/>
        <v>42535</v>
      </c>
      <c r="O41" s="178" t="str">
        <f t="shared" si="9"/>
        <v>2W</v>
      </c>
      <c r="P41" s="213">
        <f t="shared" ref="P41:P42" si="12">$P$28</f>
        <v>2.2534845156555296E-3</v>
      </c>
      <c r="R41" s="178"/>
      <c r="S41" s="176"/>
      <c r="T41" s="203"/>
      <c r="X41" s="195"/>
      <c r="Y41" s="196"/>
      <c r="AC41" s="195"/>
      <c r="BG41" s="174"/>
    </row>
    <row r="42" spans="2:59" ht="12.75">
      <c r="B42" s="215">
        <f t="shared" si="1"/>
        <v>43</v>
      </c>
      <c r="C42" s="177">
        <v>31</v>
      </c>
      <c r="D42" s="179">
        <f t="shared" si="4"/>
        <v>42565</v>
      </c>
      <c r="E42" s="216">
        <f t="shared" si="0"/>
        <v>2.4491408733728626E-3</v>
      </c>
      <c r="F42" s="179" t="str">
        <f>VLOOKUP(D42,Lookups!$D$4:$E$16,2,1)</f>
        <v>3M</v>
      </c>
      <c r="G42" s="179"/>
      <c r="H42" s="217">
        <f t="shared" si="2"/>
        <v>-334479.5271164361</v>
      </c>
      <c r="I42" s="180">
        <f t="shared" si="3"/>
        <v>3265354.8074006266</v>
      </c>
      <c r="M42" s="176">
        <v>10</v>
      </c>
      <c r="N42" s="179">
        <f t="shared" si="8"/>
        <v>42536</v>
      </c>
      <c r="O42" s="178" t="str">
        <f t="shared" si="9"/>
        <v>2W</v>
      </c>
      <c r="P42" s="213">
        <f t="shared" si="12"/>
        <v>2.2534845156555296E-3</v>
      </c>
      <c r="R42" s="178"/>
      <c r="S42" s="176"/>
      <c r="T42" s="203"/>
      <c r="X42" s="201"/>
      <c r="Y42" s="196"/>
      <c r="AC42" s="201"/>
      <c r="BG42" s="174"/>
    </row>
    <row r="43" spans="2:59" ht="12.75">
      <c r="B43" s="215">
        <f t="shared" si="1"/>
        <v>44</v>
      </c>
      <c r="C43" s="177">
        <v>32</v>
      </c>
      <c r="D43" s="179">
        <f t="shared" si="4"/>
        <v>42566</v>
      </c>
      <c r="E43" s="216">
        <f t="shared" si="0"/>
        <v>2.4491408733728626E-3</v>
      </c>
      <c r="F43" s="179" t="str">
        <f>VLOOKUP(D43,Lookups!$D$4:$E$16,2,1)</f>
        <v>3M</v>
      </c>
      <c r="G43" s="179"/>
      <c r="H43" s="217">
        <f t="shared" si="2"/>
        <v>-334479.5271164361</v>
      </c>
      <c r="I43" s="180">
        <f t="shared" si="3"/>
        <v>267583.62169314892</v>
      </c>
      <c r="M43" s="176">
        <v>11</v>
      </c>
      <c r="N43" s="179">
        <f t="shared" si="8"/>
        <v>42537</v>
      </c>
      <c r="O43" s="178" t="str">
        <f t="shared" si="9"/>
        <v>3W</v>
      </c>
      <c r="P43" s="213">
        <f>$Q$28</f>
        <v>2.9887157794883101E-2</v>
      </c>
      <c r="R43" s="178"/>
      <c r="S43" s="176"/>
      <c r="T43" s="203"/>
      <c r="X43" s="195"/>
      <c r="Y43" s="196"/>
      <c r="AC43" s="195"/>
      <c r="BG43" s="174"/>
    </row>
    <row r="44" spans="2:59" ht="12.75">
      <c r="B44" s="215">
        <f t="shared" si="1"/>
        <v>45</v>
      </c>
      <c r="C44" s="177">
        <v>33</v>
      </c>
      <c r="D44" s="179">
        <f t="shared" si="4"/>
        <v>42569</v>
      </c>
      <c r="E44" s="216">
        <f t="shared" ref="E44:E75" si="13">VLOOKUP(D44,$N$33:$P$122,3,0)</f>
        <v>2.4491408733728626E-3</v>
      </c>
      <c r="F44" s="179" t="str">
        <f>VLOOKUP(D44,Lookups!$D$4:$E$16,2,1)</f>
        <v>3M</v>
      </c>
      <c r="G44" s="179"/>
      <c r="H44" s="217">
        <f t="shared" si="2"/>
        <v>-334479.5271164361</v>
      </c>
      <c r="I44" s="180">
        <f t="shared" si="3"/>
        <v>267583.62169314892</v>
      </c>
      <c r="M44" s="176">
        <v>12</v>
      </c>
      <c r="N44" s="179">
        <f t="shared" si="8"/>
        <v>42538</v>
      </c>
      <c r="O44" s="178" t="str">
        <f t="shared" si="9"/>
        <v>3W</v>
      </c>
      <c r="P44" s="213">
        <f t="shared" ref="P44:P62" si="14">$Q$28</f>
        <v>2.9887157794883101E-2</v>
      </c>
      <c r="Q44" s="178"/>
      <c r="R44" s="176"/>
      <c r="S44" s="203"/>
      <c r="W44" s="195"/>
      <c r="X44" s="196"/>
      <c r="AB44" s="195"/>
      <c r="BG44" s="174"/>
    </row>
    <row r="45" spans="2:59" ht="12.75">
      <c r="B45" s="215">
        <f t="shared" ref="B45:B77" si="15">DAYS360(D$11,D44)+1</f>
        <v>48</v>
      </c>
      <c r="C45" s="177">
        <v>34</v>
      </c>
      <c r="D45" s="179">
        <f t="shared" si="4"/>
        <v>42570</v>
      </c>
      <c r="E45" s="216">
        <f t="shared" si="13"/>
        <v>2.4491408733728626E-3</v>
      </c>
      <c r="F45" s="179" t="str">
        <f>VLOOKUP(D45,Lookups!$D$4:$E$16,2,1)</f>
        <v>3M</v>
      </c>
      <c r="G45" s="179"/>
      <c r="H45" s="217">
        <f t="shared" si="2"/>
        <v>-334479.5271164361</v>
      </c>
      <c r="I45" s="180">
        <f t="shared" ref="I45:I76" si="16">-H44*(1-$N$16)</f>
        <v>267583.62169314892</v>
      </c>
      <c r="M45" s="176">
        <v>13</v>
      </c>
      <c r="N45" s="179">
        <f t="shared" si="8"/>
        <v>42541</v>
      </c>
      <c r="O45" s="178" t="str">
        <f t="shared" si="9"/>
        <v>3W</v>
      </c>
      <c r="P45" s="213">
        <f t="shared" si="14"/>
        <v>2.9887157794883101E-2</v>
      </c>
      <c r="Q45" s="178"/>
      <c r="R45" s="176"/>
      <c r="S45" s="203"/>
      <c r="W45" s="201"/>
      <c r="X45" s="196"/>
      <c r="AB45" s="201"/>
      <c r="BG45" s="174"/>
    </row>
    <row r="46" spans="2:59" ht="12.75">
      <c r="B46" s="215">
        <f t="shared" si="15"/>
        <v>49</v>
      </c>
      <c r="C46" s="177">
        <v>35</v>
      </c>
      <c r="D46" s="179">
        <f t="shared" si="4"/>
        <v>42571</v>
      </c>
      <c r="E46" s="216">
        <f t="shared" si="13"/>
        <v>2.4491408733728626E-3</v>
      </c>
      <c r="F46" s="179" t="str">
        <f>VLOOKUP(D46,Lookups!$D$4:$E$16,2,1)</f>
        <v>3M</v>
      </c>
      <c r="G46" s="179"/>
      <c r="H46" s="217">
        <f t="shared" si="2"/>
        <v>-334479.5271164361</v>
      </c>
      <c r="I46" s="180">
        <f t="shared" si="16"/>
        <v>267583.62169314892</v>
      </c>
      <c r="M46" s="176">
        <v>14</v>
      </c>
      <c r="N46" s="179">
        <f t="shared" si="8"/>
        <v>42542</v>
      </c>
      <c r="O46" s="178" t="str">
        <f t="shared" si="9"/>
        <v>3W</v>
      </c>
      <c r="P46" s="213">
        <f t="shared" si="14"/>
        <v>2.9887157794883101E-2</v>
      </c>
      <c r="Q46" s="178"/>
      <c r="R46" s="176"/>
      <c r="S46" s="203"/>
      <c r="W46" s="195"/>
      <c r="X46" s="196"/>
      <c r="AB46" s="195"/>
      <c r="BG46" s="174"/>
    </row>
    <row r="47" spans="2:59" ht="12.75">
      <c r="B47" s="215">
        <f t="shared" si="15"/>
        <v>50</v>
      </c>
      <c r="C47" s="177">
        <v>36</v>
      </c>
      <c r="D47" s="179">
        <f t="shared" si="4"/>
        <v>42572</v>
      </c>
      <c r="E47" s="216">
        <f t="shared" si="13"/>
        <v>2.4491408733728626E-3</v>
      </c>
      <c r="F47" s="179" t="str">
        <f>VLOOKUP(D47,Lookups!$D$4:$E$16,2,1)</f>
        <v>3M</v>
      </c>
      <c r="G47" s="179"/>
      <c r="H47" s="217">
        <f t="shared" si="2"/>
        <v>-334479.5271164361</v>
      </c>
      <c r="I47" s="180">
        <f t="shared" si="16"/>
        <v>267583.62169314892</v>
      </c>
      <c r="M47" s="176">
        <v>15</v>
      </c>
      <c r="N47" s="179">
        <f t="shared" si="8"/>
        <v>42543</v>
      </c>
      <c r="O47" s="178" t="str">
        <f t="shared" si="9"/>
        <v>3W</v>
      </c>
      <c r="P47" s="213">
        <f t="shared" si="14"/>
        <v>2.9887157794883101E-2</v>
      </c>
      <c r="R47" s="178"/>
      <c r="S47" s="176"/>
      <c r="T47" s="203"/>
      <c r="X47" s="195"/>
      <c r="Y47" s="196"/>
      <c r="AC47" s="195"/>
      <c r="BG47" s="174"/>
    </row>
    <row r="48" spans="2:59" ht="12.75">
      <c r="B48" s="215">
        <f t="shared" si="15"/>
        <v>51</v>
      </c>
      <c r="C48" s="177">
        <v>37</v>
      </c>
      <c r="D48" s="179">
        <f t="shared" si="4"/>
        <v>42573</v>
      </c>
      <c r="E48" s="216">
        <f t="shared" si="13"/>
        <v>2.4491408733728626E-3</v>
      </c>
      <c r="F48" s="179" t="str">
        <f>VLOOKUP(D48,Lookups!$D$4:$E$16,2,1)</f>
        <v>3M</v>
      </c>
      <c r="G48" s="179"/>
      <c r="H48" s="217">
        <f t="shared" si="2"/>
        <v>-334479.5271164361</v>
      </c>
      <c r="I48" s="180">
        <f t="shared" si="16"/>
        <v>267583.62169314892</v>
      </c>
      <c r="M48" s="176">
        <v>16</v>
      </c>
      <c r="N48" s="179">
        <f t="shared" si="8"/>
        <v>42544</v>
      </c>
      <c r="O48" s="178" t="str">
        <f t="shared" si="9"/>
        <v>1M</v>
      </c>
      <c r="P48" s="213">
        <f t="shared" si="14"/>
        <v>2.9887157794883101E-2</v>
      </c>
      <c r="R48" s="178"/>
      <c r="S48" s="176"/>
      <c r="T48" s="203"/>
      <c r="X48" s="201"/>
      <c r="Y48" s="196"/>
      <c r="AC48" s="201"/>
      <c r="BG48" s="174"/>
    </row>
    <row r="49" spans="2:59" ht="12.75">
      <c r="B49" s="215">
        <f t="shared" si="15"/>
        <v>52</v>
      </c>
      <c r="C49" s="177">
        <v>38</v>
      </c>
      <c r="D49" s="179">
        <f t="shared" si="4"/>
        <v>42576</v>
      </c>
      <c r="E49" s="216">
        <f t="shared" si="13"/>
        <v>2.4491408733728626E-3</v>
      </c>
      <c r="F49" s="179" t="str">
        <f>VLOOKUP(D49,Lookups!$D$4:$E$16,2,1)</f>
        <v>3M</v>
      </c>
      <c r="G49" s="179"/>
      <c r="H49" s="217">
        <f t="shared" si="2"/>
        <v>-334479.5271164361</v>
      </c>
      <c r="I49" s="180">
        <f t="shared" si="16"/>
        <v>267583.62169314892</v>
      </c>
      <c r="M49" s="176">
        <v>17</v>
      </c>
      <c r="N49" s="179">
        <f t="shared" si="8"/>
        <v>42545</v>
      </c>
      <c r="O49" s="178" t="str">
        <f t="shared" si="9"/>
        <v>1M</v>
      </c>
      <c r="P49" s="213">
        <f t="shared" si="14"/>
        <v>2.9887157794883101E-2</v>
      </c>
      <c r="R49" s="178"/>
      <c r="S49" s="176"/>
      <c r="T49" s="203"/>
      <c r="X49" s="195"/>
      <c r="Y49" s="196"/>
      <c r="AC49" s="195"/>
      <c r="BG49" s="174"/>
    </row>
    <row r="50" spans="2:59" ht="12.75">
      <c r="B50" s="215">
        <f t="shared" si="15"/>
        <v>55</v>
      </c>
      <c r="C50" s="177">
        <v>39</v>
      </c>
      <c r="D50" s="179">
        <f t="shared" si="4"/>
        <v>42577</v>
      </c>
      <c r="E50" s="216">
        <f t="shared" si="13"/>
        <v>2.4491408733728626E-3</v>
      </c>
      <c r="F50" s="179" t="str">
        <f>VLOOKUP(D50,Lookups!$D$4:$E$16,2,1)</f>
        <v>3M</v>
      </c>
      <c r="G50" s="179"/>
      <c r="H50" s="217">
        <f t="shared" si="2"/>
        <v>-334479.5271164361</v>
      </c>
      <c r="I50" s="180">
        <f t="shared" si="16"/>
        <v>267583.62169314892</v>
      </c>
      <c r="M50" s="176">
        <v>18</v>
      </c>
      <c r="N50" s="179">
        <f t="shared" si="8"/>
        <v>42548</v>
      </c>
      <c r="O50" s="178" t="str">
        <f t="shared" si="9"/>
        <v>1M</v>
      </c>
      <c r="P50" s="213">
        <f t="shared" si="14"/>
        <v>2.9887157794883101E-2</v>
      </c>
      <c r="Q50" s="202"/>
      <c r="R50" s="178"/>
      <c r="S50" s="176"/>
      <c r="T50" s="203"/>
      <c r="X50" s="195"/>
      <c r="Y50" s="196"/>
      <c r="AC50" s="195"/>
      <c r="BG50" s="174"/>
    </row>
    <row r="51" spans="2:59" ht="12.75">
      <c r="B51" s="215">
        <f t="shared" si="15"/>
        <v>56</v>
      </c>
      <c r="C51" s="177">
        <v>40</v>
      </c>
      <c r="D51" s="179">
        <f t="shared" si="4"/>
        <v>42578</v>
      </c>
      <c r="E51" s="216">
        <f t="shared" si="13"/>
        <v>2.4491408733728626E-3</v>
      </c>
      <c r="F51" s="179" t="str">
        <f>VLOOKUP(D51,Lookups!$D$4:$E$16,2,1)</f>
        <v>3M</v>
      </c>
      <c r="G51" s="179"/>
      <c r="H51" s="217">
        <f t="shared" si="2"/>
        <v>-334479.5271164361</v>
      </c>
      <c r="I51" s="180">
        <f t="shared" si="16"/>
        <v>267583.62169314892</v>
      </c>
      <c r="M51" s="176">
        <v>19</v>
      </c>
      <c r="N51" s="179">
        <f t="shared" si="8"/>
        <v>42549</v>
      </c>
      <c r="O51" s="178" t="str">
        <f t="shared" si="9"/>
        <v>1M</v>
      </c>
      <c r="P51" s="213">
        <f t="shared" si="14"/>
        <v>2.9887157794883101E-2</v>
      </c>
      <c r="Q51" s="202"/>
      <c r="R51" s="178"/>
      <c r="S51" s="176"/>
      <c r="T51" s="203"/>
      <c r="X51" s="201"/>
      <c r="Y51" s="196"/>
      <c r="AC51" s="201"/>
      <c r="BG51" s="174"/>
    </row>
    <row r="52" spans="2:59" ht="12.75">
      <c r="B52" s="215">
        <f t="shared" si="15"/>
        <v>57</v>
      </c>
      <c r="C52" s="177">
        <v>41</v>
      </c>
      <c r="D52" s="179">
        <f t="shared" si="4"/>
        <v>42579</v>
      </c>
      <c r="E52" s="216">
        <f t="shared" si="13"/>
        <v>2.4491408733728626E-3</v>
      </c>
      <c r="F52" s="179" t="str">
        <f>VLOOKUP(D52,Lookups!$D$4:$E$16,2,1)</f>
        <v>3M</v>
      </c>
      <c r="G52" s="179"/>
      <c r="H52" s="217">
        <f t="shared" si="2"/>
        <v>-334479.5271164361</v>
      </c>
      <c r="I52" s="180">
        <f t="shared" si="16"/>
        <v>267583.62169314892</v>
      </c>
      <c r="M52" s="176">
        <v>20</v>
      </c>
      <c r="N52" s="179">
        <f t="shared" si="8"/>
        <v>42550</v>
      </c>
      <c r="O52" s="178" t="str">
        <f t="shared" si="9"/>
        <v>1M</v>
      </c>
      <c r="P52" s="213">
        <f t="shared" si="14"/>
        <v>2.9887157794883101E-2</v>
      </c>
      <c r="Q52" s="202"/>
      <c r="R52" s="178"/>
      <c r="S52" s="176"/>
      <c r="T52" s="203"/>
      <c r="X52" s="195"/>
      <c r="Y52" s="196"/>
      <c r="AC52" s="195"/>
      <c r="BG52" s="174"/>
    </row>
    <row r="53" spans="2:59" ht="12.75">
      <c r="B53" s="215">
        <f t="shared" si="15"/>
        <v>58</v>
      </c>
      <c r="C53" s="177">
        <v>42</v>
      </c>
      <c r="D53" s="179">
        <f t="shared" si="4"/>
        <v>42580</v>
      </c>
      <c r="E53" s="216">
        <f t="shared" si="13"/>
        <v>2.4491408733728626E-3</v>
      </c>
      <c r="F53" s="179" t="str">
        <f>VLOOKUP(D53,Lookups!$D$4:$E$16,2,1)</f>
        <v>3M</v>
      </c>
      <c r="G53" s="179"/>
      <c r="H53" s="217">
        <f t="shared" si="2"/>
        <v>-334479.5271164361</v>
      </c>
      <c r="I53" s="180">
        <f t="shared" si="16"/>
        <v>267583.62169314892</v>
      </c>
      <c r="M53" s="176">
        <v>21</v>
      </c>
      <c r="N53" s="179">
        <f t="shared" si="8"/>
        <v>42551</v>
      </c>
      <c r="O53" s="178" t="str">
        <f t="shared" si="9"/>
        <v>1M</v>
      </c>
      <c r="P53" s="213">
        <f t="shared" si="14"/>
        <v>2.9887157794883101E-2</v>
      </c>
      <c r="Q53" s="202"/>
      <c r="R53" s="178"/>
      <c r="S53" s="176"/>
      <c r="T53" s="203"/>
      <c r="X53" s="195"/>
      <c r="Y53" s="196"/>
      <c r="AC53" s="195"/>
      <c r="BG53" s="174"/>
    </row>
    <row r="54" spans="2:59" ht="12.75">
      <c r="B54" s="215">
        <f t="shared" si="15"/>
        <v>59</v>
      </c>
      <c r="C54" s="177">
        <v>43</v>
      </c>
      <c r="D54" s="179">
        <f t="shared" si="4"/>
        <v>42583</v>
      </c>
      <c r="E54" s="216">
        <f t="shared" si="13"/>
        <v>2.4491408733728626E-3</v>
      </c>
      <c r="F54" s="179" t="str">
        <f>VLOOKUP(D54,Lookups!$D$4:$E$16,2,1)</f>
        <v>3M</v>
      </c>
      <c r="G54" s="179"/>
      <c r="H54" s="217">
        <f t="shared" si="2"/>
        <v>-334479.5271164361</v>
      </c>
      <c r="I54" s="180">
        <f t="shared" si="16"/>
        <v>267583.62169314892</v>
      </c>
      <c r="M54" s="176">
        <v>22</v>
      </c>
      <c r="N54" s="179">
        <f t="shared" si="8"/>
        <v>42552</v>
      </c>
      <c r="O54" s="178" t="str">
        <f t="shared" si="9"/>
        <v>1M</v>
      </c>
      <c r="P54" s="213">
        <f t="shared" si="14"/>
        <v>2.9887157794883101E-2</v>
      </c>
      <c r="Q54" s="202"/>
      <c r="R54" s="178"/>
      <c r="S54" s="176"/>
      <c r="T54" s="203"/>
      <c r="X54" s="201"/>
      <c r="Y54" s="196"/>
      <c r="AC54" s="201"/>
      <c r="BG54" s="174"/>
    </row>
    <row r="55" spans="2:59" ht="12.75">
      <c r="B55" s="215">
        <f t="shared" si="15"/>
        <v>61</v>
      </c>
      <c r="C55" s="177">
        <v>44</v>
      </c>
      <c r="D55" s="179">
        <f t="shared" si="4"/>
        <v>42584</v>
      </c>
      <c r="E55" s="216">
        <f t="shared" si="13"/>
        <v>2.4491408733728626E-3</v>
      </c>
      <c r="F55" s="179" t="str">
        <f>VLOOKUP(D55,Lookups!$D$4:$E$16,2,1)</f>
        <v>3M</v>
      </c>
      <c r="G55" s="179"/>
      <c r="H55" s="217">
        <f t="shared" si="2"/>
        <v>-334479.5271164361</v>
      </c>
      <c r="I55" s="180">
        <f t="shared" si="16"/>
        <v>267583.62169314892</v>
      </c>
      <c r="M55" s="176">
        <v>23</v>
      </c>
      <c r="N55" s="179">
        <f t="shared" si="8"/>
        <v>42555</v>
      </c>
      <c r="O55" s="178" t="str">
        <f t="shared" si="9"/>
        <v>3M</v>
      </c>
      <c r="P55" s="213">
        <f t="shared" si="14"/>
        <v>2.9887157794883101E-2</v>
      </c>
      <c r="Q55" s="202"/>
      <c r="R55" s="178"/>
      <c r="S55" s="176"/>
      <c r="T55" s="203"/>
      <c r="X55" s="195"/>
      <c r="Y55" s="196"/>
      <c r="AC55" s="195"/>
      <c r="BG55" s="174"/>
    </row>
    <row r="56" spans="2:59" ht="12.75">
      <c r="B56" s="215">
        <f t="shared" si="15"/>
        <v>62</v>
      </c>
      <c r="C56" s="177">
        <v>45</v>
      </c>
      <c r="D56" s="179">
        <f t="shared" si="4"/>
        <v>42585</v>
      </c>
      <c r="E56" s="216">
        <f t="shared" si="13"/>
        <v>2.4491408733728626E-3</v>
      </c>
      <c r="F56" s="179" t="str">
        <f>VLOOKUP(D56,Lookups!$D$4:$E$16,2,1)</f>
        <v>3M</v>
      </c>
      <c r="G56" s="179"/>
      <c r="H56" s="217">
        <f t="shared" si="2"/>
        <v>-334479.5271164361</v>
      </c>
      <c r="I56" s="180">
        <f t="shared" si="16"/>
        <v>267583.62169314892</v>
      </c>
      <c r="M56" s="176">
        <v>24</v>
      </c>
      <c r="N56" s="179">
        <f t="shared" si="8"/>
        <v>42556</v>
      </c>
      <c r="O56" s="178" t="str">
        <f t="shared" si="9"/>
        <v>3M</v>
      </c>
      <c r="P56" s="213">
        <f t="shared" si="14"/>
        <v>2.9887157794883101E-2</v>
      </c>
      <c r="Q56" s="202"/>
      <c r="R56" s="178"/>
      <c r="S56" s="176"/>
      <c r="T56" s="203"/>
      <c r="X56" s="195"/>
      <c r="Y56" s="196"/>
      <c r="AC56" s="195"/>
      <c r="BG56" s="174"/>
    </row>
    <row r="57" spans="2:59" ht="12.75">
      <c r="B57" s="215">
        <f t="shared" si="15"/>
        <v>63</v>
      </c>
      <c r="C57" s="177">
        <v>46</v>
      </c>
      <c r="D57" s="179">
        <f t="shared" si="4"/>
        <v>42586</v>
      </c>
      <c r="E57" s="216">
        <f t="shared" si="13"/>
        <v>1.0342394466553918E-2</v>
      </c>
      <c r="F57" s="179" t="str">
        <f>VLOOKUP(D57,Lookups!$D$4:$E$16,2,1)</f>
        <v>3M</v>
      </c>
      <c r="G57" s="179"/>
      <c r="H57" s="217">
        <f t="shared" si="2"/>
        <v>-1412462.3242519156</v>
      </c>
      <c r="I57" s="180">
        <f t="shared" si="16"/>
        <v>267583.62169314892</v>
      </c>
      <c r="M57" s="176">
        <v>25</v>
      </c>
      <c r="N57" s="179">
        <f t="shared" si="8"/>
        <v>42557</v>
      </c>
      <c r="O57" s="178" t="str">
        <f t="shared" si="9"/>
        <v>3M</v>
      </c>
      <c r="P57" s="213">
        <f t="shared" si="14"/>
        <v>2.9887157794883101E-2</v>
      </c>
      <c r="Q57" s="202"/>
      <c r="R57" s="178"/>
      <c r="S57" s="176"/>
      <c r="T57" s="203"/>
      <c r="X57" s="201"/>
      <c r="Y57" s="196"/>
      <c r="AC57" s="201"/>
      <c r="BG57" s="174"/>
    </row>
    <row r="58" spans="2:59" ht="12.75">
      <c r="B58" s="215">
        <f t="shared" si="15"/>
        <v>64</v>
      </c>
      <c r="C58" s="177">
        <v>47</v>
      </c>
      <c r="D58" s="179">
        <f t="shared" si="4"/>
        <v>42587</v>
      </c>
      <c r="E58" s="216">
        <f t="shared" si="13"/>
        <v>1.0342394466553918E-2</v>
      </c>
      <c r="F58" s="179" t="str">
        <f>VLOOKUP(D58,Lookups!$D$4:$E$16,2,1)</f>
        <v>3M</v>
      </c>
      <c r="G58" s="179"/>
      <c r="H58" s="217">
        <f t="shared" si="2"/>
        <v>-1412462.3242519156</v>
      </c>
      <c r="I58" s="180">
        <f t="shared" si="16"/>
        <v>1129969.8594015324</v>
      </c>
      <c r="M58" s="176">
        <v>26</v>
      </c>
      <c r="N58" s="179">
        <f t="shared" si="8"/>
        <v>42558</v>
      </c>
      <c r="O58" s="178" t="str">
        <f t="shared" si="9"/>
        <v>3M</v>
      </c>
      <c r="P58" s="213">
        <f t="shared" si="14"/>
        <v>2.9887157794883101E-2</v>
      </c>
      <c r="Q58" s="202"/>
      <c r="R58" s="178"/>
      <c r="S58" s="176"/>
      <c r="T58" s="203"/>
      <c r="X58" s="195"/>
      <c r="Y58" s="196"/>
      <c r="AC58" s="195"/>
      <c r="BG58" s="174"/>
    </row>
    <row r="59" spans="2:59" ht="12.75">
      <c r="B59" s="215">
        <f t="shared" si="15"/>
        <v>65</v>
      </c>
      <c r="C59" s="177">
        <v>48</v>
      </c>
      <c r="D59" s="179">
        <f t="shared" si="4"/>
        <v>42590</v>
      </c>
      <c r="E59" s="216">
        <f t="shared" si="13"/>
        <v>1.0342394466553918E-2</v>
      </c>
      <c r="F59" s="179" t="str">
        <f>VLOOKUP(D59,Lookups!$D$4:$E$16,2,1)</f>
        <v>3M</v>
      </c>
      <c r="G59" s="179"/>
      <c r="H59" s="217">
        <f t="shared" si="2"/>
        <v>-1412462.3242519156</v>
      </c>
      <c r="I59" s="180">
        <f t="shared" si="16"/>
        <v>1129969.8594015324</v>
      </c>
      <c r="M59" s="176">
        <v>27</v>
      </c>
      <c r="N59" s="179">
        <f t="shared" si="8"/>
        <v>42559</v>
      </c>
      <c r="O59" s="178" t="str">
        <f t="shared" si="9"/>
        <v>3M</v>
      </c>
      <c r="P59" s="213">
        <f t="shared" si="14"/>
        <v>2.9887157794883101E-2</v>
      </c>
      <c r="Q59" s="202"/>
      <c r="R59" s="178"/>
      <c r="S59" s="176"/>
      <c r="T59" s="203"/>
      <c r="X59" s="195"/>
      <c r="Y59" s="196"/>
      <c r="AC59" s="195"/>
      <c r="BG59" s="174"/>
    </row>
    <row r="60" spans="2:59" ht="12.75">
      <c r="B60" s="215">
        <f t="shared" si="15"/>
        <v>68</v>
      </c>
      <c r="C60" s="177">
        <v>49</v>
      </c>
      <c r="D60" s="179">
        <f t="shared" si="4"/>
        <v>42591</v>
      </c>
      <c r="E60" s="216">
        <f t="shared" si="13"/>
        <v>1.0342394466553918E-2</v>
      </c>
      <c r="F60" s="179" t="str">
        <f>VLOOKUP(D60,Lookups!$D$4:$E$16,2,1)</f>
        <v>3M</v>
      </c>
      <c r="G60" s="179"/>
      <c r="H60" s="217">
        <f t="shared" si="2"/>
        <v>-1412462.3242519156</v>
      </c>
      <c r="I60" s="180">
        <f t="shared" si="16"/>
        <v>1129969.8594015324</v>
      </c>
      <c r="M60" s="176">
        <v>28</v>
      </c>
      <c r="N60" s="179">
        <f t="shared" si="8"/>
        <v>42562</v>
      </c>
      <c r="O60" s="178" t="str">
        <f t="shared" si="9"/>
        <v>3M</v>
      </c>
      <c r="P60" s="213">
        <f t="shared" si="14"/>
        <v>2.9887157794883101E-2</v>
      </c>
      <c r="Q60" s="202"/>
      <c r="R60" s="178"/>
      <c r="S60" s="176"/>
      <c r="T60" s="203"/>
      <c r="X60" s="201"/>
      <c r="Y60" s="196"/>
      <c r="AC60" s="201"/>
      <c r="BG60" s="174"/>
    </row>
    <row r="61" spans="2:59" ht="12.75">
      <c r="B61" s="215">
        <f t="shared" si="15"/>
        <v>69</v>
      </c>
      <c r="C61" s="177">
        <v>50</v>
      </c>
      <c r="D61" s="179">
        <f t="shared" si="4"/>
        <v>42592</v>
      </c>
      <c r="E61" s="216">
        <f t="shared" si="13"/>
        <v>1.0342394466553918E-2</v>
      </c>
      <c r="F61" s="179" t="str">
        <f>VLOOKUP(D61,Lookups!$D$4:$E$16,2,1)</f>
        <v>3M</v>
      </c>
      <c r="G61" s="179"/>
      <c r="H61" s="217">
        <f t="shared" si="2"/>
        <v>-1412462.3242519156</v>
      </c>
      <c r="I61" s="180">
        <f t="shared" si="16"/>
        <v>1129969.8594015324</v>
      </c>
      <c r="M61" s="176">
        <v>29</v>
      </c>
      <c r="N61" s="179">
        <f t="shared" si="8"/>
        <v>42563</v>
      </c>
      <c r="O61" s="178" t="str">
        <f t="shared" si="9"/>
        <v>3M</v>
      </c>
      <c r="P61" s="213">
        <f t="shared" si="14"/>
        <v>2.9887157794883101E-2</v>
      </c>
      <c r="X61" s="195"/>
      <c r="Y61" s="196"/>
      <c r="AC61" s="195"/>
      <c r="BG61" s="174"/>
    </row>
    <row r="62" spans="2:59" ht="12.75">
      <c r="B62" s="215">
        <f t="shared" si="15"/>
        <v>70</v>
      </c>
      <c r="C62" s="177">
        <v>51</v>
      </c>
      <c r="D62" s="179">
        <f t="shared" si="4"/>
        <v>42593</v>
      </c>
      <c r="E62" s="216">
        <f t="shared" si="13"/>
        <v>1.0342394466553918E-2</v>
      </c>
      <c r="F62" s="179" t="str">
        <f>VLOOKUP(D62,Lookups!$D$4:$E$16,2,1)</f>
        <v>3M</v>
      </c>
      <c r="G62" s="179"/>
      <c r="H62" s="217">
        <f t="shared" si="2"/>
        <v>-1412462.3242519156</v>
      </c>
      <c r="I62" s="180">
        <f t="shared" si="16"/>
        <v>1129969.8594015324</v>
      </c>
      <c r="M62" s="176">
        <v>30</v>
      </c>
      <c r="N62" s="179">
        <f t="shared" si="8"/>
        <v>42564</v>
      </c>
      <c r="O62" s="178" t="str">
        <f t="shared" si="9"/>
        <v>3M</v>
      </c>
      <c r="P62" s="213">
        <f t="shared" si="14"/>
        <v>2.9887157794883101E-2</v>
      </c>
      <c r="X62" s="195"/>
      <c r="Y62" s="196"/>
      <c r="AC62" s="195"/>
      <c r="BG62" s="174"/>
    </row>
    <row r="63" spans="2:59" ht="12.75">
      <c r="B63" s="215">
        <f t="shared" si="15"/>
        <v>71</v>
      </c>
      <c r="C63" s="177">
        <v>52</v>
      </c>
      <c r="D63" s="179">
        <f t="shared" si="4"/>
        <v>42594</v>
      </c>
      <c r="E63" s="216">
        <f t="shared" si="13"/>
        <v>1.0342394466553918E-2</v>
      </c>
      <c r="F63" s="179" t="str">
        <f>VLOOKUP(D63,Lookups!$D$4:$E$16,2,1)</f>
        <v>3M</v>
      </c>
      <c r="G63" s="179"/>
      <c r="H63" s="217">
        <f t="shared" si="2"/>
        <v>-1412462.3242519156</v>
      </c>
      <c r="I63" s="180">
        <f t="shared" si="16"/>
        <v>1129969.8594015324</v>
      </c>
      <c r="M63" s="176">
        <v>31</v>
      </c>
      <c r="N63" s="179">
        <f t="shared" si="8"/>
        <v>42565</v>
      </c>
      <c r="O63" s="178" t="str">
        <f t="shared" si="9"/>
        <v>3M</v>
      </c>
      <c r="P63" s="213">
        <f>$R$28</f>
        <v>2.4491408733728626E-3</v>
      </c>
      <c r="X63" s="201"/>
      <c r="Y63" s="196"/>
      <c r="AC63" s="201"/>
      <c r="BG63" s="174"/>
    </row>
    <row r="64" spans="2:59" ht="12.75">
      <c r="B64" s="215">
        <f t="shared" si="15"/>
        <v>72</v>
      </c>
      <c r="C64" s="177">
        <v>53</v>
      </c>
      <c r="D64" s="179">
        <f t="shared" si="4"/>
        <v>42597</v>
      </c>
      <c r="E64" s="216">
        <f t="shared" si="13"/>
        <v>1.0342394466553918E-2</v>
      </c>
      <c r="F64" s="179" t="str">
        <f>VLOOKUP(D64,Lookups!$D$4:$E$16,2,1)</f>
        <v>3M</v>
      </c>
      <c r="G64" s="179"/>
      <c r="H64" s="217">
        <f t="shared" si="2"/>
        <v>-1412462.3242519156</v>
      </c>
      <c r="I64" s="180">
        <f t="shared" si="16"/>
        <v>1129969.8594015324</v>
      </c>
      <c r="M64" s="176">
        <v>32</v>
      </c>
      <c r="N64" s="179">
        <f t="shared" si="8"/>
        <v>42566</v>
      </c>
      <c r="O64" s="178" t="str">
        <f t="shared" si="9"/>
        <v>3M</v>
      </c>
      <c r="P64" s="213">
        <f t="shared" ref="P64:P77" si="17">$R$28</f>
        <v>2.4491408733728626E-3</v>
      </c>
      <c r="X64" s="195"/>
      <c r="Y64" s="196"/>
      <c r="AC64" s="195"/>
      <c r="BG64" s="174"/>
    </row>
    <row r="65" spans="2:59" ht="12.75">
      <c r="B65" s="215">
        <f t="shared" si="15"/>
        <v>75</v>
      </c>
      <c r="C65" s="177">
        <v>54</v>
      </c>
      <c r="D65" s="179">
        <f t="shared" si="4"/>
        <v>42598</v>
      </c>
      <c r="E65" s="216">
        <f t="shared" si="13"/>
        <v>1.0342394466553918E-2</v>
      </c>
      <c r="F65" s="179" t="str">
        <f>VLOOKUP(D65,Lookups!$D$4:$E$16,2,1)</f>
        <v>3M</v>
      </c>
      <c r="G65" s="179"/>
      <c r="H65" s="217">
        <f t="shared" si="2"/>
        <v>-1412462.3242519156</v>
      </c>
      <c r="I65" s="180">
        <f t="shared" si="16"/>
        <v>1129969.8594015324</v>
      </c>
      <c r="M65" s="176">
        <v>33</v>
      </c>
      <c r="N65" s="179">
        <f t="shared" ref="N65:N96" si="18">WORKDAY(Report_date,M65)</f>
        <v>42569</v>
      </c>
      <c r="O65" s="178" t="str">
        <f t="shared" si="9"/>
        <v>3M</v>
      </c>
      <c r="P65" s="213">
        <f t="shared" si="17"/>
        <v>2.4491408733728626E-3</v>
      </c>
      <c r="X65" s="195"/>
      <c r="Y65" s="196"/>
      <c r="AC65" s="195"/>
      <c r="BG65" s="174"/>
    </row>
    <row r="66" spans="2:59" ht="12.75">
      <c r="B66" s="215">
        <f t="shared" si="15"/>
        <v>76</v>
      </c>
      <c r="C66" s="177">
        <v>55</v>
      </c>
      <c r="D66" s="179">
        <f t="shared" si="4"/>
        <v>42599</v>
      </c>
      <c r="E66" s="216">
        <f t="shared" si="13"/>
        <v>1.0342394466553918E-2</v>
      </c>
      <c r="F66" s="179" t="str">
        <f>VLOOKUP(D66,Lookups!$D$4:$E$16,2,1)</f>
        <v>3M</v>
      </c>
      <c r="G66" s="179"/>
      <c r="H66" s="217">
        <f t="shared" si="2"/>
        <v>-1412462.3242519156</v>
      </c>
      <c r="I66" s="180">
        <f t="shared" si="16"/>
        <v>1129969.8594015324</v>
      </c>
      <c r="M66" s="176">
        <v>34</v>
      </c>
      <c r="N66" s="179">
        <f t="shared" si="18"/>
        <v>42570</v>
      </c>
      <c r="O66" s="178" t="str">
        <f t="shared" si="9"/>
        <v>3M</v>
      </c>
      <c r="P66" s="213">
        <f t="shared" si="17"/>
        <v>2.4491408733728626E-3</v>
      </c>
      <c r="X66" s="201"/>
      <c r="Y66" s="196"/>
      <c r="AC66" s="201"/>
      <c r="BG66" s="174"/>
    </row>
    <row r="67" spans="2:59" ht="12.75">
      <c r="B67" s="215">
        <f t="shared" si="15"/>
        <v>77</v>
      </c>
      <c r="C67" s="177">
        <v>56</v>
      </c>
      <c r="D67" s="179">
        <f t="shared" si="4"/>
        <v>42600</v>
      </c>
      <c r="E67" s="216">
        <f t="shared" si="13"/>
        <v>1.0342394466553918E-2</v>
      </c>
      <c r="F67" s="179" t="str">
        <f>VLOOKUP(D67,Lookups!$D$4:$E$16,2,1)</f>
        <v>3M</v>
      </c>
      <c r="G67" s="179"/>
      <c r="H67" s="217">
        <f t="shared" si="2"/>
        <v>-1412462.3242519156</v>
      </c>
      <c r="I67" s="180">
        <f t="shared" si="16"/>
        <v>1129969.8594015324</v>
      </c>
      <c r="M67" s="176">
        <v>35</v>
      </c>
      <c r="N67" s="179">
        <f t="shared" si="18"/>
        <v>42571</v>
      </c>
      <c r="O67" s="178" t="str">
        <f t="shared" si="9"/>
        <v>3M</v>
      </c>
      <c r="P67" s="213">
        <f t="shared" si="17"/>
        <v>2.4491408733728626E-3</v>
      </c>
      <c r="X67" s="195"/>
      <c r="Y67" s="196"/>
      <c r="AC67" s="195"/>
      <c r="BG67" s="174"/>
    </row>
    <row r="68" spans="2:59" ht="12.75">
      <c r="B68" s="215">
        <f t="shared" si="15"/>
        <v>78</v>
      </c>
      <c r="C68" s="177">
        <v>57</v>
      </c>
      <c r="D68" s="179">
        <f t="shared" si="4"/>
        <v>42601</v>
      </c>
      <c r="E68" s="216">
        <f t="shared" si="13"/>
        <v>1.0342394466553918E-2</v>
      </c>
      <c r="F68" s="179" t="str">
        <f>VLOOKUP(D68,Lookups!$D$4:$E$16,2,1)</f>
        <v>3M</v>
      </c>
      <c r="G68" s="179"/>
      <c r="H68" s="217">
        <f t="shared" si="2"/>
        <v>-1412462.3242519156</v>
      </c>
      <c r="I68" s="180">
        <f t="shared" si="16"/>
        <v>1129969.8594015324</v>
      </c>
      <c r="M68" s="176">
        <v>36</v>
      </c>
      <c r="N68" s="179">
        <f t="shared" si="18"/>
        <v>42572</v>
      </c>
      <c r="O68" s="178" t="str">
        <f t="shared" si="9"/>
        <v>3M</v>
      </c>
      <c r="P68" s="213">
        <f t="shared" si="17"/>
        <v>2.4491408733728626E-3</v>
      </c>
      <c r="X68" s="195"/>
      <c r="Y68" s="196"/>
      <c r="AC68" s="195"/>
      <c r="BG68" s="174"/>
    </row>
    <row r="69" spans="2:59" ht="12.75">
      <c r="B69" s="215">
        <f t="shared" si="15"/>
        <v>79</v>
      </c>
      <c r="C69" s="177">
        <v>58</v>
      </c>
      <c r="D69" s="179">
        <f t="shared" si="4"/>
        <v>42604</v>
      </c>
      <c r="E69" s="216">
        <f t="shared" si="13"/>
        <v>1.0342394466553918E-2</v>
      </c>
      <c r="F69" s="179" t="str">
        <f>VLOOKUP(D69,Lookups!$D$4:$E$16,2,1)</f>
        <v>3M</v>
      </c>
      <c r="G69" s="179"/>
      <c r="H69" s="217">
        <f t="shared" si="2"/>
        <v>-1412462.3242519156</v>
      </c>
      <c r="I69" s="180">
        <f t="shared" si="16"/>
        <v>1129969.8594015324</v>
      </c>
      <c r="M69" s="176">
        <v>37</v>
      </c>
      <c r="N69" s="179">
        <f t="shared" si="18"/>
        <v>42573</v>
      </c>
      <c r="O69" s="178" t="str">
        <f t="shared" si="9"/>
        <v>3M</v>
      </c>
      <c r="P69" s="213">
        <f t="shared" si="17"/>
        <v>2.4491408733728626E-3</v>
      </c>
      <c r="X69" s="201"/>
      <c r="Y69" s="196"/>
      <c r="AC69" s="201"/>
      <c r="BG69" s="174"/>
    </row>
    <row r="70" spans="2:59" ht="12.75">
      <c r="B70" s="215">
        <f t="shared" si="15"/>
        <v>82</v>
      </c>
      <c r="C70" s="177">
        <v>59</v>
      </c>
      <c r="D70" s="179">
        <f t="shared" si="4"/>
        <v>42605</v>
      </c>
      <c r="E70" s="216">
        <f t="shared" si="13"/>
        <v>1.0342394466553918E-2</v>
      </c>
      <c r="F70" s="179" t="str">
        <f>VLOOKUP(D70,Lookups!$D$4:$E$16,2,1)</f>
        <v>3M</v>
      </c>
      <c r="G70" s="179"/>
      <c r="H70" s="217">
        <f t="shared" si="2"/>
        <v>-1412462.3242519156</v>
      </c>
      <c r="I70" s="180">
        <f t="shared" si="16"/>
        <v>1129969.8594015324</v>
      </c>
      <c r="M70" s="176">
        <v>38</v>
      </c>
      <c r="N70" s="179">
        <f t="shared" si="18"/>
        <v>42576</v>
      </c>
      <c r="O70" s="178" t="str">
        <f t="shared" si="9"/>
        <v>3M</v>
      </c>
      <c r="P70" s="213">
        <f t="shared" si="17"/>
        <v>2.4491408733728626E-3</v>
      </c>
      <c r="X70" s="195"/>
      <c r="Y70" s="196"/>
      <c r="AC70" s="195"/>
      <c r="BG70" s="174"/>
    </row>
    <row r="71" spans="2:59" ht="12.75">
      <c r="B71" s="215">
        <f t="shared" si="15"/>
        <v>83</v>
      </c>
      <c r="C71" s="177">
        <v>60</v>
      </c>
      <c r="D71" s="179">
        <f t="shared" si="4"/>
        <v>42606</v>
      </c>
      <c r="E71" s="216">
        <f t="shared" si="13"/>
        <v>1.0342394466553918E-2</v>
      </c>
      <c r="F71" s="179" t="str">
        <f>VLOOKUP(D71,Lookups!$D$4:$E$16,2,1)</f>
        <v>3M</v>
      </c>
      <c r="G71" s="179"/>
      <c r="H71" s="217">
        <f t="shared" si="2"/>
        <v>-1412462.3242519156</v>
      </c>
      <c r="I71" s="180">
        <f t="shared" si="16"/>
        <v>1129969.8594015324</v>
      </c>
      <c r="M71" s="176">
        <v>39</v>
      </c>
      <c r="N71" s="179">
        <f t="shared" si="18"/>
        <v>42577</v>
      </c>
      <c r="O71" s="178" t="str">
        <f t="shared" si="9"/>
        <v>3M</v>
      </c>
      <c r="P71" s="213">
        <f t="shared" si="17"/>
        <v>2.4491408733728626E-3</v>
      </c>
      <c r="X71" s="195"/>
      <c r="Y71" s="196"/>
      <c r="AC71" s="195"/>
      <c r="BE71" s="178"/>
      <c r="BG71" s="174"/>
    </row>
    <row r="72" spans="2:59" ht="12.75">
      <c r="B72" s="215">
        <f t="shared" si="15"/>
        <v>84</v>
      </c>
      <c r="C72" s="177">
        <v>61</v>
      </c>
      <c r="D72" s="179">
        <f t="shared" si="4"/>
        <v>42607</v>
      </c>
      <c r="E72" s="216">
        <f t="shared" si="13"/>
        <v>7.2752574385413267E-5</v>
      </c>
      <c r="F72" s="179" t="str">
        <f>VLOOKUP(D72,Lookups!$D$4:$E$16,2,1)</f>
        <v>3M</v>
      </c>
      <c r="G72" s="179"/>
      <c r="H72" s="217">
        <f t="shared" si="2"/>
        <v>-9935.8297195147388</v>
      </c>
      <c r="I72" s="180">
        <f t="shared" si="16"/>
        <v>1129969.8594015324</v>
      </c>
      <c r="M72" s="176">
        <v>40</v>
      </c>
      <c r="N72" s="179">
        <f t="shared" si="18"/>
        <v>42578</v>
      </c>
      <c r="O72" s="178" t="str">
        <f t="shared" si="9"/>
        <v>3M</v>
      </c>
      <c r="P72" s="213">
        <f t="shared" si="17"/>
        <v>2.4491408733728626E-3</v>
      </c>
      <c r="X72" s="201"/>
      <c r="Y72" s="196"/>
      <c r="AC72" s="201"/>
      <c r="BE72" s="178"/>
      <c r="BG72" s="174"/>
    </row>
    <row r="73" spans="2:59" ht="12.75">
      <c r="B73" s="215">
        <f t="shared" si="15"/>
        <v>85</v>
      </c>
      <c r="C73" s="177">
        <v>62</v>
      </c>
      <c r="D73" s="179">
        <f t="shared" si="4"/>
        <v>42608</v>
      </c>
      <c r="E73" s="216">
        <f t="shared" si="13"/>
        <v>7.2752574385413267E-5</v>
      </c>
      <c r="F73" s="179" t="str">
        <f>VLOOKUP(D73,Lookups!$D$4:$E$16,2,1)</f>
        <v>3M</v>
      </c>
      <c r="G73" s="179"/>
      <c r="H73" s="217">
        <f t="shared" si="2"/>
        <v>-9935.8297195147388</v>
      </c>
      <c r="I73" s="180">
        <f t="shared" si="16"/>
        <v>7948.6637756117916</v>
      </c>
      <c r="M73" s="176">
        <v>41</v>
      </c>
      <c r="N73" s="179">
        <f t="shared" si="18"/>
        <v>42579</v>
      </c>
      <c r="O73" s="178" t="str">
        <f t="shared" si="9"/>
        <v>3M</v>
      </c>
      <c r="P73" s="213">
        <f t="shared" si="17"/>
        <v>2.4491408733728626E-3</v>
      </c>
      <c r="X73" s="195"/>
      <c r="Y73" s="196"/>
      <c r="AC73" s="195"/>
      <c r="BE73" s="178"/>
      <c r="BG73" s="174"/>
    </row>
    <row r="74" spans="2:59" ht="12.75">
      <c r="B74" s="215">
        <f t="shared" si="15"/>
        <v>86</v>
      </c>
      <c r="C74" s="177">
        <v>63</v>
      </c>
      <c r="D74" s="179">
        <f t="shared" si="4"/>
        <v>42611</v>
      </c>
      <c r="E74" s="216">
        <f t="shared" si="13"/>
        <v>7.2752574385413267E-5</v>
      </c>
      <c r="F74" s="179" t="str">
        <f>VLOOKUP(D74,Lookups!$D$4:$E$16,2,1)</f>
        <v>3M</v>
      </c>
      <c r="G74" s="179"/>
      <c r="H74" s="217">
        <f t="shared" si="2"/>
        <v>-9935.8297195147388</v>
      </c>
      <c r="I74" s="180">
        <f t="shared" si="16"/>
        <v>7948.6637756117916</v>
      </c>
      <c r="M74" s="176">
        <v>42</v>
      </c>
      <c r="N74" s="179">
        <f t="shared" si="18"/>
        <v>42580</v>
      </c>
      <c r="O74" s="178" t="str">
        <f t="shared" si="9"/>
        <v>3M</v>
      </c>
      <c r="P74" s="213">
        <f t="shared" si="17"/>
        <v>2.4491408733728626E-3</v>
      </c>
      <c r="X74" s="195"/>
      <c r="Y74" s="196"/>
      <c r="AC74" s="195"/>
      <c r="BE74" s="178"/>
      <c r="BG74" s="174"/>
    </row>
    <row r="75" spans="2:59" ht="12.75">
      <c r="B75" s="215">
        <f t="shared" si="15"/>
        <v>89</v>
      </c>
      <c r="C75" s="177">
        <v>64</v>
      </c>
      <c r="D75" s="179">
        <f t="shared" si="4"/>
        <v>42612</v>
      </c>
      <c r="E75" s="216">
        <f t="shared" si="13"/>
        <v>7.2752574385413267E-5</v>
      </c>
      <c r="F75" s="179" t="str">
        <f>VLOOKUP(D75,Lookups!$D$4:$E$16,2,1)</f>
        <v>3M</v>
      </c>
      <c r="G75" s="179"/>
      <c r="H75" s="217">
        <f t="shared" si="2"/>
        <v>-9935.8297195147388</v>
      </c>
      <c r="I75" s="180">
        <f t="shared" si="16"/>
        <v>7948.6637756117916</v>
      </c>
      <c r="M75" s="176">
        <v>43</v>
      </c>
      <c r="N75" s="179">
        <f t="shared" si="18"/>
        <v>42583</v>
      </c>
      <c r="O75" s="178" t="str">
        <f t="shared" si="9"/>
        <v>3M</v>
      </c>
      <c r="P75" s="213">
        <f t="shared" si="17"/>
        <v>2.4491408733728626E-3</v>
      </c>
      <c r="X75" s="201"/>
      <c r="Y75" s="196"/>
      <c r="AC75" s="201"/>
      <c r="BE75" s="178"/>
      <c r="BG75" s="174"/>
    </row>
    <row r="76" spans="2:59" ht="12.75">
      <c r="B76" s="215">
        <f t="shared" si="15"/>
        <v>90</v>
      </c>
      <c r="C76" s="177">
        <v>65</v>
      </c>
      <c r="D76" s="179">
        <f t="shared" si="4"/>
        <v>42613</v>
      </c>
      <c r="E76" s="216">
        <f t="shared" ref="E76:E101" si="19">VLOOKUP(D76,$N$33:$P$122,3,0)</f>
        <v>7.2752574385413267E-5</v>
      </c>
      <c r="F76" s="179" t="str">
        <f>VLOOKUP(D76,Lookups!$D$4:$E$16,2,1)</f>
        <v>3M</v>
      </c>
      <c r="H76" s="217">
        <f t="shared" si="2"/>
        <v>-9935.8297195147388</v>
      </c>
      <c r="I76" s="180">
        <f t="shared" si="16"/>
        <v>7948.6637756117916</v>
      </c>
      <c r="M76" s="176">
        <v>44</v>
      </c>
      <c r="N76" s="179">
        <f t="shared" si="18"/>
        <v>42584</v>
      </c>
      <c r="O76" s="178" t="str">
        <f t="shared" si="9"/>
        <v>3M</v>
      </c>
      <c r="P76" s="213">
        <f t="shared" si="17"/>
        <v>2.4491408733728626E-3</v>
      </c>
      <c r="X76" s="195"/>
      <c r="Y76" s="196"/>
      <c r="AC76" s="195"/>
      <c r="BE76" s="178"/>
      <c r="BG76" s="174"/>
    </row>
    <row r="77" spans="2:59" ht="12.75">
      <c r="B77" s="215">
        <f t="shared" si="15"/>
        <v>91</v>
      </c>
      <c r="C77" s="177">
        <v>66</v>
      </c>
      <c r="D77" s="179">
        <f t="shared" si="4"/>
        <v>42614</v>
      </c>
      <c r="E77" s="216">
        <f t="shared" si="19"/>
        <v>7.2752574385413267E-5</v>
      </c>
      <c r="F77" s="179" t="str">
        <f>VLOOKUP(D77,Lookups!$D$4:$E$16,2,1)</f>
        <v>3M</v>
      </c>
      <c r="H77" s="217">
        <f t="shared" si="2"/>
        <v>-9935.8297195147388</v>
      </c>
      <c r="I77" s="180">
        <f t="shared" ref="I77:I107" si="20">-H76*(1-$N$16)</f>
        <v>7948.6637756117916</v>
      </c>
      <c r="M77" s="176">
        <v>45</v>
      </c>
      <c r="N77" s="179">
        <f t="shared" si="18"/>
        <v>42585</v>
      </c>
      <c r="O77" s="178" t="str">
        <f t="shared" si="9"/>
        <v>3M</v>
      </c>
      <c r="P77" s="213">
        <f t="shared" si="17"/>
        <v>2.4491408733728626E-3</v>
      </c>
      <c r="X77" s="195"/>
      <c r="Y77" s="196"/>
      <c r="AC77" s="195"/>
      <c r="BE77" s="178"/>
      <c r="BG77" s="174"/>
    </row>
    <row r="78" spans="2:59" ht="12.75">
      <c r="C78" s="177">
        <v>67</v>
      </c>
      <c r="D78" s="179">
        <f t="shared" ref="D78:D108" si="21">WORKDAY(D77,1)</f>
        <v>42615</v>
      </c>
      <c r="E78" s="216">
        <f t="shared" si="19"/>
        <v>7.2752574385413267E-5</v>
      </c>
      <c r="F78" s="179" t="str">
        <f>VLOOKUP(D78,Lookups!$D$4:$E$16,2,1)</f>
        <v>6M</v>
      </c>
      <c r="H78" s="217">
        <f t="shared" ref="H78:H101" si="22">E78*$N$11</f>
        <v>-9935.8297195147388</v>
      </c>
      <c r="I78" s="180">
        <f t="shared" si="20"/>
        <v>7948.6637756117916</v>
      </c>
      <c r="M78" s="176">
        <v>46</v>
      </c>
      <c r="N78" s="179">
        <f t="shared" si="18"/>
        <v>42586</v>
      </c>
      <c r="O78" s="178" t="str">
        <f t="shared" si="9"/>
        <v>3M</v>
      </c>
      <c r="P78" s="213">
        <f>$S$28</f>
        <v>1.0342394466553918E-2</v>
      </c>
      <c r="Z78" s="201"/>
      <c r="AA78" s="196"/>
      <c r="AE78" s="201">
        <v>54</v>
      </c>
    </row>
    <row r="79" spans="2:59" ht="12.75">
      <c r="C79" s="177">
        <v>68</v>
      </c>
      <c r="D79" s="179">
        <f t="shared" si="21"/>
        <v>42618</v>
      </c>
      <c r="E79" s="216">
        <f t="shared" si="19"/>
        <v>7.2752574385413267E-5</v>
      </c>
      <c r="F79" s="179" t="str">
        <f>VLOOKUP(D79,Lookups!$D$4:$E$16,2,1)</f>
        <v>6M</v>
      </c>
      <c r="H79" s="217">
        <f t="shared" si="22"/>
        <v>-9935.8297195147388</v>
      </c>
      <c r="I79" s="180">
        <f t="shared" si="20"/>
        <v>7948.6637756117916</v>
      </c>
      <c r="M79" s="176">
        <v>47</v>
      </c>
      <c r="N79" s="179">
        <f t="shared" si="18"/>
        <v>42587</v>
      </c>
      <c r="O79" s="178" t="str">
        <f t="shared" si="9"/>
        <v>3M</v>
      </c>
      <c r="P79" s="213">
        <f t="shared" ref="P79:P92" si="23">$S$28</f>
        <v>1.0342394466553918E-2</v>
      </c>
      <c r="Z79" s="195"/>
      <c r="AA79" s="196"/>
      <c r="AE79" s="195">
        <v>55</v>
      </c>
    </row>
    <row r="80" spans="2:59" ht="12.75">
      <c r="C80" s="177">
        <v>69</v>
      </c>
      <c r="D80" s="179">
        <f t="shared" si="21"/>
        <v>42619</v>
      </c>
      <c r="E80" s="216">
        <f t="shared" si="19"/>
        <v>7.2752574385413267E-5</v>
      </c>
      <c r="F80" s="179" t="str">
        <f>VLOOKUP(D80,Lookups!$D$4:$E$16,2,1)</f>
        <v>6M</v>
      </c>
      <c r="H80" s="217">
        <f t="shared" si="22"/>
        <v>-9935.8297195147388</v>
      </c>
      <c r="I80" s="180">
        <f t="shared" si="20"/>
        <v>7948.6637756117916</v>
      </c>
      <c r="M80" s="176">
        <v>48</v>
      </c>
      <c r="N80" s="179">
        <f t="shared" si="18"/>
        <v>42590</v>
      </c>
      <c r="O80" s="178" t="str">
        <f t="shared" si="9"/>
        <v>3M</v>
      </c>
      <c r="P80" s="213">
        <f t="shared" si="23"/>
        <v>1.0342394466553918E-2</v>
      </c>
      <c r="Z80" s="195"/>
      <c r="AA80" s="196"/>
      <c r="AE80" s="195">
        <v>56</v>
      </c>
    </row>
    <row r="81" spans="3:160" ht="12.75">
      <c r="C81" s="177">
        <v>70</v>
      </c>
      <c r="D81" s="179">
        <f t="shared" si="21"/>
        <v>42620</v>
      </c>
      <c r="E81" s="216">
        <f t="shared" si="19"/>
        <v>7.2752574385413267E-5</v>
      </c>
      <c r="F81" s="179" t="str">
        <f>VLOOKUP(D81,Lookups!$D$4:$E$16,2,1)</f>
        <v>6M</v>
      </c>
      <c r="H81" s="217">
        <f t="shared" si="22"/>
        <v>-9935.8297195147388</v>
      </c>
      <c r="I81" s="180">
        <f t="shared" si="20"/>
        <v>7948.6637756117916</v>
      </c>
      <c r="M81" s="176">
        <v>49</v>
      </c>
      <c r="N81" s="179">
        <f t="shared" si="18"/>
        <v>42591</v>
      </c>
      <c r="O81" s="178" t="str">
        <f t="shared" si="9"/>
        <v>3M</v>
      </c>
      <c r="P81" s="213">
        <f t="shared" si="23"/>
        <v>1.0342394466553918E-2</v>
      </c>
      <c r="Z81" s="201"/>
      <c r="AA81" s="196"/>
      <c r="AE81" s="201">
        <v>57</v>
      </c>
    </row>
    <row r="82" spans="3:160" ht="12.75">
      <c r="C82" s="177">
        <v>71</v>
      </c>
      <c r="D82" s="179">
        <f t="shared" si="21"/>
        <v>42621</v>
      </c>
      <c r="E82" s="216">
        <f t="shared" si="19"/>
        <v>7.2752574385413267E-5</v>
      </c>
      <c r="F82" s="179" t="str">
        <f>VLOOKUP(D82,Lookups!$D$4:$E$16,2,1)</f>
        <v>6M</v>
      </c>
      <c r="H82" s="217">
        <f t="shared" si="22"/>
        <v>-9935.8297195147388</v>
      </c>
      <c r="I82" s="180">
        <f t="shared" si="20"/>
        <v>7948.6637756117916</v>
      </c>
      <c r="M82" s="176">
        <v>50</v>
      </c>
      <c r="N82" s="179">
        <f t="shared" si="18"/>
        <v>42592</v>
      </c>
      <c r="O82" s="178" t="str">
        <f t="shared" si="9"/>
        <v>3M</v>
      </c>
      <c r="P82" s="213">
        <f t="shared" si="23"/>
        <v>1.0342394466553918E-2</v>
      </c>
      <c r="Z82" s="195"/>
      <c r="AA82" s="196"/>
      <c r="AE82" s="195">
        <v>58</v>
      </c>
    </row>
    <row r="83" spans="3:160" ht="12.75">
      <c r="C83" s="177">
        <v>72</v>
      </c>
      <c r="D83" s="179">
        <f t="shared" si="21"/>
        <v>42622</v>
      </c>
      <c r="E83" s="216">
        <f t="shared" si="19"/>
        <v>7.2752574385413267E-5</v>
      </c>
      <c r="F83" s="179" t="str">
        <f>VLOOKUP(D83,Lookups!$D$4:$E$16,2,1)</f>
        <v>6M</v>
      </c>
      <c r="H83" s="217">
        <f t="shared" si="22"/>
        <v>-9935.8297195147388</v>
      </c>
      <c r="I83" s="180">
        <f t="shared" si="20"/>
        <v>7948.6637756117916</v>
      </c>
      <c r="M83" s="176">
        <v>51</v>
      </c>
      <c r="N83" s="179">
        <f t="shared" si="18"/>
        <v>42593</v>
      </c>
      <c r="O83" s="178" t="str">
        <f t="shared" si="9"/>
        <v>3M</v>
      </c>
      <c r="P83" s="213">
        <f t="shared" si="23"/>
        <v>1.0342394466553918E-2</v>
      </c>
      <c r="Q83" s="175"/>
      <c r="R83" s="175"/>
      <c r="S83" s="175"/>
      <c r="T83" s="175"/>
      <c r="U83" s="175"/>
      <c r="V83" s="175"/>
      <c r="W83" s="175"/>
      <c r="X83" s="175"/>
      <c r="Y83" s="175"/>
      <c r="Z83" s="195"/>
      <c r="AA83" s="196"/>
      <c r="AE83" s="195">
        <v>59</v>
      </c>
      <c r="AF83" s="175"/>
      <c r="AG83" s="175"/>
      <c r="AH83" s="175"/>
      <c r="AI83" s="175"/>
      <c r="AJ83" s="175"/>
      <c r="AK83" s="175"/>
      <c r="AL83" s="175"/>
      <c r="AM83" s="175"/>
      <c r="AN83" s="175"/>
      <c r="AO83" s="175"/>
      <c r="AP83" s="175"/>
      <c r="AQ83" s="175"/>
      <c r="AR83" s="175"/>
      <c r="AS83" s="175"/>
      <c r="AT83" s="175"/>
      <c r="AU83" s="175"/>
      <c r="AV83" s="175"/>
      <c r="AW83" s="175"/>
      <c r="AX83" s="175"/>
      <c r="AY83" s="175"/>
      <c r="AZ83" s="175"/>
      <c r="BA83" s="175"/>
      <c r="BB83" s="175"/>
      <c r="BC83" s="175"/>
      <c r="BD83" s="175"/>
      <c r="BE83" s="175"/>
      <c r="BF83" s="175"/>
      <c r="BG83" s="176"/>
      <c r="BH83" s="175"/>
      <c r="BI83" s="175"/>
      <c r="BJ83" s="175"/>
      <c r="BK83" s="175"/>
      <c r="BL83" s="175"/>
      <c r="BM83" s="175"/>
      <c r="BN83" s="175"/>
      <c r="BO83" s="175"/>
      <c r="BP83" s="175"/>
      <c r="BQ83" s="175"/>
      <c r="BR83" s="175"/>
      <c r="BS83" s="175"/>
      <c r="BT83" s="175"/>
      <c r="BU83" s="175"/>
      <c r="BV83" s="175"/>
      <c r="BW83" s="175"/>
      <c r="BX83" s="175"/>
      <c r="BY83" s="175"/>
      <c r="BZ83" s="175"/>
      <c r="CA83" s="175"/>
      <c r="CB83" s="175"/>
      <c r="CC83" s="175"/>
      <c r="CD83" s="175"/>
      <c r="CE83" s="175"/>
      <c r="CF83" s="175"/>
      <c r="CG83" s="175"/>
      <c r="CH83" s="175"/>
      <c r="CI83" s="175"/>
      <c r="CJ83" s="175"/>
      <c r="CK83" s="175"/>
      <c r="CL83" s="175"/>
      <c r="CM83" s="175"/>
      <c r="CN83" s="175"/>
      <c r="CO83" s="175"/>
      <c r="CP83" s="175"/>
      <c r="CQ83" s="175"/>
      <c r="CR83" s="175"/>
      <c r="CS83" s="175"/>
      <c r="CT83" s="175"/>
      <c r="CU83" s="175"/>
      <c r="CV83" s="175"/>
      <c r="CW83" s="175"/>
      <c r="CX83" s="175"/>
      <c r="CY83" s="175"/>
      <c r="CZ83" s="175"/>
      <c r="DA83" s="175"/>
      <c r="DB83" s="175"/>
      <c r="DC83" s="175"/>
      <c r="DD83" s="175"/>
      <c r="DE83" s="175"/>
      <c r="DF83" s="175"/>
      <c r="DG83" s="175"/>
      <c r="DH83" s="175"/>
      <c r="DI83" s="175"/>
      <c r="DJ83" s="175"/>
      <c r="DK83" s="175"/>
      <c r="DL83" s="175"/>
      <c r="DM83" s="175"/>
      <c r="DN83" s="175"/>
      <c r="DO83" s="175"/>
      <c r="DP83" s="175"/>
      <c r="DQ83" s="175"/>
      <c r="DR83" s="175"/>
      <c r="DS83" s="175"/>
      <c r="DT83" s="175"/>
      <c r="DU83" s="175"/>
      <c r="DV83" s="175"/>
      <c r="DW83" s="175"/>
      <c r="DX83" s="175"/>
      <c r="DY83" s="175"/>
      <c r="DZ83" s="175"/>
      <c r="EA83" s="175"/>
      <c r="EB83" s="175"/>
      <c r="EC83" s="175"/>
      <c r="ED83" s="175"/>
      <c r="EE83" s="175"/>
      <c r="EF83" s="175"/>
      <c r="EG83" s="175"/>
      <c r="EH83" s="175"/>
      <c r="EI83" s="175"/>
      <c r="EJ83" s="175"/>
      <c r="EK83" s="175"/>
      <c r="EL83" s="175"/>
      <c r="EM83" s="175"/>
      <c r="EN83" s="175"/>
      <c r="EO83" s="175"/>
      <c r="EP83" s="175"/>
      <c r="EQ83" s="175"/>
      <c r="ER83" s="175"/>
      <c r="ES83" s="175"/>
      <c r="ET83" s="175"/>
      <c r="EU83" s="175"/>
      <c r="EV83" s="175"/>
      <c r="EW83" s="175"/>
      <c r="EX83" s="175"/>
      <c r="EY83" s="175"/>
      <c r="EZ83" s="175"/>
      <c r="FA83" s="175"/>
      <c r="FB83" s="175"/>
      <c r="FC83" s="175"/>
      <c r="FD83" s="175"/>
    </row>
    <row r="84" spans="3:160" ht="12.75">
      <c r="C84" s="177">
        <v>73</v>
      </c>
      <c r="D84" s="179">
        <f t="shared" si="21"/>
        <v>42625</v>
      </c>
      <c r="E84" s="216">
        <f t="shared" si="19"/>
        <v>7.2752574385413267E-5</v>
      </c>
      <c r="F84" s="179" t="str">
        <f>VLOOKUP(D84,Lookups!$D$4:$E$16,2,1)</f>
        <v>6M</v>
      </c>
      <c r="H84" s="217">
        <f t="shared" si="22"/>
        <v>-9935.8297195147388</v>
      </c>
      <c r="I84" s="180">
        <f t="shared" si="20"/>
        <v>7948.6637756117916</v>
      </c>
      <c r="M84" s="176">
        <v>52</v>
      </c>
      <c r="N84" s="179">
        <f t="shared" si="18"/>
        <v>42594</v>
      </c>
      <c r="O84" s="178" t="str">
        <f t="shared" si="9"/>
        <v>3M</v>
      </c>
      <c r="P84" s="213">
        <f t="shared" si="23"/>
        <v>1.0342394466553918E-2</v>
      </c>
      <c r="Z84" s="201"/>
      <c r="AA84" s="196"/>
      <c r="AE84" s="201">
        <v>60</v>
      </c>
    </row>
    <row r="85" spans="3:160" ht="12.75">
      <c r="C85" s="177">
        <v>74</v>
      </c>
      <c r="D85" s="179">
        <f t="shared" si="21"/>
        <v>42626</v>
      </c>
      <c r="E85" s="216">
        <f t="shared" si="19"/>
        <v>7.2752574385413267E-5</v>
      </c>
      <c r="F85" s="179" t="str">
        <f>VLOOKUP(D85,Lookups!$D$4:$E$16,2,1)</f>
        <v>6M</v>
      </c>
      <c r="H85" s="217">
        <f t="shared" si="22"/>
        <v>-9935.8297195147388</v>
      </c>
      <c r="I85" s="180">
        <f t="shared" si="20"/>
        <v>7948.6637756117916</v>
      </c>
      <c r="M85" s="176">
        <v>53</v>
      </c>
      <c r="N85" s="179">
        <f t="shared" si="18"/>
        <v>42597</v>
      </c>
      <c r="O85" s="178" t="str">
        <f t="shared" si="9"/>
        <v>3M</v>
      </c>
      <c r="P85" s="213">
        <f t="shared" si="23"/>
        <v>1.0342394466553918E-2</v>
      </c>
      <c r="Z85" s="195"/>
      <c r="AA85" s="196"/>
      <c r="AE85" s="195">
        <v>61</v>
      </c>
    </row>
    <row r="86" spans="3:160" ht="12.75">
      <c r="C86" s="177">
        <v>75</v>
      </c>
      <c r="D86" s="179">
        <f t="shared" si="21"/>
        <v>42627</v>
      </c>
      <c r="E86" s="216">
        <f t="shared" si="19"/>
        <v>7.2752574385413267E-5</v>
      </c>
      <c r="F86" s="179" t="str">
        <f>VLOOKUP(D86,Lookups!$D$4:$E$16,2,1)</f>
        <v>6M</v>
      </c>
      <c r="H86" s="217">
        <f t="shared" si="22"/>
        <v>-9935.8297195147388</v>
      </c>
      <c r="I86" s="180">
        <f t="shared" si="20"/>
        <v>7948.6637756117916</v>
      </c>
      <c r="M86" s="176">
        <v>54</v>
      </c>
      <c r="N86" s="179">
        <f t="shared" si="18"/>
        <v>42598</v>
      </c>
      <c r="O86" s="178" t="str">
        <f t="shared" si="9"/>
        <v>3M</v>
      </c>
      <c r="P86" s="213">
        <f t="shared" si="23"/>
        <v>1.0342394466553918E-2</v>
      </c>
      <c r="Z86" s="195"/>
      <c r="AA86" s="196"/>
      <c r="AE86" s="195">
        <v>62</v>
      </c>
    </row>
    <row r="87" spans="3:160" ht="12.75">
      <c r="C87" s="177">
        <v>76</v>
      </c>
      <c r="D87" s="179">
        <f t="shared" si="21"/>
        <v>42628</v>
      </c>
      <c r="E87" s="216">
        <f t="shared" si="19"/>
        <v>8.1178134332675637E-4</v>
      </c>
      <c r="F87" s="179" t="str">
        <f>VLOOKUP(D87,Lookups!$D$4:$E$16,2,1)</f>
        <v>6M</v>
      </c>
      <c r="H87" s="217">
        <f t="shared" si="22"/>
        <v>-110865.0967324497</v>
      </c>
      <c r="I87" s="180">
        <f t="shared" si="20"/>
        <v>7948.6637756117916</v>
      </c>
      <c r="M87" s="176">
        <v>55</v>
      </c>
      <c r="N87" s="179">
        <f t="shared" si="18"/>
        <v>42599</v>
      </c>
      <c r="O87" s="178" t="str">
        <f t="shared" si="9"/>
        <v>3M</v>
      </c>
      <c r="P87" s="213">
        <f t="shared" si="23"/>
        <v>1.0342394466553918E-2</v>
      </c>
      <c r="Z87" s="201"/>
      <c r="AA87" s="196"/>
      <c r="AE87" s="201">
        <v>63</v>
      </c>
    </row>
    <row r="88" spans="3:160" ht="12.75">
      <c r="C88" s="177">
        <v>77</v>
      </c>
      <c r="D88" s="179">
        <f t="shared" si="21"/>
        <v>42629</v>
      </c>
      <c r="E88" s="216">
        <f t="shared" si="19"/>
        <v>8.1178134332675637E-4</v>
      </c>
      <c r="F88" s="179" t="str">
        <f>VLOOKUP(D88,Lookups!$D$4:$E$16,2,1)</f>
        <v>6M</v>
      </c>
      <c r="H88" s="217">
        <f t="shared" si="22"/>
        <v>-110865.0967324497</v>
      </c>
      <c r="I88" s="180">
        <f t="shared" si="20"/>
        <v>88692.077385959768</v>
      </c>
      <c r="M88" s="176">
        <v>56</v>
      </c>
      <c r="N88" s="179">
        <f t="shared" si="18"/>
        <v>42600</v>
      </c>
      <c r="O88" s="178" t="str">
        <f t="shared" si="9"/>
        <v>3M</v>
      </c>
      <c r="P88" s="213">
        <f t="shared" si="23"/>
        <v>1.0342394466553918E-2</v>
      </c>
      <c r="Z88" s="195"/>
      <c r="AA88" s="196"/>
      <c r="AE88" s="195">
        <v>64</v>
      </c>
    </row>
    <row r="89" spans="3:160" ht="12.75">
      <c r="C89" s="177">
        <v>78</v>
      </c>
      <c r="D89" s="179">
        <f t="shared" si="21"/>
        <v>42632</v>
      </c>
      <c r="E89" s="216">
        <f t="shared" si="19"/>
        <v>8.1178134332675637E-4</v>
      </c>
      <c r="F89" s="179" t="str">
        <f>VLOOKUP(D89,Lookups!$D$4:$E$16,2,1)</f>
        <v>6M</v>
      </c>
      <c r="H89" s="217">
        <f t="shared" si="22"/>
        <v>-110865.0967324497</v>
      </c>
      <c r="I89" s="180">
        <f t="shared" si="20"/>
        <v>88692.077385959768</v>
      </c>
      <c r="M89" s="176">
        <v>57</v>
      </c>
      <c r="N89" s="179">
        <f t="shared" si="18"/>
        <v>42601</v>
      </c>
      <c r="O89" s="178" t="str">
        <f t="shared" si="9"/>
        <v>3M</v>
      </c>
      <c r="P89" s="213">
        <f t="shared" si="23"/>
        <v>1.0342394466553918E-2</v>
      </c>
      <c r="Z89" s="195"/>
      <c r="AA89" s="196"/>
      <c r="AE89" s="195">
        <v>65</v>
      </c>
    </row>
    <row r="90" spans="3:160" ht="12.75">
      <c r="C90" s="177">
        <v>79</v>
      </c>
      <c r="D90" s="179">
        <f t="shared" si="21"/>
        <v>42633</v>
      </c>
      <c r="E90" s="216">
        <f t="shared" si="19"/>
        <v>8.1178134332675637E-4</v>
      </c>
      <c r="F90" s="179" t="str">
        <f>VLOOKUP(D90,Lookups!$D$4:$E$16,2,1)</f>
        <v>6M</v>
      </c>
      <c r="H90" s="217">
        <f t="shared" si="22"/>
        <v>-110865.0967324497</v>
      </c>
      <c r="I90" s="180">
        <f t="shared" si="20"/>
        <v>88692.077385959768</v>
      </c>
      <c r="M90" s="176">
        <v>58</v>
      </c>
      <c r="N90" s="179">
        <f t="shared" si="18"/>
        <v>42604</v>
      </c>
      <c r="O90" s="178" t="str">
        <f t="shared" si="9"/>
        <v>3M</v>
      </c>
      <c r="P90" s="213">
        <f t="shared" si="23"/>
        <v>1.0342394466553918E-2</v>
      </c>
      <c r="Z90" s="201"/>
      <c r="AA90" s="196"/>
      <c r="AE90" s="201">
        <v>66</v>
      </c>
      <c r="BG90" s="174"/>
    </row>
    <row r="91" spans="3:160" ht="12.75">
      <c r="C91" s="177">
        <v>80</v>
      </c>
      <c r="D91" s="179">
        <f t="shared" si="21"/>
        <v>42634</v>
      </c>
      <c r="E91" s="216">
        <f t="shared" si="19"/>
        <v>8.1178134332675637E-4</v>
      </c>
      <c r="F91" s="179" t="str">
        <f>VLOOKUP(D91,Lookups!$D$4:$E$16,2,1)</f>
        <v>6M</v>
      </c>
      <c r="H91" s="217">
        <f t="shared" si="22"/>
        <v>-110865.0967324497</v>
      </c>
      <c r="I91" s="180">
        <f t="shared" si="20"/>
        <v>88692.077385959768</v>
      </c>
      <c r="M91" s="176">
        <v>59</v>
      </c>
      <c r="N91" s="179">
        <f t="shared" si="18"/>
        <v>42605</v>
      </c>
      <c r="O91" s="178" t="str">
        <f t="shared" si="9"/>
        <v>3M</v>
      </c>
      <c r="P91" s="213">
        <f t="shared" si="23"/>
        <v>1.0342394466553918E-2</v>
      </c>
      <c r="Z91" s="195"/>
      <c r="AA91" s="196"/>
      <c r="AE91" s="195">
        <v>67</v>
      </c>
      <c r="BG91" s="174"/>
    </row>
    <row r="92" spans="3:160" ht="12.75">
      <c r="C92" s="177">
        <v>81</v>
      </c>
      <c r="D92" s="179">
        <f t="shared" si="21"/>
        <v>42635</v>
      </c>
      <c r="E92" s="216">
        <f t="shared" si="19"/>
        <v>8.1178134332675637E-4</v>
      </c>
      <c r="F92" s="179" t="str">
        <f>VLOOKUP(D92,Lookups!$D$4:$E$16,2,1)</f>
        <v>6M</v>
      </c>
      <c r="H92" s="217">
        <f t="shared" si="22"/>
        <v>-110865.0967324497</v>
      </c>
      <c r="I92" s="180">
        <f t="shared" si="20"/>
        <v>88692.077385959768</v>
      </c>
      <c r="M92" s="176">
        <v>60</v>
      </c>
      <c r="N92" s="179">
        <f t="shared" si="18"/>
        <v>42606</v>
      </c>
      <c r="O92" s="178" t="str">
        <f t="shared" si="9"/>
        <v>3M</v>
      </c>
      <c r="P92" s="213">
        <f t="shared" si="23"/>
        <v>1.0342394466553918E-2</v>
      </c>
      <c r="Z92" s="195"/>
      <c r="AA92" s="196"/>
      <c r="AE92" s="195">
        <v>68</v>
      </c>
      <c r="BG92" s="174"/>
    </row>
    <row r="93" spans="3:160" ht="12.75">
      <c r="C93" s="177">
        <v>82</v>
      </c>
      <c r="D93" s="179">
        <f t="shared" si="21"/>
        <v>42636</v>
      </c>
      <c r="E93" s="216">
        <f t="shared" si="19"/>
        <v>8.1178134332675637E-4</v>
      </c>
      <c r="F93" s="179" t="str">
        <f>VLOOKUP(D93,Lookups!$D$4:$E$16,2,1)</f>
        <v>6M</v>
      </c>
      <c r="H93" s="217">
        <f t="shared" si="22"/>
        <v>-110865.0967324497</v>
      </c>
      <c r="I93" s="180">
        <f t="shared" si="20"/>
        <v>88692.077385959768</v>
      </c>
      <c r="M93" s="176">
        <v>61</v>
      </c>
      <c r="N93" s="179">
        <f t="shared" si="18"/>
        <v>42607</v>
      </c>
      <c r="O93" s="178" t="str">
        <f t="shared" si="9"/>
        <v>3M</v>
      </c>
      <c r="P93" s="213">
        <f>$T$28</f>
        <v>7.2752574385413267E-5</v>
      </c>
      <c r="Z93" s="201"/>
      <c r="AA93" s="196"/>
      <c r="AE93" s="201">
        <v>69</v>
      </c>
      <c r="BG93" s="174"/>
    </row>
    <row r="94" spans="3:160" ht="12.75">
      <c r="C94" s="177">
        <v>83</v>
      </c>
      <c r="D94" s="179">
        <f t="shared" si="21"/>
        <v>42639</v>
      </c>
      <c r="E94" s="216">
        <f t="shared" si="19"/>
        <v>8.1178134332675637E-4</v>
      </c>
      <c r="F94" s="179" t="str">
        <f>VLOOKUP(D94,Lookups!$D$4:$E$16,2,1)</f>
        <v>6M</v>
      </c>
      <c r="H94" s="217">
        <f t="shared" si="22"/>
        <v>-110865.0967324497</v>
      </c>
      <c r="I94" s="180">
        <f t="shared" si="20"/>
        <v>88692.077385959768</v>
      </c>
      <c r="M94" s="176">
        <v>62</v>
      </c>
      <c r="N94" s="179">
        <f t="shared" si="18"/>
        <v>42608</v>
      </c>
      <c r="O94" s="178" t="str">
        <f t="shared" si="9"/>
        <v>3M</v>
      </c>
      <c r="P94" s="213">
        <f t="shared" ref="P94:P107" si="24">$T$28</f>
        <v>7.2752574385413267E-5</v>
      </c>
      <c r="Z94" s="195"/>
      <c r="AA94" s="196"/>
      <c r="AE94" s="195">
        <v>70</v>
      </c>
      <c r="BG94" s="174"/>
    </row>
    <row r="95" spans="3:160" ht="12.75">
      <c r="C95" s="177">
        <v>84</v>
      </c>
      <c r="D95" s="179">
        <f t="shared" si="21"/>
        <v>42640</v>
      </c>
      <c r="E95" s="216">
        <f t="shared" si="19"/>
        <v>8.1178134332675637E-4</v>
      </c>
      <c r="F95" s="179" t="str">
        <f>VLOOKUP(D95,Lookups!$D$4:$E$16,2,1)</f>
        <v>6M</v>
      </c>
      <c r="H95" s="217">
        <f t="shared" si="22"/>
        <v>-110865.0967324497</v>
      </c>
      <c r="I95" s="180">
        <f t="shared" si="20"/>
        <v>88692.077385959768</v>
      </c>
      <c r="M95" s="176">
        <v>63</v>
      </c>
      <c r="N95" s="179">
        <f t="shared" si="18"/>
        <v>42611</v>
      </c>
      <c r="O95" s="178" t="str">
        <f t="shared" si="9"/>
        <v>3M</v>
      </c>
      <c r="P95" s="213">
        <f t="shared" si="24"/>
        <v>7.2752574385413267E-5</v>
      </c>
      <c r="Z95" s="195"/>
      <c r="AA95" s="196"/>
      <c r="AE95" s="195">
        <v>71</v>
      </c>
      <c r="BG95" s="174"/>
    </row>
    <row r="96" spans="3:160" ht="12.75">
      <c r="C96" s="177">
        <v>85</v>
      </c>
      <c r="D96" s="179">
        <f t="shared" si="21"/>
        <v>42641</v>
      </c>
      <c r="E96" s="216">
        <f t="shared" si="19"/>
        <v>8.1178134332675637E-4</v>
      </c>
      <c r="F96" s="179" t="str">
        <f>VLOOKUP(D96,Lookups!$D$4:$E$16,2,1)</f>
        <v>6M</v>
      </c>
      <c r="H96" s="217">
        <f t="shared" si="22"/>
        <v>-110865.0967324497</v>
      </c>
      <c r="I96" s="180">
        <f t="shared" si="20"/>
        <v>88692.077385959768</v>
      </c>
      <c r="M96" s="176">
        <v>64</v>
      </c>
      <c r="N96" s="179">
        <f t="shared" si="18"/>
        <v>42612</v>
      </c>
      <c r="O96" s="178" t="str">
        <f t="shared" si="9"/>
        <v>3M</v>
      </c>
      <c r="P96" s="213">
        <f t="shared" si="24"/>
        <v>7.2752574385413267E-5</v>
      </c>
      <c r="Z96" s="201"/>
      <c r="AA96" s="196"/>
      <c r="AE96" s="201">
        <v>72</v>
      </c>
      <c r="BG96" s="174"/>
    </row>
    <row r="97" spans="3:59" ht="12.75">
      <c r="C97" s="177">
        <v>86</v>
      </c>
      <c r="D97" s="179">
        <f t="shared" si="21"/>
        <v>42642</v>
      </c>
      <c r="E97" s="216">
        <f t="shared" si="19"/>
        <v>8.1178134332675637E-4</v>
      </c>
      <c r="F97" s="179" t="str">
        <f>VLOOKUP(D97,Lookups!$D$4:$E$16,2,1)</f>
        <v>6M</v>
      </c>
      <c r="H97" s="217">
        <f t="shared" si="22"/>
        <v>-110865.0967324497</v>
      </c>
      <c r="I97" s="180">
        <f t="shared" si="20"/>
        <v>88692.077385959768</v>
      </c>
      <c r="M97" s="176">
        <v>65</v>
      </c>
      <c r="N97" s="179">
        <f t="shared" ref="N97:N122" si="25">WORKDAY(Report_date,M97)</f>
        <v>42613</v>
      </c>
      <c r="O97" s="178" t="str">
        <f t="shared" si="9"/>
        <v>3M</v>
      </c>
      <c r="P97" s="213">
        <f t="shared" si="24"/>
        <v>7.2752574385413267E-5</v>
      </c>
      <c r="Z97" s="195"/>
      <c r="AA97" s="196"/>
      <c r="AE97" s="195">
        <v>73</v>
      </c>
      <c r="BG97" s="174"/>
    </row>
    <row r="98" spans="3:59" ht="12.75">
      <c r="C98" s="177">
        <v>87</v>
      </c>
      <c r="D98" s="179">
        <f t="shared" si="21"/>
        <v>42643</v>
      </c>
      <c r="E98" s="216">
        <f t="shared" si="19"/>
        <v>8.1178134332675637E-4</v>
      </c>
      <c r="F98" s="179" t="str">
        <f>VLOOKUP(D98,Lookups!$D$4:$E$16,2,1)</f>
        <v>6M</v>
      </c>
      <c r="H98" s="217">
        <f t="shared" si="22"/>
        <v>-110865.0967324497</v>
      </c>
      <c r="I98" s="180">
        <f t="shared" si="20"/>
        <v>88692.077385959768</v>
      </c>
      <c r="M98" s="176">
        <v>66</v>
      </c>
      <c r="N98" s="179">
        <f t="shared" si="25"/>
        <v>42614</v>
      </c>
      <c r="O98" s="178" t="str">
        <f t="shared" ref="O98:O122" si="26">VLOOKUP(N98,$D$10:$F$101,3,0)</f>
        <v>3M</v>
      </c>
      <c r="P98" s="213">
        <f t="shared" si="24"/>
        <v>7.2752574385413267E-5</v>
      </c>
      <c r="Z98" s="195"/>
      <c r="AA98" s="196"/>
      <c r="AE98" s="195">
        <v>74</v>
      </c>
      <c r="BG98" s="174"/>
    </row>
    <row r="99" spans="3:59" ht="12.75">
      <c r="C99" s="177">
        <v>88</v>
      </c>
      <c r="D99" s="179">
        <f t="shared" si="21"/>
        <v>42646</v>
      </c>
      <c r="E99" s="216">
        <f t="shared" si="19"/>
        <v>8.1178134332675637E-4</v>
      </c>
      <c r="F99" s="179" t="str">
        <f>VLOOKUP(D99,Lookups!$D$4:$E$16,2,1)</f>
        <v>6M</v>
      </c>
      <c r="H99" s="217">
        <f t="shared" si="22"/>
        <v>-110865.0967324497</v>
      </c>
      <c r="I99" s="180">
        <f t="shared" si="20"/>
        <v>88692.077385959768</v>
      </c>
      <c r="M99" s="176">
        <v>67</v>
      </c>
      <c r="N99" s="179">
        <f t="shared" si="25"/>
        <v>42615</v>
      </c>
      <c r="O99" s="178" t="str">
        <f t="shared" si="26"/>
        <v>6M</v>
      </c>
      <c r="P99" s="213">
        <f t="shared" si="24"/>
        <v>7.2752574385413267E-5</v>
      </c>
      <c r="Z99" s="201"/>
      <c r="AA99" s="196"/>
      <c r="AE99" s="201">
        <v>75</v>
      </c>
      <c r="BG99" s="174"/>
    </row>
    <row r="100" spans="3:59" ht="12.75">
      <c r="C100" s="177">
        <v>89</v>
      </c>
      <c r="D100" s="179">
        <f t="shared" si="21"/>
        <v>42647</v>
      </c>
      <c r="E100" s="216">
        <f t="shared" si="19"/>
        <v>8.1178134332675637E-4</v>
      </c>
      <c r="F100" s="179" t="str">
        <f>VLOOKUP(D100,Lookups!$D$4:$E$16,2,1)</f>
        <v>6M</v>
      </c>
      <c r="H100" s="217">
        <f t="shared" si="22"/>
        <v>-110865.0967324497</v>
      </c>
      <c r="I100" s="180">
        <f t="shared" si="20"/>
        <v>88692.077385959768</v>
      </c>
      <c r="M100" s="176">
        <v>68</v>
      </c>
      <c r="N100" s="179">
        <f t="shared" si="25"/>
        <v>42618</v>
      </c>
      <c r="O100" s="178" t="str">
        <f t="shared" si="26"/>
        <v>6M</v>
      </c>
      <c r="P100" s="213">
        <f t="shared" si="24"/>
        <v>7.2752574385413267E-5</v>
      </c>
      <c r="Z100" s="195"/>
      <c r="AA100" s="196"/>
      <c r="AE100" s="195">
        <v>76</v>
      </c>
      <c r="BG100" s="174"/>
    </row>
    <row r="101" spans="3:59" ht="12.75">
      <c r="C101" s="177">
        <v>90</v>
      </c>
      <c r="D101" s="179">
        <f t="shared" si="21"/>
        <v>42648</v>
      </c>
      <c r="E101" s="216">
        <f t="shared" si="19"/>
        <v>8.1178134332675637E-4</v>
      </c>
      <c r="F101" s="179" t="str">
        <f>VLOOKUP(D101,Lookups!$D$4:$E$16,2,1)</f>
        <v>6M</v>
      </c>
      <c r="H101" s="217">
        <f t="shared" si="22"/>
        <v>-110865.0967324497</v>
      </c>
      <c r="I101" s="180">
        <f t="shared" si="20"/>
        <v>88692.077385959768</v>
      </c>
      <c r="M101" s="176">
        <v>69</v>
      </c>
      <c r="N101" s="179">
        <f t="shared" si="25"/>
        <v>42619</v>
      </c>
      <c r="O101" s="178" t="str">
        <f t="shared" si="26"/>
        <v>6M</v>
      </c>
      <c r="P101" s="213">
        <f t="shared" si="24"/>
        <v>7.2752574385413267E-5</v>
      </c>
      <c r="Z101" s="195"/>
      <c r="AA101" s="196"/>
      <c r="AE101" s="195">
        <v>77</v>
      </c>
      <c r="BG101" s="174"/>
    </row>
    <row r="102" spans="3:59" ht="12.75">
      <c r="C102" s="177"/>
      <c r="D102" s="179">
        <f t="shared" si="21"/>
        <v>42649</v>
      </c>
      <c r="E102" s="216"/>
      <c r="F102" s="179" t="str">
        <f>VLOOKUP(D102,Lookups!$D$4:$E$16,2,1)</f>
        <v>6M</v>
      </c>
      <c r="I102" s="180">
        <f t="shared" si="20"/>
        <v>88692.077385959768</v>
      </c>
      <c r="M102" s="176">
        <v>70</v>
      </c>
      <c r="N102" s="179">
        <f t="shared" si="25"/>
        <v>42620</v>
      </c>
      <c r="O102" s="178" t="str">
        <f t="shared" si="26"/>
        <v>6M</v>
      </c>
      <c r="P102" s="213">
        <f t="shared" si="24"/>
        <v>7.2752574385413267E-5</v>
      </c>
      <c r="Z102" s="201"/>
      <c r="AA102" s="196"/>
      <c r="AE102" s="201">
        <v>78</v>
      </c>
      <c r="BG102" s="174"/>
    </row>
    <row r="103" spans="3:59" ht="12.75">
      <c r="C103" s="177"/>
      <c r="D103" s="179">
        <f t="shared" si="21"/>
        <v>42650</v>
      </c>
      <c r="E103" s="216"/>
      <c r="F103" s="179" t="str">
        <f>VLOOKUP(D103,Lookups!$D$4:$E$16,2,1)</f>
        <v>6M</v>
      </c>
      <c r="I103" s="180">
        <f t="shared" si="20"/>
        <v>0</v>
      </c>
      <c r="M103" s="176">
        <v>71</v>
      </c>
      <c r="N103" s="179">
        <f t="shared" si="25"/>
        <v>42621</v>
      </c>
      <c r="O103" s="178" t="str">
        <f t="shared" si="26"/>
        <v>6M</v>
      </c>
      <c r="P103" s="213">
        <f t="shared" si="24"/>
        <v>7.2752574385413267E-5</v>
      </c>
      <c r="Z103" s="195"/>
      <c r="AA103" s="196"/>
      <c r="AE103" s="195">
        <v>79</v>
      </c>
      <c r="BG103" s="174"/>
    </row>
    <row r="104" spans="3:59" ht="12.75">
      <c r="C104" s="177"/>
      <c r="D104" s="179">
        <f t="shared" si="21"/>
        <v>42653</v>
      </c>
      <c r="E104" s="216"/>
      <c r="F104" s="179" t="str">
        <f>VLOOKUP(D104,Lookups!$D$4:$E$16,2,1)</f>
        <v>6M</v>
      </c>
      <c r="I104" s="180">
        <f t="shared" si="20"/>
        <v>0</v>
      </c>
      <c r="M104" s="176">
        <v>72</v>
      </c>
      <c r="N104" s="179">
        <f t="shared" si="25"/>
        <v>42622</v>
      </c>
      <c r="O104" s="178" t="str">
        <f t="shared" si="26"/>
        <v>6M</v>
      </c>
      <c r="P104" s="213">
        <f t="shared" si="24"/>
        <v>7.2752574385413267E-5</v>
      </c>
      <c r="Z104" s="195"/>
      <c r="AA104" s="196"/>
      <c r="AE104" s="195">
        <v>80</v>
      </c>
      <c r="BG104" s="174"/>
    </row>
    <row r="105" spans="3:59" ht="12.75">
      <c r="C105" s="177"/>
      <c r="D105" s="179">
        <f t="shared" si="21"/>
        <v>42654</v>
      </c>
      <c r="E105" s="216"/>
      <c r="F105" s="179" t="str">
        <f>VLOOKUP(D105,Lookups!$D$4:$E$16,2,1)</f>
        <v>6M</v>
      </c>
      <c r="I105" s="180">
        <f t="shared" si="20"/>
        <v>0</v>
      </c>
      <c r="M105" s="176">
        <v>73</v>
      </c>
      <c r="N105" s="179">
        <f t="shared" si="25"/>
        <v>42625</v>
      </c>
      <c r="O105" s="178" t="str">
        <f t="shared" si="26"/>
        <v>6M</v>
      </c>
      <c r="P105" s="213">
        <f t="shared" si="24"/>
        <v>7.2752574385413267E-5</v>
      </c>
      <c r="Z105" s="201"/>
      <c r="AA105" s="196"/>
      <c r="AE105" s="201">
        <v>81</v>
      </c>
      <c r="BG105" s="174"/>
    </row>
    <row r="106" spans="3:59" ht="12.75">
      <c r="C106" s="177"/>
      <c r="D106" s="179">
        <f t="shared" si="21"/>
        <v>42655</v>
      </c>
      <c r="E106" s="216"/>
      <c r="F106" s="179" t="str">
        <f>VLOOKUP(D106,Lookups!$D$4:$E$16,2,1)</f>
        <v>6M</v>
      </c>
      <c r="I106" s="180">
        <f t="shared" si="20"/>
        <v>0</v>
      </c>
      <c r="M106" s="176">
        <v>74</v>
      </c>
      <c r="N106" s="179">
        <f t="shared" si="25"/>
        <v>42626</v>
      </c>
      <c r="O106" s="178" t="str">
        <f t="shared" si="26"/>
        <v>6M</v>
      </c>
      <c r="P106" s="213">
        <f t="shared" si="24"/>
        <v>7.2752574385413267E-5</v>
      </c>
      <c r="Z106" s="195"/>
      <c r="AA106" s="196"/>
      <c r="AE106" s="195">
        <v>82</v>
      </c>
      <c r="BG106" s="174"/>
    </row>
    <row r="107" spans="3:59" ht="12.75">
      <c r="C107" s="177"/>
      <c r="D107" s="179">
        <f t="shared" si="21"/>
        <v>42656</v>
      </c>
      <c r="E107" s="216"/>
      <c r="F107" s="179" t="str">
        <f>VLOOKUP(D107,Lookups!$D$4:$E$16,2,1)</f>
        <v>6M</v>
      </c>
      <c r="I107" s="180">
        <f t="shared" si="20"/>
        <v>0</v>
      </c>
      <c r="M107" s="176">
        <v>75</v>
      </c>
      <c r="N107" s="179">
        <f t="shared" si="25"/>
        <v>42627</v>
      </c>
      <c r="O107" s="178" t="str">
        <f t="shared" si="26"/>
        <v>6M</v>
      </c>
      <c r="P107" s="213">
        <f t="shared" si="24"/>
        <v>7.2752574385413267E-5</v>
      </c>
      <c r="Z107" s="195"/>
      <c r="AA107" s="196"/>
      <c r="AE107" s="195">
        <v>83</v>
      </c>
      <c r="BG107" s="174"/>
    </row>
    <row r="108" spans="3:59" ht="12.75">
      <c r="C108" s="177"/>
      <c r="D108" s="179">
        <f t="shared" si="21"/>
        <v>42657</v>
      </c>
      <c r="E108" s="216"/>
      <c r="F108" s="179" t="str">
        <f>VLOOKUP(D108,Lookups!$D$4:$E$16,2,1)</f>
        <v>6M</v>
      </c>
      <c r="M108" s="176">
        <v>76</v>
      </c>
      <c r="N108" s="179">
        <f t="shared" si="25"/>
        <v>42628</v>
      </c>
      <c r="O108" s="178" t="str">
        <f t="shared" si="26"/>
        <v>6M</v>
      </c>
      <c r="P108" s="213">
        <f>$U$28</f>
        <v>8.1178134332675637E-4</v>
      </c>
      <c r="Z108" s="201"/>
      <c r="AA108" s="196"/>
      <c r="AE108" s="201">
        <v>84</v>
      </c>
      <c r="BG108" s="174"/>
    </row>
    <row r="109" spans="3:59" ht="12.75">
      <c r="C109" s="177"/>
      <c r="D109" s="179"/>
      <c r="E109" s="216"/>
      <c r="F109" s="179"/>
      <c r="M109" s="176">
        <v>77</v>
      </c>
      <c r="N109" s="179">
        <f t="shared" si="25"/>
        <v>42629</v>
      </c>
      <c r="O109" s="178" t="str">
        <f t="shared" si="26"/>
        <v>6M</v>
      </c>
      <c r="P109" s="213">
        <f t="shared" ref="P109:P122" si="27">$U$28</f>
        <v>8.1178134332675637E-4</v>
      </c>
      <c r="Z109" s="195"/>
      <c r="AA109" s="196"/>
      <c r="AE109" s="195">
        <v>85</v>
      </c>
      <c r="BG109" s="174"/>
    </row>
    <row r="110" spans="3:59" ht="12.75">
      <c r="C110" s="177"/>
      <c r="D110" s="179"/>
      <c r="E110" s="216"/>
      <c r="F110" s="179"/>
      <c r="M110" s="176">
        <v>78</v>
      </c>
      <c r="N110" s="179">
        <f t="shared" si="25"/>
        <v>42632</v>
      </c>
      <c r="O110" s="178" t="str">
        <f t="shared" si="26"/>
        <v>6M</v>
      </c>
      <c r="P110" s="213">
        <f t="shared" si="27"/>
        <v>8.1178134332675637E-4</v>
      </c>
      <c r="Z110" s="195"/>
      <c r="AA110" s="196"/>
      <c r="AE110" s="195">
        <v>86</v>
      </c>
      <c r="BG110" s="174"/>
    </row>
    <row r="111" spans="3:59" ht="12.75">
      <c r="C111" s="177"/>
      <c r="D111" s="179"/>
      <c r="E111" s="216"/>
      <c r="F111" s="179"/>
      <c r="M111" s="176">
        <v>79</v>
      </c>
      <c r="N111" s="179">
        <f t="shared" si="25"/>
        <v>42633</v>
      </c>
      <c r="O111" s="178" t="str">
        <f t="shared" si="26"/>
        <v>6M</v>
      </c>
      <c r="P111" s="213">
        <f t="shared" si="27"/>
        <v>8.1178134332675637E-4</v>
      </c>
      <c r="Z111" s="201"/>
      <c r="AA111" s="196"/>
      <c r="AE111" s="201">
        <v>87</v>
      </c>
      <c r="BG111" s="174"/>
    </row>
    <row r="112" spans="3:59" ht="12.75">
      <c r="C112" s="177"/>
      <c r="D112" s="179"/>
      <c r="E112" s="216"/>
      <c r="F112" s="179"/>
      <c r="M112" s="176">
        <v>80</v>
      </c>
      <c r="N112" s="179">
        <f t="shared" si="25"/>
        <v>42634</v>
      </c>
      <c r="O112" s="178" t="str">
        <f t="shared" si="26"/>
        <v>6M</v>
      </c>
      <c r="P112" s="213">
        <f t="shared" si="27"/>
        <v>8.1178134332675637E-4</v>
      </c>
      <c r="Z112" s="195"/>
      <c r="AA112" s="196"/>
      <c r="AE112" s="195">
        <v>88</v>
      </c>
      <c r="BG112" s="174"/>
    </row>
    <row r="113" spans="3:59" ht="12.75">
      <c r="C113" s="177"/>
      <c r="D113" s="179"/>
      <c r="E113" s="216"/>
      <c r="F113" s="179"/>
      <c r="M113" s="176">
        <v>81</v>
      </c>
      <c r="N113" s="179">
        <f t="shared" si="25"/>
        <v>42635</v>
      </c>
      <c r="O113" s="178" t="str">
        <f t="shared" si="26"/>
        <v>6M</v>
      </c>
      <c r="P113" s="213">
        <f t="shared" si="27"/>
        <v>8.1178134332675637E-4</v>
      </c>
      <c r="Z113" s="195"/>
      <c r="AA113" s="196"/>
      <c r="AE113" s="195">
        <v>89</v>
      </c>
      <c r="BG113" s="174"/>
    </row>
    <row r="114" spans="3:59" ht="12.75">
      <c r="C114" s="177"/>
      <c r="D114" s="179"/>
      <c r="E114" s="216"/>
      <c r="F114" s="179"/>
      <c r="M114" s="176">
        <v>82</v>
      </c>
      <c r="N114" s="179">
        <f t="shared" si="25"/>
        <v>42636</v>
      </c>
      <c r="O114" s="178" t="str">
        <f t="shared" si="26"/>
        <v>6M</v>
      </c>
      <c r="P114" s="213">
        <f t="shared" si="27"/>
        <v>8.1178134332675637E-4</v>
      </c>
      <c r="Z114" s="201"/>
      <c r="AA114" s="196"/>
      <c r="AE114" s="201">
        <v>90</v>
      </c>
      <c r="BG114" s="174"/>
    </row>
    <row r="115" spans="3:59" ht="12.75">
      <c r="C115" s="177"/>
      <c r="D115" s="179"/>
      <c r="E115" s="216"/>
      <c r="F115" s="179"/>
      <c r="M115" s="176">
        <v>83</v>
      </c>
      <c r="N115" s="179">
        <f t="shared" si="25"/>
        <v>42639</v>
      </c>
      <c r="O115" s="178" t="str">
        <f t="shared" si="26"/>
        <v>6M</v>
      </c>
      <c r="P115" s="213">
        <f t="shared" si="27"/>
        <v>8.1178134332675637E-4</v>
      </c>
      <c r="Z115" s="201"/>
      <c r="AA115" s="196"/>
      <c r="AE115" s="201">
        <v>91</v>
      </c>
      <c r="BG115" s="174"/>
    </row>
    <row r="116" spans="3:59" ht="12.75">
      <c r="C116" s="177"/>
      <c r="D116" s="179"/>
      <c r="E116" s="216"/>
      <c r="F116" s="179"/>
      <c r="M116" s="176">
        <v>84</v>
      </c>
      <c r="N116" s="179">
        <f t="shared" si="25"/>
        <v>42640</v>
      </c>
      <c r="O116" s="178" t="str">
        <f t="shared" si="26"/>
        <v>6M</v>
      </c>
      <c r="P116" s="213">
        <f t="shared" si="27"/>
        <v>8.1178134332675637E-4</v>
      </c>
      <c r="Z116" s="201"/>
      <c r="AA116" s="196"/>
      <c r="AE116" s="201">
        <v>92</v>
      </c>
      <c r="BG116" s="174"/>
    </row>
    <row r="117" spans="3:59" ht="12.75">
      <c r="C117" s="177"/>
      <c r="D117" s="179"/>
      <c r="E117" s="216"/>
      <c r="F117" s="179"/>
      <c r="M117" s="176">
        <v>85</v>
      </c>
      <c r="N117" s="179">
        <f t="shared" si="25"/>
        <v>42641</v>
      </c>
      <c r="O117" s="178" t="str">
        <f t="shared" si="26"/>
        <v>6M</v>
      </c>
      <c r="P117" s="213">
        <f t="shared" si="27"/>
        <v>8.1178134332675637E-4</v>
      </c>
      <c r="Z117" s="201"/>
      <c r="AA117" s="196"/>
      <c r="AE117" s="201">
        <v>93</v>
      </c>
      <c r="BG117" s="174"/>
    </row>
    <row r="118" spans="3:59" ht="12.75">
      <c r="C118" s="177"/>
      <c r="D118" s="179"/>
      <c r="E118" s="216"/>
      <c r="F118" s="179"/>
      <c r="M118" s="176">
        <v>86</v>
      </c>
      <c r="N118" s="179">
        <f t="shared" si="25"/>
        <v>42642</v>
      </c>
      <c r="O118" s="178" t="str">
        <f t="shared" si="26"/>
        <v>6M</v>
      </c>
      <c r="P118" s="213">
        <f t="shared" si="27"/>
        <v>8.1178134332675637E-4</v>
      </c>
      <c r="Z118" s="201"/>
      <c r="AA118" s="196"/>
      <c r="AE118" s="201">
        <v>94</v>
      </c>
      <c r="BG118" s="174"/>
    </row>
    <row r="119" spans="3:59" ht="12.75">
      <c r="C119" s="177"/>
      <c r="D119" s="179"/>
      <c r="E119" s="216"/>
      <c r="F119" s="179"/>
      <c r="M119" s="176">
        <v>87</v>
      </c>
      <c r="N119" s="179">
        <f t="shared" si="25"/>
        <v>42643</v>
      </c>
      <c r="O119" s="178" t="str">
        <f t="shared" si="26"/>
        <v>6M</v>
      </c>
      <c r="P119" s="213">
        <f t="shared" si="27"/>
        <v>8.1178134332675637E-4</v>
      </c>
      <c r="Z119" s="201"/>
      <c r="AA119" s="196"/>
      <c r="AE119" s="201">
        <v>95</v>
      </c>
      <c r="BG119" s="174"/>
    </row>
    <row r="120" spans="3:59" ht="12.75">
      <c r="C120" s="177"/>
      <c r="D120" s="179"/>
      <c r="E120" s="216"/>
      <c r="F120" s="179"/>
      <c r="M120" s="176">
        <v>88</v>
      </c>
      <c r="N120" s="179">
        <f t="shared" si="25"/>
        <v>42646</v>
      </c>
      <c r="O120" s="178" t="str">
        <f t="shared" si="26"/>
        <v>6M</v>
      </c>
      <c r="P120" s="213">
        <f t="shared" si="27"/>
        <v>8.1178134332675637E-4</v>
      </c>
      <c r="Z120" s="201"/>
      <c r="AA120" s="196"/>
      <c r="AE120" s="201">
        <v>96</v>
      </c>
      <c r="BG120" s="174"/>
    </row>
    <row r="121" spans="3:59" ht="12.75">
      <c r="C121" s="177"/>
      <c r="D121" s="179"/>
      <c r="E121" s="216"/>
      <c r="F121" s="179"/>
      <c r="M121" s="176">
        <v>89</v>
      </c>
      <c r="N121" s="179">
        <f t="shared" si="25"/>
        <v>42647</v>
      </c>
      <c r="O121" s="178" t="str">
        <f t="shared" si="26"/>
        <v>6M</v>
      </c>
      <c r="P121" s="213">
        <f t="shared" si="27"/>
        <v>8.1178134332675637E-4</v>
      </c>
      <c r="AA121" s="196"/>
      <c r="AE121" s="174">
        <v>97</v>
      </c>
      <c r="BG121" s="174"/>
    </row>
    <row r="122" spans="3:59" ht="12.75">
      <c r="C122" s="177"/>
      <c r="D122" s="179"/>
      <c r="E122" s="216"/>
      <c r="F122" s="179"/>
      <c r="M122" s="176">
        <v>90</v>
      </c>
      <c r="N122" s="179">
        <f t="shared" si="25"/>
        <v>42648</v>
      </c>
      <c r="O122" s="178" t="str">
        <f t="shared" si="26"/>
        <v>6M</v>
      </c>
      <c r="P122" s="213">
        <f t="shared" si="27"/>
        <v>8.1178134332675637E-4</v>
      </c>
      <c r="AA122" s="196"/>
      <c r="AE122" s="174">
        <v>98</v>
      </c>
      <c r="BG122" s="174"/>
    </row>
    <row r="123" spans="3:59" ht="12.75">
      <c r="C123" s="177"/>
      <c r="D123" s="179"/>
      <c r="E123" s="216"/>
      <c r="F123" s="179"/>
      <c r="O123" s="174"/>
      <c r="AA123" s="196"/>
      <c r="AE123" s="174">
        <v>99</v>
      </c>
      <c r="BG123" s="174"/>
    </row>
    <row r="124" spans="3:59" ht="12.75">
      <c r="C124" s="177"/>
      <c r="D124" s="179"/>
      <c r="E124" s="216"/>
      <c r="F124" s="179"/>
      <c r="O124" s="174"/>
      <c r="AA124" s="196"/>
      <c r="AE124" s="174">
        <v>100</v>
      </c>
      <c r="BG124" s="174"/>
    </row>
    <row r="125" spans="3:59" ht="12.75">
      <c r="C125" s="177"/>
      <c r="D125" s="179"/>
      <c r="E125" s="216"/>
      <c r="F125" s="179"/>
      <c r="O125" s="174"/>
      <c r="AA125" s="196"/>
      <c r="AE125" s="174">
        <v>101</v>
      </c>
      <c r="BG125" s="174"/>
    </row>
    <row r="126" spans="3:59" ht="12.75">
      <c r="C126" s="177"/>
      <c r="D126" s="179"/>
      <c r="E126" s="216"/>
      <c r="F126" s="179"/>
      <c r="O126" s="174"/>
      <c r="AA126" s="196"/>
      <c r="AE126" s="174">
        <v>102</v>
      </c>
      <c r="BG126" s="174"/>
    </row>
    <row r="127" spans="3:59" ht="12.75">
      <c r="C127" s="177"/>
      <c r="D127" s="179"/>
      <c r="E127" s="216"/>
      <c r="F127" s="179"/>
      <c r="O127" s="174"/>
      <c r="AA127" s="196"/>
      <c r="AE127" s="174">
        <v>103</v>
      </c>
      <c r="BG127" s="174"/>
    </row>
    <row r="128" spans="3:59" ht="12.75">
      <c r="C128" s="177"/>
      <c r="D128" s="179"/>
      <c r="E128" s="216"/>
      <c r="F128" s="179"/>
      <c r="O128" s="174"/>
      <c r="AA128" s="196"/>
      <c r="AE128" s="174">
        <v>104</v>
      </c>
      <c r="BG128" s="174"/>
    </row>
    <row r="129" spans="3:59" ht="12.75">
      <c r="C129" s="177"/>
      <c r="D129" s="179"/>
      <c r="E129" s="216"/>
      <c r="F129" s="179"/>
      <c r="O129" s="174"/>
      <c r="AA129" s="196"/>
      <c r="AE129" s="174">
        <v>105</v>
      </c>
      <c r="BG129" s="174"/>
    </row>
    <row r="130" spans="3:59" ht="12.75">
      <c r="C130" s="177"/>
      <c r="D130" s="179"/>
      <c r="E130" s="216"/>
      <c r="F130" s="179"/>
      <c r="O130" s="174"/>
      <c r="AA130" s="196"/>
      <c r="AE130" s="174">
        <v>107</v>
      </c>
      <c r="BG130" s="174"/>
    </row>
    <row r="131" spans="3:59" ht="12.75">
      <c r="C131" s="177"/>
      <c r="D131" s="179"/>
      <c r="E131" s="216"/>
      <c r="F131" s="179"/>
      <c r="O131" s="174"/>
      <c r="AA131" s="196"/>
      <c r="AE131" s="174">
        <v>108</v>
      </c>
      <c r="BG131" s="174"/>
    </row>
    <row r="132" spans="3:59" ht="12.75">
      <c r="C132" s="177"/>
      <c r="D132" s="179"/>
      <c r="E132" s="216"/>
      <c r="F132" s="179"/>
      <c r="O132" s="174"/>
      <c r="AA132" s="196"/>
      <c r="AE132" s="174">
        <v>109</v>
      </c>
      <c r="BG132" s="174"/>
    </row>
    <row r="133" spans="3:59" ht="12.75">
      <c r="C133" s="177"/>
      <c r="D133" s="179"/>
      <c r="E133" s="216"/>
      <c r="F133" s="179"/>
      <c r="O133" s="174"/>
      <c r="AA133" s="196"/>
      <c r="AE133" s="174">
        <v>110</v>
      </c>
      <c r="BG133" s="174"/>
    </row>
    <row r="134" spans="3:59" ht="12.75">
      <c r="C134" s="177"/>
      <c r="D134" s="179"/>
      <c r="E134" s="216"/>
      <c r="F134" s="179"/>
      <c r="O134" s="174"/>
      <c r="BG134" s="174"/>
    </row>
    <row r="135" spans="3:59" ht="12.75">
      <c r="C135" s="177"/>
      <c r="D135" s="179"/>
      <c r="E135" s="216"/>
      <c r="F135" s="179"/>
      <c r="O135" s="174"/>
      <c r="BG135" s="174"/>
    </row>
    <row r="136" spans="3:59" ht="12.75">
      <c r="C136" s="177"/>
      <c r="D136" s="179"/>
      <c r="E136" s="216"/>
      <c r="F136" s="179"/>
      <c r="O136" s="174"/>
      <c r="BG136" s="174"/>
    </row>
    <row r="137" spans="3:59" ht="12.75">
      <c r="C137" s="177"/>
      <c r="D137" s="179"/>
      <c r="E137" s="216"/>
      <c r="F137" s="179"/>
      <c r="O137" s="174"/>
      <c r="BG137" s="174"/>
    </row>
    <row r="138" spans="3:59" ht="12.75">
      <c r="C138" s="177"/>
      <c r="D138" s="179"/>
      <c r="E138" s="216"/>
      <c r="F138" s="179"/>
      <c r="O138" s="174"/>
      <c r="BG138" s="174"/>
    </row>
    <row r="139" spans="3:59" ht="12.75">
      <c r="C139" s="177"/>
      <c r="D139" s="179"/>
      <c r="E139" s="216"/>
      <c r="F139" s="179"/>
      <c r="O139" s="174"/>
      <c r="BG139" s="174"/>
    </row>
    <row r="140" spans="3:59" ht="12.75">
      <c r="C140" s="177"/>
      <c r="D140" s="179"/>
      <c r="E140" s="216"/>
      <c r="F140" s="179"/>
      <c r="O140" s="174"/>
      <c r="BG140" s="174"/>
    </row>
    <row r="141" spans="3:59" ht="12.75">
      <c r="C141" s="177"/>
      <c r="D141" s="179"/>
      <c r="E141" s="216"/>
      <c r="F141" s="179"/>
      <c r="O141" s="174"/>
      <c r="BG141" s="174"/>
    </row>
    <row r="142" spans="3:59" ht="12.75">
      <c r="C142" s="177"/>
      <c r="D142" s="179"/>
      <c r="E142" s="216"/>
      <c r="F142" s="179"/>
      <c r="O142" s="174"/>
      <c r="BG142" s="174"/>
    </row>
    <row r="143" spans="3:59" ht="12.75">
      <c r="C143" s="177"/>
      <c r="D143" s="179"/>
      <c r="E143" s="216"/>
      <c r="F143" s="179"/>
      <c r="O143" s="174"/>
      <c r="BG143" s="174"/>
    </row>
    <row r="144" spans="3:59" ht="12.75">
      <c r="C144" s="177"/>
      <c r="D144" s="179"/>
      <c r="E144" s="216"/>
      <c r="F144" s="179"/>
      <c r="O144" s="174"/>
      <c r="BG144" s="174"/>
    </row>
    <row r="145" spans="3:59" ht="12.75">
      <c r="C145" s="177"/>
      <c r="D145" s="179"/>
      <c r="E145" s="216"/>
      <c r="F145" s="179"/>
      <c r="O145" s="174"/>
      <c r="BG145" s="174"/>
    </row>
    <row r="146" spans="3:59" ht="12.75">
      <c r="C146" s="177"/>
      <c r="D146" s="179"/>
      <c r="E146" s="216"/>
      <c r="F146" s="179"/>
      <c r="O146" s="174"/>
      <c r="BG146" s="174"/>
    </row>
    <row r="147" spans="3:59" ht="12.75">
      <c r="C147" s="177"/>
      <c r="D147" s="179"/>
      <c r="E147" s="216"/>
      <c r="F147" s="179"/>
      <c r="O147" s="174"/>
      <c r="BG147" s="174"/>
    </row>
    <row r="148" spans="3:59" ht="12.75">
      <c r="C148" s="177"/>
      <c r="D148" s="179"/>
      <c r="E148" s="216"/>
      <c r="F148" s="179"/>
      <c r="O148" s="174"/>
      <c r="BG148" s="174"/>
    </row>
    <row r="149" spans="3:59" ht="12.75">
      <c r="C149" s="177"/>
      <c r="D149" s="179"/>
      <c r="E149" s="216"/>
      <c r="F149" s="179"/>
      <c r="O149" s="174"/>
      <c r="BG149" s="174"/>
    </row>
    <row r="150" spans="3:59" ht="12.75">
      <c r="C150" s="177"/>
      <c r="D150" s="179"/>
      <c r="E150" s="216"/>
      <c r="F150" s="179"/>
      <c r="O150" s="174"/>
      <c r="BG150" s="174"/>
    </row>
    <row r="151" spans="3:59" ht="12.75">
      <c r="C151" s="177"/>
      <c r="D151" s="179"/>
      <c r="E151" s="216"/>
      <c r="F151" s="179"/>
      <c r="O151" s="174"/>
      <c r="BG151" s="174"/>
    </row>
    <row r="152" spans="3:59" ht="12.75">
      <c r="C152" s="177"/>
      <c r="D152" s="179"/>
      <c r="E152" s="216"/>
      <c r="F152" s="179"/>
      <c r="O152" s="174"/>
      <c r="BG152" s="174"/>
    </row>
    <row r="153" spans="3:59" ht="12.75">
      <c r="C153" s="177"/>
      <c r="D153" s="179"/>
      <c r="E153" s="216"/>
      <c r="F153" s="179"/>
      <c r="O153" s="174"/>
      <c r="BG153" s="174"/>
    </row>
    <row r="154" spans="3:59" ht="12.75">
      <c r="C154" s="177"/>
      <c r="D154" s="179"/>
      <c r="E154" s="216"/>
      <c r="F154" s="179"/>
      <c r="O154" s="174"/>
      <c r="BG154" s="174"/>
    </row>
    <row r="155" spans="3:59" ht="12.75">
      <c r="C155" s="177"/>
      <c r="D155" s="179"/>
      <c r="E155" s="216"/>
      <c r="F155" s="179"/>
      <c r="O155" s="174"/>
      <c r="BG155" s="174"/>
    </row>
    <row r="156" spans="3:59" ht="12.75">
      <c r="C156" s="177"/>
      <c r="D156" s="179"/>
      <c r="E156" s="216"/>
      <c r="F156" s="179"/>
      <c r="O156" s="174"/>
      <c r="BG156" s="174"/>
    </row>
    <row r="157" spans="3:59" ht="12.75">
      <c r="C157" s="177"/>
      <c r="D157" s="179"/>
      <c r="E157" s="216"/>
      <c r="F157" s="179"/>
      <c r="O157" s="174"/>
      <c r="BG157" s="174"/>
    </row>
    <row r="158" spans="3:59" ht="12.75">
      <c r="C158" s="177"/>
      <c r="O158" s="174"/>
      <c r="BG158" s="174"/>
    </row>
    <row r="159" spans="3:59">
      <c r="O159" s="174"/>
      <c r="BG159" s="174"/>
    </row>
    <row r="160" spans="3:59">
      <c r="O160" s="174"/>
      <c r="BG160" s="174"/>
    </row>
    <row r="161" spans="15:59">
      <c r="O161" s="174"/>
      <c r="BG161" s="174"/>
    </row>
    <row r="162" spans="15:59">
      <c r="O162" s="174"/>
      <c r="BG162" s="174"/>
    </row>
    <row r="163" spans="15:59">
      <c r="O163" s="174"/>
      <c r="BG163" s="174"/>
    </row>
    <row r="164" spans="15:59">
      <c r="O164" s="174"/>
      <c r="BG164" s="174"/>
    </row>
    <row r="165" spans="15:59">
      <c r="O165" s="174"/>
      <c r="BG165" s="174"/>
    </row>
    <row r="166" spans="15:59">
      <c r="O166" s="174"/>
      <c r="BG166" s="174"/>
    </row>
    <row r="167" spans="15:59">
      <c r="O167" s="174"/>
      <c r="BG167" s="174"/>
    </row>
    <row r="168" spans="15:59">
      <c r="O168" s="174"/>
      <c r="BG168" s="174"/>
    </row>
    <row r="169" spans="15:59">
      <c r="O169" s="174"/>
      <c r="BG169" s="174"/>
    </row>
    <row r="170" spans="15:59">
      <c r="O170" s="174"/>
      <c r="BG170" s="174"/>
    </row>
    <row r="171" spans="15:59">
      <c r="O171" s="174"/>
      <c r="BG171" s="174"/>
    </row>
    <row r="172" spans="15:59">
      <c r="O172" s="174"/>
      <c r="BG172" s="174"/>
    </row>
    <row r="173" spans="15:59">
      <c r="BG173" s="174"/>
    </row>
    <row r="174" spans="15:59">
      <c r="BG174" s="174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77"/>
  <sheetViews>
    <sheetView workbookViewId="0"/>
  </sheetViews>
  <sheetFormatPr defaultRowHeight="12.75"/>
  <cols>
    <col min="1" max="1" width="6.140625" style="79" bestFit="1" customWidth="1"/>
    <col min="2" max="2" width="9.42578125" style="79" bestFit="1" customWidth="1"/>
    <col min="3" max="3" width="10.42578125" style="79" bestFit="1" customWidth="1"/>
    <col min="4" max="4" width="12" style="79" bestFit="1" customWidth="1"/>
    <col min="5" max="5" width="13.42578125" style="79" bestFit="1" customWidth="1"/>
    <col min="6" max="6" width="8.85546875" style="79" bestFit="1" customWidth="1"/>
    <col min="7" max="7" width="11.42578125" style="79" bestFit="1" customWidth="1"/>
    <col min="8" max="8" width="13.28515625" style="79" bestFit="1" customWidth="1"/>
    <col min="9" max="9" width="12.140625" style="79" bestFit="1" customWidth="1"/>
    <col min="10" max="10" width="96.85546875" style="79" bestFit="1" customWidth="1"/>
    <col min="11" max="11" width="23.28515625" style="79" bestFit="1" customWidth="1"/>
    <col min="12" max="12" width="7.42578125" style="79" bestFit="1" customWidth="1"/>
    <col min="13" max="16384" width="9.140625" style="79"/>
  </cols>
  <sheetData>
    <row r="1" spans="1:12" s="73" customFormat="1" ht="18.2" customHeight="1">
      <c r="A1" s="71" t="s">
        <v>145</v>
      </c>
      <c r="B1" s="72" t="s">
        <v>157</v>
      </c>
      <c r="C1" s="72" t="s">
        <v>158</v>
      </c>
      <c r="D1" s="72" t="s">
        <v>159</v>
      </c>
      <c r="E1" s="72" t="s">
        <v>160</v>
      </c>
      <c r="F1" s="72" t="s">
        <v>161</v>
      </c>
      <c r="G1" s="72" t="s">
        <v>162</v>
      </c>
      <c r="H1" s="72" t="s">
        <v>163</v>
      </c>
      <c r="I1" s="72" t="s">
        <v>164</v>
      </c>
      <c r="J1" s="72" t="s">
        <v>165</v>
      </c>
      <c r="K1" s="73" t="s">
        <v>166</v>
      </c>
      <c r="L1" s="73" t="s">
        <v>167</v>
      </c>
    </row>
    <row r="2" spans="1:12" s="73" customFormat="1" ht="18.2" customHeight="1">
      <c r="A2" s="74">
        <v>20160510</v>
      </c>
      <c r="B2" s="71" t="s">
        <v>81</v>
      </c>
      <c r="C2" s="71" t="s">
        <v>76</v>
      </c>
      <c r="D2" s="75">
        <v>37268839.960000001</v>
      </c>
      <c r="E2" s="71" t="s">
        <v>75</v>
      </c>
      <c r="F2" s="71" t="s">
        <v>168</v>
      </c>
      <c r="G2" s="71" t="s">
        <v>181</v>
      </c>
      <c r="H2" s="71" t="s">
        <v>182</v>
      </c>
      <c r="I2" s="71" t="s">
        <v>183</v>
      </c>
      <c r="J2" s="71" t="s">
        <v>184</v>
      </c>
      <c r="K2" s="71" t="s">
        <v>172</v>
      </c>
      <c r="L2" s="71" t="s">
        <v>173</v>
      </c>
    </row>
    <row r="3" spans="1:12" s="73" customFormat="1" ht="18.2" customHeight="1">
      <c r="A3" s="74">
        <v>20160510</v>
      </c>
      <c r="B3" s="71" t="s">
        <v>88</v>
      </c>
      <c r="C3" s="71" t="s">
        <v>76</v>
      </c>
      <c r="D3" s="75">
        <v>13534342.76</v>
      </c>
      <c r="E3" s="71" t="s">
        <v>75</v>
      </c>
      <c r="F3" s="71" t="s">
        <v>168</v>
      </c>
      <c r="G3" s="71" t="s">
        <v>185</v>
      </c>
      <c r="H3" s="71" t="s">
        <v>186</v>
      </c>
      <c r="I3" s="71" t="s">
        <v>183</v>
      </c>
      <c r="J3" s="71" t="s">
        <v>184</v>
      </c>
      <c r="K3" s="71" t="s">
        <v>172</v>
      </c>
      <c r="L3" s="71" t="s">
        <v>173</v>
      </c>
    </row>
    <row r="4" spans="1:12" s="73" customFormat="1" ht="18.2" customHeight="1">
      <c r="A4" s="74">
        <v>20160510</v>
      </c>
      <c r="B4" s="71" t="s">
        <v>83</v>
      </c>
      <c r="C4" s="71" t="s">
        <v>76</v>
      </c>
      <c r="D4" s="75">
        <v>37741261.399999999</v>
      </c>
      <c r="E4" s="71" t="s">
        <v>75</v>
      </c>
      <c r="F4" s="71" t="s">
        <v>168</v>
      </c>
      <c r="G4" s="71" t="s">
        <v>187</v>
      </c>
      <c r="H4" s="71" t="s">
        <v>188</v>
      </c>
      <c r="I4" s="71" t="s">
        <v>183</v>
      </c>
      <c r="J4" s="71" t="s">
        <v>184</v>
      </c>
      <c r="K4" s="71" t="s">
        <v>172</v>
      </c>
      <c r="L4" s="71" t="s">
        <v>173</v>
      </c>
    </row>
    <row r="5" spans="1:12" s="73" customFormat="1" ht="18.2" customHeight="1">
      <c r="A5" s="74">
        <v>20160510</v>
      </c>
      <c r="B5" s="71" t="s">
        <v>86</v>
      </c>
      <c r="C5" s="71" t="s">
        <v>76</v>
      </c>
      <c r="D5" s="75">
        <v>2667968</v>
      </c>
      <c r="E5" s="71" t="s">
        <v>75</v>
      </c>
      <c r="F5" s="71" t="s">
        <v>168</v>
      </c>
      <c r="G5" s="71" t="s">
        <v>204</v>
      </c>
      <c r="H5" s="71" t="s">
        <v>205</v>
      </c>
      <c r="I5" s="71" t="s">
        <v>202</v>
      </c>
      <c r="J5" s="71" t="s">
        <v>206</v>
      </c>
      <c r="K5" s="71" t="s">
        <v>172</v>
      </c>
      <c r="L5" s="71" t="s">
        <v>173</v>
      </c>
    </row>
    <row r="6" spans="1:12" s="73" customFormat="1" ht="18.2" customHeight="1">
      <c r="A6" s="74">
        <v>20160510</v>
      </c>
      <c r="B6" s="71" t="s">
        <v>90</v>
      </c>
      <c r="C6" s="71" t="s">
        <v>76</v>
      </c>
      <c r="D6" s="75">
        <v>4763988</v>
      </c>
      <c r="E6" s="71" t="s">
        <v>75</v>
      </c>
      <c r="F6" s="71" t="s">
        <v>168</v>
      </c>
      <c r="G6" s="71" t="s">
        <v>210</v>
      </c>
      <c r="H6" s="71" t="s">
        <v>211</v>
      </c>
      <c r="I6" s="71" t="s">
        <v>212</v>
      </c>
      <c r="J6" s="71" t="s">
        <v>213</v>
      </c>
      <c r="K6" s="71" t="s">
        <v>172</v>
      </c>
      <c r="L6" s="71" t="s">
        <v>173</v>
      </c>
    </row>
    <row r="7" spans="1:12" s="73" customFormat="1" ht="18.2" customHeight="1">
      <c r="A7" s="74">
        <v>20160510</v>
      </c>
      <c r="B7" s="71" t="s">
        <v>87</v>
      </c>
      <c r="C7" s="71" t="s">
        <v>76</v>
      </c>
      <c r="D7" s="75">
        <v>12230000</v>
      </c>
      <c r="E7" s="71" t="s">
        <v>75</v>
      </c>
      <c r="F7" s="71" t="s">
        <v>168</v>
      </c>
      <c r="G7" s="71" t="s">
        <v>223</v>
      </c>
      <c r="H7" s="71" t="s">
        <v>224</v>
      </c>
      <c r="I7" s="71" t="s">
        <v>225</v>
      </c>
      <c r="J7" s="71" t="s">
        <v>226</v>
      </c>
      <c r="K7" s="71" t="s">
        <v>172</v>
      </c>
      <c r="L7" s="71" t="s">
        <v>173</v>
      </c>
    </row>
    <row r="8" spans="1:12" s="73" customFormat="1" ht="18.2" customHeight="1">
      <c r="A8" s="74">
        <v>20160510</v>
      </c>
      <c r="B8" s="71" t="s">
        <v>84</v>
      </c>
      <c r="C8" s="71" t="s">
        <v>76</v>
      </c>
      <c r="D8" s="75">
        <v>28096280.07</v>
      </c>
      <c r="E8" s="71" t="s">
        <v>75</v>
      </c>
      <c r="F8" s="71" t="s">
        <v>168</v>
      </c>
      <c r="G8" s="71" t="s">
        <v>231</v>
      </c>
      <c r="H8" s="71" t="s">
        <v>232</v>
      </c>
      <c r="I8" s="71" t="s">
        <v>233</v>
      </c>
      <c r="J8" s="71" t="s">
        <v>234</v>
      </c>
      <c r="K8" s="71" t="s">
        <v>172</v>
      </c>
      <c r="L8" s="71" t="s">
        <v>173</v>
      </c>
    </row>
    <row r="9" spans="1:12" s="73" customFormat="1" ht="18.2" customHeight="1">
      <c r="A9" s="74">
        <v>20160510</v>
      </c>
      <c r="B9" s="71" t="s">
        <v>82</v>
      </c>
      <c r="C9" s="71" t="s">
        <v>77</v>
      </c>
      <c r="D9" s="75">
        <v>267466</v>
      </c>
      <c r="E9" s="71" t="s">
        <v>75</v>
      </c>
      <c r="F9" s="71" t="s">
        <v>191</v>
      </c>
      <c r="G9" s="71" t="s">
        <v>262</v>
      </c>
      <c r="H9" s="71" t="s">
        <v>239</v>
      </c>
      <c r="I9" s="71" t="s">
        <v>240</v>
      </c>
      <c r="J9" s="71" t="s">
        <v>241</v>
      </c>
      <c r="K9" s="71" t="s">
        <v>172</v>
      </c>
      <c r="L9" s="71" t="s">
        <v>173</v>
      </c>
    </row>
    <row r="10" spans="1:12" s="73" customFormat="1" ht="18.2" customHeight="1">
      <c r="A10" s="74">
        <v>20160510</v>
      </c>
      <c r="B10" s="71" t="s">
        <v>5</v>
      </c>
      <c r="C10" s="71" t="s">
        <v>77</v>
      </c>
      <c r="D10" s="75">
        <v>6698566.75</v>
      </c>
      <c r="E10" s="71" t="s">
        <v>6</v>
      </c>
      <c r="F10" s="71" t="s">
        <v>191</v>
      </c>
      <c r="G10" s="71" t="s">
        <v>195</v>
      </c>
      <c r="H10" s="71" t="s">
        <v>7</v>
      </c>
      <c r="I10" s="71" t="s">
        <v>8</v>
      </c>
      <c r="J10" s="71" t="s">
        <v>9</v>
      </c>
      <c r="K10" s="71" t="s">
        <v>190</v>
      </c>
      <c r="L10" s="71" t="s">
        <v>173</v>
      </c>
    </row>
    <row r="11" spans="1:12" s="73" customFormat="1" ht="18.2" customHeight="1">
      <c r="A11" s="74">
        <v>20160510</v>
      </c>
      <c r="B11" s="71" t="s">
        <v>12</v>
      </c>
      <c r="C11" s="71" t="s">
        <v>77</v>
      </c>
      <c r="D11" s="75">
        <v>1803886.3</v>
      </c>
      <c r="E11" s="71" t="s">
        <v>6</v>
      </c>
      <c r="F11" s="71" t="s">
        <v>168</v>
      </c>
      <c r="G11" s="71" t="s">
        <v>13</v>
      </c>
      <c r="H11" s="71" t="s">
        <v>14</v>
      </c>
      <c r="I11" s="71" t="s">
        <v>15</v>
      </c>
      <c r="J11" s="71" t="s">
        <v>16</v>
      </c>
      <c r="K11" s="71" t="s">
        <v>190</v>
      </c>
      <c r="L11" s="71" t="s">
        <v>173</v>
      </c>
    </row>
    <row r="12" spans="1:12" s="73" customFormat="1" ht="18.2" customHeight="1">
      <c r="A12" s="74">
        <v>20160510</v>
      </c>
      <c r="B12" s="71" t="s">
        <v>17</v>
      </c>
      <c r="C12" s="71" t="s">
        <v>77</v>
      </c>
      <c r="D12" s="75">
        <v>541989.28000000096</v>
      </c>
      <c r="E12" s="71" t="s">
        <v>6</v>
      </c>
      <c r="F12" s="71" t="s">
        <v>168</v>
      </c>
      <c r="G12" s="71" t="s">
        <v>18</v>
      </c>
      <c r="H12" s="71" t="s">
        <v>14</v>
      </c>
      <c r="I12" s="71" t="s">
        <v>19</v>
      </c>
      <c r="J12" s="71" t="s">
        <v>20</v>
      </c>
      <c r="K12" s="71" t="s">
        <v>190</v>
      </c>
      <c r="L12" s="71" t="s">
        <v>173</v>
      </c>
    </row>
    <row r="13" spans="1:12" s="73" customFormat="1" ht="18.2" customHeight="1">
      <c r="A13" s="74">
        <v>20160510</v>
      </c>
      <c r="B13" s="71" t="s">
        <v>21</v>
      </c>
      <c r="C13" s="71" t="s">
        <v>77</v>
      </c>
      <c r="D13" s="75">
        <v>5059.8600000003398</v>
      </c>
      <c r="E13" s="71" t="s">
        <v>6</v>
      </c>
      <c r="F13" s="71" t="s">
        <v>168</v>
      </c>
      <c r="G13" s="71" t="s">
        <v>22</v>
      </c>
      <c r="H13" s="71" t="s">
        <v>10</v>
      </c>
      <c r="I13" s="71" t="s">
        <v>11</v>
      </c>
      <c r="J13" s="71" t="s">
        <v>23</v>
      </c>
      <c r="K13" s="71" t="s">
        <v>190</v>
      </c>
      <c r="L13" s="71" t="s">
        <v>173</v>
      </c>
    </row>
    <row r="14" spans="1:12" s="73" customFormat="1" ht="18.2" customHeight="1">
      <c r="A14" s="74">
        <v>20160510</v>
      </c>
      <c r="B14" s="71" t="s">
        <v>24</v>
      </c>
      <c r="C14" s="71" t="s">
        <v>77</v>
      </c>
      <c r="D14" s="75">
        <v>1241138.02</v>
      </c>
      <c r="E14" s="71" t="s">
        <v>6</v>
      </c>
      <c r="F14" s="71" t="s">
        <v>168</v>
      </c>
      <c r="G14" s="71" t="s">
        <v>25</v>
      </c>
      <c r="H14" s="71" t="s">
        <v>14</v>
      </c>
      <c r="I14" s="71" t="s">
        <v>15</v>
      </c>
      <c r="J14" s="71" t="s">
        <v>26</v>
      </c>
      <c r="K14" s="71" t="s">
        <v>190</v>
      </c>
      <c r="L14" s="71" t="s">
        <v>173</v>
      </c>
    </row>
    <row r="15" spans="1:12" s="73" customFormat="1" ht="18.2" customHeight="1">
      <c r="A15" s="74">
        <v>20160510</v>
      </c>
      <c r="B15" s="71" t="s">
        <v>27</v>
      </c>
      <c r="C15" s="71" t="s">
        <v>77</v>
      </c>
      <c r="D15" s="75">
        <v>739924.27</v>
      </c>
      <c r="E15" s="71" t="s">
        <v>6</v>
      </c>
      <c r="F15" s="71" t="s">
        <v>168</v>
      </c>
      <c r="G15" s="71" t="s">
        <v>28</v>
      </c>
      <c r="H15" s="71" t="s">
        <v>14</v>
      </c>
      <c r="I15" s="71" t="s">
        <v>29</v>
      </c>
      <c r="J15" s="71" t="s">
        <v>30</v>
      </c>
      <c r="K15" s="71" t="s">
        <v>190</v>
      </c>
      <c r="L15" s="71" t="s">
        <v>173</v>
      </c>
    </row>
    <row r="16" spans="1:12" s="73" customFormat="1" ht="18.2" customHeight="1">
      <c r="A16" s="74">
        <v>20160510</v>
      </c>
      <c r="B16" s="71" t="s">
        <v>31</v>
      </c>
      <c r="C16" s="71" t="s">
        <v>77</v>
      </c>
      <c r="D16" s="75">
        <v>1169802.1499999999</v>
      </c>
      <c r="E16" s="71" t="s">
        <v>6</v>
      </c>
      <c r="F16" s="71" t="s">
        <v>168</v>
      </c>
      <c r="G16" s="71" t="s">
        <v>32</v>
      </c>
      <c r="H16" s="71" t="s">
        <v>7</v>
      </c>
      <c r="I16" s="71" t="s">
        <v>33</v>
      </c>
      <c r="J16" s="71" t="s">
        <v>34</v>
      </c>
      <c r="K16" s="71" t="s">
        <v>190</v>
      </c>
      <c r="L16" s="71" t="s">
        <v>173</v>
      </c>
    </row>
    <row r="17" spans="1:12" s="73" customFormat="1" ht="18.2" customHeight="1">
      <c r="A17" s="74">
        <v>20160510</v>
      </c>
      <c r="B17" s="71" t="s">
        <v>35</v>
      </c>
      <c r="C17" s="71" t="s">
        <v>77</v>
      </c>
      <c r="D17" s="75">
        <v>1208500</v>
      </c>
      <c r="E17" s="71" t="s">
        <v>6</v>
      </c>
      <c r="F17" s="71" t="s">
        <v>168</v>
      </c>
      <c r="G17" s="71" t="s">
        <v>36</v>
      </c>
      <c r="H17" s="71" t="s">
        <v>14</v>
      </c>
      <c r="I17" s="71" t="s">
        <v>37</v>
      </c>
      <c r="J17" s="71" t="s">
        <v>38</v>
      </c>
      <c r="K17" s="71" t="s">
        <v>190</v>
      </c>
      <c r="L17" s="71" t="s">
        <v>173</v>
      </c>
    </row>
    <row r="18" spans="1:12" s="73" customFormat="1" ht="18.2" customHeight="1">
      <c r="A18" s="74">
        <v>20160510</v>
      </c>
      <c r="B18" s="71" t="s">
        <v>39</v>
      </c>
      <c r="C18" s="71" t="s">
        <v>77</v>
      </c>
      <c r="D18" s="75">
        <v>329554.82</v>
      </c>
      <c r="E18" s="71" t="s">
        <v>6</v>
      </c>
      <c r="F18" s="71" t="s">
        <v>168</v>
      </c>
      <c r="G18" s="71" t="s">
        <v>40</v>
      </c>
      <c r="H18" s="71" t="s">
        <v>41</v>
      </c>
      <c r="I18" s="71" t="s">
        <v>42</v>
      </c>
      <c r="J18" s="71" t="s">
        <v>43</v>
      </c>
      <c r="K18" s="71" t="s">
        <v>190</v>
      </c>
      <c r="L18" s="71" t="s">
        <v>173</v>
      </c>
    </row>
    <row r="19" spans="1:12" s="73" customFormat="1" ht="18.2" customHeight="1">
      <c r="A19" s="74">
        <v>20160510</v>
      </c>
      <c r="B19" s="71" t="s">
        <v>89</v>
      </c>
      <c r="C19" s="71" t="s">
        <v>77</v>
      </c>
      <c r="D19" s="75">
        <v>106417.94</v>
      </c>
      <c r="E19" s="71" t="s">
        <v>75</v>
      </c>
      <c r="F19" s="71" t="s">
        <v>168</v>
      </c>
      <c r="G19" s="71" t="s">
        <v>214</v>
      </c>
      <c r="H19" s="71" t="s">
        <v>44</v>
      </c>
      <c r="I19" s="71" t="s">
        <v>45</v>
      </c>
      <c r="J19" s="71" t="s">
        <v>46</v>
      </c>
      <c r="K19" s="71" t="s">
        <v>190</v>
      </c>
      <c r="L19" s="71" t="s">
        <v>173</v>
      </c>
    </row>
    <row r="20" spans="1:12" s="73" customFormat="1" ht="18.2" customHeight="1">
      <c r="A20" s="74">
        <v>20160510</v>
      </c>
      <c r="B20" s="71" t="s">
        <v>85</v>
      </c>
      <c r="C20" s="71" t="s">
        <v>77</v>
      </c>
      <c r="D20" s="75">
        <v>164051.79999999999</v>
      </c>
      <c r="E20" s="71" t="s">
        <v>75</v>
      </c>
      <c r="F20" s="71" t="s">
        <v>168</v>
      </c>
      <c r="G20" s="71" t="s">
        <v>47</v>
      </c>
      <c r="H20" s="71" t="s">
        <v>44</v>
      </c>
      <c r="I20" s="71" t="s">
        <v>48</v>
      </c>
      <c r="J20" s="71" t="s">
        <v>49</v>
      </c>
      <c r="K20" s="71" t="s">
        <v>190</v>
      </c>
      <c r="L20" s="71" t="s">
        <v>173</v>
      </c>
    </row>
    <row r="21" spans="1:12" s="73" customFormat="1" ht="18.2" customHeight="1">
      <c r="A21" s="74">
        <v>20160510</v>
      </c>
      <c r="B21" s="71" t="s">
        <v>50</v>
      </c>
      <c r="C21" s="71" t="s">
        <v>77</v>
      </c>
      <c r="D21" s="75">
        <v>623161.63000000105</v>
      </c>
      <c r="E21" s="71" t="s">
        <v>6</v>
      </c>
      <c r="F21" s="71" t="s">
        <v>51</v>
      </c>
      <c r="G21" s="71" t="s">
        <v>52</v>
      </c>
      <c r="H21" s="71" t="s">
        <v>53</v>
      </c>
      <c r="I21" s="71" t="s">
        <v>54</v>
      </c>
      <c r="J21" s="71" t="s">
        <v>55</v>
      </c>
      <c r="K21" s="71" t="s">
        <v>190</v>
      </c>
      <c r="L21" s="71" t="s">
        <v>173</v>
      </c>
    </row>
    <row r="22" spans="1:12" s="73" customFormat="1" ht="18.2" customHeight="1">
      <c r="A22" s="74">
        <v>20160510</v>
      </c>
      <c r="B22" s="71" t="s">
        <v>346</v>
      </c>
      <c r="C22" s="71" t="s">
        <v>347</v>
      </c>
      <c r="D22" s="75">
        <v>58248.480000000003</v>
      </c>
      <c r="E22" s="71" t="s">
        <v>348</v>
      </c>
      <c r="F22" s="71" t="s">
        <v>168</v>
      </c>
      <c r="G22" s="71" t="s">
        <v>238</v>
      </c>
      <c r="H22" s="71" t="s">
        <v>349</v>
      </c>
      <c r="I22" s="71" t="s">
        <v>236</v>
      </c>
      <c r="J22" s="71" t="s">
        <v>237</v>
      </c>
      <c r="K22" s="71" t="s">
        <v>57</v>
      </c>
      <c r="L22" s="71" t="s">
        <v>57</v>
      </c>
    </row>
    <row r="23" spans="1:12" s="73" customFormat="1" ht="18.2" customHeight="1">
      <c r="A23" s="74">
        <v>20160510</v>
      </c>
      <c r="B23" s="71" t="s">
        <v>350</v>
      </c>
      <c r="C23" s="71" t="s">
        <v>347</v>
      </c>
      <c r="D23" s="75">
        <v>1069000</v>
      </c>
      <c r="E23" s="71" t="s">
        <v>348</v>
      </c>
      <c r="F23" s="71" t="s">
        <v>168</v>
      </c>
      <c r="G23" s="71" t="s">
        <v>235</v>
      </c>
      <c r="H23" s="71" t="s">
        <v>349</v>
      </c>
      <c r="I23" s="71" t="s">
        <v>236</v>
      </c>
      <c r="J23" s="71" t="s">
        <v>237</v>
      </c>
      <c r="K23" s="71" t="s">
        <v>57</v>
      </c>
      <c r="L23" s="71" t="s">
        <v>57</v>
      </c>
    </row>
    <row r="24" spans="1:12" s="73" customFormat="1" ht="18.2" customHeight="1">
      <c r="A24" s="74">
        <v>20160510</v>
      </c>
      <c r="B24" s="71" t="s">
        <v>351</v>
      </c>
      <c r="C24" s="71" t="s">
        <v>352</v>
      </c>
      <c r="D24" s="75">
        <v>8820504</v>
      </c>
      <c r="E24" s="71" t="s">
        <v>348</v>
      </c>
      <c r="F24" s="71" t="s">
        <v>168</v>
      </c>
      <c r="G24" s="71" t="s">
        <v>199</v>
      </c>
      <c r="H24" s="71" t="s">
        <v>353</v>
      </c>
      <c r="I24" s="71" t="s">
        <v>189</v>
      </c>
      <c r="J24" s="71" t="s">
        <v>200</v>
      </c>
      <c r="K24" s="71" t="s">
        <v>57</v>
      </c>
      <c r="L24" s="71" t="s">
        <v>57</v>
      </c>
    </row>
    <row r="25" spans="1:12" s="73" customFormat="1" ht="18.2" customHeight="1">
      <c r="A25" s="74">
        <v>20160510</v>
      </c>
      <c r="B25" s="71" t="s">
        <v>354</v>
      </c>
      <c r="C25" s="71" t="s">
        <v>352</v>
      </c>
      <c r="D25" s="75">
        <v>148351914.50999999</v>
      </c>
      <c r="E25" s="71" t="s">
        <v>348</v>
      </c>
      <c r="F25" s="71" t="s">
        <v>168</v>
      </c>
      <c r="G25" s="71" t="s">
        <v>220</v>
      </c>
      <c r="H25" s="71" t="s">
        <v>355</v>
      </c>
      <c r="I25" s="71" t="s">
        <v>221</v>
      </c>
      <c r="J25" s="71" t="s">
        <v>222</v>
      </c>
      <c r="K25" s="71" t="s">
        <v>57</v>
      </c>
      <c r="L25" s="71" t="s">
        <v>57</v>
      </c>
    </row>
    <row r="26" spans="1:12" s="73" customFormat="1" ht="18.2" customHeight="1">
      <c r="A26" s="74">
        <v>20160510</v>
      </c>
      <c r="B26" s="71" t="s">
        <v>356</v>
      </c>
      <c r="C26" s="71" t="s">
        <v>352</v>
      </c>
      <c r="D26" s="75">
        <v>887133.76</v>
      </c>
      <c r="E26" s="71" t="s">
        <v>348</v>
      </c>
      <c r="F26" s="71" t="s">
        <v>168</v>
      </c>
      <c r="G26" s="71" t="s">
        <v>192</v>
      </c>
      <c r="H26" s="71" t="s">
        <v>357</v>
      </c>
      <c r="I26" s="71" t="s">
        <v>193</v>
      </c>
      <c r="J26" s="71" t="s">
        <v>194</v>
      </c>
      <c r="K26" s="71" t="s">
        <v>57</v>
      </c>
      <c r="L26" s="71" t="s">
        <v>57</v>
      </c>
    </row>
    <row r="27" spans="1:12" s="73" customFormat="1" ht="18.2" customHeight="1">
      <c r="A27" s="74">
        <v>20160510</v>
      </c>
      <c r="B27" s="71" t="s">
        <v>358</v>
      </c>
      <c r="C27" s="71" t="s">
        <v>352</v>
      </c>
      <c r="D27" s="75">
        <v>821537.77</v>
      </c>
      <c r="E27" s="71" t="s">
        <v>348</v>
      </c>
      <c r="F27" s="71" t="s">
        <v>168</v>
      </c>
      <c r="G27" s="71" t="s">
        <v>207</v>
      </c>
      <c r="H27" s="71" t="s">
        <v>357</v>
      </c>
      <c r="I27" s="71" t="s">
        <v>208</v>
      </c>
      <c r="J27" s="71" t="s">
        <v>209</v>
      </c>
      <c r="K27" s="71" t="s">
        <v>57</v>
      </c>
      <c r="L27" s="71" t="s">
        <v>57</v>
      </c>
    </row>
    <row r="28" spans="1:12" s="73" customFormat="1" ht="18.2" customHeight="1">
      <c r="A28" s="74">
        <v>20160510</v>
      </c>
      <c r="B28" s="71" t="s">
        <v>359</v>
      </c>
      <c r="C28" s="71" t="s">
        <v>347</v>
      </c>
      <c r="D28" s="75">
        <v>449500</v>
      </c>
      <c r="E28" s="71" t="s">
        <v>348</v>
      </c>
      <c r="F28" s="71" t="s">
        <v>168</v>
      </c>
      <c r="G28" s="71" t="s">
        <v>0</v>
      </c>
      <c r="H28" s="71" t="s">
        <v>357</v>
      </c>
      <c r="I28" s="71" t="s">
        <v>225</v>
      </c>
      <c r="J28" s="71" t="s">
        <v>1</v>
      </c>
      <c r="K28" s="71" t="s">
        <v>57</v>
      </c>
      <c r="L28" s="71" t="s">
        <v>57</v>
      </c>
    </row>
    <row r="29" spans="1:12" s="73" customFormat="1" ht="18.2" customHeight="1">
      <c r="A29" s="74">
        <v>20160510</v>
      </c>
      <c r="B29" s="71" t="s">
        <v>360</v>
      </c>
      <c r="C29" s="71" t="s">
        <v>347</v>
      </c>
      <c r="D29" s="75">
        <v>991000</v>
      </c>
      <c r="E29" s="71" t="s">
        <v>348</v>
      </c>
      <c r="F29" s="71" t="s">
        <v>168</v>
      </c>
      <c r="G29" s="71" t="s">
        <v>2</v>
      </c>
      <c r="H29" s="71" t="s">
        <v>357</v>
      </c>
      <c r="I29" s="71" t="s">
        <v>3</v>
      </c>
      <c r="J29" s="71" t="s">
        <v>4</v>
      </c>
      <c r="K29" s="71" t="s">
        <v>57</v>
      </c>
      <c r="L29" s="71" t="s">
        <v>57</v>
      </c>
    </row>
    <row r="30" spans="1:12" s="73" customFormat="1" ht="18.2" customHeight="1">
      <c r="A30" s="74">
        <v>20160510</v>
      </c>
      <c r="B30" s="71" t="s">
        <v>361</v>
      </c>
      <c r="C30" s="71" t="s">
        <v>362</v>
      </c>
      <c r="D30" s="75">
        <v>37801532.390000001</v>
      </c>
      <c r="E30" s="71" t="s">
        <v>348</v>
      </c>
      <c r="F30" s="71" t="s">
        <v>168</v>
      </c>
      <c r="G30" s="71" t="s">
        <v>169</v>
      </c>
      <c r="H30" s="71" t="s">
        <v>345</v>
      </c>
      <c r="I30" s="71" t="s">
        <v>170</v>
      </c>
      <c r="J30" s="71" t="s">
        <v>171</v>
      </c>
      <c r="K30" s="71" t="s">
        <v>57</v>
      </c>
      <c r="L30" s="71" t="s">
        <v>57</v>
      </c>
    </row>
    <row r="31" spans="1:12" s="73" customFormat="1" ht="18.2" customHeight="1">
      <c r="A31" s="74">
        <v>20160510</v>
      </c>
      <c r="B31" s="71" t="s">
        <v>363</v>
      </c>
      <c r="C31" s="71" t="s">
        <v>352</v>
      </c>
      <c r="D31" s="75">
        <v>9494402.2699999996</v>
      </c>
      <c r="E31" s="71" t="s">
        <v>348</v>
      </c>
      <c r="F31" s="71" t="s">
        <v>168</v>
      </c>
      <c r="G31" s="71" t="s">
        <v>218</v>
      </c>
      <c r="H31" s="71" t="s">
        <v>345</v>
      </c>
      <c r="I31" s="71" t="s">
        <v>215</v>
      </c>
      <c r="J31" s="71" t="s">
        <v>219</v>
      </c>
      <c r="K31" s="71" t="s">
        <v>57</v>
      </c>
      <c r="L31" s="71" t="s">
        <v>57</v>
      </c>
    </row>
    <row r="32" spans="1:12" s="73" customFormat="1" ht="18.2" customHeight="1">
      <c r="A32" s="74">
        <v>20160510</v>
      </c>
      <c r="B32" s="71" t="s">
        <v>776</v>
      </c>
      <c r="C32" s="71" t="s">
        <v>352</v>
      </c>
      <c r="D32" s="75">
        <v>5183116.21</v>
      </c>
      <c r="E32" s="71" t="s">
        <v>348</v>
      </c>
      <c r="F32" s="71" t="s">
        <v>168</v>
      </c>
      <c r="G32" s="71" t="s">
        <v>174</v>
      </c>
      <c r="H32" s="71" t="s">
        <v>777</v>
      </c>
      <c r="I32" s="71" t="s">
        <v>179</v>
      </c>
      <c r="J32" s="71" t="s">
        <v>176</v>
      </c>
      <c r="K32" s="71" t="s">
        <v>57</v>
      </c>
      <c r="L32" s="71" t="s">
        <v>57</v>
      </c>
    </row>
    <row r="33" spans="1:12" s="73" customFormat="1" ht="18.2" customHeight="1">
      <c r="A33" s="74">
        <v>20160510</v>
      </c>
      <c r="B33" s="71" t="s">
        <v>778</v>
      </c>
      <c r="C33" s="71" t="s">
        <v>352</v>
      </c>
      <c r="D33" s="75">
        <v>2003757.57</v>
      </c>
      <c r="E33" s="71" t="s">
        <v>348</v>
      </c>
      <c r="F33" s="71" t="s">
        <v>168</v>
      </c>
      <c r="G33" s="71" t="s">
        <v>174</v>
      </c>
      <c r="H33" s="71" t="s">
        <v>777</v>
      </c>
      <c r="I33" s="71" t="s">
        <v>175</v>
      </c>
      <c r="J33" s="71" t="s">
        <v>176</v>
      </c>
      <c r="K33" s="71" t="s">
        <v>57</v>
      </c>
      <c r="L33" s="71" t="s">
        <v>57</v>
      </c>
    </row>
    <row r="34" spans="1:12" s="73" customFormat="1" ht="18.2" customHeight="1">
      <c r="A34" s="74">
        <v>20160510</v>
      </c>
      <c r="B34" s="71" t="s">
        <v>779</v>
      </c>
      <c r="C34" s="71" t="s">
        <v>352</v>
      </c>
      <c r="D34" s="75">
        <v>3167401.77</v>
      </c>
      <c r="E34" s="71" t="s">
        <v>348</v>
      </c>
      <c r="F34" s="71" t="s">
        <v>168</v>
      </c>
      <c r="G34" s="71" t="s">
        <v>174</v>
      </c>
      <c r="H34" s="71" t="s">
        <v>777</v>
      </c>
      <c r="I34" s="71" t="s">
        <v>180</v>
      </c>
      <c r="J34" s="71" t="s">
        <v>176</v>
      </c>
      <c r="K34" s="71" t="s">
        <v>57</v>
      </c>
      <c r="L34" s="71" t="s">
        <v>57</v>
      </c>
    </row>
    <row r="35" spans="1:12" s="73" customFormat="1" ht="18.2" customHeight="1">
      <c r="A35" s="74">
        <v>20160510</v>
      </c>
      <c r="B35" s="71" t="s">
        <v>780</v>
      </c>
      <c r="C35" s="71" t="s">
        <v>352</v>
      </c>
      <c r="D35" s="75">
        <v>3322394.41</v>
      </c>
      <c r="E35" s="71" t="s">
        <v>348</v>
      </c>
      <c r="F35" s="71" t="s">
        <v>168</v>
      </c>
      <c r="G35" s="71" t="s">
        <v>174</v>
      </c>
      <c r="H35" s="71" t="s">
        <v>777</v>
      </c>
      <c r="I35" s="71" t="s">
        <v>175</v>
      </c>
      <c r="J35" s="71" t="s">
        <v>176</v>
      </c>
      <c r="K35" s="71" t="s">
        <v>57</v>
      </c>
      <c r="L35" s="71" t="s">
        <v>57</v>
      </c>
    </row>
    <row r="36" spans="1:12" s="73" customFormat="1" ht="18.2" customHeight="1">
      <c r="A36" s="74">
        <v>20160510</v>
      </c>
      <c r="B36" s="71" t="s">
        <v>781</v>
      </c>
      <c r="C36" s="71" t="s">
        <v>352</v>
      </c>
      <c r="D36" s="75">
        <v>0.01</v>
      </c>
      <c r="E36" s="71" t="s">
        <v>348</v>
      </c>
      <c r="F36" s="71" t="s">
        <v>168</v>
      </c>
      <c r="G36" s="71" t="s">
        <v>174</v>
      </c>
      <c r="H36" s="71" t="s">
        <v>777</v>
      </c>
      <c r="I36" s="71" t="s">
        <v>178</v>
      </c>
      <c r="J36" s="71" t="s">
        <v>176</v>
      </c>
      <c r="K36" s="71" t="s">
        <v>57</v>
      </c>
      <c r="L36" s="71" t="s">
        <v>57</v>
      </c>
    </row>
    <row r="37" spans="1:12" s="73" customFormat="1" ht="18.2" customHeight="1">
      <c r="A37" s="74">
        <v>20160510</v>
      </c>
      <c r="B37" s="71" t="s">
        <v>782</v>
      </c>
      <c r="C37" s="71" t="s">
        <v>352</v>
      </c>
      <c r="D37" s="75">
        <v>0.01</v>
      </c>
      <c r="E37" s="71" t="s">
        <v>348</v>
      </c>
      <c r="F37" s="71" t="s">
        <v>168</v>
      </c>
      <c r="G37" s="71" t="s">
        <v>174</v>
      </c>
      <c r="H37" s="71" t="s">
        <v>777</v>
      </c>
      <c r="I37" s="71" t="s">
        <v>177</v>
      </c>
      <c r="J37" s="71" t="s">
        <v>176</v>
      </c>
      <c r="K37" s="71" t="s">
        <v>57</v>
      </c>
      <c r="L37" s="71" t="s">
        <v>57</v>
      </c>
    </row>
    <row r="38" spans="1:12" s="73" customFormat="1" ht="18.2" customHeight="1">
      <c r="A38" s="74">
        <v>20160510</v>
      </c>
      <c r="B38" s="71" t="s">
        <v>783</v>
      </c>
      <c r="C38" s="71" t="s">
        <v>352</v>
      </c>
      <c r="D38" s="75">
        <v>0.01</v>
      </c>
      <c r="E38" s="71" t="s">
        <v>348</v>
      </c>
      <c r="F38" s="71" t="s">
        <v>168</v>
      </c>
      <c r="G38" s="71" t="s">
        <v>174</v>
      </c>
      <c r="H38" s="71" t="s">
        <v>777</v>
      </c>
      <c r="I38" s="71" t="s">
        <v>178</v>
      </c>
      <c r="J38" s="71" t="s">
        <v>176</v>
      </c>
      <c r="K38" s="71" t="s">
        <v>57</v>
      </c>
      <c r="L38" s="71" t="s">
        <v>57</v>
      </c>
    </row>
    <row r="39" spans="1:12" s="73" customFormat="1" ht="18.2" customHeight="1">
      <c r="A39" s="74">
        <v>20160510</v>
      </c>
      <c r="B39" s="71" t="s">
        <v>784</v>
      </c>
      <c r="C39" s="71" t="s">
        <v>352</v>
      </c>
      <c r="D39" s="75">
        <v>0.01</v>
      </c>
      <c r="E39" s="71" t="s">
        <v>348</v>
      </c>
      <c r="F39" s="71" t="s">
        <v>168</v>
      </c>
      <c r="G39" s="71" t="s">
        <v>174</v>
      </c>
      <c r="H39" s="71" t="s">
        <v>777</v>
      </c>
      <c r="I39" s="71" t="s">
        <v>179</v>
      </c>
      <c r="J39" s="71" t="s">
        <v>176</v>
      </c>
      <c r="K39" s="71" t="s">
        <v>57</v>
      </c>
      <c r="L39" s="71" t="s">
        <v>57</v>
      </c>
    </row>
    <row r="40" spans="1:12" s="73" customFormat="1" ht="18.2" customHeight="1">
      <c r="A40" s="74">
        <v>20160510</v>
      </c>
      <c r="B40" s="71" t="s">
        <v>785</v>
      </c>
      <c r="C40" s="71" t="s">
        <v>352</v>
      </c>
      <c r="D40" s="75">
        <v>1385.04</v>
      </c>
      <c r="E40" s="71" t="s">
        <v>348</v>
      </c>
      <c r="F40" s="71" t="s">
        <v>168</v>
      </c>
      <c r="G40" s="71" t="s">
        <v>174</v>
      </c>
      <c r="H40" s="71" t="s">
        <v>777</v>
      </c>
      <c r="I40" s="71" t="s">
        <v>180</v>
      </c>
      <c r="J40" s="71" t="s">
        <v>176</v>
      </c>
      <c r="K40" s="71" t="s">
        <v>57</v>
      </c>
      <c r="L40" s="71" t="s">
        <v>57</v>
      </c>
    </row>
    <row r="41" spans="1:12" s="73" customFormat="1" ht="18.2" customHeight="1">
      <c r="A41" s="74">
        <v>20160510</v>
      </c>
      <c r="B41" s="71" t="s">
        <v>786</v>
      </c>
      <c r="C41" s="71" t="s">
        <v>362</v>
      </c>
      <c r="D41" s="75">
        <v>71180918.349999994</v>
      </c>
      <c r="E41" s="71" t="s">
        <v>348</v>
      </c>
      <c r="F41" s="71" t="s">
        <v>168</v>
      </c>
      <c r="G41" s="71" t="s">
        <v>201</v>
      </c>
      <c r="H41" s="71" t="s">
        <v>787</v>
      </c>
      <c r="I41" s="71" t="s">
        <v>202</v>
      </c>
      <c r="J41" s="71" t="s">
        <v>203</v>
      </c>
      <c r="K41" s="71" t="s">
        <v>57</v>
      </c>
      <c r="L41" s="71" t="s">
        <v>57</v>
      </c>
    </row>
    <row r="42" spans="1:12" s="73" customFormat="1" ht="18.2" customHeight="1">
      <c r="A42" s="74">
        <v>20160510</v>
      </c>
      <c r="B42" s="71" t="s">
        <v>788</v>
      </c>
      <c r="C42" s="71" t="s">
        <v>362</v>
      </c>
      <c r="D42" s="75">
        <v>3426000</v>
      </c>
      <c r="E42" s="71" t="s">
        <v>348</v>
      </c>
      <c r="F42" s="71" t="s">
        <v>168</v>
      </c>
      <c r="G42" s="71" t="s">
        <v>227</v>
      </c>
      <c r="H42" s="71" t="s">
        <v>787</v>
      </c>
      <c r="I42" s="71" t="s">
        <v>228</v>
      </c>
      <c r="J42" s="71" t="s">
        <v>229</v>
      </c>
      <c r="K42" s="71" t="s">
        <v>57</v>
      </c>
      <c r="L42" s="71" t="s">
        <v>57</v>
      </c>
    </row>
    <row r="43" spans="1:12" s="73" customFormat="1" ht="18.2" customHeight="1">
      <c r="A43" s="74">
        <v>20160510</v>
      </c>
      <c r="B43" s="71" t="s">
        <v>789</v>
      </c>
      <c r="C43" s="71" t="s">
        <v>352</v>
      </c>
      <c r="D43" s="75">
        <v>1413636.01</v>
      </c>
      <c r="E43" s="71" t="s">
        <v>348</v>
      </c>
      <c r="F43" s="71" t="s">
        <v>168</v>
      </c>
      <c r="G43" s="71" t="s">
        <v>230</v>
      </c>
      <c r="H43" s="71" t="s">
        <v>787</v>
      </c>
      <c r="I43" s="71" t="s">
        <v>228</v>
      </c>
      <c r="J43" s="71" t="s">
        <v>229</v>
      </c>
      <c r="K43" s="71" t="s">
        <v>57</v>
      </c>
      <c r="L43" s="71" t="s">
        <v>57</v>
      </c>
    </row>
    <row r="44" spans="1:12" s="73" customFormat="1" ht="18.2" customHeight="1">
      <c r="A44" s="74">
        <v>20160510</v>
      </c>
      <c r="B44" s="71" t="s">
        <v>790</v>
      </c>
      <c r="C44" s="71" t="s">
        <v>352</v>
      </c>
      <c r="D44" s="75">
        <v>503500</v>
      </c>
      <c r="E44" s="71" t="s">
        <v>348</v>
      </c>
      <c r="F44" s="71" t="s">
        <v>168</v>
      </c>
      <c r="G44" s="71" t="s">
        <v>217</v>
      </c>
      <c r="H44" s="71" t="s">
        <v>775</v>
      </c>
      <c r="I44" s="71" t="s">
        <v>215</v>
      </c>
      <c r="J44" s="71" t="s">
        <v>216</v>
      </c>
      <c r="K44" s="71" t="s">
        <v>57</v>
      </c>
      <c r="L44" s="71" t="s">
        <v>57</v>
      </c>
    </row>
    <row r="45" spans="1:12" s="73" customFormat="1" ht="18.2" customHeight="1">
      <c r="A45" s="74">
        <v>20160510</v>
      </c>
      <c r="B45" s="71" t="s">
        <v>791</v>
      </c>
      <c r="C45" s="71" t="s">
        <v>352</v>
      </c>
      <c r="D45" s="75">
        <v>75145.62</v>
      </c>
      <c r="E45" s="71" t="s">
        <v>348</v>
      </c>
      <c r="F45" s="71" t="s">
        <v>168</v>
      </c>
      <c r="G45" s="71" t="s">
        <v>214</v>
      </c>
      <c r="H45" s="71" t="s">
        <v>775</v>
      </c>
      <c r="I45" s="71" t="s">
        <v>215</v>
      </c>
      <c r="J45" s="71" t="s">
        <v>216</v>
      </c>
      <c r="K45" s="71" t="s">
        <v>57</v>
      </c>
      <c r="L45" s="71" t="s">
        <v>57</v>
      </c>
    </row>
    <row r="46" spans="1:12" s="73" customFormat="1" ht="18.2" customHeight="1">
      <c r="A46" s="74">
        <v>20160510</v>
      </c>
      <c r="B46" s="71" t="s">
        <v>792</v>
      </c>
      <c r="C46" s="71" t="s">
        <v>352</v>
      </c>
      <c r="D46" s="75">
        <v>12422402</v>
      </c>
      <c r="E46" s="71" t="s">
        <v>348</v>
      </c>
      <c r="F46" s="71" t="s">
        <v>168</v>
      </c>
      <c r="G46" s="71" t="s">
        <v>196</v>
      </c>
      <c r="H46" s="71" t="s">
        <v>775</v>
      </c>
      <c r="I46" s="71" t="s">
        <v>197</v>
      </c>
      <c r="J46" s="71" t="s">
        <v>198</v>
      </c>
      <c r="K46" s="71" t="s">
        <v>57</v>
      </c>
      <c r="L46" s="71" t="s">
        <v>57</v>
      </c>
    </row>
    <row r="47" spans="1:12" s="73" customFormat="1" ht="18.2" customHeight="1">
      <c r="A47" s="74">
        <v>20160510</v>
      </c>
      <c r="B47" s="71" t="s">
        <v>793</v>
      </c>
      <c r="C47" s="71" t="s">
        <v>352</v>
      </c>
      <c r="D47" s="75">
        <v>939600</v>
      </c>
      <c r="E47" s="71" t="s">
        <v>348</v>
      </c>
      <c r="F47" s="71" t="s">
        <v>168</v>
      </c>
      <c r="G47" s="71" t="s">
        <v>196</v>
      </c>
      <c r="H47" s="71" t="s">
        <v>775</v>
      </c>
      <c r="I47" s="71" t="s">
        <v>197</v>
      </c>
      <c r="J47" s="71" t="s">
        <v>198</v>
      </c>
      <c r="K47" s="71" t="s">
        <v>57</v>
      </c>
      <c r="L47" s="71" t="s">
        <v>57</v>
      </c>
    </row>
    <row r="48" spans="1:12" s="73" customFormat="1" ht="18.2" customHeight="1">
      <c r="A48" s="74">
        <v>20160510</v>
      </c>
      <c r="B48" s="71" t="s">
        <v>56</v>
      </c>
      <c r="C48" s="71"/>
      <c r="D48" s="75">
        <v>463586229.20999998</v>
      </c>
      <c r="E48" s="71"/>
      <c r="F48" s="71"/>
      <c r="G48" s="71"/>
      <c r="H48" s="71"/>
      <c r="I48" s="71"/>
      <c r="J48" s="71"/>
      <c r="K48" s="71" t="s">
        <v>57</v>
      </c>
      <c r="L48" s="71" t="s">
        <v>57</v>
      </c>
    </row>
    <row r="49" spans="1:12" s="73" customFormat="1" ht="18.2" customHeight="1">
      <c r="A49" s="74"/>
      <c r="B49" s="71"/>
      <c r="C49" s="71"/>
      <c r="D49" s="75"/>
      <c r="E49" s="71"/>
      <c r="F49" s="71"/>
      <c r="G49" s="71"/>
      <c r="H49" s="71"/>
      <c r="I49" s="71"/>
      <c r="J49" s="71"/>
      <c r="K49" s="71"/>
      <c r="L49" s="71"/>
    </row>
    <row r="50" spans="1:12" s="73" customFormat="1" ht="18.2" customHeight="1">
      <c r="A50" s="74"/>
      <c r="B50" s="71"/>
      <c r="C50" s="71"/>
      <c r="D50" s="75"/>
      <c r="E50" s="71"/>
      <c r="F50" s="71"/>
      <c r="G50" s="71"/>
      <c r="H50" s="71"/>
      <c r="I50" s="71"/>
      <c r="J50" s="71"/>
      <c r="K50" s="71"/>
      <c r="L50" s="71"/>
    </row>
    <row r="51" spans="1:12" s="73" customFormat="1" ht="18.2" customHeight="1">
      <c r="A51" s="74"/>
      <c r="B51" s="71"/>
      <c r="C51" s="71"/>
      <c r="D51" s="75"/>
      <c r="E51" s="71"/>
      <c r="F51" s="71"/>
      <c r="G51" s="71"/>
      <c r="H51" s="71"/>
      <c r="I51" s="71"/>
      <c r="J51" s="71"/>
      <c r="K51" s="71"/>
      <c r="L51" s="71"/>
    </row>
    <row r="52" spans="1:12" s="73" customFormat="1" ht="18.2" customHeight="1">
      <c r="A52" s="74"/>
      <c r="B52" s="71"/>
      <c r="C52" s="71"/>
      <c r="D52" s="75"/>
      <c r="E52" s="71"/>
      <c r="F52" s="71"/>
      <c r="G52" s="71"/>
      <c r="H52" s="71"/>
      <c r="I52" s="71"/>
      <c r="J52" s="71"/>
      <c r="K52" s="71"/>
      <c r="L52" s="71"/>
    </row>
    <row r="53" spans="1:12" s="73" customFormat="1" ht="18.2" customHeight="1">
      <c r="A53" s="74"/>
      <c r="B53" s="71"/>
      <c r="C53" s="71"/>
      <c r="D53" s="75"/>
      <c r="E53" s="71"/>
      <c r="F53" s="71"/>
      <c r="G53" s="71"/>
      <c r="H53" s="71"/>
      <c r="I53" s="71"/>
      <c r="J53" s="71"/>
      <c r="K53" s="71"/>
      <c r="L53" s="71"/>
    </row>
    <row r="54" spans="1:12" s="73" customFormat="1" ht="18.2" customHeight="1">
      <c r="A54" s="74"/>
      <c r="B54" s="71"/>
      <c r="C54" s="71"/>
      <c r="D54" s="75"/>
      <c r="E54" s="71"/>
      <c r="F54" s="71"/>
      <c r="G54" s="71"/>
      <c r="H54" s="71"/>
      <c r="I54" s="71"/>
      <c r="J54" s="71"/>
      <c r="K54" s="71"/>
      <c r="L54" s="71"/>
    </row>
    <row r="55" spans="1:12" s="73" customFormat="1" ht="18.2" customHeight="1">
      <c r="A55" s="74"/>
      <c r="B55" s="71"/>
      <c r="C55" s="71"/>
      <c r="D55" s="75"/>
      <c r="E55" s="71"/>
      <c r="F55" s="71"/>
      <c r="G55" s="71"/>
      <c r="H55" s="71"/>
      <c r="I55" s="71"/>
      <c r="J55" s="71"/>
      <c r="K55" s="71"/>
      <c r="L55" s="71"/>
    </row>
    <row r="56" spans="1:12" s="73" customFormat="1" ht="18.2" customHeight="1">
      <c r="A56" s="74"/>
      <c r="B56" s="71"/>
      <c r="C56" s="71"/>
      <c r="D56" s="75"/>
      <c r="E56" s="71"/>
      <c r="F56" s="71"/>
      <c r="G56" s="71"/>
      <c r="H56" s="71"/>
      <c r="I56" s="71"/>
      <c r="J56" s="71"/>
      <c r="K56" s="71"/>
      <c r="L56" s="71"/>
    </row>
    <row r="57" spans="1:12" s="73" customFormat="1" ht="18.2" customHeight="1">
      <c r="A57" s="74"/>
      <c r="B57" s="71"/>
      <c r="C57" s="71"/>
      <c r="D57" s="75"/>
      <c r="E57" s="71"/>
      <c r="F57" s="71"/>
      <c r="G57" s="71"/>
      <c r="H57" s="71"/>
      <c r="I57" s="71"/>
      <c r="J57" s="71"/>
      <c r="K57" s="71"/>
      <c r="L57" s="71"/>
    </row>
    <row r="58" spans="1:12" s="73" customFormat="1" ht="18.2" customHeight="1">
      <c r="A58" s="74"/>
      <c r="B58" s="71"/>
      <c r="C58" s="71"/>
      <c r="D58" s="75"/>
      <c r="E58" s="71"/>
      <c r="F58" s="71"/>
      <c r="G58" s="71"/>
      <c r="H58" s="71"/>
      <c r="I58" s="71"/>
      <c r="J58" s="71"/>
      <c r="K58" s="71"/>
      <c r="L58" s="71"/>
    </row>
    <row r="59" spans="1:12" s="73" customFormat="1" ht="18.2" customHeight="1">
      <c r="A59" s="74"/>
      <c r="B59" s="71"/>
      <c r="C59" s="71"/>
      <c r="D59" s="75"/>
      <c r="E59" s="71"/>
      <c r="F59" s="71"/>
      <c r="G59" s="71"/>
      <c r="H59" s="71"/>
      <c r="I59" s="71"/>
      <c r="J59" s="71"/>
      <c r="K59" s="71"/>
      <c r="L59" s="71"/>
    </row>
    <row r="60" spans="1:12" s="73" customFormat="1" ht="18.2" customHeight="1">
      <c r="A60" s="74"/>
      <c r="B60" s="71"/>
      <c r="C60" s="71"/>
      <c r="D60" s="75"/>
      <c r="E60" s="71"/>
      <c r="F60" s="71"/>
      <c r="G60" s="71"/>
      <c r="H60" s="71"/>
      <c r="I60" s="71"/>
      <c r="J60" s="71"/>
      <c r="K60" s="71"/>
      <c r="L60" s="71"/>
    </row>
    <row r="61" spans="1:12" s="73" customFormat="1" ht="18.2" customHeight="1">
      <c r="A61" s="74"/>
      <c r="B61" s="71"/>
      <c r="C61" s="71"/>
      <c r="D61" s="75"/>
      <c r="E61" s="71"/>
      <c r="F61" s="71"/>
      <c r="G61" s="71"/>
      <c r="H61" s="71"/>
      <c r="I61" s="71"/>
      <c r="J61" s="71"/>
      <c r="K61" s="71"/>
      <c r="L61" s="71"/>
    </row>
    <row r="62" spans="1:12" s="73" customFormat="1" ht="18.2" customHeight="1">
      <c r="A62" s="74"/>
      <c r="B62" s="71"/>
      <c r="C62" s="71"/>
      <c r="D62" s="75"/>
      <c r="E62" s="71"/>
      <c r="F62" s="71"/>
      <c r="G62" s="71"/>
      <c r="H62" s="71"/>
      <c r="I62" s="71"/>
      <c r="J62" s="71"/>
      <c r="K62" s="71"/>
      <c r="L62" s="71"/>
    </row>
    <row r="63" spans="1:12" s="73" customFormat="1" ht="18.2" customHeight="1">
      <c r="A63" s="74"/>
      <c r="B63" s="71"/>
      <c r="C63" s="71"/>
      <c r="D63" s="75"/>
      <c r="E63" s="71"/>
      <c r="F63" s="71"/>
      <c r="G63" s="71"/>
      <c r="H63" s="71"/>
      <c r="I63" s="71"/>
      <c r="J63" s="71"/>
      <c r="K63" s="71"/>
      <c r="L63" s="71"/>
    </row>
    <row r="64" spans="1:12" s="73" customFormat="1" ht="18.2" customHeight="1">
      <c r="A64" s="74"/>
      <c r="B64" s="71"/>
      <c r="C64" s="71"/>
      <c r="D64" s="75"/>
      <c r="E64" s="71"/>
      <c r="F64" s="71"/>
      <c r="G64" s="71"/>
      <c r="H64" s="71"/>
      <c r="I64" s="71"/>
      <c r="J64" s="71"/>
      <c r="K64" s="71"/>
      <c r="L64" s="71"/>
    </row>
    <row r="65" spans="1:12" s="73" customFormat="1" ht="18.2" customHeight="1">
      <c r="A65" s="74"/>
      <c r="B65" s="71"/>
      <c r="C65" s="71"/>
      <c r="D65" s="75"/>
      <c r="E65" s="71"/>
      <c r="F65" s="71"/>
      <c r="G65" s="71"/>
      <c r="H65" s="71"/>
      <c r="I65" s="71"/>
      <c r="J65" s="71"/>
      <c r="K65" s="71"/>
      <c r="L65" s="71"/>
    </row>
    <row r="66" spans="1:12" s="73" customFormat="1" ht="18.2" customHeight="1">
      <c r="A66" s="74"/>
      <c r="B66" s="71"/>
      <c r="C66" s="71"/>
      <c r="D66" s="75"/>
      <c r="E66" s="71"/>
      <c r="F66" s="71"/>
      <c r="G66" s="71"/>
      <c r="H66" s="71"/>
      <c r="I66" s="71"/>
      <c r="J66" s="71"/>
      <c r="K66" s="71"/>
      <c r="L66" s="71"/>
    </row>
    <row r="67" spans="1:12" s="73" customFormat="1" ht="18.2" customHeight="1">
      <c r="A67" s="74"/>
      <c r="B67" s="71"/>
      <c r="C67" s="71"/>
      <c r="D67" s="75"/>
      <c r="E67" s="71"/>
      <c r="F67" s="71"/>
      <c r="G67" s="71"/>
      <c r="H67" s="71"/>
      <c r="I67" s="71"/>
      <c r="J67" s="71"/>
      <c r="K67" s="71"/>
      <c r="L67" s="71"/>
    </row>
    <row r="68" spans="1:12" s="73" customFormat="1" ht="18.2" customHeight="1">
      <c r="A68" s="74"/>
      <c r="B68" s="71"/>
      <c r="C68" s="71"/>
      <c r="D68" s="75"/>
      <c r="E68" s="71"/>
      <c r="F68" s="71"/>
      <c r="G68" s="71"/>
      <c r="H68" s="71"/>
      <c r="I68" s="71"/>
      <c r="J68" s="71"/>
      <c r="K68" s="71"/>
      <c r="L68" s="71"/>
    </row>
    <row r="69" spans="1:12" s="73" customFormat="1" ht="18.2" customHeight="1">
      <c r="A69" s="74"/>
      <c r="B69" s="71"/>
      <c r="C69" s="71"/>
      <c r="D69" s="75"/>
      <c r="E69" s="71"/>
      <c r="F69" s="71"/>
      <c r="G69" s="71"/>
      <c r="H69" s="71"/>
      <c r="I69" s="71"/>
      <c r="J69" s="71"/>
      <c r="K69" s="71"/>
      <c r="L69" s="71"/>
    </row>
    <row r="70" spans="1:12" s="73" customFormat="1" ht="18.2" customHeight="1">
      <c r="A70" s="74"/>
      <c r="B70" s="71"/>
      <c r="C70" s="71"/>
      <c r="D70" s="75"/>
      <c r="E70" s="71"/>
      <c r="F70" s="71"/>
      <c r="G70" s="71"/>
      <c r="H70" s="71"/>
      <c r="I70" s="71"/>
      <c r="J70" s="71"/>
      <c r="K70" s="71"/>
      <c r="L70" s="71"/>
    </row>
    <row r="71" spans="1:12" s="73" customFormat="1" ht="18.2" customHeight="1">
      <c r="A71" s="74"/>
      <c r="B71" s="71"/>
      <c r="C71" s="71"/>
      <c r="D71" s="75"/>
      <c r="E71" s="71"/>
      <c r="F71" s="71"/>
      <c r="G71" s="71"/>
      <c r="H71" s="71"/>
      <c r="I71" s="71"/>
      <c r="J71" s="71"/>
      <c r="K71" s="71"/>
      <c r="L71" s="71"/>
    </row>
    <row r="72" spans="1:12" s="73" customFormat="1" ht="18.2" customHeight="1">
      <c r="A72" s="74"/>
      <c r="B72" s="71"/>
      <c r="C72" s="71"/>
      <c r="D72" s="75"/>
      <c r="E72" s="71"/>
      <c r="F72" s="71"/>
      <c r="G72" s="71"/>
      <c r="H72" s="71"/>
      <c r="I72" s="71"/>
      <c r="J72" s="71"/>
      <c r="K72" s="71"/>
      <c r="L72" s="71"/>
    </row>
    <row r="73" spans="1:12" s="73" customFormat="1" ht="18.2" customHeight="1">
      <c r="A73" s="74"/>
      <c r="B73" s="71"/>
      <c r="C73" s="71"/>
      <c r="D73" s="75"/>
      <c r="E73" s="71"/>
      <c r="F73" s="71"/>
      <c r="G73" s="71"/>
      <c r="H73" s="71"/>
      <c r="I73" s="71"/>
      <c r="J73" s="71"/>
      <c r="K73" s="71"/>
      <c r="L73" s="71"/>
    </row>
    <row r="74" spans="1:12" s="73" customFormat="1" ht="18.2" customHeight="1">
      <c r="A74" s="74"/>
      <c r="B74" s="71"/>
      <c r="C74" s="71"/>
      <c r="D74" s="75"/>
      <c r="E74" s="71"/>
      <c r="F74" s="71"/>
      <c r="G74" s="71"/>
      <c r="H74" s="71"/>
      <c r="I74" s="71"/>
      <c r="J74" s="71"/>
      <c r="K74" s="71"/>
      <c r="L74" s="71"/>
    </row>
    <row r="75" spans="1:12" s="73" customFormat="1" ht="18.2" customHeight="1">
      <c r="A75" s="74"/>
      <c r="B75" s="71"/>
      <c r="C75" s="71"/>
      <c r="D75" s="75"/>
      <c r="E75" s="71"/>
      <c r="F75" s="71"/>
      <c r="G75" s="71"/>
      <c r="H75" s="71"/>
      <c r="I75" s="71"/>
      <c r="J75" s="71"/>
      <c r="K75" s="71"/>
      <c r="L75" s="71"/>
    </row>
    <row r="76" spans="1:12" s="73" customFormat="1" ht="18.2" customHeight="1">
      <c r="A76" s="74"/>
      <c r="B76" s="76"/>
      <c r="C76" s="77"/>
      <c r="D76" s="78"/>
      <c r="E76" s="77"/>
      <c r="F76" s="77"/>
      <c r="G76" s="77"/>
      <c r="H76" s="77"/>
      <c r="I76" s="77"/>
      <c r="J76" s="71"/>
      <c r="K76" s="71"/>
      <c r="L76" s="71"/>
    </row>
    <row r="77" spans="1:12" s="73" customFormat="1" ht="28.7" customHeight="1"/>
  </sheetData>
  <phoneticPr fontId="42" type="noConversion"/>
  <pageMargins left="0.7" right="0.7" top="0.75" bottom="0.75" header="0.3" footer="0.3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17"/>
  <sheetViews>
    <sheetView workbookViewId="0">
      <selection activeCell="I22" sqref="I22"/>
    </sheetView>
  </sheetViews>
  <sheetFormatPr defaultRowHeight="12.75"/>
  <cols>
    <col min="1" max="1" width="9.85546875" style="17" bestFit="1" customWidth="1"/>
    <col min="2" max="2" width="9.140625" style="17"/>
    <col min="3" max="4" width="10.140625" style="17" bestFit="1" customWidth="1"/>
    <col min="5" max="5" width="10.7109375" style="17" bestFit="1" customWidth="1"/>
    <col min="6" max="6" width="9.140625" style="17"/>
    <col min="7" max="7" width="33.5703125" style="17" customWidth="1"/>
    <col min="8" max="13" width="9.28515625" style="17" customWidth="1"/>
    <col min="14" max="16384" width="9.140625" style="17"/>
  </cols>
  <sheetData>
    <row r="1" spans="1:11" ht="96" customHeight="1">
      <c r="A1" s="24"/>
      <c r="B1" s="25"/>
      <c r="C1" s="26"/>
      <c r="D1" s="270" t="s">
        <v>149</v>
      </c>
      <c r="E1" s="271"/>
      <c r="G1" s="70" t="s">
        <v>155</v>
      </c>
    </row>
    <row r="2" spans="1:11">
      <c r="A2" s="19" t="s">
        <v>145</v>
      </c>
      <c r="B2" s="27" t="s">
        <v>146</v>
      </c>
      <c r="C2" s="20" t="s">
        <v>145</v>
      </c>
      <c r="D2" s="19" t="s">
        <v>148</v>
      </c>
      <c r="E2" s="20" t="s">
        <v>147</v>
      </c>
      <c r="G2" s="69" t="s">
        <v>78</v>
      </c>
      <c r="K2" s="27"/>
    </row>
    <row r="3" spans="1:11">
      <c r="A3" s="28">
        <f>WORKDAY(Report_date,0)</f>
        <v>42522</v>
      </c>
      <c r="B3" s="27" t="s">
        <v>101</v>
      </c>
      <c r="C3" s="29">
        <f>A3</f>
        <v>42522</v>
      </c>
      <c r="D3" s="21">
        <f t="shared" ref="D3:D8" si="0">C3</f>
        <v>42522</v>
      </c>
      <c r="E3" s="20" t="str">
        <f t="shared" ref="E3:E9" si="1">B3</f>
        <v>1D</v>
      </c>
      <c r="G3" s="69"/>
      <c r="K3" s="27" t="s">
        <v>101</v>
      </c>
    </row>
    <row r="4" spans="1:11">
      <c r="A4" s="28">
        <f>WORKDAY(Report_date,1)</f>
        <v>42523</v>
      </c>
      <c r="B4" s="27" t="s">
        <v>101</v>
      </c>
      <c r="C4" s="29">
        <f>A4</f>
        <v>42523</v>
      </c>
      <c r="D4" s="21">
        <f t="shared" si="0"/>
        <v>42523</v>
      </c>
      <c r="E4" s="20" t="str">
        <f t="shared" si="1"/>
        <v>1D</v>
      </c>
      <c r="G4" s="67" t="s">
        <v>91</v>
      </c>
      <c r="K4" s="27" t="s">
        <v>102</v>
      </c>
    </row>
    <row r="5" spans="1:11">
      <c r="A5" s="28">
        <f>WORKDAY(Report_date,2)</f>
        <v>42524</v>
      </c>
      <c r="B5" s="27" t="s">
        <v>102</v>
      </c>
      <c r="C5" s="29">
        <f t="shared" ref="C5:C16" si="2">A5</f>
        <v>42524</v>
      </c>
      <c r="D5" s="21">
        <f t="shared" si="0"/>
        <v>42524</v>
      </c>
      <c r="E5" s="20" t="str">
        <f t="shared" si="1"/>
        <v>2D</v>
      </c>
      <c r="G5" s="67" t="s">
        <v>96</v>
      </c>
      <c r="K5" s="27" t="s">
        <v>103</v>
      </c>
    </row>
    <row r="6" spans="1:11">
      <c r="A6" s="28">
        <f>WORKDAY(Report_date,3)</f>
        <v>42527</v>
      </c>
      <c r="B6" s="27" t="s">
        <v>103</v>
      </c>
      <c r="C6" s="29">
        <f t="shared" si="2"/>
        <v>42527</v>
      </c>
      <c r="D6" s="21">
        <f t="shared" si="0"/>
        <v>42527</v>
      </c>
      <c r="E6" s="20" t="str">
        <f t="shared" si="1"/>
        <v>3D</v>
      </c>
      <c r="G6" s="67"/>
      <c r="K6" s="27" t="s">
        <v>104</v>
      </c>
    </row>
    <row r="7" spans="1:11">
      <c r="A7" s="28">
        <f>WORKDAY(Report_date,4)</f>
        <v>42528</v>
      </c>
      <c r="B7" s="27" t="s">
        <v>104</v>
      </c>
      <c r="C7" s="29">
        <f t="shared" si="2"/>
        <v>42528</v>
      </c>
      <c r="D7" s="21">
        <f t="shared" si="0"/>
        <v>42528</v>
      </c>
      <c r="E7" s="20" t="str">
        <f t="shared" si="1"/>
        <v>4D</v>
      </c>
      <c r="G7" s="67"/>
      <c r="K7" s="27" t="s">
        <v>105</v>
      </c>
    </row>
    <row r="8" spans="1:11">
      <c r="A8" s="28">
        <f>WORKDAY(Report_date,5)</f>
        <v>42529</v>
      </c>
      <c r="B8" s="27" t="s">
        <v>105</v>
      </c>
      <c r="C8" s="29">
        <f t="shared" si="2"/>
        <v>42529</v>
      </c>
      <c r="D8" s="21">
        <f t="shared" si="0"/>
        <v>42529</v>
      </c>
      <c r="E8" s="20" t="str">
        <f t="shared" si="1"/>
        <v>5D</v>
      </c>
      <c r="G8" s="67"/>
      <c r="K8" s="27" t="s">
        <v>106</v>
      </c>
    </row>
    <row r="9" spans="1:11">
      <c r="A9" s="28">
        <f>WORKDAY(Report_date,10)</f>
        <v>42536</v>
      </c>
      <c r="B9" s="27" t="s">
        <v>106</v>
      </c>
      <c r="C9" s="29">
        <f t="shared" si="2"/>
        <v>42536</v>
      </c>
      <c r="D9" s="21">
        <f>A8+1</f>
        <v>42530</v>
      </c>
      <c r="E9" s="20" t="str">
        <f t="shared" si="1"/>
        <v>2W</v>
      </c>
      <c r="G9" s="67"/>
      <c r="K9" s="27" t="s">
        <v>107</v>
      </c>
    </row>
    <row r="10" spans="1:11">
      <c r="A10" s="28">
        <f>WORKDAY(Report_date,15)</f>
        <v>42543</v>
      </c>
      <c r="B10" s="27" t="s">
        <v>107</v>
      </c>
      <c r="C10" s="29">
        <f t="shared" si="2"/>
        <v>42543</v>
      </c>
      <c r="D10" s="21">
        <f t="shared" ref="D10:D16" si="3">A9+1</f>
        <v>42537</v>
      </c>
      <c r="E10" s="20" t="str">
        <f t="shared" ref="E10:E16" si="4">B10</f>
        <v>3W</v>
      </c>
      <c r="G10" s="67"/>
      <c r="K10" s="27" t="s">
        <v>108</v>
      </c>
    </row>
    <row r="11" spans="1:11">
      <c r="A11" s="28">
        <f>(EDATE(Report_date,1))</f>
        <v>42552</v>
      </c>
      <c r="B11" s="27" t="s">
        <v>108</v>
      </c>
      <c r="C11" s="29">
        <f t="shared" si="2"/>
        <v>42552</v>
      </c>
      <c r="D11" s="21">
        <f t="shared" si="3"/>
        <v>42544</v>
      </c>
      <c r="E11" s="20" t="str">
        <f t="shared" si="4"/>
        <v>1M</v>
      </c>
      <c r="G11" s="67"/>
      <c r="K11" s="27" t="s">
        <v>109</v>
      </c>
    </row>
    <row r="12" spans="1:11">
      <c r="A12" s="28">
        <f>EDATE(Report_date,3)</f>
        <v>42614</v>
      </c>
      <c r="B12" s="27" t="s">
        <v>109</v>
      </c>
      <c r="C12" s="29">
        <f t="shared" si="2"/>
        <v>42614</v>
      </c>
      <c r="D12" s="21">
        <f t="shared" si="3"/>
        <v>42553</v>
      </c>
      <c r="E12" s="20" t="str">
        <f t="shared" si="4"/>
        <v>3M</v>
      </c>
      <c r="G12" s="67"/>
      <c r="K12" s="27" t="s">
        <v>110</v>
      </c>
    </row>
    <row r="13" spans="1:11">
      <c r="A13" s="28">
        <f>EDATE(Report_date,6)</f>
        <v>42705</v>
      </c>
      <c r="B13" s="27" t="s">
        <v>110</v>
      </c>
      <c r="C13" s="29">
        <f t="shared" si="2"/>
        <v>42705</v>
      </c>
      <c r="D13" s="21">
        <f t="shared" si="3"/>
        <v>42615</v>
      </c>
      <c r="E13" s="20" t="str">
        <f t="shared" si="4"/>
        <v>6M</v>
      </c>
      <c r="G13" s="67"/>
      <c r="K13" s="27" t="s">
        <v>111</v>
      </c>
    </row>
    <row r="14" spans="1:11">
      <c r="A14" s="28">
        <f>EDATE(Report_date,12)</f>
        <v>42887</v>
      </c>
      <c r="B14" s="27" t="s">
        <v>111</v>
      </c>
      <c r="C14" s="29">
        <f t="shared" si="2"/>
        <v>42887</v>
      </c>
      <c r="D14" s="21">
        <f t="shared" si="3"/>
        <v>42706</v>
      </c>
      <c r="E14" s="20" t="str">
        <f t="shared" si="4"/>
        <v>12M</v>
      </c>
      <c r="G14" s="67"/>
      <c r="K14" s="27" t="s">
        <v>112</v>
      </c>
    </row>
    <row r="15" spans="1:11">
      <c r="A15" s="28">
        <f>EDATE(Report_date,18)</f>
        <v>43070</v>
      </c>
      <c r="B15" s="27" t="s">
        <v>112</v>
      </c>
      <c r="C15" s="29">
        <f t="shared" si="2"/>
        <v>43070</v>
      </c>
      <c r="D15" s="21">
        <f t="shared" si="3"/>
        <v>42888</v>
      </c>
      <c r="E15" s="20" t="str">
        <f t="shared" si="4"/>
        <v>18M</v>
      </c>
      <c r="G15" s="67"/>
      <c r="K15" s="31" t="s">
        <v>113</v>
      </c>
    </row>
    <row r="16" spans="1:11">
      <c r="A16" s="30">
        <f>EDATE(Report_date,24)</f>
        <v>43252</v>
      </c>
      <c r="B16" s="31" t="s">
        <v>113</v>
      </c>
      <c r="C16" s="32">
        <f t="shared" si="2"/>
        <v>43252</v>
      </c>
      <c r="D16" s="22">
        <f t="shared" si="3"/>
        <v>43071</v>
      </c>
      <c r="E16" s="23" t="str">
        <f t="shared" si="4"/>
        <v>2Y</v>
      </c>
      <c r="G16" s="68"/>
    </row>
    <row r="17" spans="1:1">
      <c r="A17" s="18"/>
    </row>
  </sheetData>
  <mergeCells count="1">
    <mergeCell ref="D1:E1"/>
  </mergeCells>
  <phoneticPr fontId="7" type="noConversion"/>
  <pageMargins left="0.75" right="0.75" top="1" bottom="1" header="0.5" footer="0.5"/>
  <pageSetup orientation="portrait" horizontalDpi="1200" verticalDpi="120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I1053"/>
  <sheetViews>
    <sheetView workbookViewId="0">
      <pane ySplit="1" topLeftCell="A2" activePane="bottomLeft" state="frozen"/>
      <selection pane="bottomLeft" sqref="A1:XFD1048576"/>
    </sheetView>
  </sheetViews>
  <sheetFormatPr defaultRowHeight="12.75"/>
  <cols>
    <col min="1" max="1" width="6.42578125" style="101" bestFit="1" customWidth="1"/>
    <col min="2" max="2" width="26.42578125" style="101" bestFit="1" customWidth="1"/>
    <col min="3" max="3" width="23.85546875" style="101" bestFit="1" customWidth="1"/>
    <col min="4" max="4" width="37.42578125" style="101" bestFit="1" customWidth="1"/>
    <col min="5" max="5" width="30.140625" style="101" bestFit="1" customWidth="1"/>
    <col min="6" max="6" width="31.140625" style="101" bestFit="1" customWidth="1"/>
    <col min="7" max="7" width="16" style="132" bestFit="1" customWidth="1"/>
    <col min="8" max="9" width="41.5703125" style="132" customWidth="1"/>
    <col min="10" max="10" width="7.7109375" style="101" customWidth="1"/>
    <col min="11" max="11" width="9.140625" style="101" customWidth="1"/>
    <col min="12" max="12" width="12.42578125" style="101" customWidth="1"/>
    <col min="13" max="13" width="21" style="101" customWidth="1"/>
    <col min="14" max="14" width="14.5703125" style="101" customWidth="1"/>
    <col min="15" max="15" width="10.5703125" style="101" customWidth="1"/>
    <col min="16" max="16" width="17.5703125" style="101" customWidth="1"/>
    <col min="17" max="17" width="21.42578125" style="101" customWidth="1"/>
    <col min="18" max="18" width="48.28515625" style="101" customWidth="1"/>
    <col min="19" max="19" width="13.28515625" style="101" customWidth="1"/>
    <col min="20" max="20" width="16.42578125" style="101" customWidth="1"/>
    <col min="21" max="21" width="12.5703125" style="101" customWidth="1"/>
    <col min="22" max="22" width="11.85546875" style="101" customWidth="1"/>
    <col min="23" max="23" width="15.5703125" style="101" bestFit="1" customWidth="1"/>
    <col min="24" max="24" width="16" style="101" customWidth="1"/>
    <col min="25" max="25" width="18.7109375" style="101" bestFit="1" customWidth="1"/>
    <col min="26" max="26" width="17.85546875" style="101" bestFit="1" customWidth="1"/>
    <col min="27" max="27" width="59.7109375" style="101" bestFit="1" customWidth="1"/>
    <col min="28" max="28" width="11" style="101" bestFit="1" customWidth="1"/>
    <col min="29" max="29" width="13.7109375" style="101" bestFit="1" customWidth="1"/>
    <col min="30" max="30" width="19.140625" style="101" bestFit="1" customWidth="1"/>
    <col min="31" max="31" width="14.5703125" style="101" bestFit="1" customWidth="1"/>
    <col min="32" max="32" width="15.42578125" style="101" bestFit="1" customWidth="1"/>
    <col min="33" max="33" width="19.5703125" style="101" bestFit="1" customWidth="1"/>
    <col min="34" max="34" width="12.85546875" style="101" bestFit="1" customWidth="1"/>
    <col min="35" max="35" width="24.42578125" style="101" bestFit="1" customWidth="1"/>
    <col min="36" max="16384" width="9.140625" style="101"/>
  </cols>
  <sheetData>
    <row r="1" spans="1:35" s="125" customFormat="1" ht="11.25">
      <c r="A1" s="125" t="s">
        <v>146</v>
      </c>
      <c r="B1" s="125" t="s">
        <v>152</v>
      </c>
      <c r="C1" s="125" t="s">
        <v>150</v>
      </c>
      <c r="D1" s="125" t="s">
        <v>268</v>
      </c>
      <c r="E1" s="125" t="s">
        <v>269</v>
      </c>
      <c r="F1" s="125" t="s">
        <v>762</v>
      </c>
      <c r="G1" s="125" t="s">
        <v>364</v>
      </c>
      <c r="H1" s="125" t="s">
        <v>365</v>
      </c>
      <c r="I1" s="125" t="s">
        <v>774</v>
      </c>
      <c r="J1" s="125" t="s">
        <v>366</v>
      </c>
      <c r="K1" s="125" t="s">
        <v>367</v>
      </c>
      <c r="L1" s="125" t="s">
        <v>267</v>
      </c>
      <c r="M1" s="125" t="s">
        <v>368</v>
      </c>
      <c r="N1" s="125" t="s">
        <v>369</v>
      </c>
      <c r="O1" s="125" t="s">
        <v>370</v>
      </c>
      <c r="P1" s="125" t="s">
        <v>371</v>
      </c>
      <c r="Q1" s="125" t="s">
        <v>372</v>
      </c>
      <c r="R1" s="125" t="s">
        <v>373</v>
      </c>
      <c r="S1" s="125" t="s">
        <v>374</v>
      </c>
      <c r="T1" s="125" t="s">
        <v>375</v>
      </c>
      <c r="U1" s="125" t="s">
        <v>376</v>
      </c>
      <c r="V1" s="125" t="s">
        <v>377</v>
      </c>
      <c r="W1" s="125" t="s">
        <v>378</v>
      </c>
      <c r="X1" s="125" t="s">
        <v>379</v>
      </c>
      <c r="Y1" s="125" t="s">
        <v>380</v>
      </c>
      <c r="Z1" s="125" t="s">
        <v>381</v>
      </c>
      <c r="AA1" s="125" t="s">
        <v>382</v>
      </c>
      <c r="AB1" s="125" t="s">
        <v>383</v>
      </c>
      <c r="AC1" s="125" t="s">
        <v>384</v>
      </c>
      <c r="AD1" s="125" t="s">
        <v>385</v>
      </c>
      <c r="AE1" s="125" t="s">
        <v>386</v>
      </c>
      <c r="AF1" s="125" t="s">
        <v>387</v>
      </c>
      <c r="AG1" s="125" t="s">
        <v>388</v>
      </c>
      <c r="AH1" s="125" t="s">
        <v>389</v>
      </c>
      <c r="AI1" s="125" t="s">
        <v>759</v>
      </c>
    </row>
    <row r="2" spans="1:35">
      <c r="A2" s="246" t="s">
        <v>107</v>
      </c>
      <c r="B2" s="246" t="s">
        <v>78</v>
      </c>
      <c r="C2" s="246" t="s">
        <v>126</v>
      </c>
      <c r="D2" s="246" t="s">
        <v>772</v>
      </c>
      <c r="E2" s="246" t="s">
        <v>773</v>
      </c>
      <c r="F2" s="246" t="s">
        <v>334</v>
      </c>
      <c r="G2" s="132" t="s">
        <v>828</v>
      </c>
      <c r="H2" s="132" t="s">
        <v>888</v>
      </c>
      <c r="I2" s="132">
        <v>-8.86</v>
      </c>
      <c r="J2" s="101" t="s">
        <v>889</v>
      </c>
      <c r="K2" s="245" t="s">
        <v>390</v>
      </c>
      <c r="L2" s="245">
        <v>42521</v>
      </c>
      <c r="M2" s="245" t="s">
        <v>391</v>
      </c>
      <c r="N2" s="101">
        <v>0</v>
      </c>
      <c r="O2" s="101" t="s">
        <v>392</v>
      </c>
      <c r="P2" s="101">
        <v>0</v>
      </c>
      <c r="Q2" s="101">
        <v>0</v>
      </c>
      <c r="R2" s="101" t="s">
        <v>393</v>
      </c>
      <c r="S2" s="101" t="s">
        <v>823</v>
      </c>
      <c r="T2" s="101" t="s">
        <v>394</v>
      </c>
      <c r="V2" s="245">
        <v>13884</v>
      </c>
      <c r="W2" s="101" t="s">
        <v>395</v>
      </c>
      <c r="X2" s="101" t="s">
        <v>795</v>
      </c>
      <c r="Y2" s="101" t="s">
        <v>396</v>
      </c>
      <c r="Z2" s="101" t="s">
        <v>402</v>
      </c>
      <c r="AA2" s="101" t="s">
        <v>78</v>
      </c>
      <c r="AB2" s="101">
        <v>4101000279</v>
      </c>
      <c r="AC2" s="101" t="s">
        <v>398</v>
      </c>
      <c r="AD2" s="101" t="s">
        <v>403</v>
      </c>
      <c r="AE2" s="101" t="s">
        <v>6</v>
      </c>
      <c r="AF2" s="101" t="s">
        <v>400</v>
      </c>
      <c r="AI2" s="101" t="s">
        <v>760</v>
      </c>
    </row>
    <row r="3" spans="1:35">
      <c r="A3" s="246" t="s">
        <v>109</v>
      </c>
      <c r="B3" s="246" t="s">
        <v>78</v>
      </c>
      <c r="C3" s="246" t="s">
        <v>126</v>
      </c>
      <c r="D3" s="246" t="s">
        <v>337</v>
      </c>
      <c r="E3" s="246" t="s">
        <v>336</v>
      </c>
      <c r="F3" s="246" t="s">
        <v>275</v>
      </c>
      <c r="G3" s="132" t="s">
        <v>890</v>
      </c>
      <c r="H3" s="132" t="s">
        <v>891</v>
      </c>
      <c r="I3" s="132">
        <v>-14.62</v>
      </c>
      <c r="J3" s="101" t="s">
        <v>889</v>
      </c>
      <c r="K3" s="245" t="s">
        <v>390</v>
      </c>
      <c r="L3" s="245">
        <v>42551</v>
      </c>
      <c r="M3" s="245" t="s">
        <v>391</v>
      </c>
      <c r="N3" s="101">
        <v>0</v>
      </c>
      <c r="O3" s="101" t="s">
        <v>392</v>
      </c>
      <c r="P3" s="101">
        <v>0</v>
      </c>
      <c r="Q3" s="101">
        <v>0</v>
      </c>
      <c r="R3" s="101" t="s">
        <v>393</v>
      </c>
      <c r="S3" s="101" t="s">
        <v>823</v>
      </c>
      <c r="T3" s="101" t="s">
        <v>394</v>
      </c>
      <c r="V3" s="245">
        <v>13884</v>
      </c>
      <c r="W3" s="101" t="s">
        <v>395</v>
      </c>
      <c r="X3" s="101" t="s">
        <v>795</v>
      </c>
      <c r="Y3" s="101" t="s">
        <v>396</v>
      </c>
      <c r="Z3" s="101" t="s">
        <v>402</v>
      </c>
      <c r="AA3" s="101" t="s">
        <v>78</v>
      </c>
      <c r="AB3" s="101">
        <v>4101000279</v>
      </c>
      <c r="AC3" s="101" t="s">
        <v>398</v>
      </c>
      <c r="AD3" s="101" t="s">
        <v>403</v>
      </c>
      <c r="AE3" s="101" t="s">
        <v>6</v>
      </c>
      <c r="AF3" s="101" t="s">
        <v>400</v>
      </c>
      <c r="AI3" s="101" t="s">
        <v>760</v>
      </c>
    </row>
    <row r="4" spans="1:35">
      <c r="A4" s="246" t="s">
        <v>109</v>
      </c>
      <c r="B4" s="246" t="s">
        <v>78</v>
      </c>
      <c r="C4" s="246" t="s">
        <v>126</v>
      </c>
      <c r="D4" s="246" t="s">
        <v>337</v>
      </c>
      <c r="E4" s="246" t="s">
        <v>336</v>
      </c>
      <c r="F4" s="246" t="s">
        <v>275</v>
      </c>
      <c r="G4" s="132" t="s">
        <v>892</v>
      </c>
      <c r="H4" s="132" t="s">
        <v>893</v>
      </c>
      <c r="I4" s="132">
        <v>-10.469999999999999</v>
      </c>
      <c r="J4" s="101" t="s">
        <v>889</v>
      </c>
      <c r="K4" s="245" t="s">
        <v>390</v>
      </c>
      <c r="L4" s="245">
        <v>42580</v>
      </c>
      <c r="M4" s="245" t="s">
        <v>391</v>
      </c>
      <c r="N4" s="101">
        <v>0</v>
      </c>
      <c r="O4" s="101" t="s">
        <v>392</v>
      </c>
      <c r="P4" s="101">
        <v>0</v>
      </c>
      <c r="Q4" s="101">
        <v>0</v>
      </c>
      <c r="R4" s="101" t="s">
        <v>393</v>
      </c>
      <c r="S4" s="101" t="s">
        <v>823</v>
      </c>
      <c r="T4" s="101" t="s">
        <v>394</v>
      </c>
      <c r="V4" s="245">
        <v>13884</v>
      </c>
      <c r="W4" s="101" t="s">
        <v>395</v>
      </c>
      <c r="X4" s="101" t="s">
        <v>795</v>
      </c>
      <c r="Y4" s="101" t="s">
        <v>396</v>
      </c>
      <c r="Z4" s="101" t="s">
        <v>402</v>
      </c>
      <c r="AA4" s="101" t="s">
        <v>78</v>
      </c>
      <c r="AB4" s="101">
        <v>4101000279</v>
      </c>
      <c r="AC4" s="101" t="s">
        <v>398</v>
      </c>
      <c r="AD4" s="101" t="s">
        <v>403</v>
      </c>
      <c r="AE4" s="101" t="s">
        <v>6</v>
      </c>
      <c r="AF4" s="101" t="s">
        <v>400</v>
      </c>
      <c r="AI4" s="101" t="s">
        <v>760</v>
      </c>
    </row>
    <row r="5" spans="1:35">
      <c r="A5" s="246" t="s">
        <v>110</v>
      </c>
      <c r="B5" s="246" t="s">
        <v>78</v>
      </c>
      <c r="C5" s="246" t="s">
        <v>126</v>
      </c>
      <c r="D5" s="246" t="s">
        <v>770</v>
      </c>
      <c r="E5" s="246" t="s">
        <v>771</v>
      </c>
      <c r="F5" s="246" t="s">
        <v>276</v>
      </c>
      <c r="G5" s="132" t="s">
        <v>894</v>
      </c>
      <c r="H5" s="132" t="s">
        <v>895</v>
      </c>
      <c r="I5" s="132">
        <v>-33.839999999999996</v>
      </c>
      <c r="J5" s="101" t="s">
        <v>889</v>
      </c>
      <c r="K5" s="245" t="s">
        <v>390</v>
      </c>
      <c r="L5" s="245">
        <v>42613</v>
      </c>
      <c r="M5" s="245" t="s">
        <v>391</v>
      </c>
      <c r="N5" s="101">
        <v>0</v>
      </c>
      <c r="O5" s="101" t="s">
        <v>392</v>
      </c>
      <c r="P5" s="101">
        <v>0</v>
      </c>
      <c r="Q5" s="101">
        <v>0</v>
      </c>
      <c r="R5" s="101" t="s">
        <v>393</v>
      </c>
      <c r="S5" s="101" t="s">
        <v>823</v>
      </c>
      <c r="T5" s="101" t="s">
        <v>394</v>
      </c>
      <c r="V5" s="245">
        <v>13884</v>
      </c>
      <c r="W5" s="101" t="s">
        <v>395</v>
      </c>
      <c r="X5" s="101" t="s">
        <v>795</v>
      </c>
      <c r="Y5" s="101" t="s">
        <v>396</v>
      </c>
      <c r="Z5" s="101" t="s">
        <v>402</v>
      </c>
      <c r="AA5" s="101" t="s">
        <v>78</v>
      </c>
      <c r="AB5" s="101">
        <v>4101000279</v>
      </c>
      <c r="AC5" s="101" t="s">
        <v>398</v>
      </c>
      <c r="AD5" s="101" t="s">
        <v>403</v>
      </c>
      <c r="AE5" s="101" t="s">
        <v>6</v>
      </c>
      <c r="AF5" s="101" t="s">
        <v>400</v>
      </c>
      <c r="AI5" s="101" t="s">
        <v>760</v>
      </c>
    </row>
    <row r="6" spans="1:35">
      <c r="A6" s="246" t="s">
        <v>110</v>
      </c>
      <c r="B6" s="246" t="s">
        <v>78</v>
      </c>
      <c r="C6" s="246" t="s">
        <v>126</v>
      </c>
      <c r="D6" s="246" t="s">
        <v>770</v>
      </c>
      <c r="E6" s="246" t="s">
        <v>771</v>
      </c>
      <c r="F6" s="246" t="s">
        <v>276</v>
      </c>
      <c r="G6" s="132">
        <v>-45</v>
      </c>
      <c r="H6" s="132" t="s">
        <v>896</v>
      </c>
      <c r="I6" s="132">
        <v>-45</v>
      </c>
      <c r="J6" s="101" t="s">
        <v>889</v>
      </c>
      <c r="K6" s="245" t="s">
        <v>390</v>
      </c>
      <c r="L6" s="245">
        <v>42643</v>
      </c>
      <c r="M6" s="245" t="s">
        <v>391</v>
      </c>
      <c r="N6" s="101">
        <v>0</v>
      </c>
      <c r="O6" s="101" t="s">
        <v>392</v>
      </c>
      <c r="P6" s="101">
        <v>0</v>
      </c>
      <c r="Q6" s="101">
        <v>0</v>
      </c>
      <c r="R6" s="101" t="s">
        <v>393</v>
      </c>
      <c r="S6" s="101" t="s">
        <v>823</v>
      </c>
      <c r="T6" s="101" t="s">
        <v>394</v>
      </c>
      <c r="V6" s="245">
        <v>13884</v>
      </c>
      <c r="W6" s="101" t="s">
        <v>395</v>
      </c>
      <c r="X6" s="101" t="s">
        <v>795</v>
      </c>
      <c r="Y6" s="101" t="s">
        <v>396</v>
      </c>
      <c r="Z6" s="101" t="s">
        <v>402</v>
      </c>
      <c r="AA6" s="101" t="s">
        <v>78</v>
      </c>
      <c r="AB6" s="101">
        <v>4101000279</v>
      </c>
      <c r="AC6" s="101" t="s">
        <v>398</v>
      </c>
      <c r="AD6" s="101" t="s">
        <v>403</v>
      </c>
      <c r="AE6" s="101" t="s">
        <v>6</v>
      </c>
      <c r="AF6" s="101" t="s">
        <v>400</v>
      </c>
      <c r="AI6" s="101" t="s">
        <v>760</v>
      </c>
    </row>
    <row r="7" spans="1:35">
      <c r="A7" s="246" t="s">
        <v>110</v>
      </c>
      <c r="B7" s="246" t="s">
        <v>78</v>
      </c>
      <c r="C7" s="246" t="s">
        <v>126</v>
      </c>
      <c r="D7" s="246" t="s">
        <v>770</v>
      </c>
      <c r="E7" s="246" t="s">
        <v>771</v>
      </c>
      <c r="F7" s="246" t="s">
        <v>276</v>
      </c>
      <c r="G7" s="132" t="s">
        <v>897</v>
      </c>
      <c r="H7" s="132" t="s">
        <v>898</v>
      </c>
      <c r="I7" s="132">
        <v>-46.499999999999993</v>
      </c>
      <c r="J7" s="101" t="s">
        <v>889</v>
      </c>
      <c r="K7" s="245" t="s">
        <v>390</v>
      </c>
      <c r="L7" s="245">
        <v>42674</v>
      </c>
      <c r="M7" s="245" t="s">
        <v>391</v>
      </c>
      <c r="N7" s="101">
        <v>0</v>
      </c>
      <c r="O7" s="101" t="s">
        <v>392</v>
      </c>
      <c r="P7" s="101">
        <v>0</v>
      </c>
      <c r="Q7" s="101">
        <v>0</v>
      </c>
      <c r="R7" s="101" t="s">
        <v>393</v>
      </c>
      <c r="S7" s="101" t="s">
        <v>823</v>
      </c>
      <c r="T7" s="101" t="s">
        <v>394</v>
      </c>
      <c r="V7" s="245">
        <v>13884</v>
      </c>
      <c r="W7" s="101" t="s">
        <v>395</v>
      </c>
      <c r="X7" s="101" t="s">
        <v>795</v>
      </c>
      <c r="Y7" s="101" t="s">
        <v>396</v>
      </c>
      <c r="Z7" s="101" t="s">
        <v>402</v>
      </c>
      <c r="AA7" s="101" t="s">
        <v>78</v>
      </c>
      <c r="AB7" s="101">
        <v>4101000279</v>
      </c>
      <c r="AC7" s="101" t="s">
        <v>398</v>
      </c>
      <c r="AD7" s="101" t="s">
        <v>403</v>
      </c>
      <c r="AE7" s="101" t="s">
        <v>6</v>
      </c>
      <c r="AF7" s="101" t="s">
        <v>400</v>
      </c>
      <c r="AI7" s="101" t="s">
        <v>760</v>
      </c>
    </row>
    <row r="8" spans="1:35">
      <c r="A8" s="246" t="s">
        <v>111</v>
      </c>
      <c r="B8" s="246" t="s">
        <v>78</v>
      </c>
      <c r="C8" s="246" t="s">
        <v>126</v>
      </c>
      <c r="D8" s="246" t="s">
        <v>768</v>
      </c>
      <c r="E8" s="246" t="s">
        <v>769</v>
      </c>
      <c r="F8" s="246" t="s">
        <v>277</v>
      </c>
      <c r="G8" s="132" t="s">
        <v>899</v>
      </c>
      <c r="H8" s="132" t="s">
        <v>900</v>
      </c>
      <c r="I8" s="132">
        <v>-68.97999999999999</v>
      </c>
      <c r="J8" s="101" t="s">
        <v>889</v>
      </c>
      <c r="K8" s="245" t="s">
        <v>390</v>
      </c>
      <c r="L8" s="245">
        <v>42704</v>
      </c>
      <c r="M8" s="245" t="s">
        <v>391</v>
      </c>
      <c r="N8" s="101">
        <v>0</v>
      </c>
      <c r="O8" s="101" t="s">
        <v>392</v>
      </c>
      <c r="P8" s="101">
        <v>0</v>
      </c>
      <c r="Q8" s="101">
        <v>0</v>
      </c>
      <c r="R8" s="101" t="s">
        <v>393</v>
      </c>
      <c r="S8" s="101" t="s">
        <v>823</v>
      </c>
      <c r="T8" s="101" t="s">
        <v>394</v>
      </c>
      <c r="V8" s="245">
        <v>13884</v>
      </c>
      <c r="W8" s="101" t="s">
        <v>395</v>
      </c>
      <c r="X8" s="101" t="s">
        <v>795</v>
      </c>
      <c r="Y8" s="101" t="s">
        <v>396</v>
      </c>
      <c r="Z8" s="101" t="s">
        <v>402</v>
      </c>
      <c r="AA8" s="101" t="s">
        <v>78</v>
      </c>
      <c r="AB8" s="101">
        <v>4101000279</v>
      </c>
      <c r="AC8" s="101" t="s">
        <v>398</v>
      </c>
      <c r="AD8" s="101" t="s">
        <v>403</v>
      </c>
      <c r="AE8" s="101" t="s">
        <v>6</v>
      </c>
      <c r="AF8" s="101" t="s">
        <v>400</v>
      </c>
      <c r="AI8" s="101" t="s">
        <v>760</v>
      </c>
    </row>
    <row r="9" spans="1:35">
      <c r="A9" s="246" t="s">
        <v>111</v>
      </c>
      <c r="B9" s="246" t="s">
        <v>78</v>
      </c>
      <c r="C9" s="246" t="s">
        <v>126</v>
      </c>
      <c r="D9" s="246" t="s">
        <v>768</v>
      </c>
      <c r="E9" s="246" t="s">
        <v>769</v>
      </c>
      <c r="F9" s="246" t="s">
        <v>277</v>
      </c>
      <c r="G9" s="132" t="s">
        <v>901</v>
      </c>
      <c r="H9" s="132" t="s">
        <v>902</v>
      </c>
      <c r="I9" s="132">
        <v>-90.24</v>
      </c>
      <c r="J9" s="101" t="s">
        <v>889</v>
      </c>
      <c r="K9" s="245" t="s">
        <v>390</v>
      </c>
      <c r="L9" s="245">
        <v>42734</v>
      </c>
      <c r="M9" s="245" t="s">
        <v>391</v>
      </c>
      <c r="N9" s="101">
        <v>0</v>
      </c>
      <c r="O9" s="101" t="s">
        <v>392</v>
      </c>
      <c r="P9" s="101">
        <v>0</v>
      </c>
      <c r="Q9" s="101">
        <v>0</v>
      </c>
      <c r="R9" s="101" t="s">
        <v>393</v>
      </c>
      <c r="S9" s="101" t="s">
        <v>823</v>
      </c>
      <c r="T9" s="101" t="s">
        <v>394</v>
      </c>
      <c r="V9" s="245">
        <v>13884</v>
      </c>
      <c r="W9" s="101" t="s">
        <v>395</v>
      </c>
      <c r="X9" s="101" t="s">
        <v>795</v>
      </c>
      <c r="Y9" s="101" t="s">
        <v>396</v>
      </c>
      <c r="Z9" s="101" t="s">
        <v>402</v>
      </c>
      <c r="AA9" s="101" t="s">
        <v>78</v>
      </c>
      <c r="AB9" s="101">
        <v>4101000279</v>
      </c>
      <c r="AC9" s="101" t="s">
        <v>398</v>
      </c>
      <c r="AD9" s="101" t="s">
        <v>403</v>
      </c>
      <c r="AE9" s="101" t="s">
        <v>6</v>
      </c>
      <c r="AF9" s="101" t="s">
        <v>400</v>
      </c>
      <c r="AI9" s="101" t="s">
        <v>760</v>
      </c>
    </row>
    <row r="10" spans="1:35">
      <c r="A10" s="246" t="s">
        <v>111</v>
      </c>
      <c r="B10" s="246" t="s">
        <v>78</v>
      </c>
      <c r="C10" s="246" t="s">
        <v>126</v>
      </c>
      <c r="D10" s="246" t="s">
        <v>768</v>
      </c>
      <c r="E10" s="246" t="s">
        <v>769</v>
      </c>
      <c r="F10" s="246" t="s">
        <v>277</v>
      </c>
      <c r="G10" s="132" t="s">
        <v>901</v>
      </c>
      <c r="H10" s="132" t="s">
        <v>902</v>
      </c>
      <c r="I10" s="132">
        <v>-90.24</v>
      </c>
      <c r="J10" s="101" t="s">
        <v>889</v>
      </c>
      <c r="K10" s="245" t="s">
        <v>390</v>
      </c>
      <c r="L10" s="245">
        <v>42766</v>
      </c>
      <c r="M10" s="245" t="s">
        <v>391</v>
      </c>
      <c r="N10" s="101">
        <v>0</v>
      </c>
      <c r="O10" s="101" t="s">
        <v>392</v>
      </c>
      <c r="P10" s="101">
        <v>0</v>
      </c>
      <c r="Q10" s="101">
        <v>0</v>
      </c>
      <c r="R10" s="101" t="s">
        <v>393</v>
      </c>
      <c r="S10" s="101" t="s">
        <v>823</v>
      </c>
      <c r="T10" s="101" t="s">
        <v>394</v>
      </c>
      <c r="V10" s="245">
        <v>13884</v>
      </c>
      <c r="W10" s="101" t="s">
        <v>395</v>
      </c>
      <c r="X10" s="101" t="s">
        <v>795</v>
      </c>
      <c r="Y10" s="101" t="s">
        <v>396</v>
      </c>
      <c r="Z10" s="101" t="s">
        <v>402</v>
      </c>
      <c r="AA10" s="101" t="s">
        <v>78</v>
      </c>
      <c r="AB10" s="101">
        <v>4101000279</v>
      </c>
      <c r="AC10" s="101" t="s">
        <v>398</v>
      </c>
      <c r="AD10" s="101" t="s">
        <v>403</v>
      </c>
      <c r="AE10" s="101" t="s">
        <v>6</v>
      </c>
      <c r="AF10" s="101" t="s">
        <v>400</v>
      </c>
      <c r="AI10" s="101" t="s">
        <v>760</v>
      </c>
    </row>
    <row r="11" spans="1:35">
      <c r="A11" s="246" t="s">
        <v>111</v>
      </c>
      <c r="B11" s="246" t="s">
        <v>78</v>
      </c>
      <c r="C11" s="246" t="s">
        <v>126</v>
      </c>
      <c r="D11" s="246" t="s">
        <v>768</v>
      </c>
      <c r="E11" s="246" t="s">
        <v>769</v>
      </c>
      <c r="F11" s="246" t="s">
        <v>277</v>
      </c>
      <c r="G11" s="132" t="s">
        <v>903</v>
      </c>
      <c r="H11" s="132" t="s">
        <v>904</v>
      </c>
      <c r="I11" s="132">
        <v>-107.83</v>
      </c>
      <c r="J11" s="101" t="s">
        <v>889</v>
      </c>
      <c r="K11" s="245" t="s">
        <v>390</v>
      </c>
      <c r="L11" s="245">
        <v>42794</v>
      </c>
      <c r="M11" s="245" t="s">
        <v>391</v>
      </c>
      <c r="N11" s="101">
        <v>0</v>
      </c>
      <c r="O11" s="101" t="s">
        <v>392</v>
      </c>
      <c r="P11" s="101">
        <v>0</v>
      </c>
      <c r="Q11" s="101">
        <v>0</v>
      </c>
      <c r="R11" s="101" t="s">
        <v>393</v>
      </c>
      <c r="S11" s="101" t="s">
        <v>823</v>
      </c>
      <c r="T11" s="101" t="s">
        <v>394</v>
      </c>
      <c r="V11" s="245">
        <v>13884</v>
      </c>
      <c r="W11" s="101" t="s">
        <v>395</v>
      </c>
      <c r="X11" s="101" t="s">
        <v>795</v>
      </c>
      <c r="Y11" s="101" t="s">
        <v>396</v>
      </c>
      <c r="Z11" s="101" t="s">
        <v>402</v>
      </c>
      <c r="AA11" s="101" t="s">
        <v>78</v>
      </c>
      <c r="AB11" s="101">
        <v>4101000279</v>
      </c>
      <c r="AC11" s="101" t="s">
        <v>398</v>
      </c>
      <c r="AD11" s="101" t="s">
        <v>403</v>
      </c>
      <c r="AE11" s="101" t="s">
        <v>6</v>
      </c>
      <c r="AF11" s="101" t="s">
        <v>400</v>
      </c>
      <c r="AI11" s="101" t="s">
        <v>760</v>
      </c>
    </row>
    <row r="12" spans="1:35">
      <c r="A12" s="246" t="s">
        <v>111</v>
      </c>
      <c r="B12" s="246" t="s">
        <v>78</v>
      </c>
      <c r="C12" s="246" t="s">
        <v>126</v>
      </c>
      <c r="D12" s="246" t="s">
        <v>768</v>
      </c>
      <c r="E12" s="246" t="s">
        <v>769</v>
      </c>
      <c r="F12" s="246" t="s">
        <v>277</v>
      </c>
      <c r="G12" s="132" t="s">
        <v>905</v>
      </c>
      <c r="H12" s="132" t="s">
        <v>906</v>
      </c>
      <c r="I12" s="132">
        <v>-141.26</v>
      </c>
      <c r="J12" s="101" t="s">
        <v>889</v>
      </c>
      <c r="K12" s="245" t="s">
        <v>390</v>
      </c>
      <c r="L12" s="245">
        <v>42825</v>
      </c>
      <c r="M12" s="245" t="s">
        <v>391</v>
      </c>
      <c r="N12" s="101">
        <v>0</v>
      </c>
      <c r="O12" s="101" t="s">
        <v>392</v>
      </c>
      <c r="P12" s="101">
        <v>0</v>
      </c>
      <c r="Q12" s="101">
        <v>0</v>
      </c>
      <c r="R12" s="101" t="s">
        <v>393</v>
      </c>
      <c r="S12" s="101" t="s">
        <v>823</v>
      </c>
      <c r="T12" s="101" t="s">
        <v>394</v>
      </c>
      <c r="V12" s="245">
        <v>13884</v>
      </c>
      <c r="W12" s="101" t="s">
        <v>395</v>
      </c>
      <c r="X12" s="101" t="s">
        <v>795</v>
      </c>
      <c r="Y12" s="101" t="s">
        <v>396</v>
      </c>
      <c r="Z12" s="101" t="s">
        <v>402</v>
      </c>
      <c r="AA12" s="101" t="s">
        <v>78</v>
      </c>
      <c r="AB12" s="101">
        <v>4101000279</v>
      </c>
      <c r="AC12" s="101" t="s">
        <v>398</v>
      </c>
      <c r="AD12" s="101" t="s">
        <v>403</v>
      </c>
      <c r="AE12" s="101" t="s">
        <v>6</v>
      </c>
      <c r="AF12" s="101" t="s">
        <v>400</v>
      </c>
      <c r="AI12" s="101" t="s">
        <v>760</v>
      </c>
    </row>
    <row r="13" spans="1:35">
      <c r="A13" s="246" t="s">
        <v>111</v>
      </c>
      <c r="B13" s="246" t="s">
        <v>78</v>
      </c>
      <c r="C13" s="246" t="s">
        <v>126</v>
      </c>
      <c r="D13" s="246" t="s">
        <v>768</v>
      </c>
      <c r="E13" s="246" t="s">
        <v>769</v>
      </c>
      <c r="F13" s="246" t="s">
        <v>277</v>
      </c>
      <c r="G13" s="132" t="s">
        <v>907</v>
      </c>
      <c r="H13" s="132" t="s">
        <v>908</v>
      </c>
      <c r="I13" s="132">
        <v>-136.69999999999999</v>
      </c>
      <c r="J13" s="101" t="s">
        <v>889</v>
      </c>
      <c r="K13" s="245" t="s">
        <v>390</v>
      </c>
      <c r="L13" s="245">
        <v>42853</v>
      </c>
      <c r="M13" s="245" t="s">
        <v>391</v>
      </c>
      <c r="N13" s="101">
        <v>0</v>
      </c>
      <c r="O13" s="101" t="s">
        <v>392</v>
      </c>
      <c r="P13" s="101">
        <v>0</v>
      </c>
      <c r="Q13" s="101">
        <v>0</v>
      </c>
      <c r="R13" s="101" t="s">
        <v>393</v>
      </c>
      <c r="S13" s="101" t="s">
        <v>823</v>
      </c>
      <c r="T13" s="101" t="s">
        <v>394</v>
      </c>
      <c r="V13" s="245">
        <v>13884</v>
      </c>
      <c r="W13" s="101" t="s">
        <v>395</v>
      </c>
      <c r="X13" s="101" t="s">
        <v>795</v>
      </c>
      <c r="Y13" s="101" t="s">
        <v>396</v>
      </c>
      <c r="Z13" s="101" t="s">
        <v>402</v>
      </c>
      <c r="AA13" s="101" t="s">
        <v>78</v>
      </c>
      <c r="AB13" s="101">
        <v>4101000279</v>
      </c>
      <c r="AC13" s="101" t="s">
        <v>398</v>
      </c>
      <c r="AD13" s="101" t="s">
        <v>403</v>
      </c>
      <c r="AE13" s="101" t="s">
        <v>6</v>
      </c>
      <c r="AF13" s="101" t="s">
        <v>400</v>
      </c>
      <c r="AI13" s="101" t="s">
        <v>760</v>
      </c>
    </row>
    <row r="14" spans="1:35">
      <c r="A14" s="246" t="s">
        <v>112</v>
      </c>
      <c r="B14" s="246" t="s">
        <v>78</v>
      </c>
      <c r="C14" s="246" t="s">
        <v>126</v>
      </c>
      <c r="D14" s="246" t="s">
        <v>341</v>
      </c>
      <c r="E14" s="246" t="s">
        <v>342</v>
      </c>
      <c r="F14" s="246" t="s">
        <v>278</v>
      </c>
      <c r="G14" s="132" t="s">
        <v>909</v>
      </c>
      <c r="H14" s="132" t="s">
        <v>910</v>
      </c>
      <c r="I14" s="132">
        <v>-175.23</v>
      </c>
      <c r="J14" s="101" t="s">
        <v>889</v>
      </c>
      <c r="K14" s="245" t="s">
        <v>390</v>
      </c>
      <c r="L14" s="245">
        <v>42886</v>
      </c>
      <c r="M14" s="245" t="s">
        <v>391</v>
      </c>
      <c r="N14" s="101">
        <v>0</v>
      </c>
      <c r="O14" s="101" t="s">
        <v>392</v>
      </c>
      <c r="P14" s="101">
        <v>0</v>
      </c>
      <c r="Q14" s="101">
        <v>0</v>
      </c>
      <c r="R14" s="101" t="s">
        <v>393</v>
      </c>
      <c r="S14" s="101" t="s">
        <v>823</v>
      </c>
      <c r="T14" s="101" t="s">
        <v>394</v>
      </c>
      <c r="V14" s="245">
        <v>13884</v>
      </c>
      <c r="W14" s="101" t="s">
        <v>395</v>
      </c>
      <c r="X14" s="101" t="s">
        <v>795</v>
      </c>
      <c r="Y14" s="101" t="s">
        <v>396</v>
      </c>
      <c r="Z14" s="101" t="s">
        <v>402</v>
      </c>
      <c r="AA14" s="101" t="s">
        <v>78</v>
      </c>
      <c r="AB14" s="101">
        <v>4101000279</v>
      </c>
      <c r="AC14" s="101" t="s">
        <v>398</v>
      </c>
      <c r="AD14" s="101" t="s">
        <v>403</v>
      </c>
      <c r="AE14" s="101" t="s">
        <v>6</v>
      </c>
      <c r="AF14" s="101" t="s">
        <v>400</v>
      </c>
      <c r="AI14" s="101" t="s">
        <v>760</v>
      </c>
    </row>
    <row r="15" spans="1:35">
      <c r="A15" s="246" t="s">
        <v>112</v>
      </c>
      <c r="B15" s="246" t="s">
        <v>78</v>
      </c>
      <c r="C15" s="246" t="s">
        <v>126</v>
      </c>
      <c r="D15" s="246" t="s">
        <v>341</v>
      </c>
      <c r="E15" s="246" t="s">
        <v>342</v>
      </c>
      <c r="F15" s="246" t="s">
        <v>278</v>
      </c>
      <c r="G15" s="132" t="s">
        <v>911</v>
      </c>
      <c r="H15" s="132" t="s">
        <v>912</v>
      </c>
      <c r="I15" s="132">
        <v>-185.23</v>
      </c>
      <c r="J15" s="101" t="s">
        <v>889</v>
      </c>
      <c r="K15" s="245" t="s">
        <v>390</v>
      </c>
      <c r="L15" s="245">
        <v>42916</v>
      </c>
      <c r="M15" s="245" t="s">
        <v>391</v>
      </c>
      <c r="N15" s="101">
        <v>0</v>
      </c>
      <c r="O15" s="101" t="s">
        <v>392</v>
      </c>
      <c r="P15" s="101">
        <v>0</v>
      </c>
      <c r="Q15" s="101">
        <v>0</v>
      </c>
      <c r="R15" s="101" t="s">
        <v>393</v>
      </c>
      <c r="S15" s="101" t="s">
        <v>823</v>
      </c>
      <c r="T15" s="101" t="s">
        <v>394</v>
      </c>
      <c r="V15" s="245">
        <v>13884</v>
      </c>
      <c r="W15" s="101" t="s">
        <v>395</v>
      </c>
      <c r="X15" s="101" t="s">
        <v>795</v>
      </c>
      <c r="Y15" s="101" t="s">
        <v>396</v>
      </c>
      <c r="Z15" s="101" t="s">
        <v>402</v>
      </c>
      <c r="AA15" s="101" t="s">
        <v>78</v>
      </c>
      <c r="AB15" s="101">
        <v>4101000279</v>
      </c>
      <c r="AC15" s="101" t="s">
        <v>398</v>
      </c>
      <c r="AD15" s="101" t="s">
        <v>403</v>
      </c>
      <c r="AE15" s="101" t="s">
        <v>6</v>
      </c>
      <c r="AF15" s="101" t="s">
        <v>400</v>
      </c>
      <c r="AI15" s="101" t="s">
        <v>760</v>
      </c>
    </row>
    <row r="16" spans="1:35">
      <c r="A16" s="246" t="s">
        <v>112</v>
      </c>
      <c r="B16" s="246" t="s">
        <v>78</v>
      </c>
      <c r="C16" s="246" t="s">
        <v>126</v>
      </c>
      <c r="D16" s="246" t="s">
        <v>341</v>
      </c>
      <c r="E16" s="246" t="s">
        <v>342</v>
      </c>
      <c r="F16" s="246" t="s">
        <v>278</v>
      </c>
      <c r="G16" s="132" t="s">
        <v>913</v>
      </c>
      <c r="H16" s="132" t="s">
        <v>914</v>
      </c>
      <c r="I16" s="132">
        <v>-191.41</v>
      </c>
      <c r="J16" s="101" t="s">
        <v>889</v>
      </c>
      <c r="K16" s="245" t="s">
        <v>390</v>
      </c>
      <c r="L16" s="245">
        <v>42947</v>
      </c>
      <c r="M16" s="245" t="s">
        <v>391</v>
      </c>
      <c r="N16" s="101">
        <v>0</v>
      </c>
      <c r="O16" s="101" t="s">
        <v>392</v>
      </c>
      <c r="P16" s="101">
        <v>0</v>
      </c>
      <c r="Q16" s="101">
        <v>0</v>
      </c>
      <c r="R16" s="101" t="s">
        <v>393</v>
      </c>
      <c r="S16" s="101" t="s">
        <v>823</v>
      </c>
      <c r="T16" s="101" t="s">
        <v>394</v>
      </c>
      <c r="V16" s="245">
        <v>13884</v>
      </c>
      <c r="W16" s="101" t="s">
        <v>395</v>
      </c>
      <c r="X16" s="101" t="s">
        <v>795</v>
      </c>
      <c r="Y16" s="101" t="s">
        <v>396</v>
      </c>
      <c r="Z16" s="101" t="s">
        <v>402</v>
      </c>
      <c r="AA16" s="101" t="s">
        <v>78</v>
      </c>
      <c r="AB16" s="101">
        <v>4101000279</v>
      </c>
      <c r="AC16" s="101" t="s">
        <v>398</v>
      </c>
      <c r="AD16" s="101" t="s">
        <v>403</v>
      </c>
      <c r="AE16" s="101" t="s">
        <v>6</v>
      </c>
      <c r="AF16" s="101" t="s">
        <v>400</v>
      </c>
      <c r="AI16" s="101" t="s">
        <v>760</v>
      </c>
    </row>
    <row r="17" spans="1:35">
      <c r="A17" s="246" t="s">
        <v>112</v>
      </c>
      <c r="B17" s="246" t="s">
        <v>78</v>
      </c>
      <c r="C17" s="246" t="s">
        <v>126</v>
      </c>
      <c r="D17" s="246" t="s">
        <v>341</v>
      </c>
      <c r="E17" s="246" t="s">
        <v>342</v>
      </c>
      <c r="F17" s="246" t="s">
        <v>278</v>
      </c>
      <c r="G17" s="132" t="s">
        <v>913</v>
      </c>
      <c r="H17" s="132" t="s">
        <v>914</v>
      </c>
      <c r="I17" s="132">
        <v>-191.41</v>
      </c>
      <c r="J17" s="101" t="s">
        <v>889</v>
      </c>
      <c r="K17" s="245" t="s">
        <v>390</v>
      </c>
      <c r="L17" s="245">
        <v>42978</v>
      </c>
      <c r="M17" s="245" t="s">
        <v>391</v>
      </c>
      <c r="N17" s="101">
        <v>0</v>
      </c>
      <c r="O17" s="101" t="s">
        <v>392</v>
      </c>
      <c r="P17" s="101">
        <v>0</v>
      </c>
      <c r="Q17" s="101">
        <v>0</v>
      </c>
      <c r="R17" s="101" t="s">
        <v>393</v>
      </c>
      <c r="S17" s="101" t="s">
        <v>823</v>
      </c>
      <c r="T17" s="101" t="s">
        <v>394</v>
      </c>
      <c r="V17" s="245">
        <v>13884</v>
      </c>
      <c r="W17" s="101" t="s">
        <v>395</v>
      </c>
      <c r="X17" s="101" t="s">
        <v>795</v>
      </c>
      <c r="Y17" s="101" t="s">
        <v>396</v>
      </c>
      <c r="Z17" s="101" t="s">
        <v>402</v>
      </c>
      <c r="AA17" s="101" t="s">
        <v>78</v>
      </c>
      <c r="AB17" s="101">
        <v>4101000279</v>
      </c>
      <c r="AC17" s="101" t="s">
        <v>398</v>
      </c>
      <c r="AD17" s="101" t="s">
        <v>403</v>
      </c>
      <c r="AE17" s="101" t="s">
        <v>6</v>
      </c>
      <c r="AF17" s="101" t="s">
        <v>400</v>
      </c>
      <c r="AI17" s="101" t="s">
        <v>760</v>
      </c>
    </row>
    <row r="18" spans="1:35">
      <c r="A18" s="246" t="s">
        <v>112</v>
      </c>
      <c r="B18" s="246" t="s">
        <v>78</v>
      </c>
      <c r="C18" s="246" t="s">
        <v>126</v>
      </c>
      <c r="D18" s="246" t="s">
        <v>341</v>
      </c>
      <c r="E18" s="246" t="s">
        <v>342</v>
      </c>
      <c r="F18" s="246" t="s">
        <v>278</v>
      </c>
      <c r="G18" s="132" t="s">
        <v>911</v>
      </c>
      <c r="H18" s="132" t="s">
        <v>912</v>
      </c>
      <c r="I18" s="132">
        <v>-185.23</v>
      </c>
      <c r="J18" s="101" t="s">
        <v>889</v>
      </c>
      <c r="K18" s="245" t="s">
        <v>390</v>
      </c>
      <c r="L18" s="245">
        <v>43007</v>
      </c>
      <c r="M18" s="245" t="s">
        <v>391</v>
      </c>
      <c r="N18" s="101">
        <v>0</v>
      </c>
      <c r="O18" s="101" t="s">
        <v>392</v>
      </c>
      <c r="P18" s="101">
        <v>0</v>
      </c>
      <c r="Q18" s="101">
        <v>0</v>
      </c>
      <c r="R18" s="101" t="s">
        <v>393</v>
      </c>
      <c r="S18" s="101" t="s">
        <v>823</v>
      </c>
      <c r="T18" s="101" t="s">
        <v>394</v>
      </c>
      <c r="V18" s="245">
        <v>13884</v>
      </c>
      <c r="W18" s="101" t="s">
        <v>395</v>
      </c>
      <c r="X18" s="101" t="s">
        <v>795</v>
      </c>
      <c r="Y18" s="101" t="s">
        <v>396</v>
      </c>
      <c r="Z18" s="101" t="s">
        <v>402</v>
      </c>
      <c r="AA18" s="101" t="s">
        <v>78</v>
      </c>
      <c r="AB18" s="101">
        <v>4101000279</v>
      </c>
      <c r="AC18" s="101" t="s">
        <v>398</v>
      </c>
      <c r="AD18" s="101" t="s">
        <v>403</v>
      </c>
      <c r="AE18" s="101" t="s">
        <v>6</v>
      </c>
      <c r="AF18" s="101" t="s">
        <v>400</v>
      </c>
      <c r="AI18" s="101" t="s">
        <v>760</v>
      </c>
    </row>
    <row r="19" spans="1:35">
      <c r="A19" s="246" t="s">
        <v>112</v>
      </c>
      <c r="B19" s="246" t="s">
        <v>78</v>
      </c>
      <c r="C19" s="246" t="s">
        <v>126</v>
      </c>
      <c r="D19" s="246" t="s">
        <v>341</v>
      </c>
      <c r="E19" s="246" t="s">
        <v>342</v>
      </c>
      <c r="F19" s="246" t="s">
        <v>278</v>
      </c>
      <c r="G19" s="132" t="s">
        <v>913</v>
      </c>
      <c r="H19" s="132" t="s">
        <v>914</v>
      </c>
      <c r="I19" s="132">
        <v>-191.41</v>
      </c>
      <c r="J19" s="101" t="s">
        <v>889</v>
      </c>
      <c r="K19" s="245" t="s">
        <v>390</v>
      </c>
      <c r="L19" s="245">
        <v>43039</v>
      </c>
      <c r="M19" s="245" t="s">
        <v>391</v>
      </c>
      <c r="N19" s="101">
        <v>0</v>
      </c>
      <c r="O19" s="101" t="s">
        <v>392</v>
      </c>
      <c r="P19" s="101">
        <v>0</v>
      </c>
      <c r="Q19" s="101">
        <v>0</v>
      </c>
      <c r="R19" s="101" t="s">
        <v>393</v>
      </c>
      <c r="S19" s="101" t="s">
        <v>823</v>
      </c>
      <c r="T19" s="101" t="s">
        <v>394</v>
      </c>
      <c r="V19" s="245">
        <v>13884</v>
      </c>
      <c r="W19" s="101" t="s">
        <v>395</v>
      </c>
      <c r="X19" s="101" t="s">
        <v>795</v>
      </c>
      <c r="Y19" s="101" t="s">
        <v>396</v>
      </c>
      <c r="Z19" s="101" t="s">
        <v>402</v>
      </c>
      <c r="AA19" s="101" t="s">
        <v>78</v>
      </c>
      <c r="AB19" s="101">
        <v>4101000279</v>
      </c>
      <c r="AC19" s="101" t="s">
        <v>398</v>
      </c>
      <c r="AD19" s="101" t="s">
        <v>403</v>
      </c>
      <c r="AE19" s="101" t="s">
        <v>6</v>
      </c>
      <c r="AF19" s="101" t="s">
        <v>400</v>
      </c>
      <c r="AI19" s="101" t="s">
        <v>760</v>
      </c>
    </row>
    <row r="20" spans="1:35">
      <c r="A20" s="246" t="s">
        <v>113</v>
      </c>
      <c r="B20" s="246" t="s">
        <v>78</v>
      </c>
      <c r="C20" s="246" t="s">
        <v>126</v>
      </c>
      <c r="D20" s="246" t="s">
        <v>339</v>
      </c>
      <c r="E20" s="246" t="s">
        <v>340</v>
      </c>
      <c r="F20" s="246" t="s">
        <v>279</v>
      </c>
      <c r="G20" s="132" t="s">
        <v>911</v>
      </c>
      <c r="H20" s="132" t="s">
        <v>912</v>
      </c>
      <c r="I20" s="132">
        <v>-185.23</v>
      </c>
      <c r="J20" s="101" t="s">
        <v>889</v>
      </c>
      <c r="K20" s="245" t="s">
        <v>390</v>
      </c>
      <c r="L20" s="245">
        <v>43069</v>
      </c>
      <c r="M20" s="245" t="s">
        <v>391</v>
      </c>
      <c r="N20" s="101">
        <v>0</v>
      </c>
      <c r="O20" s="101" t="s">
        <v>392</v>
      </c>
      <c r="P20" s="101">
        <v>0</v>
      </c>
      <c r="Q20" s="101">
        <v>0</v>
      </c>
      <c r="R20" s="101" t="s">
        <v>393</v>
      </c>
      <c r="S20" s="101" t="s">
        <v>823</v>
      </c>
      <c r="T20" s="101" t="s">
        <v>394</v>
      </c>
      <c r="V20" s="245">
        <v>13884</v>
      </c>
      <c r="W20" s="101" t="s">
        <v>395</v>
      </c>
      <c r="X20" s="101" t="s">
        <v>795</v>
      </c>
      <c r="Y20" s="101" t="s">
        <v>396</v>
      </c>
      <c r="Z20" s="101" t="s">
        <v>402</v>
      </c>
      <c r="AA20" s="101" t="s">
        <v>78</v>
      </c>
      <c r="AB20" s="101">
        <v>4101000279</v>
      </c>
      <c r="AC20" s="101" t="s">
        <v>398</v>
      </c>
      <c r="AD20" s="101" t="s">
        <v>403</v>
      </c>
      <c r="AE20" s="101" t="s">
        <v>6</v>
      </c>
      <c r="AF20" s="101" t="s">
        <v>400</v>
      </c>
      <c r="AI20" s="101" t="s">
        <v>760</v>
      </c>
    </row>
    <row r="21" spans="1:35">
      <c r="A21" s="246" t="s">
        <v>113</v>
      </c>
      <c r="B21" s="246" t="s">
        <v>78</v>
      </c>
      <c r="C21" s="246" t="s">
        <v>126</v>
      </c>
      <c r="D21" s="246" t="s">
        <v>339</v>
      </c>
      <c r="E21" s="246" t="s">
        <v>340</v>
      </c>
      <c r="F21" s="246" t="s">
        <v>279</v>
      </c>
      <c r="G21" s="132" t="s">
        <v>913</v>
      </c>
      <c r="H21" s="132" t="s">
        <v>914</v>
      </c>
      <c r="I21" s="132">
        <v>-191.41</v>
      </c>
      <c r="J21" s="101" t="s">
        <v>889</v>
      </c>
      <c r="K21" s="245" t="s">
        <v>390</v>
      </c>
      <c r="L21" s="245">
        <v>43098</v>
      </c>
      <c r="M21" s="245" t="s">
        <v>391</v>
      </c>
      <c r="N21" s="101">
        <v>0</v>
      </c>
      <c r="O21" s="101" t="s">
        <v>392</v>
      </c>
      <c r="P21" s="101">
        <v>0</v>
      </c>
      <c r="Q21" s="101">
        <v>0</v>
      </c>
      <c r="R21" s="101" t="s">
        <v>393</v>
      </c>
      <c r="S21" s="101" t="s">
        <v>823</v>
      </c>
      <c r="T21" s="101" t="s">
        <v>394</v>
      </c>
      <c r="V21" s="245">
        <v>13884</v>
      </c>
      <c r="W21" s="101" t="s">
        <v>395</v>
      </c>
      <c r="X21" s="101" t="s">
        <v>795</v>
      </c>
      <c r="Y21" s="101" t="s">
        <v>396</v>
      </c>
      <c r="Z21" s="101" t="s">
        <v>402</v>
      </c>
      <c r="AA21" s="101" t="s">
        <v>78</v>
      </c>
      <c r="AB21" s="101">
        <v>4101000279</v>
      </c>
      <c r="AC21" s="101" t="s">
        <v>398</v>
      </c>
      <c r="AD21" s="101" t="s">
        <v>403</v>
      </c>
      <c r="AE21" s="101" t="s">
        <v>6</v>
      </c>
      <c r="AF21" s="101" t="s">
        <v>400</v>
      </c>
      <c r="AI21" s="101" t="s">
        <v>760</v>
      </c>
    </row>
    <row r="22" spans="1:35">
      <c r="A22" s="246" t="s">
        <v>113</v>
      </c>
      <c r="B22" s="246" t="s">
        <v>78</v>
      </c>
      <c r="C22" s="246" t="s">
        <v>126</v>
      </c>
      <c r="D22" s="246" t="s">
        <v>339</v>
      </c>
      <c r="E22" s="246" t="s">
        <v>340</v>
      </c>
      <c r="F22" s="246" t="s">
        <v>279</v>
      </c>
      <c r="G22" s="132" t="s">
        <v>913</v>
      </c>
      <c r="H22" s="132" t="s">
        <v>914</v>
      </c>
      <c r="I22" s="132">
        <v>-191.41</v>
      </c>
      <c r="J22" s="101" t="s">
        <v>889</v>
      </c>
      <c r="K22" s="245" t="s">
        <v>390</v>
      </c>
      <c r="L22" s="245">
        <v>43131</v>
      </c>
      <c r="M22" s="245" t="s">
        <v>391</v>
      </c>
      <c r="N22" s="101">
        <v>0</v>
      </c>
      <c r="O22" s="101" t="s">
        <v>392</v>
      </c>
      <c r="P22" s="101">
        <v>0</v>
      </c>
      <c r="Q22" s="101">
        <v>0</v>
      </c>
      <c r="R22" s="101" t="s">
        <v>393</v>
      </c>
      <c r="S22" s="101" t="s">
        <v>823</v>
      </c>
      <c r="T22" s="101" t="s">
        <v>394</v>
      </c>
      <c r="V22" s="245">
        <v>13884</v>
      </c>
      <c r="W22" s="101" t="s">
        <v>395</v>
      </c>
      <c r="X22" s="101" t="s">
        <v>795</v>
      </c>
      <c r="Y22" s="101" t="s">
        <v>396</v>
      </c>
      <c r="Z22" s="101" t="s">
        <v>402</v>
      </c>
      <c r="AA22" s="101" t="s">
        <v>78</v>
      </c>
      <c r="AB22" s="101">
        <v>4101000279</v>
      </c>
      <c r="AC22" s="101" t="s">
        <v>398</v>
      </c>
      <c r="AD22" s="101" t="s">
        <v>403</v>
      </c>
      <c r="AE22" s="101" t="s">
        <v>6</v>
      </c>
      <c r="AF22" s="101" t="s">
        <v>400</v>
      </c>
      <c r="AI22" s="101" t="s">
        <v>760</v>
      </c>
    </row>
    <row r="23" spans="1:35">
      <c r="A23" s="246" t="s">
        <v>113</v>
      </c>
      <c r="B23" s="246" t="s">
        <v>78</v>
      </c>
      <c r="C23" s="246" t="s">
        <v>126</v>
      </c>
      <c r="D23" s="246" t="s">
        <v>339</v>
      </c>
      <c r="E23" s="246" t="s">
        <v>340</v>
      </c>
      <c r="F23" s="246" t="s">
        <v>279</v>
      </c>
      <c r="G23" s="132" t="s">
        <v>915</v>
      </c>
      <c r="H23" s="132" t="s">
        <v>916</v>
      </c>
      <c r="I23" s="132">
        <v>-172.86999999999998</v>
      </c>
      <c r="J23" s="101" t="s">
        <v>889</v>
      </c>
      <c r="K23" s="245" t="s">
        <v>390</v>
      </c>
      <c r="L23" s="245">
        <v>43159</v>
      </c>
      <c r="M23" s="245" t="s">
        <v>391</v>
      </c>
      <c r="N23" s="101">
        <v>0</v>
      </c>
      <c r="O23" s="101" t="s">
        <v>392</v>
      </c>
      <c r="P23" s="101">
        <v>0</v>
      </c>
      <c r="Q23" s="101">
        <v>0</v>
      </c>
      <c r="R23" s="101" t="s">
        <v>393</v>
      </c>
      <c r="S23" s="101" t="s">
        <v>823</v>
      </c>
      <c r="T23" s="101" t="s">
        <v>394</v>
      </c>
      <c r="V23" s="245">
        <v>13884</v>
      </c>
      <c r="W23" s="101" t="s">
        <v>395</v>
      </c>
      <c r="X23" s="101" t="s">
        <v>795</v>
      </c>
      <c r="Y23" s="101" t="s">
        <v>396</v>
      </c>
      <c r="Z23" s="101" t="s">
        <v>402</v>
      </c>
      <c r="AA23" s="101" t="s">
        <v>78</v>
      </c>
      <c r="AB23" s="101">
        <v>4101000279</v>
      </c>
      <c r="AC23" s="101" t="s">
        <v>398</v>
      </c>
      <c r="AD23" s="101" t="s">
        <v>403</v>
      </c>
      <c r="AE23" s="101" t="s">
        <v>6</v>
      </c>
      <c r="AF23" s="101" t="s">
        <v>400</v>
      </c>
      <c r="AI23" s="101" t="s">
        <v>760</v>
      </c>
    </row>
    <row r="24" spans="1:35">
      <c r="A24" s="246" t="s">
        <v>113</v>
      </c>
      <c r="B24" s="246" t="s">
        <v>78</v>
      </c>
      <c r="C24" s="246" t="s">
        <v>126</v>
      </c>
      <c r="D24" s="246" t="s">
        <v>339</v>
      </c>
      <c r="E24" s="246" t="s">
        <v>340</v>
      </c>
      <c r="F24" s="246" t="s">
        <v>279</v>
      </c>
      <c r="G24" s="132" t="s">
        <v>913</v>
      </c>
      <c r="H24" s="132" t="s">
        <v>914</v>
      </c>
      <c r="I24" s="132">
        <v>-191.41</v>
      </c>
      <c r="J24" s="101" t="s">
        <v>889</v>
      </c>
      <c r="K24" s="245" t="s">
        <v>390</v>
      </c>
      <c r="L24" s="245">
        <v>43189</v>
      </c>
      <c r="M24" s="245" t="s">
        <v>391</v>
      </c>
      <c r="N24" s="101">
        <v>0</v>
      </c>
      <c r="O24" s="101" t="s">
        <v>392</v>
      </c>
      <c r="P24" s="101">
        <v>0</v>
      </c>
      <c r="Q24" s="101">
        <v>0</v>
      </c>
      <c r="R24" s="101" t="s">
        <v>393</v>
      </c>
      <c r="S24" s="101" t="s">
        <v>823</v>
      </c>
      <c r="T24" s="101" t="s">
        <v>394</v>
      </c>
      <c r="V24" s="245">
        <v>13884</v>
      </c>
      <c r="W24" s="101" t="s">
        <v>395</v>
      </c>
      <c r="X24" s="101" t="s">
        <v>795</v>
      </c>
      <c r="Y24" s="101" t="s">
        <v>396</v>
      </c>
      <c r="Z24" s="101" t="s">
        <v>402</v>
      </c>
      <c r="AA24" s="101" t="s">
        <v>78</v>
      </c>
      <c r="AB24" s="101">
        <v>4101000279</v>
      </c>
      <c r="AC24" s="101" t="s">
        <v>398</v>
      </c>
      <c r="AD24" s="101" t="s">
        <v>403</v>
      </c>
      <c r="AE24" s="101" t="s">
        <v>6</v>
      </c>
      <c r="AF24" s="101" t="s">
        <v>400</v>
      </c>
      <c r="AI24" s="101" t="s">
        <v>760</v>
      </c>
    </row>
    <row r="25" spans="1:35">
      <c r="A25" s="246" t="s">
        <v>113</v>
      </c>
      <c r="B25" s="246" t="s">
        <v>78</v>
      </c>
      <c r="C25" s="246" t="s">
        <v>126</v>
      </c>
      <c r="D25" s="246" t="s">
        <v>339</v>
      </c>
      <c r="E25" s="246" t="s">
        <v>340</v>
      </c>
      <c r="F25" s="246" t="s">
        <v>279</v>
      </c>
      <c r="G25" s="132" t="s">
        <v>911</v>
      </c>
      <c r="H25" s="132" t="s">
        <v>912</v>
      </c>
      <c r="I25" s="132">
        <v>-185.23</v>
      </c>
      <c r="J25" s="101" t="s">
        <v>889</v>
      </c>
      <c r="K25" s="245" t="s">
        <v>390</v>
      </c>
      <c r="L25" s="245">
        <v>43220</v>
      </c>
      <c r="M25" s="245" t="s">
        <v>391</v>
      </c>
      <c r="N25" s="101">
        <v>0</v>
      </c>
      <c r="O25" s="101" t="s">
        <v>392</v>
      </c>
      <c r="P25" s="101">
        <v>0</v>
      </c>
      <c r="Q25" s="101">
        <v>0</v>
      </c>
      <c r="R25" s="101" t="s">
        <v>393</v>
      </c>
      <c r="S25" s="101" t="s">
        <v>823</v>
      </c>
      <c r="T25" s="101" t="s">
        <v>394</v>
      </c>
      <c r="V25" s="245">
        <v>13884</v>
      </c>
      <c r="W25" s="101" t="s">
        <v>395</v>
      </c>
      <c r="X25" s="101" t="s">
        <v>795</v>
      </c>
      <c r="Y25" s="101" t="s">
        <v>396</v>
      </c>
      <c r="Z25" s="101" t="s">
        <v>402</v>
      </c>
      <c r="AA25" s="101" t="s">
        <v>78</v>
      </c>
      <c r="AB25" s="101">
        <v>4101000279</v>
      </c>
      <c r="AC25" s="101" t="s">
        <v>398</v>
      </c>
      <c r="AD25" s="101" t="s">
        <v>403</v>
      </c>
      <c r="AE25" s="101" t="s">
        <v>6</v>
      </c>
      <c r="AF25" s="101" t="s">
        <v>400</v>
      </c>
      <c r="AI25" s="101" t="s">
        <v>760</v>
      </c>
    </row>
    <row r="26" spans="1:35">
      <c r="A26" s="246" t="s">
        <v>110</v>
      </c>
      <c r="B26" s="246" t="s">
        <v>66</v>
      </c>
      <c r="C26" s="246" t="s">
        <v>265</v>
      </c>
      <c r="D26" s="246" t="s">
        <v>283</v>
      </c>
      <c r="E26" s="246"/>
      <c r="F26" s="246"/>
      <c r="G26" s="132" t="s">
        <v>803</v>
      </c>
      <c r="H26" s="132" t="s">
        <v>917</v>
      </c>
      <c r="I26" s="132">
        <v>193582.06</v>
      </c>
      <c r="J26" s="101" t="s">
        <v>889</v>
      </c>
      <c r="K26" s="245" t="s">
        <v>390</v>
      </c>
      <c r="L26" s="245">
        <v>42657</v>
      </c>
      <c r="M26" s="245" t="s">
        <v>421</v>
      </c>
      <c r="N26" s="101">
        <v>0</v>
      </c>
      <c r="O26" s="101" t="s">
        <v>392</v>
      </c>
      <c r="P26" s="101">
        <v>0</v>
      </c>
      <c r="Q26" s="101">
        <v>0</v>
      </c>
      <c r="R26" s="101" t="s">
        <v>453</v>
      </c>
      <c r="S26" s="101" t="s">
        <v>724</v>
      </c>
      <c r="T26" s="101" t="s">
        <v>394</v>
      </c>
      <c r="U26" s="101" t="s">
        <v>89</v>
      </c>
      <c r="V26" s="245">
        <v>14364</v>
      </c>
      <c r="W26" s="101" t="s">
        <v>411</v>
      </c>
      <c r="X26" s="101" t="s">
        <v>77</v>
      </c>
      <c r="Y26" s="101" t="s">
        <v>392</v>
      </c>
      <c r="Z26" s="101" t="s">
        <v>412</v>
      </c>
      <c r="AA26" s="101" t="s">
        <v>474</v>
      </c>
      <c r="AB26" s="101">
        <v>101000310</v>
      </c>
      <c r="AC26" s="101" t="s">
        <v>414</v>
      </c>
      <c r="AD26" s="101" t="s">
        <v>79</v>
      </c>
      <c r="AE26" s="101" t="s">
        <v>75</v>
      </c>
      <c r="AF26" s="101" t="s">
        <v>400</v>
      </c>
      <c r="AI26" s="101" t="s">
        <v>190</v>
      </c>
    </row>
    <row r="27" spans="1:35">
      <c r="A27" s="246" t="s">
        <v>110</v>
      </c>
      <c r="B27" s="246" t="s">
        <v>66</v>
      </c>
      <c r="C27" s="246" t="s">
        <v>126</v>
      </c>
      <c r="D27" s="246" t="s">
        <v>281</v>
      </c>
      <c r="E27" s="246"/>
      <c r="F27" s="246"/>
      <c r="G27" s="132" t="s">
        <v>804</v>
      </c>
      <c r="H27" s="132" t="s">
        <v>918</v>
      </c>
      <c r="I27" s="132">
        <v>-2675.0099999999998</v>
      </c>
      <c r="J27" s="101" t="s">
        <v>889</v>
      </c>
      <c r="K27" s="245" t="s">
        <v>390</v>
      </c>
      <c r="L27" s="245">
        <v>42675</v>
      </c>
      <c r="M27" s="245" t="s">
        <v>391</v>
      </c>
      <c r="N27" s="101">
        <v>0</v>
      </c>
      <c r="O27" s="101" t="s">
        <v>392</v>
      </c>
      <c r="P27" s="101">
        <v>0</v>
      </c>
      <c r="Q27" s="101">
        <v>0</v>
      </c>
      <c r="R27" s="101" t="s">
        <v>444</v>
      </c>
      <c r="S27" s="101" t="s">
        <v>724</v>
      </c>
      <c r="T27" s="101" t="s">
        <v>394</v>
      </c>
      <c r="U27" s="101" t="s">
        <v>89</v>
      </c>
      <c r="V27" s="245">
        <v>14364</v>
      </c>
      <c r="W27" s="101" t="s">
        <v>411</v>
      </c>
      <c r="X27" s="101" t="s">
        <v>77</v>
      </c>
      <c r="Y27" s="101" t="s">
        <v>392</v>
      </c>
      <c r="Z27" s="101" t="s">
        <v>412</v>
      </c>
      <c r="AA27" s="101" t="s">
        <v>474</v>
      </c>
      <c r="AB27" s="101">
        <v>101000310</v>
      </c>
      <c r="AC27" s="101" t="s">
        <v>414</v>
      </c>
      <c r="AD27" s="101" t="s">
        <v>79</v>
      </c>
      <c r="AE27" s="101" t="s">
        <v>75</v>
      </c>
      <c r="AF27" s="101" t="s">
        <v>400</v>
      </c>
      <c r="AI27" s="101" t="s">
        <v>190</v>
      </c>
    </row>
    <row r="28" spans="1:35">
      <c r="A28" s="246" t="s">
        <v>111</v>
      </c>
      <c r="B28" s="246" t="s">
        <v>66</v>
      </c>
      <c r="C28" s="246" t="s">
        <v>265</v>
      </c>
      <c r="D28" s="246" t="s">
        <v>286</v>
      </c>
      <c r="E28" s="246"/>
      <c r="F28" s="246"/>
      <c r="G28" s="132">
        <v>-300000</v>
      </c>
      <c r="H28" s="132" t="s">
        <v>919</v>
      </c>
      <c r="I28" s="132">
        <v>-300000</v>
      </c>
      <c r="J28" s="101" t="s">
        <v>889</v>
      </c>
      <c r="K28" s="245" t="s">
        <v>390</v>
      </c>
      <c r="L28" s="245">
        <v>42839</v>
      </c>
      <c r="M28" s="245" t="s">
        <v>421</v>
      </c>
      <c r="N28" s="101">
        <v>0</v>
      </c>
      <c r="O28" s="101" t="s">
        <v>392</v>
      </c>
      <c r="P28" s="101">
        <v>0</v>
      </c>
      <c r="Q28" s="101">
        <v>0</v>
      </c>
      <c r="R28" s="101" t="s">
        <v>444</v>
      </c>
      <c r="S28" s="101" t="s">
        <v>724</v>
      </c>
      <c r="T28" s="101" t="s">
        <v>394</v>
      </c>
      <c r="U28" s="101" t="s">
        <v>89</v>
      </c>
      <c r="V28" s="245">
        <v>14364</v>
      </c>
      <c r="W28" s="101" t="s">
        <v>411</v>
      </c>
      <c r="X28" s="101" t="s">
        <v>77</v>
      </c>
      <c r="Y28" s="101" t="s">
        <v>392</v>
      </c>
      <c r="Z28" s="101" t="s">
        <v>412</v>
      </c>
      <c r="AA28" s="101" t="s">
        <v>474</v>
      </c>
      <c r="AB28" s="101">
        <v>101000310</v>
      </c>
      <c r="AC28" s="101" t="s">
        <v>414</v>
      </c>
      <c r="AD28" s="101" t="s">
        <v>79</v>
      </c>
      <c r="AE28" s="101" t="s">
        <v>75</v>
      </c>
      <c r="AF28" s="101" t="s">
        <v>400</v>
      </c>
      <c r="AI28" s="101" t="s">
        <v>190</v>
      </c>
    </row>
    <row r="29" spans="1:35">
      <c r="A29" s="246" t="s">
        <v>111</v>
      </c>
      <c r="B29" s="246" t="s">
        <v>66</v>
      </c>
      <c r="C29" s="246" t="s">
        <v>126</v>
      </c>
      <c r="D29" s="246" t="s">
        <v>273</v>
      </c>
      <c r="E29" s="246"/>
      <c r="F29" s="246"/>
      <c r="G29" s="132" t="s">
        <v>725</v>
      </c>
      <c r="H29" s="132" t="s">
        <v>920</v>
      </c>
      <c r="I29" s="132">
        <v>-5772.92</v>
      </c>
      <c r="J29" s="101" t="s">
        <v>889</v>
      </c>
      <c r="K29" s="245" t="s">
        <v>390</v>
      </c>
      <c r="L29" s="245">
        <v>42856</v>
      </c>
      <c r="M29" s="245" t="s">
        <v>391</v>
      </c>
      <c r="N29" s="101">
        <v>0</v>
      </c>
      <c r="O29" s="101" t="s">
        <v>392</v>
      </c>
      <c r="P29" s="101">
        <v>0</v>
      </c>
      <c r="Q29" s="101">
        <v>0</v>
      </c>
      <c r="R29" s="101" t="s">
        <v>444</v>
      </c>
      <c r="S29" s="101" t="s">
        <v>724</v>
      </c>
      <c r="T29" s="101" t="s">
        <v>394</v>
      </c>
      <c r="U29" s="101" t="s">
        <v>89</v>
      </c>
      <c r="V29" s="245">
        <v>14364</v>
      </c>
      <c r="W29" s="101" t="s">
        <v>411</v>
      </c>
      <c r="X29" s="101" t="s">
        <v>77</v>
      </c>
      <c r="Y29" s="101" t="s">
        <v>392</v>
      </c>
      <c r="Z29" s="101" t="s">
        <v>412</v>
      </c>
      <c r="AA29" s="101" t="s">
        <v>474</v>
      </c>
      <c r="AB29" s="101">
        <v>101000310</v>
      </c>
      <c r="AC29" s="101" t="s">
        <v>414</v>
      </c>
      <c r="AD29" s="101" t="s">
        <v>79</v>
      </c>
      <c r="AE29" s="101" t="s">
        <v>75</v>
      </c>
      <c r="AF29" s="101" t="s">
        <v>400</v>
      </c>
      <c r="AI29" s="101" t="s">
        <v>190</v>
      </c>
    </row>
    <row r="30" spans="1:35">
      <c r="A30" s="246" t="s">
        <v>112</v>
      </c>
      <c r="B30" s="246" t="s">
        <v>66</v>
      </c>
      <c r="C30" s="246" t="s">
        <v>126</v>
      </c>
      <c r="D30" s="246" t="s">
        <v>270</v>
      </c>
      <c r="E30" s="246"/>
      <c r="F30" s="246"/>
      <c r="G30" s="132">
        <v>0</v>
      </c>
      <c r="H30" s="132">
        <v>0</v>
      </c>
      <c r="I30" s="132">
        <v>0</v>
      </c>
      <c r="J30" s="101" t="s">
        <v>889</v>
      </c>
      <c r="K30" s="245" t="s">
        <v>390</v>
      </c>
      <c r="L30" s="245">
        <v>43040</v>
      </c>
      <c r="M30" s="245" t="s">
        <v>391</v>
      </c>
      <c r="N30" s="101">
        <v>0</v>
      </c>
      <c r="O30" s="101" t="s">
        <v>392</v>
      </c>
      <c r="P30" s="101">
        <v>0</v>
      </c>
      <c r="Q30" s="101">
        <v>0</v>
      </c>
      <c r="R30" s="101" t="s">
        <v>453</v>
      </c>
      <c r="S30" s="101" t="s">
        <v>724</v>
      </c>
      <c r="T30" s="101" t="s">
        <v>394</v>
      </c>
      <c r="U30" s="101" t="s">
        <v>89</v>
      </c>
      <c r="V30" s="245">
        <v>14364</v>
      </c>
      <c r="W30" s="101" t="s">
        <v>411</v>
      </c>
      <c r="X30" s="101" t="s">
        <v>77</v>
      </c>
      <c r="Y30" s="101" t="s">
        <v>392</v>
      </c>
      <c r="Z30" s="101" t="s">
        <v>412</v>
      </c>
      <c r="AA30" s="101" t="s">
        <v>474</v>
      </c>
      <c r="AB30" s="101">
        <v>101000310</v>
      </c>
      <c r="AC30" s="101" t="s">
        <v>414</v>
      </c>
      <c r="AD30" s="101" t="s">
        <v>79</v>
      </c>
      <c r="AE30" s="101" t="s">
        <v>75</v>
      </c>
      <c r="AF30" s="101" t="s">
        <v>400</v>
      </c>
      <c r="AI30" s="101" t="s">
        <v>190</v>
      </c>
    </row>
    <row r="31" spans="1:35">
      <c r="A31" s="246" t="s">
        <v>113</v>
      </c>
      <c r="B31" s="246" t="s">
        <v>66</v>
      </c>
      <c r="C31" s="246" t="s">
        <v>126</v>
      </c>
      <c r="D31" s="246" t="s">
        <v>271</v>
      </c>
      <c r="E31" s="246"/>
      <c r="F31" s="246"/>
      <c r="G31" s="132">
        <v>0</v>
      </c>
      <c r="H31" s="132">
        <v>0</v>
      </c>
      <c r="I31" s="132">
        <v>0</v>
      </c>
      <c r="J31" s="101" t="s">
        <v>889</v>
      </c>
      <c r="K31" s="245" t="s">
        <v>390</v>
      </c>
      <c r="L31" s="245">
        <v>43221</v>
      </c>
      <c r="M31" s="245" t="s">
        <v>391</v>
      </c>
      <c r="N31" s="101">
        <v>0</v>
      </c>
      <c r="O31" s="101" t="s">
        <v>392</v>
      </c>
      <c r="P31" s="101">
        <v>0</v>
      </c>
      <c r="Q31" s="101">
        <v>0</v>
      </c>
      <c r="R31" s="101" t="s">
        <v>453</v>
      </c>
      <c r="S31" s="101" t="s">
        <v>724</v>
      </c>
      <c r="T31" s="101" t="s">
        <v>394</v>
      </c>
      <c r="U31" s="101" t="s">
        <v>89</v>
      </c>
      <c r="V31" s="245">
        <v>14364</v>
      </c>
      <c r="W31" s="101" t="s">
        <v>411</v>
      </c>
      <c r="X31" s="101" t="s">
        <v>77</v>
      </c>
      <c r="Y31" s="101" t="s">
        <v>392</v>
      </c>
      <c r="Z31" s="101" t="s">
        <v>412</v>
      </c>
      <c r="AA31" s="101" t="s">
        <v>474</v>
      </c>
      <c r="AB31" s="101">
        <v>101000310</v>
      </c>
      <c r="AC31" s="101" t="s">
        <v>414</v>
      </c>
      <c r="AD31" s="101" t="s">
        <v>79</v>
      </c>
      <c r="AE31" s="101" t="s">
        <v>75</v>
      </c>
      <c r="AF31" s="101" t="s">
        <v>400</v>
      </c>
      <c r="AI31" s="101" t="s">
        <v>190</v>
      </c>
    </row>
    <row r="32" spans="1:35">
      <c r="A32" s="246" t="s">
        <v>107</v>
      </c>
      <c r="B32" s="246" t="s">
        <v>66</v>
      </c>
      <c r="C32" s="246" t="s">
        <v>126</v>
      </c>
      <c r="D32" s="246" t="s">
        <v>1769</v>
      </c>
      <c r="E32" s="246"/>
      <c r="F32" s="246"/>
      <c r="G32" s="132">
        <v>0</v>
      </c>
      <c r="H32" s="132">
        <v>0</v>
      </c>
      <c r="I32" s="132">
        <v>0</v>
      </c>
      <c r="J32" s="101" t="s">
        <v>889</v>
      </c>
      <c r="K32" s="245" t="s">
        <v>390</v>
      </c>
      <c r="L32" s="245">
        <v>42522</v>
      </c>
      <c r="M32" s="245" t="s">
        <v>391</v>
      </c>
      <c r="N32" s="101">
        <v>0</v>
      </c>
      <c r="O32" s="101" t="s">
        <v>392</v>
      </c>
      <c r="P32" s="101">
        <v>0</v>
      </c>
      <c r="Q32" s="101">
        <v>0</v>
      </c>
      <c r="R32" s="101" t="s">
        <v>428</v>
      </c>
      <c r="S32" s="101">
        <v>157752</v>
      </c>
      <c r="T32" s="101" t="s">
        <v>394</v>
      </c>
      <c r="V32" s="245">
        <v>42951</v>
      </c>
      <c r="W32" s="101" t="s">
        <v>627</v>
      </c>
      <c r="X32" s="101" t="s">
        <v>429</v>
      </c>
      <c r="Y32" s="101" t="s">
        <v>392</v>
      </c>
      <c r="Z32" s="101" t="s">
        <v>430</v>
      </c>
      <c r="AA32" s="101" t="s">
        <v>628</v>
      </c>
      <c r="AB32" s="101">
        <v>3101055606</v>
      </c>
      <c r="AC32" s="101" t="s">
        <v>431</v>
      </c>
      <c r="AD32" s="101" t="s">
        <v>431</v>
      </c>
      <c r="AE32" s="101" t="s">
        <v>75</v>
      </c>
      <c r="AF32" s="101" t="s">
        <v>400</v>
      </c>
      <c r="AG32" s="101" t="s">
        <v>624</v>
      </c>
      <c r="AI32" s="101" t="s">
        <v>760</v>
      </c>
    </row>
    <row r="33" spans="1:35">
      <c r="A33" s="246" t="s">
        <v>109</v>
      </c>
      <c r="B33" s="246" t="s">
        <v>66</v>
      </c>
      <c r="C33" s="246" t="s">
        <v>126</v>
      </c>
      <c r="D33" s="246" t="s">
        <v>272</v>
      </c>
      <c r="E33" s="246"/>
      <c r="F33" s="246"/>
      <c r="G33" s="132">
        <v>0</v>
      </c>
      <c r="H33" s="132">
        <v>0</v>
      </c>
      <c r="I33" s="132">
        <v>0</v>
      </c>
      <c r="J33" s="101" t="s">
        <v>889</v>
      </c>
      <c r="K33" s="245" t="s">
        <v>390</v>
      </c>
      <c r="L33" s="245">
        <v>42552</v>
      </c>
      <c r="M33" s="245" t="s">
        <v>391</v>
      </c>
      <c r="N33" s="101">
        <v>0</v>
      </c>
      <c r="O33" s="101" t="s">
        <v>392</v>
      </c>
      <c r="P33" s="101">
        <v>0</v>
      </c>
      <c r="Q33" s="101">
        <v>0</v>
      </c>
      <c r="R33" s="101" t="s">
        <v>428</v>
      </c>
      <c r="S33" s="101">
        <v>157752</v>
      </c>
      <c r="T33" s="101" t="s">
        <v>394</v>
      </c>
      <c r="V33" s="245">
        <v>42951</v>
      </c>
      <c r="W33" s="101" t="s">
        <v>627</v>
      </c>
      <c r="X33" s="101" t="s">
        <v>429</v>
      </c>
      <c r="Y33" s="101" t="s">
        <v>392</v>
      </c>
      <c r="Z33" s="101" t="s">
        <v>430</v>
      </c>
      <c r="AA33" s="101" t="s">
        <v>628</v>
      </c>
      <c r="AB33" s="101">
        <v>3101055606</v>
      </c>
      <c r="AC33" s="101" t="s">
        <v>431</v>
      </c>
      <c r="AD33" s="101" t="s">
        <v>431</v>
      </c>
      <c r="AE33" s="101" t="s">
        <v>75</v>
      </c>
      <c r="AF33" s="101" t="s">
        <v>400</v>
      </c>
      <c r="AG33" s="101" t="s">
        <v>624</v>
      </c>
      <c r="AI33" s="101" t="s">
        <v>760</v>
      </c>
    </row>
    <row r="34" spans="1:35">
      <c r="A34" s="246" t="s">
        <v>109</v>
      </c>
      <c r="B34" s="246" t="s">
        <v>66</v>
      </c>
      <c r="C34" s="246" t="s">
        <v>126</v>
      </c>
      <c r="D34" s="246" t="s">
        <v>272</v>
      </c>
      <c r="E34" s="246"/>
      <c r="F34" s="246"/>
      <c r="G34" s="132">
        <v>0</v>
      </c>
      <c r="H34" s="132">
        <v>0</v>
      </c>
      <c r="I34" s="132">
        <v>0</v>
      </c>
      <c r="J34" s="101" t="s">
        <v>889</v>
      </c>
      <c r="K34" s="245" t="s">
        <v>390</v>
      </c>
      <c r="L34" s="245">
        <v>42583</v>
      </c>
      <c r="M34" s="245" t="s">
        <v>391</v>
      </c>
      <c r="N34" s="101">
        <v>0</v>
      </c>
      <c r="O34" s="101" t="s">
        <v>392</v>
      </c>
      <c r="P34" s="101">
        <v>0</v>
      </c>
      <c r="Q34" s="101">
        <v>0</v>
      </c>
      <c r="R34" s="101" t="s">
        <v>428</v>
      </c>
      <c r="S34" s="101">
        <v>157752</v>
      </c>
      <c r="T34" s="101" t="s">
        <v>394</v>
      </c>
      <c r="V34" s="245">
        <v>42951</v>
      </c>
      <c r="W34" s="101" t="s">
        <v>627</v>
      </c>
      <c r="X34" s="101" t="s">
        <v>429</v>
      </c>
      <c r="Y34" s="101" t="s">
        <v>392</v>
      </c>
      <c r="Z34" s="101" t="s">
        <v>430</v>
      </c>
      <c r="AA34" s="101" t="s">
        <v>628</v>
      </c>
      <c r="AB34" s="101">
        <v>3101055606</v>
      </c>
      <c r="AC34" s="101" t="s">
        <v>431</v>
      </c>
      <c r="AD34" s="101" t="s">
        <v>431</v>
      </c>
      <c r="AE34" s="101" t="s">
        <v>75</v>
      </c>
      <c r="AF34" s="101" t="s">
        <v>400</v>
      </c>
      <c r="AG34" s="101" t="s">
        <v>624</v>
      </c>
      <c r="AI34" s="101" t="s">
        <v>760</v>
      </c>
    </row>
    <row r="35" spans="1:35">
      <c r="A35" s="246" t="s">
        <v>110</v>
      </c>
      <c r="B35" s="246" t="s">
        <v>66</v>
      </c>
      <c r="C35" s="246" t="s">
        <v>126</v>
      </c>
      <c r="D35" s="246" t="s">
        <v>281</v>
      </c>
      <c r="E35" s="246"/>
      <c r="F35" s="246"/>
      <c r="G35" s="132">
        <v>0</v>
      </c>
      <c r="H35" s="132">
        <v>0</v>
      </c>
      <c r="I35" s="132">
        <v>0</v>
      </c>
      <c r="J35" s="101" t="s">
        <v>889</v>
      </c>
      <c r="K35" s="245" t="s">
        <v>390</v>
      </c>
      <c r="L35" s="245">
        <v>42614</v>
      </c>
      <c r="M35" s="245" t="s">
        <v>391</v>
      </c>
      <c r="N35" s="101">
        <v>0</v>
      </c>
      <c r="O35" s="101" t="s">
        <v>392</v>
      </c>
      <c r="P35" s="101">
        <v>0</v>
      </c>
      <c r="Q35" s="101">
        <v>0</v>
      </c>
      <c r="R35" s="101" t="s">
        <v>428</v>
      </c>
      <c r="S35" s="101">
        <v>157752</v>
      </c>
      <c r="T35" s="101" t="s">
        <v>394</v>
      </c>
      <c r="V35" s="245">
        <v>42951</v>
      </c>
      <c r="W35" s="101" t="s">
        <v>627</v>
      </c>
      <c r="X35" s="101" t="s">
        <v>429</v>
      </c>
      <c r="Y35" s="101" t="s">
        <v>392</v>
      </c>
      <c r="Z35" s="101" t="s">
        <v>430</v>
      </c>
      <c r="AA35" s="101" t="s">
        <v>628</v>
      </c>
      <c r="AB35" s="101">
        <v>3101055606</v>
      </c>
      <c r="AC35" s="101" t="s">
        <v>431</v>
      </c>
      <c r="AD35" s="101" t="s">
        <v>431</v>
      </c>
      <c r="AE35" s="101" t="s">
        <v>75</v>
      </c>
      <c r="AF35" s="101" t="s">
        <v>400</v>
      </c>
      <c r="AG35" s="101" t="s">
        <v>624</v>
      </c>
      <c r="AI35" s="101" t="s">
        <v>760</v>
      </c>
    </row>
    <row r="36" spans="1:35">
      <c r="A36" s="246" t="s">
        <v>110</v>
      </c>
      <c r="B36" s="246" t="s">
        <v>66</v>
      </c>
      <c r="C36" s="246" t="s">
        <v>126</v>
      </c>
      <c r="D36" s="246" t="s">
        <v>281</v>
      </c>
      <c r="E36" s="246"/>
      <c r="F36" s="246"/>
      <c r="G36" s="132">
        <v>0</v>
      </c>
      <c r="H36" s="132">
        <v>0</v>
      </c>
      <c r="I36" s="132">
        <v>0</v>
      </c>
      <c r="J36" s="101" t="s">
        <v>889</v>
      </c>
      <c r="K36" s="245" t="s">
        <v>390</v>
      </c>
      <c r="L36" s="245">
        <v>42646</v>
      </c>
      <c r="M36" s="245" t="s">
        <v>391</v>
      </c>
      <c r="N36" s="101">
        <v>0</v>
      </c>
      <c r="O36" s="101" t="s">
        <v>392</v>
      </c>
      <c r="P36" s="101">
        <v>0</v>
      </c>
      <c r="Q36" s="101">
        <v>0</v>
      </c>
      <c r="R36" s="101" t="s">
        <v>428</v>
      </c>
      <c r="S36" s="101">
        <v>157752</v>
      </c>
      <c r="T36" s="101" t="s">
        <v>394</v>
      </c>
      <c r="V36" s="245">
        <v>42951</v>
      </c>
      <c r="W36" s="101" t="s">
        <v>627</v>
      </c>
      <c r="X36" s="101" t="s">
        <v>429</v>
      </c>
      <c r="Y36" s="101" t="s">
        <v>392</v>
      </c>
      <c r="Z36" s="101" t="s">
        <v>430</v>
      </c>
      <c r="AA36" s="101" t="s">
        <v>628</v>
      </c>
      <c r="AB36" s="101">
        <v>3101055606</v>
      </c>
      <c r="AC36" s="101" t="s">
        <v>431</v>
      </c>
      <c r="AD36" s="101" t="s">
        <v>431</v>
      </c>
      <c r="AE36" s="101" t="s">
        <v>75</v>
      </c>
      <c r="AF36" s="101" t="s">
        <v>400</v>
      </c>
      <c r="AG36" s="101" t="s">
        <v>624</v>
      </c>
      <c r="AI36" s="101" t="s">
        <v>760</v>
      </c>
    </row>
    <row r="37" spans="1:35">
      <c r="A37" s="246" t="s">
        <v>110</v>
      </c>
      <c r="B37" s="246" t="s">
        <v>66</v>
      </c>
      <c r="C37" s="246" t="s">
        <v>126</v>
      </c>
      <c r="D37" s="246" t="s">
        <v>281</v>
      </c>
      <c r="E37" s="246"/>
      <c r="F37" s="246"/>
      <c r="G37" s="132">
        <v>0</v>
      </c>
      <c r="H37" s="132">
        <v>0</v>
      </c>
      <c r="I37" s="132">
        <v>0</v>
      </c>
      <c r="J37" s="101" t="s">
        <v>889</v>
      </c>
      <c r="K37" s="245" t="s">
        <v>390</v>
      </c>
      <c r="L37" s="245">
        <v>42675</v>
      </c>
      <c r="M37" s="245" t="s">
        <v>391</v>
      </c>
      <c r="N37" s="101">
        <v>0</v>
      </c>
      <c r="O37" s="101" t="s">
        <v>392</v>
      </c>
      <c r="P37" s="101">
        <v>0</v>
      </c>
      <c r="Q37" s="101">
        <v>0</v>
      </c>
      <c r="R37" s="101" t="s">
        <v>428</v>
      </c>
      <c r="S37" s="101">
        <v>157752</v>
      </c>
      <c r="T37" s="101" t="s">
        <v>394</v>
      </c>
      <c r="V37" s="245">
        <v>42951</v>
      </c>
      <c r="W37" s="101" t="s">
        <v>627</v>
      </c>
      <c r="X37" s="101" t="s">
        <v>429</v>
      </c>
      <c r="Y37" s="101" t="s">
        <v>392</v>
      </c>
      <c r="Z37" s="101" t="s">
        <v>430</v>
      </c>
      <c r="AA37" s="101" t="s">
        <v>628</v>
      </c>
      <c r="AB37" s="101">
        <v>3101055606</v>
      </c>
      <c r="AC37" s="101" t="s">
        <v>431</v>
      </c>
      <c r="AD37" s="101" t="s">
        <v>431</v>
      </c>
      <c r="AE37" s="101" t="s">
        <v>75</v>
      </c>
      <c r="AF37" s="101" t="s">
        <v>400</v>
      </c>
      <c r="AG37" s="101" t="s">
        <v>624</v>
      </c>
      <c r="AI37" s="101" t="s">
        <v>760</v>
      </c>
    </row>
    <row r="38" spans="1:35">
      <c r="A38" s="246" t="s">
        <v>111</v>
      </c>
      <c r="B38" s="246" t="s">
        <v>66</v>
      </c>
      <c r="C38" s="246" t="s">
        <v>126</v>
      </c>
      <c r="D38" s="246" t="s">
        <v>273</v>
      </c>
      <c r="E38" s="246"/>
      <c r="F38" s="246"/>
      <c r="G38" s="132">
        <v>0</v>
      </c>
      <c r="H38" s="132">
        <v>0</v>
      </c>
      <c r="I38" s="132">
        <v>0</v>
      </c>
      <c r="J38" s="101" t="s">
        <v>889</v>
      </c>
      <c r="K38" s="245" t="s">
        <v>390</v>
      </c>
      <c r="L38" s="245">
        <v>42705</v>
      </c>
      <c r="M38" s="245" t="s">
        <v>391</v>
      </c>
      <c r="N38" s="101">
        <v>0</v>
      </c>
      <c r="O38" s="101" t="s">
        <v>392</v>
      </c>
      <c r="P38" s="101">
        <v>0</v>
      </c>
      <c r="Q38" s="101">
        <v>0</v>
      </c>
      <c r="R38" s="101" t="s">
        <v>428</v>
      </c>
      <c r="S38" s="101">
        <v>157752</v>
      </c>
      <c r="T38" s="101" t="s">
        <v>394</v>
      </c>
      <c r="V38" s="245">
        <v>42951</v>
      </c>
      <c r="W38" s="101" t="s">
        <v>627</v>
      </c>
      <c r="X38" s="101" t="s">
        <v>429</v>
      </c>
      <c r="Y38" s="101" t="s">
        <v>392</v>
      </c>
      <c r="Z38" s="101" t="s">
        <v>430</v>
      </c>
      <c r="AA38" s="101" t="s">
        <v>628</v>
      </c>
      <c r="AB38" s="101">
        <v>3101055606</v>
      </c>
      <c r="AC38" s="101" t="s">
        <v>431</v>
      </c>
      <c r="AD38" s="101" t="s">
        <v>431</v>
      </c>
      <c r="AE38" s="101" t="s">
        <v>75</v>
      </c>
      <c r="AF38" s="101" t="s">
        <v>400</v>
      </c>
      <c r="AG38" s="101" t="s">
        <v>624</v>
      </c>
      <c r="AI38" s="101" t="s">
        <v>760</v>
      </c>
    </row>
    <row r="39" spans="1:35">
      <c r="A39" s="246" t="s">
        <v>111</v>
      </c>
      <c r="B39" s="246" t="s">
        <v>66</v>
      </c>
      <c r="C39" s="246" t="s">
        <v>126</v>
      </c>
      <c r="D39" s="246" t="s">
        <v>273</v>
      </c>
      <c r="E39" s="246"/>
      <c r="F39" s="246"/>
      <c r="G39" s="132">
        <v>0</v>
      </c>
      <c r="H39" s="132">
        <v>0</v>
      </c>
      <c r="I39" s="132">
        <v>0</v>
      </c>
      <c r="J39" s="101" t="s">
        <v>889</v>
      </c>
      <c r="K39" s="245" t="s">
        <v>390</v>
      </c>
      <c r="L39" s="245">
        <v>42738</v>
      </c>
      <c r="M39" s="245" t="s">
        <v>391</v>
      </c>
      <c r="N39" s="101">
        <v>0</v>
      </c>
      <c r="O39" s="101" t="s">
        <v>392</v>
      </c>
      <c r="P39" s="101">
        <v>0</v>
      </c>
      <c r="Q39" s="101">
        <v>0</v>
      </c>
      <c r="R39" s="101" t="s">
        <v>428</v>
      </c>
      <c r="S39" s="101">
        <v>157752</v>
      </c>
      <c r="T39" s="101" t="s">
        <v>394</v>
      </c>
      <c r="V39" s="245">
        <v>42951</v>
      </c>
      <c r="W39" s="101" t="s">
        <v>627</v>
      </c>
      <c r="X39" s="101" t="s">
        <v>429</v>
      </c>
      <c r="Y39" s="101" t="s">
        <v>392</v>
      </c>
      <c r="Z39" s="101" t="s">
        <v>430</v>
      </c>
      <c r="AA39" s="101" t="s">
        <v>628</v>
      </c>
      <c r="AB39" s="101">
        <v>3101055606</v>
      </c>
      <c r="AC39" s="101" t="s">
        <v>431</v>
      </c>
      <c r="AD39" s="101" t="s">
        <v>431</v>
      </c>
      <c r="AE39" s="101" t="s">
        <v>75</v>
      </c>
      <c r="AF39" s="101" t="s">
        <v>400</v>
      </c>
      <c r="AG39" s="101" t="s">
        <v>624</v>
      </c>
      <c r="AI39" s="101" t="s">
        <v>760</v>
      </c>
    </row>
    <row r="40" spans="1:35">
      <c r="A40" s="246" t="s">
        <v>111</v>
      </c>
      <c r="B40" s="246" t="s">
        <v>66</v>
      </c>
      <c r="C40" s="246" t="s">
        <v>126</v>
      </c>
      <c r="D40" s="246" t="s">
        <v>273</v>
      </c>
      <c r="E40" s="246"/>
      <c r="F40" s="246"/>
      <c r="G40" s="132">
        <v>0</v>
      </c>
      <c r="H40" s="132">
        <v>0</v>
      </c>
      <c r="I40" s="132">
        <v>0</v>
      </c>
      <c r="J40" s="101" t="s">
        <v>889</v>
      </c>
      <c r="K40" s="245" t="s">
        <v>390</v>
      </c>
      <c r="L40" s="245">
        <v>42767</v>
      </c>
      <c r="M40" s="245" t="s">
        <v>391</v>
      </c>
      <c r="N40" s="101">
        <v>0</v>
      </c>
      <c r="O40" s="101" t="s">
        <v>392</v>
      </c>
      <c r="P40" s="101">
        <v>0</v>
      </c>
      <c r="Q40" s="101">
        <v>0</v>
      </c>
      <c r="R40" s="101" t="s">
        <v>428</v>
      </c>
      <c r="S40" s="101">
        <v>157752</v>
      </c>
      <c r="T40" s="101" t="s">
        <v>394</v>
      </c>
      <c r="V40" s="245">
        <v>42951</v>
      </c>
      <c r="W40" s="101" t="s">
        <v>627</v>
      </c>
      <c r="X40" s="101" t="s">
        <v>429</v>
      </c>
      <c r="Y40" s="101" t="s">
        <v>392</v>
      </c>
      <c r="Z40" s="101" t="s">
        <v>430</v>
      </c>
      <c r="AA40" s="101" t="s">
        <v>628</v>
      </c>
      <c r="AB40" s="101">
        <v>3101055606</v>
      </c>
      <c r="AC40" s="101" t="s">
        <v>431</v>
      </c>
      <c r="AD40" s="101" t="s">
        <v>431</v>
      </c>
      <c r="AE40" s="101" t="s">
        <v>75</v>
      </c>
      <c r="AF40" s="101" t="s">
        <v>400</v>
      </c>
      <c r="AG40" s="101" t="s">
        <v>624</v>
      </c>
      <c r="AI40" s="101" t="s">
        <v>760</v>
      </c>
    </row>
    <row r="41" spans="1:35">
      <c r="A41" s="246" t="s">
        <v>111</v>
      </c>
      <c r="B41" s="246" t="s">
        <v>66</v>
      </c>
      <c r="C41" s="246" t="s">
        <v>126</v>
      </c>
      <c r="D41" s="246" t="s">
        <v>273</v>
      </c>
      <c r="E41" s="246"/>
      <c r="F41" s="246"/>
      <c r="G41" s="132">
        <v>0</v>
      </c>
      <c r="H41" s="132">
        <v>0</v>
      </c>
      <c r="I41" s="132">
        <v>0</v>
      </c>
      <c r="J41" s="101" t="s">
        <v>889</v>
      </c>
      <c r="K41" s="245" t="s">
        <v>390</v>
      </c>
      <c r="L41" s="245">
        <v>42795</v>
      </c>
      <c r="M41" s="245" t="s">
        <v>391</v>
      </c>
      <c r="N41" s="101">
        <v>0</v>
      </c>
      <c r="O41" s="101" t="s">
        <v>392</v>
      </c>
      <c r="P41" s="101">
        <v>0</v>
      </c>
      <c r="Q41" s="101">
        <v>0</v>
      </c>
      <c r="R41" s="101" t="s">
        <v>428</v>
      </c>
      <c r="S41" s="101">
        <v>157752</v>
      </c>
      <c r="T41" s="101" t="s">
        <v>394</v>
      </c>
      <c r="V41" s="245">
        <v>42951</v>
      </c>
      <c r="W41" s="101" t="s">
        <v>627</v>
      </c>
      <c r="X41" s="101" t="s">
        <v>429</v>
      </c>
      <c r="Y41" s="101" t="s">
        <v>392</v>
      </c>
      <c r="Z41" s="101" t="s">
        <v>430</v>
      </c>
      <c r="AA41" s="101" t="s">
        <v>628</v>
      </c>
      <c r="AB41" s="101">
        <v>3101055606</v>
      </c>
      <c r="AC41" s="101" t="s">
        <v>431</v>
      </c>
      <c r="AD41" s="101" t="s">
        <v>431</v>
      </c>
      <c r="AE41" s="101" t="s">
        <v>75</v>
      </c>
      <c r="AF41" s="101" t="s">
        <v>400</v>
      </c>
      <c r="AG41" s="101" t="s">
        <v>624</v>
      </c>
      <c r="AI41" s="101" t="s">
        <v>760</v>
      </c>
    </row>
    <row r="42" spans="1:35">
      <c r="A42" s="246" t="s">
        <v>111</v>
      </c>
      <c r="B42" s="246" t="s">
        <v>66</v>
      </c>
      <c r="C42" s="246" t="s">
        <v>126</v>
      </c>
      <c r="D42" s="246" t="s">
        <v>273</v>
      </c>
      <c r="E42" s="246"/>
      <c r="F42" s="246"/>
      <c r="G42" s="132">
        <v>0</v>
      </c>
      <c r="H42" s="132">
        <v>0</v>
      </c>
      <c r="I42" s="132">
        <v>0</v>
      </c>
      <c r="J42" s="101" t="s">
        <v>889</v>
      </c>
      <c r="K42" s="245" t="s">
        <v>390</v>
      </c>
      <c r="L42" s="245">
        <v>42828</v>
      </c>
      <c r="M42" s="245" t="s">
        <v>391</v>
      </c>
      <c r="N42" s="101">
        <v>0</v>
      </c>
      <c r="O42" s="101" t="s">
        <v>392</v>
      </c>
      <c r="P42" s="101">
        <v>0</v>
      </c>
      <c r="Q42" s="101">
        <v>0</v>
      </c>
      <c r="R42" s="101" t="s">
        <v>428</v>
      </c>
      <c r="S42" s="101">
        <v>157752</v>
      </c>
      <c r="T42" s="101" t="s">
        <v>394</v>
      </c>
      <c r="V42" s="245">
        <v>42951</v>
      </c>
      <c r="W42" s="101" t="s">
        <v>627</v>
      </c>
      <c r="X42" s="101" t="s">
        <v>429</v>
      </c>
      <c r="Y42" s="101" t="s">
        <v>392</v>
      </c>
      <c r="Z42" s="101" t="s">
        <v>430</v>
      </c>
      <c r="AA42" s="101" t="s">
        <v>628</v>
      </c>
      <c r="AB42" s="101">
        <v>3101055606</v>
      </c>
      <c r="AC42" s="101" t="s">
        <v>431</v>
      </c>
      <c r="AD42" s="101" t="s">
        <v>431</v>
      </c>
      <c r="AE42" s="101" t="s">
        <v>75</v>
      </c>
      <c r="AF42" s="101" t="s">
        <v>400</v>
      </c>
      <c r="AG42" s="101" t="s">
        <v>624</v>
      </c>
      <c r="AI42" s="101" t="s">
        <v>760</v>
      </c>
    </row>
    <row r="43" spans="1:35">
      <c r="A43" s="246" t="s">
        <v>111</v>
      </c>
      <c r="B43" s="246" t="s">
        <v>66</v>
      </c>
      <c r="C43" s="246" t="s">
        <v>126</v>
      </c>
      <c r="D43" s="246" t="s">
        <v>273</v>
      </c>
      <c r="E43" s="246"/>
      <c r="F43" s="246"/>
      <c r="G43" s="132">
        <v>0</v>
      </c>
      <c r="H43" s="132">
        <v>0</v>
      </c>
      <c r="I43" s="132">
        <v>0</v>
      </c>
      <c r="J43" s="101" t="s">
        <v>889</v>
      </c>
      <c r="K43" s="245" t="s">
        <v>390</v>
      </c>
      <c r="L43" s="245">
        <v>42856</v>
      </c>
      <c r="M43" s="245" t="s">
        <v>391</v>
      </c>
      <c r="N43" s="101">
        <v>0</v>
      </c>
      <c r="O43" s="101" t="s">
        <v>392</v>
      </c>
      <c r="P43" s="101">
        <v>0</v>
      </c>
      <c r="Q43" s="101">
        <v>0</v>
      </c>
      <c r="R43" s="101" t="s">
        <v>428</v>
      </c>
      <c r="S43" s="101">
        <v>157752</v>
      </c>
      <c r="T43" s="101" t="s">
        <v>394</v>
      </c>
      <c r="V43" s="245">
        <v>42951</v>
      </c>
      <c r="W43" s="101" t="s">
        <v>627</v>
      </c>
      <c r="X43" s="101" t="s">
        <v>429</v>
      </c>
      <c r="Y43" s="101" t="s">
        <v>392</v>
      </c>
      <c r="Z43" s="101" t="s">
        <v>430</v>
      </c>
      <c r="AA43" s="101" t="s">
        <v>628</v>
      </c>
      <c r="AB43" s="101">
        <v>3101055606</v>
      </c>
      <c r="AC43" s="101" t="s">
        <v>431</v>
      </c>
      <c r="AD43" s="101" t="s">
        <v>431</v>
      </c>
      <c r="AE43" s="101" t="s">
        <v>75</v>
      </c>
      <c r="AF43" s="101" t="s">
        <v>400</v>
      </c>
      <c r="AG43" s="101" t="s">
        <v>624</v>
      </c>
      <c r="AI43" s="101" t="s">
        <v>760</v>
      </c>
    </row>
    <row r="44" spans="1:35">
      <c r="A44" s="246" t="s">
        <v>112</v>
      </c>
      <c r="B44" s="246" t="s">
        <v>66</v>
      </c>
      <c r="C44" s="246" t="s">
        <v>126</v>
      </c>
      <c r="D44" s="246" t="s">
        <v>270</v>
      </c>
      <c r="E44" s="246"/>
      <c r="F44" s="246"/>
      <c r="G44" s="132">
        <v>0</v>
      </c>
      <c r="H44" s="132">
        <v>0</v>
      </c>
      <c r="I44" s="132">
        <v>0</v>
      </c>
      <c r="J44" s="101" t="s">
        <v>889</v>
      </c>
      <c r="K44" s="245" t="s">
        <v>390</v>
      </c>
      <c r="L44" s="245">
        <v>42887</v>
      </c>
      <c r="M44" s="245" t="s">
        <v>391</v>
      </c>
      <c r="N44" s="101">
        <v>0</v>
      </c>
      <c r="O44" s="101" t="s">
        <v>392</v>
      </c>
      <c r="P44" s="101">
        <v>0</v>
      </c>
      <c r="Q44" s="101">
        <v>0</v>
      </c>
      <c r="R44" s="101" t="s">
        <v>428</v>
      </c>
      <c r="S44" s="101">
        <v>157752</v>
      </c>
      <c r="T44" s="101" t="s">
        <v>394</v>
      </c>
      <c r="V44" s="245">
        <v>42951</v>
      </c>
      <c r="W44" s="101" t="s">
        <v>627</v>
      </c>
      <c r="X44" s="101" t="s">
        <v>429</v>
      </c>
      <c r="Y44" s="101" t="s">
        <v>392</v>
      </c>
      <c r="Z44" s="101" t="s">
        <v>430</v>
      </c>
      <c r="AA44" s="101" t="s">
        <v>628</v>
      </c>
      <c r="AB44" s="101">
        <v>3101055606</v>
      </c>
      <c r="AC44" s="101" t="s">
        <v>431</v>
      </c>
      <c r="AD44" s="101" t="s">
        <v>431</v>
      </c>
      <c r="AE44" s="101" t="s">
        <v>75</v>
      </c>
      <c r="AF44" s="101" t="s">
        <v>400</v>
      </c>
      <c r="AG44" s="101" t="s">
        <v>624</v>
      </c>
      <c r="AI44" s="101" t="s">
        <v>760</v>
      </c>
    </row>
    <row r="45" spans="1:35">
      <c r="A45" s="246" t="s">
        <v>112</v>
      </c>
      <c r="B45" s="246" t="s">
        <v>66</v>
      </c>
      <c r="C45" s="246" t="s">
        <v>126</v>
      </c>
      <c r="D45" s="246" t="s">
        <v>270</v>
      </c>
      <c r="E45" s="246"/>
      <c r="F45" s="246"/>
      <c r="G45" s="132">
        <v>0</v>
      </c>
      <c r="H45" s="132">
        <v>0</v>
      </c>
      <c r="I45" s="132">
        <v>0</v>
      </c>
      <c r="J45" s="101" t="s">
        <v>889</v>
      </c>
      <c r="K45" s="245" t="s">
        <v>390</v>
      </c>
      <c r="L45" s="245">
        <v>42919</v>
      </c>
      <c r="M45" s="245" t="s">
        <v>391</v>
      </c>
      <c r="N45" s="101">
        <v>0</v>
      </c>
      <c r="O45" s="101" t="s">
        <v>392</v>
      </c>
      <c r="P45" s="101">
        <v>0</v>
      </c>
      <c r="Q45" s="101">
        <v>0</v>
      </c>
      <c r="R45" s="101" t="s">
        <v>428</v>
      </c>
      <c r="S45" s="101">
        <v>157752</v>
      </c>
      <c r="T45" s="101" t="s">
        <v>394</v>
      </c>
      <c r="V45" s="245">
        <v>42951</v>
      </c>
      <c r="W45" s="101" t="s">
        <v>627</v>
      </c>
      <c r="X45" s="101" t="s">
        <v>429</v>
      </c>
      <c r="Y45" s="101" t="s">
        <v>392</v>
      </c>
      <c r="Z45" s="101" t="s">
        <v>430</v>
      </c>
      <c r="AA45" s="101" t="s">
        <v>628</v>
      </c>
      <c r="AB45" s="101">
        <v>3101055606</v>
      </c>
      <c r="AC45" s="101" t="s">
        <v>431</v>
      </c>
      <c r="AD45" s="101" t="s">
        <v>431</v>
      </c>
      <c r="AE45" s="101" t="s">
        <v>75</v>
      </c>
      <c r="AF45" s="101" t="s">
        <v>400</v>
      </c>
      <c r="AG45" s="101" t="s">
        <v>624</v>
      </c>
      <c r="AI45" s="101" t="s">
        <v>760</v>
      </c>
    </row>
    <row r="46" spans="1:35">
      <c r="A46" s="246" t="s">
        <v>112</v>
      </c>
      <c r="B46" s="246" t="s">
        <v>66</v>
      </c>
      <c r="C46" s="246" t="s">
        <v>126</v>
      </c>
      <c r="D46" s="246" t="s">
        <v>270</v>
      </c>
      <c r="E46" s="246"/>
      <c r="F46" s="246"/>
      <c r="G46" s="132">
        <v>0</v>
      </c>
      <c r="H46" s="132">
        <v>0</v>
      </c>
      <c r="I46" s="132">
        <v>0</v>
      </c>
      <c r="J46" s="101" t="s">
        <v>889</v>
      </c>
      <c r="K46" s="245" t="s">
        <v>390</v>
      </c>
      <c r="L46" s="245">
        <v>42951</v>
      </c>
      <c r="M46" s="245" t="s">
        <v>391</v>
      </c>
      <c r="N46" s="101">
        <v>0</v>
      </c>
      <c r="O46" s="101" t="s">
        <v>392</v>
      </c>
      <c r="P46" s="101">
        <v>0</v>
      </c>
      <c r="Q46" s="101">
        <v>0</v>
      </c>
      <c r="R46" s="101" t="s">
        <v>428</v>
      </c>
      <c r="S46" s="101">
        <v>157752</v>
      </c>
      <c r="T46" s="101" t="s">
        <v>394</v>
      </c>
      <c r="V46" s="245">
        <v>42951</v>
      </c>
      <c r="W46" s="101" t="s">
        <v>627</v>
      </c>
      <c r="X46" s="101" t="s">
        <v>429</v>
      </c>
      <c r="Y46" s="101" t="s">
        <v>392</v>
      </c>
      <c r="Z46" s="101" t="s">
        <v>430</v>
      </c>
      <c r="AA46" s="101" t="s">
        <v>628</v>
      </c>
      <c r="AB46" s="101">
        <v>3101055606</v>
      </c>
      <c r="AC46" s="101" t="s">
        <v>431</v>
      </c>
      <c r="AD46" s="101" t="s">
        <v>431</v>
      </c>
      <c r="AE46" s="101" t="s">
        <v>75</v>
      </c>
      <c r="AF46" s="101" t="s">
        <v>400</v>
      </c>
      <c r="AG46" s="101" t="s">
        <v>624</v>
      </c>
      <c r="AI46" s="101" t="s">
        <v>760</v>
      </c>
    </row>
    <row r="47" spans="1:35">
      <c r="A47" s="246" t="s">
        <v>112</v>
      </c>
      <c r="B47" s="246" t="s">
        <v>66</v>
      </c>
      <c r="C47" s="246" t="s">
        <v>116</v>
      </c>
      <c r="D47" s="246" t="s">
        <v>330</v>
      </c>
      <c r="E47" s="246"/>
      <c r="F47" s="246"/>
      <c r="G47" s="132">
        <v>0</v>
      </c>
      <c r="H47" s="132">
        <v>0</v>
      </c>
      <c r="I47" s="132">
        <v>0</v>
      </c>
      <c r="J47" s="101" t="s">
        <v>889</v>
      </c>
      <c r="K47" s="245" t="s">
        <v>390</v>
      </c>
      <c r="L47" s="245">
        <v>42951</v>
      </c>
      <c r="M47" s="245" t="s">
        <v>421</v>
      </c>
      <c r="N47" s="101">
        <v>0</v>
      </c>
      <c r="O47" s="101" t="s">
        <v>392</v>
      </c>
      <c r="P47" s="101">
        <v>0</v>
      </c>
      <c r="Q47" s="101">
        <v>0</v>
      </c>
      <c r="R47" s="101" t="s">
        <v>428</v>
      </c>
      <c r="S47" s="101">
        <v>157752</v>
      </c>
      <c r="T47" s="101" t="s">
        <v>394</v>
      </c>
      <c r="V47" s="245">
        <v>42951</v>
      </c>
      <c r="W47" s="101" t="s">
        <v>627</v>
      </c>
      <c r="X47" s="101" t="s">
        <v>429</v>
      </c>
      <c r="Y47" s="101" t="s">
        <v>392</v>
      </c>
      <c r="Z47" s="101" t="s">
        <v>430</v>
      </c>
      <c r="AA47" s="101" t="s">
        <v>628</v>
      </c>
      <c r="AB47" s="101">
        <v>3101055606</v>
      </c>
      <c r="AC47" s="101" t="s">
        <v>431</v>
      </c>
      <c r="AD47" s="101" t="s">
        <v>431</v>
      </c>
      <c r="AE47" s="101" t="s">
        <v>75</v>
      </c>
      <c r="AF47" s="101" t="s">
        <v>400</v>
      </c>
      <c r="AG47" s="101" t="s">
        <v>624</v>
      </c>
      <c r="AI47" s="101" t="s">
        <v>760</v>
      </c>
    </row>
    <row r="48" spans="1:35">
      <c r="A48" s="246" t="s">
        <v>107</v>
      </c>
      <c r="B48" s="246" t="s">
        <v>78</v>
      </c>
      <c r="C48" s="246" t="s">
        <v>126</v>
      </c>
      <c r="D48" s="246" t="s">
        <v>772</v>
      </c>
      <c r="E48" s="246" t="s">
        <v>773</v>
      </c>
      <c r="F48" s="246" t="s">
        <v>334</v>
      </c>
      <c r="G48" s="132" t="s">
        <v>857</v>
      </c>
      <c r="H48" s="132" t="s">
        <v>921</v>
      </c>
      <c r="I48" s="132">
        <v>-252.66</v>
      </c>
      <c r="J48" s="101" t="s">
        <v>889</v>
      </c>
      <c r="K48" s="245" t="s">
        <v>390</v>
      </c>
      <c r="L48" s="245">
        <v>42521</v>
      </c>
      <c r="M48" s="245" t="s">
        <v>391</v>
      </c>
      <c r="N48" s="101">
        <v>0</v>
      </c>
      <c r="O48" s="101" t="s">
        <v>392</v>
      </c>
      <c r="P48" s="101">
        <v>0</v>
      </c>
      <c r="Q48" s="101">
        <v>0</v>
      </c>
      <c r="R48" s="101" t="s">
        <v>393</v>
      </c>
      <c r="S48" s="101" t="s">
        <v>858</v>
      </c>
      <c r="T48" s="101" t="s">
        <v>394</v>
      </c>
      <c r="V48" s="245">
        <v>46387</v>
      </c>
      <c r="W48" s="101" t="s">
        <v>395</v>
      </c>
      <c r="X48" s="101" t="s">
        <v>795</v>
      </c>
      <c r="Y48" s="101" t="s">
        <v>396</v>
      </c>
      <c r="Z48" s="101" t="s">
        <v>402</v>
      </c>
      <c r="AA48" s="101" t="s">
        <v>78</v>
      </c>
      <c r="AB48" s="101">
        <v>4101000279</v>
      </c>
      <c r="AC48" s="101" t="s">
        <v>398</v>
      </c>
      <c r="AD48" s="101" t="s">
        <v>403</v>
      </c>
      <c r="AE48" s="101" t="s">
        <v>6</v>
      </c>
      <c r="AF48" s="101" t="s">
        <v>400</v>
      </c>
      <c r="AI48" s="101" t="s">
        <v>760</v>
      </c>
    </row>
    <row r="49" spans="1:35">
      <c r="A49" s="246" t="s">
        <v>109</v>
      </c>
      <c r="B49" s="246" t="s">
        <v>78</v>
      </c>
      <c r="C49" s="246" t="s">
        <v>126</v>
      </c>
      <c r="D49" s="246" t="s">
        <v>337</v>
      </c>
      <c r="E49" s="246" t="s">
        <v>336</v>
      </c>
      <c r="F49" s="246" t="s">
        <v>275</v>
      </c>
      <c r="G49" s="132" t="s">
        <v>922</v>
      </c>
      <c r="H49" s="132" t="s">
        <v>923</v>
      </c>
      <c r="I49" s="132">
        <v>-246.39999999999998</v>
      </c>
      <c r="J49" s="101" t="s">
        <v>889</v>
      </c>
      <c r="K49" s="245" t="s">
        <v>390</v>
      </c>
      <c r="L49" s="245">
        <v>42551</v>
      </c>
      <c r="M49" s="245" t="s">
        <v>391</v>
      </c>
      <c r="N49" s="101">
        <v>0</v>
      </c>
      <c r="O49" s="101" t="s">
        <v>392</v>
      </c>
      <c r="P49" s="101">
        <v>0</v>
      </c>
      <c r="Q49" s="101">
        <v>0</v>
      </c>
      <c r="R49" s="101" t="s">
        <v>393</v>
      </c>
      <c r="S49" s="101" t="s">
        <v>858</v>
      </c>
      <c r="T49" s="101" t="s">
        <v>394</v>
      </c>
      <c r="V49" s="245">
        <v>46387</v>
      </c>
      <c r="W49" s="101" t="s">
        <v>395</v>
      </c>
      <c r="X49" s="101" t="s">
        <v>795</v>
      </c>
      <c r="Y49" s="101" t="s">
        <v>396</v>
      </c>
      <c r="Z49" s="101" t="s">
        <v>402</v>
      </c>
      <c r="AA49" s="101" t="s">
        <v>78</v>
      </c>
      <c r="AB49" s="101">
        <v>4101000279</v>
      </c>
      <c r="AC49" s="101" t="s">
        <v>398</v>
      </c>
      <c r="AD49" s="101" t="s">
        <v>403</v>
      </c>
      <c r="AE49" s="101" t="s">
        <v>6</v>
      </c>
      <c r="AF49" s="101" t="s">
        <v>400</v>
      </c>
      <c r="AI49" s="101" t="s">
        <v>760</v>
      </c>
    </row>
    <row r="50" spans="1:35">
      <c r="A50" s="246" t="s">
        <v>109</v>
      </c>
      <c r="B50" s="246" t="s">
        <v>78</v>
      </c>
      <c r="C50" s="246" t="s">
        <v>126</v>
      </c>
      <c r="D50" s="246" t="s">
        <v>337</v>
      </c>
      <c r="E50" s="246" t="s">
        <v>336</v>
      </c>
      <c r="F50" s="246" t="s">
        <v>275</v>
      </c>
      <c r="G50" s="132" t="s">
        <v>924</v>
      </c>
      <c r="H50" s="132" t="s">
        <v>925</v>
      </c>
      <c r="I50" s="132">
        <v>-243.51</v>
      </c>
      <c r="J50" s="101" t="s">
        <v>889</v>
      </c>
      <c r="K50" s="245" t="s">
        <v>390</v>
      </c>
      <c r="L50" s="245">
        <v>42580</v>
      </c>
      <c r="M50" s="245" t="s">
        <v>391</v>
      </c>
      <c r="N50" s="101">
        <v>0</v>
      </c>
      <c r="O50" s="101" t="s">
        <v>392</v>
      </c>
      <c r="P50" s="101">
        <v>0</v>
      </c>
      <c r="Q50" s="101">
        <v>0</v>
      </c>
      <c r="R50" s="101" t="s">
        <v>393</v>
      </c>
      <c r="S50" s="101" t="s">
        <v>858</v>
      </c>
      <c r="T50" s="101" t="s">
        <v>394</v>
      </c>
      <c r="V50" s="245">
        <v>46387</v>
      </c>
      <c r="W50" s="101" t="s">
        <v>395</v>
      </c>
      <c r="X50" s="101" t="s">
        <v>795</v>
      </c>
      <c r="Y50" s="101" t="s">
        <v>396</v>
      </c>
      <c r="Z50" s="101" t="s">
        <v>402</v>
      </c>
      <c r="AA50" s="101" t="s">
        <v>78</v>
      </c>
      <c r="AB50" s="101">
        <v>4101000279</v>
      </c>
      <c r="AC50" s="101" t="s">
        <v>398</v>
      </c>
      <c r="AD50" s="101" t="s">
        <v>403</v>
      </c>
      <c r="AE50" s="101" t="s">
        <v>6</v>
      </c>
      <c r="AF50" s="101" t="s">
        <v>400</v>
      </c>
      <c r="AI50" s="101" t="s">
        <v>760</v>
      </c>
    </row>
    <row r="51" spans="1:35">
      <c r="A51" s="246" t="s">
        <v>110</v>
      </c>
      <c r="B51" s="246" t="s">
        <v>78</v>
      </c>
      <c r="C51" s="246" t="s">
        <v>126</v>
      </c>
      <c r="D51" s="246" t="s">
        <v>770</v>
      </c>
      <c r="E51" s="246" t="s">
        <v>771</v>
      </c>
      <c r="F51" s="246" t="s">
        <v>276</v>
      </c>
      <c r="G51" s="132" t="s">
        <v>926</v>
      </c>
      <c r="H51" s="132" t="s">
        <v>927</v>
      </c>
      <c r="I51" s="132">
        <v>-322.05</v>
      </c>
      <c r="J51" s="101" t="s">
        <v>889</v>
      </c>
      <c r="K51" s="245" t="s">
        <v>390</v>
      </c>
      <c r="L51" s="245">
        <v>42613</v>
      </c>
      <c r="M51" s="245" t="s">
        <v>391</v>
      </c>
      <c r="N51" s="101">
        <v>0</v>
      </c>
      <c r="O51" s="101" t="s">
        <v>392</v>
      </c>
      <c r="P51" s="101">
        <v>0</v>
      </c>
      <c r="Q51" s="101">
        <v>0</v>
      </c>
      <c r="R51" s="101" t="s">
        <v>393</v>
      </c>
      <c r="S51" s="101" t="s">
        <v>858</v>
      </c>
      <c r="T51" s="101" t="s">
        <v>394</v>
      </c>
      <c r="V51" s="245">
        <v>46387</v>
      </c>
      <c r="W51" s="101" t="s">
        <v>395</v>
      </c>
      <c r="X51" s="101" t="s">
        <v>795</v>
      </c>
      <c r="Y51" s="101" t="s">
        <v>396</v>
      </c>
      <c r="Z51" s="101" t="s">
        <v>402</v>
      </c>
      <c r="AA51" s="101" t="s">
        <v>78</v>
      </c>
      <c r="AB51" s="101">
        <v>4101000279</v>
      </c>
      <c r="AC51" s="101" t="s">
        <v>398</v>
      </c>
      <c r="AD51" s="101" t="s">
        <v>403</v>
      </c>
      <c r="AE51" s="101" t="s">
        <v>6</v>
      </c>
      <c r="AF51" s="101" t="s">
        <v>400</v>
      </c>
      <c r="AI51" s="101" t="s">
        <v>760</v>
      </c>
    </row>
    <row r="52" spans="1:35">
      <c r="A52" s="246" t="s">
        <v>110</v>
      </c>
      <c r="B52" s="246" t="s">
        <v>78</v>
      </c>
      <c r="C52" s="246" t="s">
        <v>126</v>
      </c>
      <c r="D52" s="246" t="s">
        <v>770</v>
      </c>
      <c r="E52" s="246" t="s">
        <v>771</v>
      </c>
      <c r="F52" s="246" t="s">
        <v>276</v>
      </c>
      <c r="G52" s="132" t="s">
        <v>928</v>
      </c>
      <c r="H52" s="132" t="s">
        <v>929</v>
      </c>
      <c r="I52" s="132">
        <v>-322.26</v>
      </c>
      <c r="J52" s="101" t="s">
        <v>889</v>
      </c>
      <c r="K52" s="245" t="s">
        <v>390</v>
      </c>
      <c r="L52" s="245">
        <v>42643</v>
      </c>
      <c r="M52" s="245" t="s">
        <v>391</v>
      </c>
      <c r="N52" s="101">
        <v>0</v>
      </c>
      <c r="O52" s="101" t="s">
        <v>392</v>
      </c>
      <c r="P52" s="101">
        <v>0</v>
      </c>
      <c r="Q52" s="101">
        <v>0</v>
      </c>
      <c r="R52" s="101" t="s">
        <v>393</v>
      </c>
      <c r="S52" s="101" t="s">
        <v>858</v>
      </c>
      <c r="T52" s="101" t="s">
        <v>394</v>
      </c>
      <c r="V52" s="245">
        <v>46387</v>
      </c>
      <c r="W52" s="101" t="s">
        <v>395</v>
      </c>
      <c r="X52" s="101" t="s">
        <v>795</v>
      </c>
      <c r="Y52" s="101" t="s">
        <v>396</v>
      </c>
      <c r="Z52" s="101" t="s">
        <v>402</v>
      </c>
      <c r="AA52" s="101" t="s">
        <v>78</v>
      </c>
      <c r="AB52" s="101">
        <v>4101000279</v>
      </c>
      <c r="AC52" s="101" t="s">
        <v>398</v>
      </c>
      <c r="AD52" s="101" t="s">
        <v>403</v>
      </c>
      <c r="AE52" s="101" t="s">
        <v>6</v>
      </c>
      <c r="AF52" s="101" t="s">
        <v>400</v>
      </c>
      <c r="AI52" s="101" t="s">
        <v>760</v>
      </c>
    </row>
    <row r="53" spans="1:35">
      <c r="A53" s="246" t="s">
        <v>110</v>
      </c>
      <c r="B53" s="246" t="s">
        <v>78</v>
      </c>
      <c r="C53" s="246" t="s">
        <v>126</v>
      </c>
      <c r="D53" s="246" t="s">
        <v>770</v>
      </c>
      <c r="E53" s="246" t="s">
        <v>771</v>
      </c>
      <c r="F53" s="246" t="s">
        <v>276</v>
      </c>
      <c r="G53" s="132" t="s">
        <v>930</v>
      </c>
      <c r="H53" s="132" t="s">
        <v>931</v>
      </c>
      <c r="I53" s="132">
        <v>-333.01</v>
      </c>
      <c r="J53" s="101" t="s">
        <v>889</v>
      </c>
      <c r="K53" s="245" t="s">
        <v>390</v>
      </c>
      <c r="L53" s="245">
        <v>42674</v>
      </c>
      <c r="M53" s="245" t="s">
        <v>391</v>
      </c>
      <c r="N53" s="101">
        <v>0</v>
      </c>
      <c r="O53" s="101" t="s">
        <v>392</v>
      </c>
      <c r="P53" s="101">
        <v>0</v>
      </c>
      <c r="Q53" s="101">
        <v>0</v>
      </c>
      <c r="R53" s="101" t="s">
        <v>393</v>
      </c>
      <c r="S53" s="101" t="s">
        <v>858</v>
      </c>
      <c r="T53" s="101" t="s">
        <v>394</v>
      </c>
      <c r="V53" s="245">
        <v>46387</v>
      </c>
      <c r="W53" s="101" t="s">
        <v>395</v>
      </c>
      <c r="X53" s="101" t="s">
        <v>795</v>
      </c>
      <c r="Y53" s="101" t="s">
        <v>396</v>
      </c>
      <c r="Z53" s="101" t="s">
        <v>402</v>
      </c>
      <c r="AA53" s="101" t="s">
        <v>78</v>
      </c>
      <c r="AB53" s="101">
        <v>4101000279</v>
      </c>
      <c r="AC53" s="101" t="s">
        <v>398</v>
      </c>
      <c r="AD53" s="101" t="s">
        <v>403</v>
      </c>
      <c r="AE53" s="101" t="s">
        <v>6</v>
      </c>
      <c r="AF53" s="101" t="s">
        <v>400</v>
      </c>
      <c r="AI53" s="101" t="s">
        <v>760</v>
      </c>
    </row>
    <row r="54" spans="1:35">
      <c r="A54" s="246" t="s">
        <v>111</v>
      </c>
      <c r="B54" s="246" t="s">
        <v>78</v>
      </c>
      <c r="C54" s="246" t="s">
        <v>126</v>
      </c>
      <c r="D54" s="246" t="s">
        <v>768</v>
      </c>
      <c r="E54" s="246" t="s">
        <v>769</v>
      </c>
      <c r="F54" s="246" t="s">
        <v>277</v>
      </c>
      <c r="G54" s="132" t="s">
        <v>932</v>
      </c>
      <c r="H54" s="132" t="s">
        <v>933</v>
      </c>
      <c r="I54" s="132">
        <v>-367.72999999999996</v>
      </c>
      <c r="J54" s="101" t="s">
        <v>889</v>
      </c>
      <c r="K54" s="245" t="s">
        <v>390</v>
      </c>
      <c r="L54" s="245">
        <v>42704</v>
      </c>
      <c r="M54" s="245" t="s">
        <v>391</v>
      </c>
      <c r="N54" s="101">
        <v>0</v>
      </c>
      <c r="O54" s="101" t="s">
        <v>392</v>
      </c>
      <c r="P54" s="101">
        <v>0</v>
      </c>
      <c r="Q54" s="101">
        <v>0</v>
      </c>
      <c r="R54" s="101" t="s">
        <v>393</v>
      </c>
      <c r="S54" s="101" t="s">
        <v>858</v>
      </c>
      <c r="T54" s="101" t="s">
        <v>394</v>
      </c>
      <c r="V54" s="245">
        <v>46387</v>
      </c>
      <c r="W54" s="101" t="s">
        <v>395</v>
      </c>
      <c r="X54" s="101" t="s">
        <v>795</v>
      </c>
      <c r="Y54" s="101" t="s">
        <v>396</v>
      </c>
      <c r="Z54" s="101" t="s">
        <v>402</v>
      </c>
      <c r="AA54" s="101" t="s">
        <v>78</v>
      </c>
      <c r="AB54" s="101">
        <v>4101000279</v>
      </c>
      <c r="AC54" s="101" t="s">
        <v>398</v>
      </c>
      <c r="AD54" s="101" t="s">
        <v>403</v>
      </c>
      <c r="AE54" s="101" t="s">
        <v>6</v>
      </c>
      <c r="AF54" s="101" t="s">
        <v>400</v>
      </c>
      <c r="AI54" s="101" t="s">
        <v>760</v>
      </c>
    </row>
    <row r="55" spans="1:35">
      <c r="A55" s="246" t="s">
        <v>111</v>
      </c>
      <c r="B55" s="246" t="s">
        <v>78</v>
      </c>
      <c r="C55" s="246" t="s">
        <v>126</v>
      </c>
      <c r="D55" s="246" t="s">
        <v>768</v>
      </c>
      <c r="E55" s="246" t="s">
        <v>769</v>
      </c>
      <c r="F55" s="246" t="s">
        <v>277</v>
      </c>
      <c r="G55" s="132" t="s">
        <v>934</v>
      </c>
      <c r="H55" s="132" t="s">
        <v>935</v>
      </c>
      <c r="I55" s="132">
        <v>-407.51</v>
      </c>
      <c r="J55" s="101" t="s">
        <v>889</v>
      </c>
      <c r="K55" s="245" t="s">
        <v>390</v>
      </c>
      <c r="L55" s="245">
        <v>42734</v>
      </c>
      <c r="M55" s="245" t="s">
        <v>391</v>
      </c>
      <c r="N55" s="101">
        <v>0</v>
      </c>
      <c r="O55" s="101" t="s">
        <v>392</v>
      </c>
      <c r="P55" s="101">
        <v>0</v>
      </c>
      <c r="Q55" s="101">
        <v>0</v>
      </c>
      <c r="R55" s="101" t="s">
        <v>393</v>
      </c>
      <c r="S55" s="101" t="s">
        <v>858</v>
      </c>
      <c r="T55" s="101" t="s">
        <v>394</v>
      </c>
      <c r="V55" s="245">
        <v>46387</v>
      </c>
      <c r="W55" s="101" t="s">
        <v>395</v>
      </c>
      <c r="X55" s="101" t="s">
        <v>795</v>
      </c>
      <c r="Y55" s="101" t="s">
        <v>396</v>
      </c>
      <c r="Z55" s="101" t="s">
        <v>402</v>
      </c>
      <c r="AA55" s="101" t="s">
        <v>78</v>
      </c>
      <c r="AB55" s="101">
        <v>4101000279</v>
      </c>
      <c r="AC55" s="101" t="s">
        <v>398</v>
      </c>
      <c r="AD55" s="101" t="s">
        <v>403</v>
      </c>
      <c r="AE55" s="101" t="s">
        <v>6</v>
      </c>
      <c r="AF55" s="101" t="s">
        <v>400</v>
      </c>
      <c r="AI55" s="101" t="s">
        <v>760</v>
      </c>
    </row>
    <row r="56" spans="1:35">
      <c r="A56" s="246" t="s">
        <v>111</v>
      </c>
      <c r="B56" s="246" t="s">
        <v>78</v>
      </c>
      <c r="C56" s="246" t="s">
        <v>126</v>
      </c>
      <c r="D56" s="246" t="s">
        <v>768</v>
      </c>
      <c r="E56" s="246" t="s">
        <v>769</v>
      </c>
      <c r="F56" s="246" t="s">
        <v>277</v>
      </c>
      <c r="G56" s="132" t="s">
        <v>936</v>
      </c>
      <c r="H56" s="132" t="s">
        <v>937</v>
      </c>
      <c r="I56" s="132">
        <v>-434.69</v>
      </c>
      <c r="J56" s="101" t="s">
        <v>889</v>
      </c>
      <c r="K56" s="245" t="s">
        <v>390</v>
      </c>
      <c r="L56" s="245">
        <v>42766</v>
      </c>
      <c r="M56" s="245" t="s">
        <v>391</v>
      </c>
      <c r="N56" s="101">
        <v>0</v>
      </c>
      <c r="O56" s="101" t="s">
        <v>392</v>
      </c>
      <c r="P56" s="101">
        <v>0</v>
      </c>
      <c r="Q56" s="101">
        <v>0</v>
      </c>
      <c r="R56" s="101" t="s">
        <v>393</v>
      </c>
      <c r="S56" s="101" t="s">
        <v>858</v>
      </c>
      <c r="T56" s="101" t="s">
        <v>394</v>
      </c>
      <c r="V56" s="245">
        <v>46387</v>
      </c>
      <c r="W56" s="101" t="s">
        <v>395</v>
      </c>
      <c r="X56" s="101" t="s">
        <v>795</v>
      </c>
      <c r="Y56" s="101" t="s">
        <v>396</v>
      </c>
      <c r="Z56" s="101" t="s">
        <v>402</v>
      </c>
      <c r="AA56" s="101" t="s">
        <v>78</v>
      </c>
      <c r="AB56" s="101">
        <v>4101000279</v>
      </c>
      <c r="AC56" s="101" t="s">
        <v>398</v>
      </c>
      <c r="AD56" s="101" t="s">
        <v>403</v>
      </c>
      <c r="AE56" s="101" t="s">
        <v>6</v>
      </c>
      <c r="AF56" s="101" t="s">
        <v>400</v>
      </c>
      <c r="AI56" s="101" t="s">
        <v>760</v>
      </c>
    </row>
    <row r="57" spans="1:35">
      <c r="A57" s="246" t="s">
        <v>111</v>
      </c>
      <c r="B57" s="246" t="s">
        <v>78</v>
      </c>
      <c r="C57" s="246" t="s">
        <v>126</v>
      </c>
      <c r="D57" s="246" t="s">
        <v>768</v>
      </c>
      <c r="E57" s="246" t="s">
        <v>769</v>
      </c>
      <c r="F57" s="246" t="s">
        <v>277</v>
      </c>
      <c r="G57" s="132" t="s">
        <v>938</v>
      </c>
      <c r="H57" s="132" t="s">
        <v>939</v>
      </c>
      <c r="I57" s="132">
        <v>-430.06</v>
      </c>
      <c r="J57" s="101" t="s">
        <v>889</v>
      </c>
      <c r="K57" s="245" t="s">
        <v>390</v>
      </c>
      <c r="L57" s="245">
        <v>42794</v>
      </c>
      <c r="M57" s="245" t="s">
        <v>391</v>
      </c>
      <c r="N57" s="101">
        <v>0</v>
      </c>
      <c r="O57" s="101" t="s">
        <v>392</v>
      </c>
      <c r="P57" s="101">
        <v>0</v>
      </c>
      <c r="Q57" s="101">
        <v>0</v>
      </c>
      <c r="R57" s="101" t="s">
        <v>393</v>
      </c>
      <c r="S57" s="101" t="s">
        <v>858</v>
      </c>
      <c r="T57" s="101" t="s">
        <v>394</v>
      </c>
      <c r="V57" s="245">
        <v>46387</v>
      </c>
      <c r="W57" s="101" t="s">
        <v>395</v>
      </c>
      <c r="X57" s="101" t="s">
        <v>795</v>
      </c>
      <c r="Y57" s="101" t="s">
        <v>396</v>
      </c>
      <c r="Z57" s="101" t="s">
        <v>402</v>
      </c>
      <c r="AA57" s="101" t="s">
        <v>78</v>
      </c>
      <c r="AB57" s="101">
        <v>4101000279</v>
      </c>
      <c r="AC57" s="101" t="s">
        <v>398</v>
      </c>
      <c r="AD57" s="101" t="s">
        <v>403</v>
      </c>
      <c r="AE57" s="101" t="s">
        <v>6</v>
      </c>
      <c r="AF57" s="101" t="s">
        <v>400</v>
      </c>
      <c r="AI57" s="101" t="s">
        <v>760</v>
      </c>
    </row>
    <row r="58" spans="1:35">
      <c r="A58" s="246" t="s">
        <v>111</v>
      </c>
      <c r="B58" s="246" t="s">
        <v>78</v>
      </c>
      <c r="C58" s="246" t="s">
        <v>126</v>
      </c>
      <c r="D58" s="246" t="s">
        <v>768</v>
      </c>
      <c r="E58" s="246" t="s">
        <v>769</v>
      </c>
      <c r="F58" s="246" t="s">
        <v>277</v>
      </c>
      <c r="G58" s="132" t="s">
        <v>940</v>
      </c>
      <c r="H58" s="132" t="s">
        <v>941</v>
      </c>
      <c r="I58" s="132">
        <v>-523.88</v>
      </c>
      <c r="J58" s="101" t="s">
        <v>889</v>
      </c>
      <c r="K58" s="245" t="s">
        <v>390</v>
      </c>
      <c r="L58" s="245">
        <v>42825</v>
      </c>
      <c r="M58" s="245" t="s">
        <v>391</v>
      </c>
      <c r="N58" s="101">
        <v>0</v>
      </c>
      <c r="O58" s="101" t="s">
        <v>392</v>
      </c>
      <c r="P58" s="101">
        <v>0</v>
      </c>
      <c r="Q58" s="101">
        <v>0</v>
      </c>
      <c r="R58" s="101" t="s">
        <v>393</v>
      </c>
      <c r="S58" s="101" t="s">
        <v>858</v>
      </c>
      <c r="T58" s="101" t="s">
        <v>394</v>
      </c>
      <c r="V58" s="245">
        <v>46387</v>
      </c>
      <c r="W58" s="101" t="s">
        <v>395</v>
      </c>
      <c r="X58" s="101" t="s">
        <v>795</v>
      </c>
      <c r="Y58" s="101" t="s">
        <v>396</v>
      </c>
      <c r="Z58" s="101" t="s">
        <v>402</v>
      </c>
      <c r="AA58" s="101" t="s">
        <v>78</v>
      </c>
      <c r="AB58" s="101">
        <v>4101000279</v>
      </c>
      <c r="AC58" s="101" t="s">
        <v>398</v>
      </c>
      <c r="AD58" s="101" t="s">
        <v>403</v>
      </c>
      <c r="AE58" s="101" t="s">
        <v>6</v>
      </c>
      <c r="AF58" s="101" t="s">
        <v>400</v>
      </c>
      <c r="AI58" s="101" t="s">
        <v>760</v>
      </c>
    </row>
    <row r="59" spans="1:35">
      <c r="A59" s="246" t="s">
        <v>111</v>
      </c>
      <c r="B59" s="246" t="s">
        <v>78</v>
      </c>
      <c r="C59" s="246" t="s">
        <v>126</v>
      </c>
      <c r="D59" s="246" t="s">
        <v>768</v>
      </c>
      <c r="E59" s="246" t="s">
        <v>769</v>
      </c>
      <c r="F59" s="246" t="s">
        <v>277</v>
      </c>
      <c r="G59" s="132" t="s">
        <v>942</v>
      </c>
      <c r="H59" s="132" t="s">
        <v>943</v>
      </c>
      <c r="I59" s="132">
        <v>-473.15999999999997</v>
      </c>
      <c r="J59" s="101" t="s">
        <v>889</v>
      </c>
      <c r="K59" s="245" t="s">
        <v>390</v>
      </c>
      <c r="L59" s="245">
        <v>42853</v>
      </c>
      <c r="M59" s="245" t="s">
        <v>391</v>
      </c>
      <c r="N59" s="101">
        <v>0</v>
      </c>
      <c r="O59" s="101" t="s">
        <v>392</v>
      </c>
      <c r="P59" s="101">
        <v>0</v>
      </c>
      <c r="Q59" s="101">
        <v>0</v>
      </c>
      <c r="R59" s="101" t="s">
        <v>393</v>
      </c>
      <c r="S59" s="101" t="s">
        <v>858</v>
      </c>
      <c r="T59" s="101" t="s">
        <v>394</v>
      </c>
      <c r="V59" s="245">
        <v>46387</v>
      </c>
      <c r="W59" s="101" t="s">
        <v>395</v>
      </c>
      <c r="X59" s="101" t="s">
        <v>795</v>
      </c>
      <c r="Y59" s="101" t="s">
        <v>396</v>
      </c>
      <c r="Z59" s="101" t="s">
        <v>402</v>
      </c>
      <c r="AA59" s="101" t="s">
        <v>78</v>
      </c>
      <c r="AB59" s="101">
        <v>4101000279</v>
      </c>
      <c r="AC59" s="101" t="s">
        <v>398</v>
      </c>
      <c r="AD59" s="101" t="s">
        <v>403</v>
      </c>
      <c r="AE59" s="101" t="s">
        <v>6</v>
      </c>
      <c r="AF59" s="101" t="s">
        <v>400</v>
      </c>
      <c r="AI59" s="101" t="s">
        <v>760</v>
      </c>
    </row>
    <row r="60" spans="1:35">
      <c r="A60" s="246" t="s">
        <v>112</v>
      </c>
      <c r="B60" s="246" t="s">
        <v>78</v>
      </c>
      <c r="C60" s="246" t="s">
        <v>126</v>
      </c>
      <c r="D60" s="246" t="s">
        <v>341</v>
      </c>
      <c r="E60" s="246" t="s">
        <v>342</v>
      </c>
      <c r="F60" s="246" t="s">
        <v>278</v>
      </c>
      <c r="G60" s="132" t="s">
        <v>944</v>
      </c>
      <c r="H60" s="132" t="s">
        <v>945</v>
      </c>
      <c r="I60" s="132">
        <v>-619.6</v>
      </c>
      <c r="J60" s="101" t="s">
        <v>889</v>
      </c>
      <c r="K60" s="245" t="s">
        <v>390</v>
      </c>
      <c r="L60" s="245">
        <v>42886</v>
      </c>
      <c r="M60" s="245" t="s">
        <v>391</v>
      </c>
      <c r="N60" s="101">
        <v>0</v>
      </c>
      <c r="O60" s="101" t="s">
        <v>392</v>
      </c>
      <c r="P60" s="101">
        <v>0</v>
      </c>
      <c r="Q60" s="101">
        <v>0</v>
      </c>
      <c r="R60" s="101" t="s">
        <v>393</v>
      </c>
      <c r="S60" s="101" t="s">
        <v>858</v>
      </c>
      <c r="T60" s="101" t="s">
        <v>394</v>
      </c>
      <c r="V60" s="245">
        <v>46387</v>
      </c>
      <c r="W60" s="101" t="s">
        <v>395</v>
      </c>
      <c r="X60" s="101" t="s">
        <v>795</v>
      </c>
      <c r="Y60" s="101" t="s">
        <v>396</v>
      </c>
      <c r="Z60" s="101" t="s">
        <v>402</v>
      </c>
      <c r="AA60" s="101" t="s">
        <v>78</v>
      </c>
      <c r="AB60" s="101">
        <v>4101000279</v>
      </c>
      <c r="AC60" s="101" t="s">
        <v>398</v>
      </c>
      <c r="AD60" s="101" t="s">
        <v>403</v>
      </c>
      <c r="AE60" s="101" t="s">
        <v>6</v>
      </c>
      <c r="AF60" s="101" t="s">
        <v>400</v>
      </c>
      <c r="AI60" s="101" t="s">
        <v>760</v>
      </c>
    </row>
    <row r="61" spans="1:35">
      <c r="A61" s="246" t="s">
        <v>112</v>
      </c>
      <c r="B61" s="246" t="s">
        <v>78</v>
      </c>
      <c r="C61" s="246" t="s">
        <v>126</v>
      </c>
      <c r="D61" s="246" t="s">
        <v>341</v>
      </c>
      <c r="E61" s="246" t="s">
        <v>342</v>
      </c>
      <c r="F61" s="246" t="s">
        <v>278</v>
      </c>
      <c r="G61" s="132" t="s">
        <v>946</v>
      </c>
      <c r="H61" s="132" t="s">
        <v>947</v>
      </c>
      <c r="I61" s="132">
        <v>-604.70999999999992</v>
      </c>
      <c r="J61" s="101" t="s">
        <v>889</v>
      </c>
      <c r="K61" s="245" t="s">
        <v>390</v>
      </c>
      <c r="L61" s="245">
        <v>42916</v>
      </c>
      <c r="M61" s="245" t="s">
        <v>391</v>
      </c>
      <c r="N61" s="101">
        <v>0</v>
      </c>
      <c r="O61" s="101" t="s">
        <v>392</v>
      </c>
      <c r="P61" s="101">
        <v>0</v>
      </c>
      <c r="Q61" s="101">
        <v>0</v>
      </c>
      <c r="R61" s="101" t="s">
        <v>393</v>
      </c>
      <c r="S61" s="101" t="s">
        <v>858</v>
      </c>
      <c r="T61" s="101" t="s">
        <v>394</v>
      </c>
      <c r="V61" s="245">
        <v>46387</v>
      </c>
      <c r="W61" s="101" t="s">
        <v>395</v>
      </c>
      <c r="X61" s="101" t="s">
        <v>795</v>
      </c>
      <c r="Y61" s="101" t="s">
        <v>396</v>
      </c>
      <c r="Z61" s="101" t="s">
        <v>402</v>
      </c>
      <c r="AA61" s="101" t="s">
        <v>78</v>
      </c>
      <c r="AB61" s="101">
        <v>4101000279</v>
      </c>
      <c r="AC61" s="101" t="s">
        <v>398</v>
      </c>
      <c r="AD61" s="101" t="s">
        <v>403</v>
      </c>
      <c r="AE61" s="101" t="s">
        <v>6</v>
      </c>
      <c r="AF61" s="101" t="s">
        <v>400</v>
      </c>
      <c r="AI61" s="101" t="s">
        <v>760</v>
      </c>
    </row>
    <row r="62" spans="1:35">
      <c r="A62" s="246" t="s">
        <v>112</v>
      </c>
      <c r="B62" s="246" t="s">
        <v>78</v>
      </c>
      <c r="C62" s="246" t="s">
        <v>126</v>
      </c>
      <c r="D62" s="246" t="s">
        <v>341</v>
      </c>
      <c r="E62" s="246" t="s">
        <v>342</v>
      </c>
      <c r="F62" s="246" t="s">
        <v>278</v>
      </c>
      <c r="G62" s="132" t="s">
        <v>948</v>
      </c>
      <c r="H62" s="132" t="s">
        <v>949</v>
      </c>
      <c r="I62" s="132">
        <v>-624.88</v>
      </c>
      <c r="J62" s="101" t="s">
        <v>889</v>
      </c>
      <c r="K62" s="245" t="s">
        <v>390</v>
      </c>
      <c r="L62" s="245">
        <v>42947</v>
      </c>
      <c r="M62" s="245" t="s">
        <v>391</v>
      </c>
      <c r="N62" s="101">
        <v>0</v>
      </c>
      <c r="O62" s="101" t="s">
        <v>392</v>
      </c>
      <c r="P62" s="101">
        <v>0</v>
      </c>
      <c r="Q62" s="101">
        <v>0</v>
      </c>
      <c r="R62" s="101" t="s">
        <v>393</v>
      </c>
      <c r="S62" s="101" t="s">
        <v>858</v>
      </c>
      <c r="T62" s="101" t="s">
        <v>394</v>
      </c>
      <c r="V62" s="245">
        <v>46387</v>
      </c>
      <c r="W62" s="101" t="s">
        <v>395</v>
      </c>
      <c r="X62" s="101" t="s">
        <v>795</v>
      </c>
      <c r="Y62" s="101" t="s">
        <v>396</v>
      </c>
      <c r="Z62" s="101" t="s">
        <v>402</v>
      </c>
      <c r="AA62" s="101" t="s">
        <v>78</v>
      </c>
      <c r="AB62" s="101">
        <v>4101000279</v>
      </c>
      <c r="AC62" s="101" t="s">
        <v>398</v>
      </c>
      <c r="AD62" s="101" t="s">
        <v>403</v>
      </c>
      <c r="AE62" s="101" t="s">
        <v>6</v>
      </c>
      <c r="AF62" s="101" t="s">
        <v>400</v>
      </c>
      <c r="AI62" s="101" t="s">
        <v>760</v>
      </c>
    </row>
    <row r="63" spans="1:35">
      <c r="A63" s="246" t="s">
        <v>112</v>
      </c>
      <c r="B63" s="246" t="s">
        <v>78</v>
      </c>
      <c r="C63" s="246" t="s">
        <v>126</v>
      </c>
      <c r="D63" s="246" t="s">
        <v>341</v>
      </c>
      <c r="E63" s="246" t="s">
        <v>342</v>
      </c>
      <c r="F63" s="246" t="s">
        <v>278</v>
      </c>
      <c r="G63" s="132" t="s">
        <v>948</v>
      </c>
      <c r="H63" s="132" t="s">
        <v>949</v>
      </c>
      <c r="I63" s="132">
        <v>-624.88</v>
      </c>
      <c r="J63" s="101" t="s">
        <v>889</v>
      </c>
      <c r="K63" s="245" t="s">
        <v>390</v>
      </c>
      <c r="L63" s="245">
        <v>42978</v>
      </c>
      <c r="M63" s="245" t="s">
        <v>391</v>
      </c>
      <c r="N63" s="101">
        <v>0</v>
      </c>
      <c r="O63" s="101" t="s">
        <v>392</v>
      </c>
      <c r="P63" s="101">
        <v>0</v>
      </c>
      <c r="Q63" s="101">
        <v>0</v>
      </c>
      <c r="R63" s="101" t="s">
        <v>393</v>
      </c>
      <c r="S63" s="101" t="s">
        <v>858</v>
      </c>
      <c r="T63" s="101" t="s">
        <v>394</v>
      </c>
      <c r="V63" s="245">
        <v>46387</v>
      </c>
      <c r="W63" s="101" t="s">
        <v>395</v>
      </c>
      <c r="X63" s="101" t="s">
        <v>795</v>
      </c>
      <c r="Y63" s="101" t="s">
        <v>396</v>
      </c>
      <c r="Z63" s="101" t="s">
        <v>402</v>
      </c>
      <c r="AA63" s="101" t="s">
        <v>78</v>
      </c>
      <c r="AB63" s="101">
        <v>4101000279</v>
      </c>
      <c r="AC63" s="101" t="s">
        <v>398</v>
      </c>
      <c r="AD63" s="101" t="s">
        <v>403</v>
      </c>
      <c r="AE63" s="101" t="s">
        <v>6</v>
      </c>
      <c r="AF63" s="101" t="s">
        <v>400</v>
      </c>
      <c r="AI63" s="101" t="s">
        <v>760</v>
      </c>
    </row>
    <row r="64" spans="1:35">
      <c r="A64" s="246" t="s">
        <v>112</v>
      </c>
      <c r="B64" s="246" t="s">
        <v>78</v>
      </c>
      <c r="C64" s="246" t="s">
        <v>126</v>
      </c>
      <c r="D64" s="246" t="s">
        <v>341</v>
      </c>
      <c r="E64" s="246" t="s">
        <v>342</v>
      </c>
      <c r="F64" s="246" t="s">
        <v>278</v>
      </c>
      <c r="G64" s="132" t="s">
        <v>950</v>
      </c>
      <c r="H64" s="132" t="s">
        <v>951</v>
      </c>
      <c r="I64" s="132">
        <v>-584.54999999999995</v>
      </c>
      <c r="J64" s="101" t="s">
        <v>889</v>
      </c>
      <c r="K64" s="245" t="s">
        <v>390</v>
      </c>
      <c r="L64" s="245">
        <v>43007</v>
      </c>
      <c r="M64" s="245" t="s">
        <v>391</v>
      </c>
      <c r="N64" s="101">
        <v>0</v>
      </c>
      <c r="O64" s="101" t="s">
        <v>392</v>
      </c>
      <c r="P64" s="101">
        <v>0</v>
      </c>
      <c r="Q64" s="101">
        <v>0</v>
      </c>
      <c r="R64" s="101" t="s">
        <v>393</v>
      </c>
      <c r="S64" s="101" t="s">
        <v>858</v>
      </c>
      <c r="T64" s="101" t="s">
        <v>394</v>
      </c>
      <c r="V64" s="245">
        <v>46387</v>
      </c>
      <c r="W64" s="101" t="s">
        <v>395</v>
      </c>
      <c r="X64" s="101" t="s">
        <v>795</v>
      </c>
      <c r="Y64" s="101" t="s">
        <v>396</v>
      </c>
      <c r="Z64" s="101" t="s">
        <v>402</v>
      </c>
      <c r="AA64" s="101" t="s">
        <v>78</v>
      </c>
      <c r="AB64" s="101">
        <v>4101000279</v>
      </c>
      <c r="AC64" s="101" t="s">
        <v>398</v>
      </c>
      <c r="AD64" s="101" t="s">
        <v>403</v>
      </c>
      <c r="AE64" s="101" t="s">
        <v>6</v>
      </c>
      <c r="AF64" s="101" t="s">
        <v>400</v>
      </c>
      <c r="AI64" s="101" t="s">
        <v>760</v>
      </c>
    </row>
    <row r="65" spans="1:35">
      <c r="A65" s="246" t="s">
        <v>112</v>
      </c>
      <c r="B65" s="246" t="s">
        <v>78</v>
      </c>
      <c r="C65" s="246" t="s">
        <v>126</v>
      </c>
      <c r="D65" s="246" t="s">
        <v>341</v>
      </c>
      <c r="E65" s="246" t="s">
        <v>342</v>
      </c>
      <c r="F65" s="246" t="s">
        <v>278</v>
      </c>
      <c r="G65" s="132" t="s">
        <v>952</v>
      </c>
      <c r="H65" s="132" t="s">
        <v>953</v>
      </c>
      <c r="I65" s="132">
        <v>-645.04</v>
      </c>
      <c r="J65" s="101" t="s">
        <v>889</v>
      </c>
      <c r="K65" s="245" t="s">
        <v>390</v>
      </c>
      <c r="L65" s="245">
        <v>43039</v>
      </c>
      <c r="M65" s="245" t="s">
        <v>391</v>
      </c>
      <c r="N65" s="101">
        <v>0</v>
      </c>
      <c r="O65" s="101" t="s">
        <v>392</v>
      </c>
      <c r="P65" s="101">
        <v>0</v>
      </c>
      <c r="Q65" s="101">
        <v>0</v>
      </c>
      <c r="R65" s="101" t="s">
        <v>393</v>
      </c>
      <c r="S65" s="101" t="s">
        <v>858</v>
      </c>
      <c r="T65" s="101" t="s">
        <v>394</v>
      </c>
      <c r="V65" s="245">
        <v>46387</v>
      </c>
      <c r="W65" s="101" t="s">
        <v>395</v>
      </c>
      <c r="X65" s="101" t="s">
        <v>795</v>
      </c>
      <c r="Y65" s="101" t="s">
        <v>396</v>
      </c>
      <c r="Z65" s="101" t="s">
        <v>402</v>
      </c>
      <c r="AA65" s="101" t="s">
        <v>78</v>
      </c>
      <c r="AB65" s="101">
        <v>4101000279</v>
      </c>
      <c r="AC65" s="101" t="s">
        <v>398</v>
      </c>
      <c r="AD65" s="101" t="s">
        <v>403</v>
      </c>
      <c r="AE65" s="101" t="s">
        <v>6</v>
      </c>
      <c r="AF65" s="101" t="s">
        <v>400</v>
      </c>
      <c r="AI65" s="101" t="s">
        <v>760</v>
      </c>
    </row>
    <row r="66" spans="1:35">
      <c r="A66" s="246" t="s">
        <v>113</v>
      </c>
      <c r="B66" s="246" t="s">
        <v>78</v>
      </c>
      <c r="C66" s="246" t="s">
        <v>126</v>
      </c>
      <c r="D66" s="246" t="s">
        <v>339</v>
      </c>
      <c r="E66" s="246" t="s">
        <v>340</v>
      </c>
      <c r="F66" s="246" t="s">
        <v>279</v>
      </c>
      <c r="G66" s="132" t="s">
        <v>946</v>
      </c>
      <c r="H66" s="132" t="s">
        <v>947</v>
      </c>
      <c r="I66" s="132">
        <v>-604.70999999999992</v>
      </c>
      <c r="J66" s="101" t="s">
        <v>889</v>
      </c>
      <c r="K66" s="245" t="s">
        <v>390</v>
      </c>
      <c r="L66" s="245">
        <v>43069</v>
      </c>
      <c r="M66" s="245" t="s">
        <v>391</v>
      </c>
      <c r="N66" s="101">
        <v>0</v>
      </c>
      <c r="O66" s="101" t="s">
        <v>392</v>
      </c>
      <c r="P66" s="101">
        <v>0</v>
      </c>
      <c r="Q66" s="101">
        <v>0</v>
      </c>
      <c r="R66" s="101" t="s">
        <v>393</v>
      </c>
      <c r="S66" s="101" t="s">
        <v>858</v>
      </c>
      <c r="T66" s="101" t="s">
        <v>394</v>
      </c>
      <c r="V66" s="245">
        <v>46387</v>
      </c>
      <c r="W66" s="101" t="s">
        <v>395</v>
      </c>
      <c r="X66" s="101" t="s">
        <v>795</v>
      </c>
      <c r="Y66" s="101" t="s">
        <v>396</v>
      </c>
      <c r="Z66" s="101" t="s">
        <v>402</v>
      </c>
      <c r="AA66" s="101" t="s">
        <v>78</v>
      </c>
      <c r="AB66" s="101">
        <v>4101000279</v>
      </c>
      <c r="AC66" s="101" t="s">
        <v>398</v>
      </c>
      <c r="AD66" s="101" t="s">
        <v>403</v>
      </c>
      <c r="AE66" s="101" t="s">
        <v>6</v>
      </c>
      <c r="AF66" s="101" t="s">
        <v>400</v>
      </c>
      <c r="AI66" s="101" t="s">
        <v>760</v>
      </c>
    </row>
    <row r="67" spans="1:35">
      <c r="A67" s="246" t="s">
        <v>113</v>
      </c>
      <c r="B67" s="246" t="s">
        <v>78</v>
      </c>
      <c r="C67" s="246" t="s">
        <v>126</v>
      </c>
      <c r="D67" s="246" t="s">
        <v>339</v>
      </c>
      <c r="E67" s="246" t="s">
        <v>340</v>
      </c>
      <c r="F67" s="246" t="s">
        <v>279</v>
      </c>
      <c r="G67" s="132" t="s">
        <v>950</v>
      </c>
      <c r="H67" s="132" t="s">
        <v>951</v>
      </c>
      <c r="I67" s="132">
        <v>-584.54999999999995</v>
      </c>
      <c r="J67" s="101" t="s">
        <v>889</v>
      </c>
      <c r="K67" s="245" t="s">
        <v>390</v>
      </c>
      <c r="L67" s="245">
        <v>43098</v>
      </c>
      <c r="M67" s="245" t="s">
        <v>391</v>
      </c>
      <c r="N67" s="101">
        <v>1</v>
      </c>
      <c r="O67" s="101" t="s">
        <v>392</v>
      </c>
      <c r="P67" s="101">
        <v>0</v>
      </c>
      <c r="Q67" s="101">
        <v>0</v>
      </c>
      <c r="R67" s="101" t="s">
        <v>393</v>
      </c>
      <c r="S67" s="101" t="s">
        <v>858</v>
      </c>
      <c r="T67" s="101" t="s">
        <v>394</v>
      </c>
      <c r="V67" s="245">
        <v>46387</v>
      </c>
      <c r="W67" s="101" t="s">
        <v>395</v>
      </c>
      <c r="X67" s="101" t="s">
        <v>795</v>
      </c>
      <c r="Y67" s="101" t="s">
        <v>396</v>
      </c>
      <c r="Z67" s="101" t="s">
        <v>402</v>
      </c>
      <c r="AA67" s="101" t="s">
        <v>78</v>
      </c>
      <c r="AB67" s="101">
        <v>4101000279</v>
      </c>
      <c r="AC67" s="101" t="s">
        <v>398</v>
      </c>
      <c r="AD67" s="101" t="s">
        <v>403</v>
      </c>
      <c r="AE67" s="101" t="s">
        <v>6</v>
      </c>
      <c r="AF67" s="101" t="s">
        <v>400</v>
      </c>
      <c r="AI67" s="101" t="s">
        <v>760</v>
      </c>
    </row>
    <row r="68" spans="1:35">
      <c r="A68" s="246" t="s">
        <v>113</v>
      </c>
      <c r="B68" s="246" t="s">
        <v>78</v>
      </c>
      <c r="C68" s="246" t="s">
        <v>126</v>
      </c>
      <c r="D68" s="246" t="s">
        <v>339</v>
      </c>
      <c r="E68" s="246" t="s">
        <v>340</v>
      </c>
      <c r="F68" s="246" t="s">
        <v>279</v>
      </c>
      <c r="G68" s="132" t="s">
        <v>954</v>
      </c>
      <c r="H68" s="132" t="s">
        <v>955</v>
      </c>
      <c r="I68" s="132">
        <v>-665.20999999999992</v>
      </c>
      <c r="J68" s="101" t="s">
        <v>889</v>
      </c>
      <c r="K68" s="245" t="s">
        <v>390</v>
      </c>
      <c r="L68" s="245">
        <v>43131</v>
      </c>
      <c r="M68" s="245" t="s">
        <v>391</v>
      </c>
      <c r="N68" s="101">
        <v>1</v>
      </c>
      <c r="O68" s="101" t="s">
        <v>392</v>
      </c>
      <c r="P68" s="101">
        <v>0</v>
      </c>
      <c r="Q68" s="101">
        <v>0</v>
      </c>
      <c r="R68" s="101" t="s">
        <v>393</v>
      </c>
      <c r="S68" s="101" t="s">
        <v>858</v>
      </c>
      <c r="T68" s="101" t="s">
        <v>394</v>
      </c>
      <c r="V68" s="245">
        <v>46387</v>
      </c>
      <c r="W68" s="101" t="s">
        <v>395</v>
      </c>
      <c r="X68" s="101" t="s">
        <v>795</v>
      </c>
      <c r="Y68" s="101" t="s">
        <v>396</v>
      </c>
      <c r="Z68" s="101" t="s">
        <v>402</v>
      </c>
      <c r="AA68" s="101" t="s">
        <v>78</v>
      </c>
      <c r="AB68" s="101">
        <v>4101000279</v>
      </c>
      <c r="AC68" s="101" t="s">
        <v>398</v>
      </c>
      <c r="AD68" s="101" t="s">
        <v>403</v>
      </c>
      <c r="AE68" s="101" t="s">
        <v>6</v>
      </c>
      <c r="AF68" s="101" t="s">
        <v>400</v>
      </c>
      <c r="AI68" s="101" t="s">
        <v>760</v>
      </c>
    </row>
    <row r="69" spans="1:35">
      <c r="A69" s="246" t="s">
        <v>113</v>
      </c>
      <c r="B69" s="246" t="s">
        <v>78</v>
      </c>
      <c r="C69" s="246" t="s">
        <v>126</v>
      </c>
      <c r="D69" s="246" t="s">
        <v>339</v>
      </c>
      <c r="E69" s="246" t="s">
        <v>340</v>
      </c>
      <c r="F69" s="246" t="s">
        <v>279</v>
      </c>
      <c r="G69" s="132" t="s">
        <v>956</v>
      </c>
      <c r="H69" s="132" t="s">
        <v>957</v>
      </c>
      <c r="I69" s="132">
        <v>-564.38</v>
      </c>
      <c r="J69" s="101" t="s">
        <v>889</v>
      </c>
      <c r="K69" s="245" t="s">
        <v>390</v>
      </c>
      <c r="L69" s="245">
        <v>43159</v>
      </c>
      <c r="M69" s="245" t="s">
        <v>391</v>
      </c>
      <c r="N69" s="101">
        <v>1</v>
      </c>
      <c r="O69" s="101" t="s">
        <v>392</v>
      </c>
      <c r="P69" s="101">
        <v>0</v>
      </c>
      <c r="Q69" s="101">
        <v>0</v>
      </c>
      <c r="R69" s="101" t="s">
        <v>393</v>
      </c>
      <c r="S69" s="101" t="s">
        <v>858</v>
      </c>
      <c r="T69" s="101" t="s">
        <v>394</v>
      </c>
      <c r="V69" s="245">
        <v>46387</v>
      </c>
      <c r="W69" s="101" t="s">
        <v>395</v>
      </c>
      <c r="X69" s="101" t="s">
        <v>795</v>
      </c>
      <c r="Y69" s="101" t="s">
        <v>396</v>
      </c>
      <c r="Z69" s="101" t="s">
        <v>402</v>
      </c>
      <c r="AA69" s="101" t="s">
        <v>78</v>
      </c>
      <c r="AB69" s="101">
        <v>4101000279</v>
      </c>
      <c r="AC69" s="101" t="s">
        <v>398</v>
      </c>
      <c r="AD69" s="101" t="s">
        <v>403</v>
      </c>
      <c r="AE69" s="101" t="s">
        <v>6</v>
      </c>
      <c r="AF69" s="101" t="s">
        <v>400</v>
      </c>
      <c r="AI69" s="101" t="s">
        <v>760</v>
      </c>
    </row>
    <row r="70" spans="1:35">
      <c r="A70" s="246" t="s">
        <v>113</v>
      </c>
      <c r="B70" s="246" t="s">
        <v>78</v>
      </c>
      <c r="C70" s="246" t="s">
        <v>126</v>
      </c>
      <c r="D70" s="246" t="s">
        <v>339</v>
      </c>
      <c r="E70" s="246" t="s">
        <v>340</v>
      </c>
      <c r="F70" s="246" t="s">
        <v>279</v>
      </c>
      <c r="G70" s="132" t="s">
        <v>946</v>
      </c>
      <c r="H70" s="132" t="s">
        <v>947</v>
      </c>
      <c r="I70" s="132">
        <v>-604.70999999999992</v>
      </c>
      <c r="J70" s="101" t="s">
        <v>889</v>
      </c>
      <c r="K70" s="245" t="s">
        <v>390</v>
      </c>
      <c r="L70" s="245">
        <v>43189</v>
      </c>
      <c r="M70" s="245" t="s">
        <v>391</v>
      </c>
      <c r="N70" s="101">
        <v>1</v>
      </c>
      <c r="O70" s="101" t="s">
        <v>392</v>
      </c>
      <c r="P70" s="101">
        <v>0</v>
      </c>
      <c r="Q70" s="101">
        <v>0</v>
      </c>
      <c r="R70" s="101" t="s">
        <v>393</v>
      </c>
      <c r="S70" s="101" t="s">
        <v>858</v>
      </c>
      <c r="T70" s="101" t="s">
        <v>394</v>
      </c>
      <c r="V70" s="245">
        <v>46387</v>
      </c>
      <c r="W70" s="101" t="s">
        <v>395</v>
      </c>
      <c r="X70" s="101" t="s">
        <v>795</v>
      </c>
      <c r="Y70" s="101" t="s">
        <v>396</v>
      </c>
      <c r="Z70" s="101" t="s">
        <v>402</v>
      </c>
      <c r="AA70" s="101" t="s">
        <v>78</v>
      </c>
      <c r="AB70" s="101">
        <v>4101000279</v>
      </c>
      <c r="AC70" s="101" t="s">
        <v>398</v>
      </c>
      <c r="AD70" s="101" t="s">
        <v>403</v>
      </c>
      <c r="AE70" s="101" t="s">
        <v>6</v>
      </c>
      <c r="AF70" s="101" t="s">
        <v>400</v>
      </c>
      <c r="AI70" s="101" t="s">
        <v>760</v>
      </c>
    </row>
    <row r="71" spans="1:35">
      <c r="A71" s="246" t="s">
        <v>113</v>
      </c>
      <c r="B71" s="246" t="s">
        <v>78</v>
      </c>
      <c r="C71" s="246" t="s">
        <v>126</v>
      </c>
      <c r="D71" s="246" t="s">
        <v>339</v>
      </c>
      <c r="E71" s="246" t="s">
        <v>340</v>
      </c>
      <c r="F71" s="246" t="s">
        <v>279</v>
      </c>
      <c r="G71" s="132" t="s">
        <v>948</v>
      </c>
      <c r="H71" s="132" t="s">
        <v>949</v>
      </c>
      <c r="I71" s="132">
        <v>-624.88</v>
      </c>
      <c r="J71" s="101" t="s">
        <v>889</v>
      </c>
      <c r="K71" s="245" t="s">
        <v>390</v>
      </c>
      <c r="L71" s="245">
        <v>43220</v>
      </c>
      <c r="M71" s="245" t="s">
        <v>391</v>
      </c>
      <c r="N71" s="101">
        <v>1</v>
      </c>
      <c r="O71" s="101" t="s">
        <v>392</v>
      </c>
      <c r="P71" s="101">
        <v>0</v>
      </c>
      <c r="Q71" s="101">
        <v>0</v>
      </c>
      <c r="R71" s="101" t="s">
        <v>393</v>
      </c>
      <c r="S71" s="101" t="s">
        <v>858</v>
      </c>
      <c r="T71" s="101" t="s">
        <v>394</v>
      </c>
      <c r="V71" s="245">
        <v>46387</v>
      </c>
      <c r="W71" s="101" t="s">
        <v>395</v>
      </c>
      <c r="X71" s="101" t="s">
        <v>795</v>
      </c>
      <c r="Y71" s="101" t="s">
        <v>396</v>
      </c>
      <c r="Z71" s="101" t="s">
        <v>402</v>
      </c>
      <c r="AA71" s="101" t="s">
        <v>78</v>
      </c>
      <c r="AB71" s="101">
        <v>4101000279</v>
      </c>
      <c r="AC71" s="101" t="s">
        <v>398</v>
      </c>
      <c r="AD71" s="101" t="s">
        <v>403</v>
      </c>
      <c r="AE71" s="101" t="s">
        <v>6</v>
      </c>
      <c r="AF71" s="101" t="s">
        <v>400</v>
      </c>
      <c r="AI71" s="101" t="s">
        <v>760</v>
      </c>
    </row>
    <row r="72" spans="1:35">
      <c r="A72" s="246" t="s">
        <v>109</v>
      </c>
      <c r="B72" s="246" t="s">
        <v>78</v>
      </c>
      <c r="C72" s="246" t="s">
        <v>126</v>
      </c>
      <c r="D72" s="246" t="s">
        <v>337</v>
      </c>
      <c r="E72" s="246" t="s">
        <v>336</v>
      </c>
      <c r="F72" s="246" t="s">
        <v>275</v>
      </c>
      <c r="G72" s="132" t="s">
        <v>726</v>
      </c>
      <c r="H72" s="132" t="s">
        <v>958</v>
      </c>
      <c r="I72" s="132">
        <v>30514.629999999997</v>
      </c>
      <c r="J72" s="101" t="s">
        <v>889</v>
      </c>
      <c r="K72" s="245" t="s">
        <v>390</v>
      </c>
      <c r="L72" s="245">
        <v>42551</v>
      </c>
      <c r="M72" s="245" t="s">
        <v>391</v>
      </c>
      <c r="N72" s="101">
        <v>0</v>
      </c>
      <c r="O72" s="101" t="s">
        <v>392</v>
      </c>
      <c r="P72" s="101">
        <v>0</v>
      </c>
      <c r="Q72" s="101">
        <v>0</v>
      </c>
      <c r="R72" s="101" t="s">
        <v>393</v>
      </c>
      <c r="S72" s="101" t="s">
        <v>858</v>
      </c>
      <c r="T72" s="101" t="s">
        <v>394</v>
      </c>
      <c r="V72" s="245">
        <v>46387</v>
      </c>
      <c r="W72" s="101" t="s">
        <v>395</v>
      </c>
      <c r="X72" s="101" t="s">
        <v>795</v>
      </c>
      <c r="Y72" s="101" t="s">
        <v>396</v>
      </c>
      <c r="Z72" s="101" t="s">
        <v>402</v>
      </c>
      <c r="AA72" s="101" t="s">
        <v>78</v>
      </c>
      <c r="AB72" s="101">
        <v>4101000279</v>
      </c>
      <c r="AC72" s="101" t="s">
        <v>398</v>
      </c>
      <c r="AD72" s="101" t="s">
        <v>403</v>
      </c>
      <c r="AE72" s="101" t="s">
        <v>6</v>
      </c>
      <c r="AF72" s="101" t="s">
        <v>400</v>
      </c>
      <c r="AI72" s="101" t="s">
        <v>760</v>
      </c>
    </row>
    <row r="73" spans="1:35">
      <c r="A73" s="246" t="s">
        <v>111</v>
      </c>
      <c r="B73" s="246" t="s">
        <v>78</v>
      </c>
      <c r="C73" s="246" t="s">
        <v>126</v>
      </c>
      <c r="D73" s="246" t="s">
        <v>768</v>
      </c>
      <c r="E73" s="246" t="s">
        <v>769</v>
      </c>
      <c r="F73" s="246" t="s">
        <v>277</v>
      </c>
      <c r="G73" s="132" t="s">
        <v>726</v>
      </c>
      <c r="H73" s="132" t="s">
        <v>958</v>
      </c>
      <c r="I73" s="132">
        <v>30514.629999999997</v>
      </c>
      <c r="J73" s="101" t="s">
        <v>889</v>
      </c>
      <c r="K73" s="245" t="s">
        <v>390</v>
      </c>
      <c r="L73" s="245">
        <v>42734</v>
      </c>
      <c r="M73" s="245" t="s">
        <v>391</v>
      </c>
      <c r="N73" s="101">
        <v>0</v>
      </c>
      <c r="O73" s="101" t="s">
        <v>392</v>
      </c>
      <c r="P73" s="101">
        <v>0</v>
      </c>
      <c r="Q73" s="101">
        <v>0</v>
      </c>
      <c r="R73" s="101" t="s">
        <v>393</v>
      </c>
      <c r="S73" s="101" t="s">
        <v>858</v>
      </c>
      <c r="T73" s="101" t="s">
        <v>394</v>
      </c>
      <c r="V73" s="245">
        <v>46387</v>
      </c>
      <c r="W73" s="101" t="s">
        <v>395</v>
      </c>
      <c r="X73" s="101" t="s">
        <v>795</v>
      </c>
      <c r="Y73" s="101" t="s">
        <v>396</v>
      </c>
      <c r="Z73" s="101" t="s">
        <v>402</v>
      </c>
      <c r="AA73" s="101" t="s">
        <v>78</v>
      </c>
      <c r="AB73" s="101">
        <v>4101000279</v>
      </c>
      <c r="AC73" s="101" t="s">
        <v>398</v>
      </c>
      <c r="AD73" s="101" t="s">
        <v>403</v>
      </c>
      <c r="AE73" s="101" t="s">
        <v>6</v>
      </c>
      <c r="AF73" s="101" t="s">
        <v>400</v>
      </c>
      <c r="AI73" s="101" t="s">
        <v>760</v>
      </c>
    </row>
    <row r="74" spans="1:35">
      <c r="A74" s="246" t="s">
        <v>112</v>
      </c>
      <c r="B74" s="246" t="s">
        <v>78</v>
      </c>
      <c r="C74" s="246" t="s">
        <v>126</v>
      </c>
      <c r="D74" s="246" t="s">
        <v>341</v>
      </c>
      <c r="E74" s="246" t="s">
        <v>342</v>
      </c>
      <c r="F74" s="246" t="s">
        <v>278</v>
      </c>
      <c r="G74" s="132" t="s">
        <v>726</v>
      </c>
      <c r="H74" s="132" t="s">
        <v>958</v>
      </c>
      <c r="I74" s="132">
        <v>30514.629999999997</v>
      </c>
      <c r="J74" s="101" t="s">
        <v>889</v>
      </c>
      <c r="K74" s="245" t="s">
        <v>390</v>
      </c>
      <c r="L74" s="245">
        <v>42916</v>
      </c>
      <c r="M74" s="245" t="s">
        <v>391</v>
      </c>
      <c r="N74" s="101">
        <v>0</v>
      </c>
      <c r="O74" s="101" t="s">
        <v>392</v>
      </c>
      <c r="P74" s="101">
        <v>0</v>
      </c>
      <c r="Q74" s="101">
        <v>0</v>
      </c>
      <c r="R74" s="101" t="s">
        <v>393</v>
      </c>
      <c r="S74" s="101" t="s">
        <v>858</v>
      </c>
      <c r="T74" s="101" t="s">
        <v>394</v>
      </c>
      <c r="V74" s="245">
        <v>46387</v>
      </c>
      <c r="W74" s="101" t="s">
        <v>395</v>
      </c>
      <c r="X74" s="101" t="s">
        <v>795</v>
      </c>
      <c r="Y74" s="101" t="s">
        <v>396</v>
      </c>
      <c r="Z74" s="101" t="s">
        <v>402</v>
      </c>
      <c r="AA74" s="101" t="s">
        <v>78</v>
      </c>
      <c r="AB74" s="101">
        <v>4101000279</v>
      </c>
      <c r="AC74" s="101" t="s">
        <v>398</v>
      </c>
      <c r="AD74" s="101" t="s">
        <v>403</v>
      </c>
      <c r="AE74" s="101" t="s">
        <v>6</v>
      </c>
      <c r="AF74" s="101" t="s">
        <v>400</v>
      </c>
      <c r="AI74" s="101" t="s">
        <v>760</v>
      </c>
    </row>
    <row r="75" spans="1:35">
      <c r="A75" s="246" t="s">
        <v>113</v>
      </c>
      <c r="B75" s="246" t="s">
        <v>78</v>
      </c>
      <c r="C75" s="246" t="s">
        <v>126</v>
      </c>
      <c r="D75" s="246" t="s">
        <v>339</v>
      </c>
      <c r="E75" s="246" t="s">
        <v>340</v>
      </c>
      <c r="F75" s="246" t="s">
        <v>279</v>
      </c>
      <c r="G75" s="132" t="s">
        <v>727</v>
      </c>
      <c r="H75" s="132" t="s">
        <v>959</v>
      </c>
      <c r="I75" s="132">
        <v>30345.1</v>
      </c>
      <c r="J75" s="101" t="s">
        <v>889</v>
      </c>
      <c r="K75" s="245" t="s">
        <v>390</v>
      </c>
      <c r="L75" s="245">
        <v>43098</v>
      </c>
      <c r="M75" s="245" t="s">
        <v>391</v>
      </c>
      <c r="N75" s="101">
        <v>1</v>
      </c>
      <c r="O75" s="101" t="s">
        <v>392</v>
      </c>
      <c r="P75" s="101">
        <v>0</v>
      </c>
      <c r="Q75" s="101">
        <v>0</v>
      </c>
      <c r="R75" s="101" t="s">
        <v>393</v>
      </c>
      <c r="S75" s="101" t="s">
        <v>858</v>
      </c>
      <c r="T75" s="101" t="s">
        <v>394</v>
      </c>
      <c r="V75" s="245">
        <v>46387</v>
      </c>
      <c r="W75" s="101" t="s">
        <v>395</v>
      </c>
      <c r="X75" s="101" t="s">
        <v>795</v>
      </c>
      <c r="Y75" s="101" t="s">
        <v>396</v>
      </c>
      <c r="Z75" s="101" t="s">
        <v>402</v>
      </c>
      <c r="AA75" s="101" t="s">
        <v>78</v>
      </c>
      <c r="AB75" s="101">
        <v>4101000279</v>
      </c>
      <c r="AC75" s="101" t="s">
        <v>398</v>
      </c>
      <c r="AD75" s="101" t="s">
        <v>403</v>
      </c>
      <c r="AE75" s="101" t="s">
        <v>6</v>
      </c>
      <c r="AF75" s="101" t="s">
        <v>400</v>
      </c>
      <c r="AI75" s="101" t="s">
        <v>760</v>
      </c>
    </row>
    <row r="76" spans="1:35">
      <c r="A76" s="246" t="s">
        <v>110</v>
      </c>
      <c r="B76" s="246" t="s">
        <v>78</v>
      </c>
      <c r="C76" s="246" t="s">
        <v>126</v>
      </c>
      <c r="D76" s="246" t="s">
        <v>770</v>
      </c>
      <c r="E76" s="246" t="s">
        <v>771</v>
      </c>
      <c r="F76" s="246" t="s">
        <v>276</v>
      </c>
      <c r="G76" s="132">
        <v>0</v>
      </c>
      <c r="H76" s="132">
        <v>0</v>
      </c>
      <c r="I76" s="132">
        <v>0</v>
      </c>
      <c r="J76" s="101" t="s">
        <v>889</v>
      </c>
      <c r="K76" s="245" t="s">
        <v>390</v>
      </c>
      <c r="L76" s="245">
        <v>42674</v>
      </c>
      <c r="M76" s="245" t="s">
        <v>391</v>
      </c>
      <c r="N76" s="101">
        <v>0</v>
      </c>
      <c r="O76" s="101" t="s">
        <v>392</v>
      </c>
      <c r="P76" s="101">
        <v>0</v>
      </c>
      <c r="Q76" s="101">
        <v>0</v>
      </c>
      <c r="R76" s="101" t="s">
        <v>393</v>
      </c>
      <c r="S76" s="101" t="s">
        <v>960</v>
      </c>
      <c r="T76" s="101" t="s">
        <v>394</v>
      </c>
      <c r="V76" s="245">
        <v>36525</v>
      </c>
      <c r="W76" s="101" t="s">
        <v>424</v>
      </c>
      <c r="X76" s="101" t="s">
        <v>425</v>
      </c>
      <c r="Y76" s="101" t="s">
        <v>396</v>
      </c>
      <c r="Z76" s="101" t="s">
        <v>426</v>
      </c>
      <c r="AA76" s="101" t="s">
        <v>78</v>
      </c>
      <c r="AB76" s="101">
        <v>4101000279</v>
      </c>
      <c r="AC76" s="101" t="s">
        <v>419</v>
      </c>
      <c r="AD76" s="101" t="s">
        <v>94</v>
      </c>
      <c r="AE76" s="101" t="s">
        <v>6</v>
      </c>
      <c r="AF76" s="101" t="s">
        <v>400</v>
      </c>
      <c r="AG76" s="101" t="s">
        <v>567</v>
      </c>
      <c r="AI76" s="101" t="s">
        <v>760</v>
      </c>
    </row>
    <row r="77" spans="1:35">
      <c r="A77" s="246" t="s">
        <v>103</v>
      </c>
      <c r="B77" s="246" t="s">
        <v>78</v>
      </c>
      <c r="C77" s="246" t="s">
        <v>126</v>
      </c>
      <c r="D77" s="246" t="s">
        <v>886</v>
      </c>
      <c r="E77" s="246" t="s">
        <v>887</v>
      </c>
      <c r="F77" s="246"/>
      <c r="G77" s="132" t="s">
        <v>961</v>
      </c>
      <c r="H77" s="132" t="s">
        <v>962</v>
      </c>
      <c r="I77" s="132">
        <v>-16406.25</v>
      </c>
      <c r="J77" s="101" t="s">
        <v>889</v>
      </c>
      <c r="K77" s="245" t="s">
        <v>390</v>
      </c>
      <c r="L77" s="245">
        <v>42506</v>
      </c>
      <c r="M77" s="245" t="s">
        <v>391</v>
      </c>
      <c r="N77" s="101">
        <v>0</v>
      </c>
      <c r="O77" s="101" t="s">
        <v>392</v>
      </c>
      <c r="P77" s="101">
        <v>0</v>
      </c>
      <c r="Q77" s="101">
        <v>0</v>
      </c>
      <c r="R77" s="101" t="s">
        <v>438</v>
      </c>
      <c r="S77" s="101">
        <v>194068</v>
      </c>
      <c r="T77" s="101" t="s">
        <v>394</v>
      </c>
      <c r="V77" s="245">
        <v>47253</v>
      </c>
      <c r="W77" s="101" t="s">
        <v>424</v>
      </c>
      <c r="X77" s="101" t="s">
        <v>76</v>
      </c>
      <c r="Y77" s="101" t="s">
        <v>392</v>
      </c>
      <c r="Z77" s="101" t="s">
        <v>430</v>
      </c>
      <c r="AA77" s="101" t="s">
        <v>78</v>
      </c>
      <c r="AB77" s="101">
        <v>4101000279</v>
      </c>
      <c r="AC77" s="101" t="s">
        <v>431</v>
      </c>
      <c r="AD77" s="101" t="s">
        <v>431</v>
      </c>
      <c r="AE77" s="101" t="s">
        <v>75</v>
      </c>
      <c r="AF77" s="101" t="s">
        <v>400</v>
      </c>
      <c r="AG77" s="101" t="s">
        <v>427</v>
      </c>
      <c r="AI77" s="101" t="s">
        <v>760</v>
      </c>
    </row>
    <row r="78" spans="1:35">
      <c r="A78" s="246" t="s">
        <v>111</v>
      </c>
      <c r="B78" s="246" t="s">
        <v>78</v>
      </c>
      <c r="C78" s="246" t="s">
        <v>126</v>
      </c>
      <c r="D78" s="246" t="s">
        <v>768</v>
      </c>
      <c r="E78" s="246" t="s">
        <v>769</v>
      </c>
      <c r="F78" s="246"/>
      <c r="G78" s="132" t="s">
        <v>961</v>
      </c>
      <c r="H78" s="132" t="s">
        <v>962</v>
      </c>
      <c r="I78" s="132">
        <v>-16406.25</v>
      </c>
      <c r="J78" s="101" t="s">
        <v>889</v>
      </c>
      <c r="K78" s="245" t="s">
        <v>390</v>
      </c>
      <c r="L78" s="245">
        <v>42689</v>
      </c>
      <c r="M78" s="245" t="s">
        <v>391</v>
      </c>
      <c r="N78" s="101">
        <v>0</v>
      </c>
      <c r="O78" s="101" t="s">
        <v>392</v>
      </c>
      <c r="P78" s="101">
        <v>0</v>
      </c>
      <c r="Q78" s="101">
        <v>0</v>
      </c>
      <c r="R78" s="101" t="s">
        <v>438</v>
      </c>
      <c r="S78" s="101">
        <v>194068</v>
      </c>
      <c r="T78" s="101" t="s">
        <v>394</v>
      </c>
      <c r="V78" s="245">
        <v>47253</v>
      </c>
      <c r="W78" s="101" t="s">
        <v>424</v>
      </c>
      <c r="X78" s="101" t="s">
        <v>76</v>
      </c>
      <c r="Y78" s="101" t="s">
        <v>392</v>
      </c>
      <c r="Z78" s="101" t="s">
        <v>430</v>
      </c>
      <c r="AA78" s="101" t="s">
        <v>78</v>
      </c>
      <c r="AB78" s="101">
        <v>4101000279</v>
      </c>
      <c r="AC78" s="101" t="s">
        <v>431</v>
      </c>
      <c r="AD78" s="101" t="s">
        <v>431</v>
      </c>
      <c r="AE78" s="101" t="s">
        <v>75</v>
      </c>
      <c r="AF78" s="101" t="s">
        <v>400</v>
      </c>
      <c r="AG78" s="101" t="s">
        <v>427</v>
      </c>
      <c r="AI78" s="101" t="s">
        <v>760</v>
      </c>
    </row>
    <row r="79" spans="1:35">
      <c r="A79" s="246" t="s">
        <v>112</v>
      </c>
      <c r="B79" s="246" t="s">
        <v>78</v>
      </c>
      <c r="C79" s="246" t="s">
        <v>126</v>
      </c>
      <c r="D79" s="246" t="s">
        <v>341</v>
      </c>
      <c r="E79" s="246" t="s">
        <v>342</v>
      </c>
      <c r="F79" s="246"/>
      <c r="G79" s="132" t="s">
        <v>961</v>
      </c>
      <c r="H79" s="132" t="s">
        <v>962</v>
      </c>
      <c r="I79" s="132">
        <v>-16406.25</v>
      </c>
      <c r="J79" s="101" t="s">
        <v>889</v>
      </c>
      <c r="K79" s="245" t="s">
        <v>390</v>
      </c>
      <c r="L79" s="245">
        <v>42870</v>
      </c>
      <c r="M79" s="245" t="s">
        <v>391</v>
      </c>
      <c r="N79" s="101">
        <v>0</v>
      </c>
      <c r="O79" s="101" t="s">
        <v>392</v>
      </c>
      <c r="P79" s="101">
        <v>0</v>
      </c>
      <c r="Q79" s="101">
        <v>0</v>
      </c>
      <c r="R79" s="101" t="s">
        <v>438</v>
      </c>
      <c r="S79" s="101">
        <v>194068</v>
      </c>
      <c r="T79" s="101" t="s">
        <v>394</v>
      </c>
      <c r="V79" s="245">
        <v>47253</v>
      </c>
      <c r="W79" s="101" t="s">
        <v>424</v>
      </c>
      <c r="X79" s="101" t="s">
        <v>76</v>
      </c>
      <c r="Y79" s="101" t="s">
        <v>392</v>
      </c>
      <c r="Z79" s="101" t="s">
        <v>430</v>
      </c>
      <c r="AA79" s="101" t="s">
        <v>78</v>
      </c>
      <c r="AB79" s="101">
        <v>4101000279</v>
      </c>
      <c r="AC79" s="101" t="s">
        <v>431</v>
      </c>
      <c r="AD79" s="101" t="s">
        <v>431</v>
      </c>
      <c r="AE79" s="101" t="s">
        <v>75</v>
      </c>
      <c r="AF79" s="101" t="s">
        <v>400</v>
      </c>
      <c r="AG79" s="101" t="s">
        <v>427</v>
      </c>
      <c r="AI79" s="101" t="s">
        <v>760</v>
      </c>
    </row>
    <row r="80" spans="1:35">
      <c r="A80" s="246" t="s">
        <v>113</v>
      </c>
      <c r="B80" s="246" t="s">
        <v>78</v>
      </c>
      <c r="C80" s="246" t="s">
        <v>126</v>
      </c>
      <c r="D80" s="246" t="s">
        <v>339</v>
      </c>
      <c r="E80" s="246" t="s">
        <v>340</v>
      </c>
      <c r="F80" s="246"/>
      <c r="G80" s="132" t="s">
        <v>961</v>
      </c>
      <c r="H80" s="132" t="s">
        <v>962</v>
      </c>
      <c r="I80" s="132">
        <v>-16406.25</v>
      </c>
      <c r="J80" s="101" t="s">
        <v>889</v>
      </c>
      <c r="K80" s="245" t="s">
        <v>390</v>
      </c>
      <c r="L80" s="245">
        <v>43054</v>
      </c>
      <c r="M80" s="245" t="s">
        <v>391</v>
      </c>
      <c r="N80" s="101">
        <v>0</v>
      </c>
      <c r="O80" s="101" t="s">
        <v>392</v>
      </c>
      <c r="P80" s="101">
        <v>0</v>
      </c>
      <c r="Q80" s="101">
        <v>0</v>
      </c>
      <c r="R80" s="101" t="s">
        <v>438</v>
      </c>
      <c r="S80" s="101">
        <v>194068</v>
      </c>
      <c r="T80" s="101" t="s">
        <v>394</v>
      </c>
      <c r="V80" s="245">
        <v>47253</v>
      </c>
      <c r="W80" s="101" t="s">
        <v>424</v>
      </c>
      <c r="X80" s="101" t="s">
        <v>76</v>
      </c>
      <c r="Y80" s="101" t="s">
        <v>392</v>
      </c>
      <c r="Z80" s="101" t="s">
        <v>430</v>
      </c>
      <c r="AA80" s="101" t="s">
        <v>78</v>
      </c>
      <c r="AB80" s="101">
        <v>4101000279</v>
      </c>
      <c r="AC80" s="101" t="s">
        <v>431</v>
      </c>
      <c r="AD80" s="101" t="s">
        <v>431</v>
      </c>
      <c r="AE80" s="101" t="s">
        <v>75</v>
      </c>
      <c r="AF80" s="101" t="s">
        <v>400</v>
      </c>
      <c r="AG80" s="101" t="s">
        <v>427</v>
      </c>
      <c r="AI80" s="101" t="s">
        <v>760</v>
      </c>
    </row>
    <row r="81" spans="1:35">
      <c r="A81" s="246" t="s">
        <v>101</v>
      </c>
      <c r="B81" s="246" t="s">
        <v>78</v>
      </c>
      <c r="C81" s="246" t="s">
        <v>126</v>
      </c>
      <c r="D81" s="246" t="s">
        <v>764</v>
      </c>
      <c r="E81" s="246" t="s">
        <v>765</v>
      </c>
      <c r="F81" s="246"/>
      <c r="G81" s="132" t="s">
        <v>753</v>
      </c>
      <c r="H81" s="132" t="s">
        <v>963</v>
      </c>
      <c r="I81" s="132">
        <v>-221938.89</v>
      </c>
      <c r="J81" s="101" t="s">
        <v>889</v>
      </c>
      <c r="K81" s="245" t="s">
        <v>390</v>
      </c>
      <c r="L81" s="245">
        <v>42502</v>
      </c>
      <c r="M81" s="245" t="s">
        <v>391</v>
      </c>
      <c r="N81" s="101">
        <v>0</v>
      </c>
      <c r="O81" s="101" t="s">
        <v>392</v>
      </c>
      <c r="P81" s="101">
        <v>0</v>
      </c>
      <c r="Q81" s="101">
        <v>0</v>
      </c>
      <c r="R81" s="101" t="s">
        <v>393</v>
      </c>
      <c r="S81" s="101" t="s">
        <v>754</v>
      </c>
      <c r="T81" s="101" t="s">
        <v>394</v>
      </c>
      <c r="V81" s="245">
        <v>42502</v>
      </c>
      <c r="W81" s="101" t="s">
        <v>417</v>
      </c>
      <c r="X81" s="101" t="s">
        <v>709</v>
      </c>
      <c r="Y81" s="101" t="s">
        <v>471</v>
      </c>
      <c r="Z81" s="101" t="s">
        <v>418</v>
      </c>
      <c r="AA81" s="101" t="s">
        <v>78</v>
      </c>
      <c r="AB81" s="101">
        <v>4101000279</v>
      </c>
      <c r="AC81" s="101" t="s">
        <v>419</v>
      </c>
      <c r="AD81" s="101" t="s">
        <v>420</v>
      </c>
      <c r="AE81" s="101" t="s">
        <v>75</v>
      </c>
      <c r="AF81" s="101" t="s">
        <v>400</v>
      </c>
      <c r="AI81" s="101" t="s">
        <v>760</v>
      </c>
    </row>
    <row r="82" spans="1:35">
      <c r="A82" s="246" t="s">
        <v>101</v>
      </c>
      <c r="B82" s="246" t="s">
        <v>78</v>
      </c>
      <c r="C82" s="246" t="s">
        <v>761</v>
      </c>
      <c r="D82" s="246" t="s">
        <v>1770</v>
      </c>
      <c r="E82" s="246" t="s">
        <v>765</v>
      </c>
      <c r="F82" s="246"/>
      <c r="G82" s="132">
        <v>-100000000</v>
      </c>
      <c r="H82" s="132" t="s">
        <v>964</v>
      </c>
      <c r="I82" s="132">
        <v>-100000000</v>
      </c>
      <c r="J82" s="101" t="s">
        <v>889</v>
      </c>
      <c r="K82" s="245" t="s">
        <v>390</v>
      </c>
      <c r="L82" s="245">
        <v>42502</v>
      </c>
      <c r="M82" s="245" t="s">
        <v>421</v>
      </c>
      <c r="N82" s="101">
        <v>0</v>
      </c>
      <c r="O82" s="101" t="s">
        <v>392</v>
      </c>
      <c r="P82" s="101">
        <v>0</v>
      </c>
      <c r="Q82" s="101">
        <v>0</v>
      </c>
      <c r="R82" s="101" t="s">
        <v>393</v>
      </c>
      <c r="S82" s="101" t="s">
        <v>754</v>
      </c>
      <c r="T82" s="101" t="s">
        <v>394</v>
      </c>
      <c r="V82" s="245">
        <v>42502</v>
      </c>
      <c r="W82" s="101" t="s">
        <v>417</v>
      </c>
      <c r="X82" s="101" t="s">
        <v>709</v>
      </c>
      <c r="Y82" s="101" t="s">
        <v>471</v>
      </c>
      <c r="Z82" s="101" t="s">
        <v>418</v>
      </c>
      <c r="AA82" s="101" t="s">
        <v>78</v>
      </c>
      <c r="AB82" s="101">
        <v>4101000279</v>
      </c>
      <c r="AC82" s="101" t="s">
        <v>419</v>
      </c>
      <c r="AD82" s="101" t="s">
        <v>420</v>
      </c>
      <c r="AE82" s="101" t="s">
        <v>75</v>
      </c>
      <c r="AF82" s="101" t="s">
        <v>400</v>
      </c>
      <c r="AI82" s="101" t="s">
        <v>760</v>
      </c>
    </row>
    <row r="83" spans="1:35">
      <c r="A83" s="246" t="s">
        <v>103</v>
      </c>
      <c r="B83" s="246" t="s">
        <v>78</v>
      </c>
      <c r="C83" s="246" t="s">
        <v>126</v>
      </c>
      <c r="D83" s="246" t="s">
        <v>886</v>
      </c>
      <c r="E83" s="246" t="s">
        <v>887</v>
      </c>
      <c r="F83" s="246"/>
      <c r="G83" s="132" t="s">
        <v>615</v>
      </c>
      <c r="H83" s="132" t="s">
        <v>965</v>
      </c>
      <c r="I83" s="132">
        <v>-856718.74999999988</v>
      </c>
      <c r="J83" s="101" t="s">
        <v>889</v>
      </c>
      <c r="K83" s="245" t="s">
        <v>390</v>
      </c>
      <c r="L83" s="245">
        <v>42506</v>
      </c>
      <c r="M83" s="245" t="s">
        <v>391</v>
      </c>
      <c r="N83" s="101">
        <v>0</v>
      </c>
      <c r="O83" s="101" t="s">
        <v>392</v>
      </c>
      <c r="P83" s="101">
        <v>0</v>
      </c>
      <c r="Q83" s="101">
        <v>0</v>
      </c>
      <c r="R83" s="101" t="s">
        <v>438</v>
      </c>
      <c r="S83" s="101">
        <v>193990</v>
      </c>
      <c r="T83" s="101" t="s">
        <v>394</v>
      </c>
      <c r="V83" s="245">
        <v>47253</v>
      </c>
      <c r="W83" s="101" t="s">
        <v>424</v>
      </c>
      <c r="X83" s="101" t="s">
        <v>76</v>
      </c>
      <c r="Y83" s="101" t="s">
        <v>392</v>
      </c>
      <c r="Z83" s="101" t="s">
        <v>430</v>
      </c>
      <c r="AA83" s="101" t="s">
        <v>78</v>
      </c>
      <c r="AB83" s="101">
        <v>4101000279</v>
      </c>
      <c r="AC83" s="101" t="s">
        <v>431</v>
      </c>
      <c r="AD83" s="101" t="s">
        <v>431</v>
      </c>
      <c r="AE83" s="101" t="s">
        <v>75</v>
      </c>
      <c r="AF83" s="101" t="s">
        <v>400</v>
      </c>
      <c r="AG83" s="101" t="s">
        <v>427</v>
      </c>
      <c r="AI83" s="101" t="s">
        <v>760</v>
      </c>
    </row>
    <row r="84" spans="1:35">
      <c r="A84" s="246" t="s">
        <v>111</v>
      </c>
      <c r="B84" s="246" t="s">
        <v>78</v>
      </c>
      <c r="C84" s="246" t="s">
        <v>126</v>
      </c>
      <c r="D84" s="246" t="s">
        <v>768</v>
      </c>
      <c r="E84" s="246" t="s">
        <v>769</v>
      </c>
      <c r="F84" s="246"/>
      <c r="G84" s="132" t="s">
        <v>615</v>
      </c>
      <c r="H84" s="132" t="s">
        <v>965</v>
      </c>
      <c r="I84" s="132">
        <v>-856718.74999999988</v>
      </c>
      <c r="J84" s="101" t="s">
        <v>889</v>
      </c>
      <c r="K84" s="245" t="s">
        <v>390</v>
      </c>
      <c r="L84" s="245">
        <v>42689</v>
      </c>
      <c r="M84" s="245" t="s">
        <v>391</v>
      </c>
      <c r="N84" s="101">
        <v>0</v>
      </c>
      <c r="O84" s="101" t="s">
        <v>392</v>
      </c>
      <c r="P84" s="101">
        <v>0</v>
      </c>
      <c r="Q84" s="101">
        <v>0</v>
      </c>
      <c r="R84" s="101" t="s">
        <v>438</v>
      </c>
      <c r="S84" s="101">
        <v>193990</v>
      </c>
      <c r="T84" s="101" t="s">
        <v>394</v>
      </c>
      <c r="V84" s="245">
        <v>47253</v>
      </c>
      <c r="W84" s="101" t="s">
        <v>424</v>
      </c>
      <c r="X84" s="101" t="s">
        <v>76</v>
      </c>
      <c r="Y84" s="101" t="s">
        <v>392</v>
      </c>
      <c r="Z84" s="101" t="s">
        <v>430</v>
      </c>
      <c r="AA84" s="101" t="s">
        <v>78</v>
      </c>
      <c r="AB84" s="101">
        <v>4101000279</v>
      </c>
      <c r="AC84" s="101" t="s">
        <v>431</v>
      </c>
      <c r="AD84" s="101" t="s">
        <v>431</v>
      </c>
      <c r="AE84" s="101" t="s">
        <v>75</v>
      </c>
      <c r="AF84" s="101" t="s">
        <v>400</v>
      </c>
      <c r="AG84" s="101" t="s">
        <v>427</v>
      </c>
      <c r="AI84" s="101" t="s">
        <v>760</v>
      </c>
    </row>
    <row r="85" spans="1:35">
      <c r="A85" s="246" t="s">
        <v>112</v>
      </c>
      <c r="B85" s="246" t="s">
        <v>78</v>
      </c>
      <c r="C85" s="246" t="s">
        <v>126</v>
      </c>
      <c r="D85" s="246" t="s">
        <v>341</v>
      </c>
      <c r="E85" s="246" t="s">
        <v>342</v>
      </c>
      <c r="F85" s="246"/>
      <c r="G85" s="132" t="s">
        <v>615</v>
      </c>
      <c r="H85" s="132" t="s">
        <v>965</v>
      </c>
      <c r="I85" s="132">
        <v>-856718.74999999988</v>
      </c>
      <c r="J85" s="101" t="s">
        <v>889</v>
      </c>
      <c r="K85" s="245" t="s">
        <v>390</v>
      </c>
      <c r="L85" s="245">
        <v>42870</v>
      </c>
      <c r="M85" s="245" t="s">
        <v>391</v>
      </c>
      <c r="N85" s="101">
        <v>0</v>
      </c>
      <c r="O85" s="101" t="s">
        <v>392</v>
      </c>
      <c r="P85" s="101">
        <v>0</v>
      </c>
      <c r="Q85" s="101">
        <v>0</v>
      </c>
      <c r="R85" s="101" t="s">
        <v>438</v>
      </c>
      <c r="S85" s="101">
        <v>193990</v>
      </c>
      <c r="T85" s="101" t="s">
        <v>394</v>
      </c>
      <c r="V85" s="245">
        <v>47253</v>
      </c>
      <c r="W85" s="101" t="s">
        <v>424</v>
      </c>
      <c r="X85" s="101" t="s">
        <v>76</v>
      </c>
      <c r="Y85" s="101" t="s">
        <v>392</v>
      </c>
      <c r="Z85" s="101" t="s">
        <v>430</v>
      </c>
      <c r="AA85" s="101" t="s">
        <v>78</v>
      </c>
      <c r="AB85" s="101">
        <v>4101000279</v>
      </c>
      <c r="AC85" s="101" t="s">
        <v>431</v>
      </c>
      <c r="AD85" s="101" t="s">
        <v>431</v>
      </c>
      <c r="AE85" s="101" t="s">
        <v>75</v>
      </c>
      <c r="AF85" s="101" t="s">
        <v>400</v>
      </c>
      <c r="AG85" s="101" t="s">
        <v>427</v>
      </c>
      <c r="AI85" s="101" t="s">
        <v>760</v>
      </c>
    </row>
    <row r="86" spans="1:35">
      <c r="A86" s="246" t="s">
        <v>113</v>
      </c>
      <c r="B86" s="246" t="s">
        <v>78</v>
      </c>
      <c r="C86" s="246" t="s">
        <v>126</v>
      </c>
      <c r="D86" s="246" t="s">
        <v>339</v>
      </c>
      <c r="E86" s="246" t="s">
        <v>340</v>
      </c>
      <c r="F86" s="246"/>
      <c r="G86" s="132" t="s">
        <v>615</v>
      </c>
      <c r="H86" s="132" t="s">
        <v>965</v>
      </c>
      <c r="I86" s="132">
        <v>-856718.74999999988</v>
      </c>
      <c r="J86" s="101" t="s">
        <v>889</v>
      </c>
      <c r="K86" s="245" t="s">
        <v>390</v>
      </c>
      <c r="L86" s="245">
        <v>43054</v>
      </c>
      <c r="M86" s="245" t="s">
        <v>391</v>
      </c>
      <c r="N86" s="101">
        <v>0</v>
      </c>
      <c r="O86" s="101" t="s">
        <v>392</v>
      </c>
      <c r="P86" s="101">
        <v>0</v>
      </c>
      <c r="Q86" s="101">
        <v>0</v>
      </c>
      <c r="R86" s="101" t="s">
        <v>438</v>
      </c>
      <c r="S86" s="101">
        <v>193990</v>
      </c>
      <c r="T86" s="101" t="s">
        <v>394</v>
      </c>
      <c r="V86" s="245">
        <v>47253</v>
      </c>
      <c r="W86" s="101" t="s">
        <v>424</v>
      </c>
      <c r="X86" s="101" t="s">
        <v>76</v>
      </c>
      <c r="Y86" s="101" t="s">
        <v>392</v>
      </c>
      <c r="Z86" s="101" t="s">
        <v>430</v>
      </c>
      <c r="AA86" s="101" t="s">
        <v>78</v>
      </c>
      <c r="AB86" s="101">
        <v>4101000279</v>
      </c>
      <c r="AC86" s="101" t="s">
        <v>431</v>
      </c>
      <c r="AD86" s="101" t="s">
        <v>431</v>
      </c>
      <c r="AE86" s="101" t="s">
        <v>75</v>
      </c>
      <c r="AF86" s="101" t="s">
        <v>400</v>
      </c>
      <c r="AG86" s="101" t="s">
        <v>427</v>
      </c>
      <c r="AI86" s="101" t="s">
        <v>760</v>
      </c>
    </row>
    <row r="87" spans="1:35">
      <c r="A87" s="246" t="s">
        <v>109</v>
      </c>
      <c r="B87" s="246" t="s">
        <v>66</v>
      </c>
      <c r="C87" s="246" t="s">
        <v>126</v>
      </c>
      <c r="D87" s="246" t="s">
        <v>272</v>
      </c>
      <c r="E87" s="246"/>
      <c r="F87" s="246" t="s">
        <v>275</v>
      </c>
      <c r="G87" s="132">
        <v>-9375</v>
      </c>
      <c r="H87" s="132" t="s">
        <v>966</v>
      </c>
      <c r="I87" s="132">
        <v>-9375</v>
      </c>
      <c r="J87" s="101" t="s">
        <v>889</v>
      </c>
      <c r="K87" s="245" t="s">
        <v>390</v>
      </c>
      <c r="L87" s="245">
        <v>42549</v>
      </c>
      <c r="M87" s="245" t="s">
        <v>391</v>
      </c>
      <c r="N87" s="101">
        <v>0</v>
      </c>
      <c r="O87" s="101" t="s">
        <v>392</v>
      </c>
      <c r="P87" s="101">
        <v>0</v>
      </c>
      <c r="Q87" s="101">
        <v>0</v>
      </c>
      <c r="R87" s="101" t="s">
        <v>393</v>
      </c>
      <c r="S87" s="101" t="s">
        <v>416</v>
      </c>
      <c r="T87" s="101" t="s">
        <v>394</v>
      </c>
      <c r="V87" s="245">
        <v>42549</v>
      </c>
      <c r="W87" s="101" t="s">
        <v>417</v>
      </c>
      <c r="X87" s="101" t="s">
        <v>77</v>
      </c>
      <c r="Y87" s="101" t="s">
        <v>396</v>
      </c>
      <c r="Z87" s="101" t="s">
        <v>418</v>
      </c>
      <c r="AA87" s="101" t="s">
        <v>397</v>
      </c>
      <c r="AB87" s="101">
        <v>5101000018</v>
      </c>
      <c r="AC87" s="101" t="s">
        <v>419</v>
      </c>
      <c r="AD87" s="101" t="s">
        <v>420</v>
      </c>
      <c r="AE87" s="101" t="s">
        <v>6</v>
      </c>
      <c r="AF87" s="101" t="s">
        <v>400</v>
      </c>
      <c r="AI87" s="101" t="s">
        <v>760</v>
      </c>
    </row>
    <row r="88" spans="1:35">
      <c r="A88" s="246" t="s">
        <v>109</v>
      </c>
      <c r="B88" s="246" t="s">
        <v>78</v>
      </c>
      <c r="C88" s="246" t="s">
        <v>126</v>
      </c>
      <c r="D88" s="246" t="s">
        <v>337</v>
      </c>
      <c r="E88" s="246" t="s">
        <v>336</v>
      </c>
      <c r="F88" s="246" t="s">
        <v>275</v>
      </c>
      <c r="G88" s="132" t="s">
        <v>822</v>
      </c>
      <c r="H88" s="132" t="s">
        <v>967</v>
      </c>
      <c r="I88" s="132">
        <v>1251.6999999999998</v>
      </c>
      <c r="J88" s="101" t="s">
        <v>889</v>
      </c>
      <c r="K88" s="245" t="s">
        <v>390</v>
      </c>
      <c r="L88" s="245">
        <v>42551</v>
      </c>
      <c r="M88" s="245" t="s">
        <v>391</v>
      </c>
      <c r="N88" s="101">
        <v>0</v>
      </c>
      <c r="O88" s="101" t="s">
        <v>392</v>
      </c>
      <c r="P88" s="101">
        <v>0</v>
      </c>
      <c r="Q88" s="101">
        <v>0</v>
      </c>
      <c r="R88" s="101" t="s">
        <v>393</v>
      </c>
      <c r="S88" s="101" t="s">
        <v>823</v>
      </c>
      <c r="T88" s="101" t="s">
        <v>394</v>
      </c>
      <c r="V88" s="245">
        <v>13884</v>
      </c>
      <c r="W88" s="101" t="s">
        <v>395</v>
      </c>
      <c r="X88" s="101" t="s">
        <v>795</v>
      </c>
      <c r="Y88" s="101" t="s">
        <v>396</v>
      </c>
      <c r="Z88" s="101" t="s">
        <v>402</v>
      </c>
      <c r="AA88" s="101" t="s">
        <v>78</v>
      </c>
      <c r="AB88" s="101">
        <v>4101000279</v>
      </c>
      <c r="AC88" s="101" t="s">
        <v>398</v>
      </c>
      <c r="AD88" s="101" t="s">
        <v>403</v>
      </c>
      <c r="AE88" s="101" t="s">
        <v>6</v>
      </c>
      <c r="AF88" s="101" t="s">
        <v>400</v>
      </c>
      <c r="AI88" s="101" t="s">
        <v>760</v>
      </c>
    </row>
    <row r="89" spans="1:35">
      <c r="A89" s="246" t="s">
        <v>109</v>
      </c>
      <c r="B89" s="246" t="s">
        <v>78</v>
      </c>
      <c r="C89" s="246" t="s">
        <v>126</v>
      </c>
      <c r="D89" s="246" t="s">
        <v>337</v>
      </c>
      <c r="E89" s="246" t="s">
        <v>336</v>
      </c>
      <c r="F89" s="246" t="s">
        <v>275</v>
      </c>
      <c r="G89" s="132" t="s">
        <v>824</v>
      </c>
      <c r="H89" s="132" t="s">
        <v>968</v>
      </c>
      <c r="I89" s="132">
        <v>10349.5</v>
      </c>
      <c r="J89" s="101" t="s">
        <v>889</v>
      </c>
      <c r="K89" s="245" t="s">
        <v>390</v>
      </c>
      <c r="L89" s="245">
        <v>42551</v>
      </c>
      <c r="M89" s="245" t="s">
        <v>391</v>
      </c>
      <c r="N89" s="101">
        <v>0</v>
      </c>
      <c r="O89" s="101" t="s">
        <v>392</v>
      </c>
      <c r="P89" s="101">
        <v>0</v>
      </c>
      <c r="Q89" s="101">
        <v>0</v>
      </c>
      <c r="R89" s="101" t="s">
        <v>393</v>
      </c>
      <c r="S89" s="101" t="s">
        <v>823</v>
      </c>
      <c r="T89" s="101" t="s">
        <v>394</v>
      </c>
      <c r="V89" s="245">
        <v>13884</v>
      </c>
      <c r="W89" s="101" t="s">
        <v>395</v>
      </c>
      <c r="X89" s="101" t="s">
        <v>795</v>
      </c>
      <c r="Y89" s="101" t="s">
        <v>396</v>
      </c>
      <c r="Z89" s="101" t="s">
        <v>402</v>
      </c>
      <c r="AA89" s="101" t="s">
        <v>78</v>
      </c>
      <c r="AB89" s="101">
        <v>4101000279</v>
      </c>
      <c r="AC89" s="101" t="s">
        <v>398</v>
      </c>
      <c r="AD89" s="101" t="s">
        <v>403</v>
      </c>
      <c r="AE89" s="101" t="s">
        <v>6</v>
      </c>
      <c r="AF89" s="101" t="s">
        <v>400</v>
      </c>
      <c r="AI89" s="101" t="s">
        <v>760</v>
      </c>
    </row>
    <row r="90" spans="1:35">
      <c r="A90" s="246" t="s">
        <v>109</v>
      </c>
      <c r="B90" s="246" t="s">
        <v>78</v>
      </c>
      <c r="C90" s="246" t="s">
        <v>126</v>
      </c>
      <c r="D90" s="246" t="s">
        <v>337</v>
      </c>
      <c r="E90" s="246" t="s">
        <v>336</v>
      </c>
      <c r="F90" s="246" t="s">
        <v>275</v>
      </c>
      <c r="G90" s="132" t="s">
        <v>825</v>
      </c>
      <c r="H90" s="132" t="s">
        <v>969</v>
      </c>
      <c r="I90" s="132">
        <v>9222.4699999999993</v>
      </c>
      <c r="J90" s="101" t="s">
        <v>889</v>
      </c>
      <c r="K90" s="245" t="s">
        <v>390</v>
      </c>
      <c r="L90" s="245">
        <v>42551</v>
      </c>
      <c r="M90" s="245" t="s">
        <v>391</v>
      </c>
      <c r="N90" s="101">
        <v>0</v>
      </c>
      <c r="O90" s="101" t="s">
        <v>392</v>
      </c>
      <c r="P90" s="101">
        <v>0</v>
      </c>
      <c r="Q90" s="101">
        <v>0</v>
      </c>
      <c r="R90" s="101" t="s">
        <v>393</v>
      </c>
      <c r="S90" s="101" t="s">
        <v>823</v>
      </c>
      <c r="T90" s="101" t="s">
        <v>394</v>
      </c>
      <c r="V90" s="245">
        <v>13884</v>
      </c>
      <c r="W90" s="101" t="s">
        <v>395</v>
      </c>
      <c r="X90" s="101" t="s">
        <v>795</v>
      </c>
      <c r="Y90" s="101" t="s">
        <v>396</v>
      </c>
      <c r="Z90" s="101" t="s">
        <v>402</v>
      </c>
      <c r="AA90" s="101" t="s">
        <v>78</v>
      </c>
      <c r="AB90" s="101">
        <v>4101000279</v>
      </c>
      <c r="AC90" s="101" t="s">
        <v>398</v>
      </c>
      <c r="AD90" s="101" t="s">
        <v>403</v>
      </c>
      <c r="AE90" s="101" t="s">
        <v>6</v>
      </c>
      <c r="AF90" s="101" t="s">
        <v>400</v>
      </c>
      <c r="AI90" s="101" t="s">
        <v>760</v>
      </c>
    </row>
    <row r="91" spans="1:35">
      <c r="A91" s="246" t="s">
        <v>111</v>
      </c>
      <c r="B91" s="246" t="s">
        <v>78</v>
      </c>
      <c r="C91" s="246" t="s">
        <v>126</v>
      </c>
      <c r="D91" s="246" t="s">
        <v>768</v>
      </c>
      <c r="E91" s="246" t="s">
        <v>769</v>
      </c>
      <c r="F91" s="246" t="s">
        <v>277</v>
      </c>
      <c r="G91" s="132">
        <v>14700</v>
      </c>
      <c r="H91" s="132" t="s">
        <v>970</v>
      </c>
      <c r="I91" s="132">
        <v>14700</v>
      </c>
      <c r="J91" s="101" t="s">
        <v>889</v>
      </c>
      <c r="K91" s="245" t="s">
        <v>390</v>
      </c>
      <c r="L91" s="245">
        <v>42734</v>
      </c>
      <c r="M91" s="245" t="s">
        <v>391</v>
      </c>
      <c r="N91" s="101">
        <v>0</v>
      </c>
      <c r="O91" s="101" t="s">
        <v>392</v>
      </c>
      <c r="P91" s="101">
        <v>0</v>
      </c>
      <c r="Q91" s="101">
        <v>0</v>
      </c>
      <c r="R91" s="101" t="s">
        <v>393</v>
      </c>
      <c r="S91" s="101" t="s">
        <v>823</v>
      </c>
      <c r="T91" s="101" t="s">
        <v>394</v>
      </c>
      <c r="V91" s="245">
        <v>13884</v>
      </c>
      <c r="W91" s="101" t="s">
        <v>395</v>
      </c>
      <c r="X91" s="101" t="s">
        <v>795</v>
      </c>
      <c r="Y91" s="101" t="s">
        <v>396</v>
      </c>
      <c r="Z91" s="101" t="s">
        <v>402</v>
      </c>
      <c r="AA91" s="101" t="s">
        <v>78</v>
      </c>
      <c r="AB91" s="101">
        <v>4101000279</v>
      </c>
      <c r="AC91" s="101" t="s">
        <v>398</v>
      </c>
      <c r="AD91" s="101" t="s">
        <v>403</v>
      </c>
      <c r="AE91" s="101" t="s">
        <v>6</v>
      </c>
      <c r="AF91" s="101" t="s">
        <v>400</v>
      </c>
      <c r="AI91" s="101" t="s">
        <v>760</v>
      </c>
    </row>
    <row r="92" spans="1:35">
      <c r="A92" s="246" t="s">
        <v>112</v>
      </c>
      <c r="B92" s="246" t="s">
        <v>78</v>
      </c>
      <c r="C92" s="246" t="s">
        <v>126</v>
      </c>
      <c r="D92" s="246" t="s">
        <v>341</v>
      </c>
      <c r="E92" s="246" t="s">
        <v>342</v>
      </c>
      <c r="F92" s="246" t="s">
        <v>278</v>
      </c>
      <c r="G92" s="132">
        <v>14700</v>
      </c>
      <c r="H92" s="132" t="s">
        <v>970</v>
      </c>
      <c r="I92" s="132">
        <v>14700</v>
      </c>
      <c r="J92" s="101" t="s">
        <v>889</v>
      </c>
      <c r="K92" s="245" t="s">
        <v>390</v>
      </c>
      <c r="L92" s="245">
        <v>42916</v>
      </c>
      <c r="M92" s="245" t="s">
        <v>391</v>
      </c>
      <c r="N92" s="101">
        <v>0</v>
      </c>
      <c r="O92" s="101" t="s">
        <v>392</v>
      </c>
      <c r="P92" s="101">
        <v>0</v>
      </c>
      <c r="Q92" s="101">
        <v>0</v>
      </c>
      <c r="R92" s="101" t="s">
        <v>393</v>
      </c>
      <c r="S92" s="101" t="s">
        <v>823</v>
      </c>
      <c r="T92" s="101" t="s">
        <v>394</v>
      </c>
      <c r="V92" s="245">
        <v>13884</v>
      </c>
      <c r="W92" s="101" t="s">
        <v>395</v>
      </c>
      <c r="X92" s="101" t="s">
        <v>795</v>
      </c>
      <c r="Y92" s="101" t="s">
        <v>396</v>
      </c>
      <c r="Z92" s="101" t="s">
        <v>402</v>
      </c>
      <c r="AA92" s="101" t="s">
        <v>78</v>
      </c>
      <c r="AB92" s="101">
        <v>4101000279</v>
      </c>
      <c r="AC92" s="101" t="s">
        <v>398</v>
      </c>
      <c r="AD92" s="101" t="s">
        <v>403</v>
      </c>
      <c r="AE92" s="101" t="s">
        <v>6</v>
      </c>
      <c r="AF92" s="101" t="s">
        <v>400</v>
      </c>
      <c r="AI92" s="101" t="s">
        <v>760</v>
      </c>
    </row>
    <row r="93" spans="1:35">
      <c r="A93" s="246" t="s">
        <v>113</v>
      </c>
      <c r="B93" s="246" t="s">
        <v>78</v>
      </c>
      <c r="C93" s="246" t="s">
        <v>126</v>
      </c>
      <c r="D93" s="246" t="s">
        <v>339</v>
      </c>
      <c r="E93" s="246" t="s">
        <v>340</v>
      </c>
      <c r="F93" s="246" t="s">
        <v>279</v>
      </c>
      <c r="G93" s="132">
        <v>14700</v>
      </c>
      <c r="H93" s="132" t="s">
        <v>970</v>
      </c>
      <c r="I93" s="132">
        <v>14700</v>
      </c>
      <c r="J93" s="101" t="s">
        <v>889</v>
      </c>
      <c r="K93" s="245" t="s">
        <v>390</v>
      </c>
      <c r="L93" s="245">
        <v>43098</v>
      </c>
      <c r="M93" s="245" t="s">
        <v>391</v>
      </c>
      <c r="N93" s="101">
        <v>0</v>
      </c>
      <c r="O93" s="101" t="s">
        <v>392</v>
      </c>
      <c r="P93" s="101">
        <v>0</v>
      </c>
      <c r="Q93" s="101">
        <v>0</v>
      </c>
      <c r="R93" s="101" t="s">
        <v>393</v>
      </c>
      <c r="S93" s="101" t="s">
        <v>823</v>
      </c>
      <c r="T93" s="101" t="s">
        <v>394</v>
      </c>
      <c r="V93" s="245">
        <v>13884</v>
      </c>
      <c r="W93" s="101" t="s">
        <v>395</v>
      </c>
      <c r="X93" s="101" t="s">
        <v>795</v>
      </c>
      <c r="Y93" s="101" t="s">
        <v>396</v>
      </c>
      <c r="Z93" s="101" t="s">
        <v>402</v>
      </c>
      <c r="AA93" s="101" t="s">
        <v>78</v>
      </c>
      <c r="AB93" s="101">
        <v>4101000279</v>
      </c>
      <c r="AC93" s="101" t="s">
        <v>398</v>
      </c>
      <c r="AD93" s="101" t="s">
        <v>403</v>
      </c>
      <c r="AE93" s="101" t="s">
        <v>6</v>
      </c>
      <c r="AF93" s="101" t="s">
        <v>400</v>
      </c>
      <c r="AI93" s="101" t="s">
        <v>760</v>
      </c>
    </row>
    <row r="94" spans="1:35">
      <c r="A94" s="246" t="s">
        <v>110</v>
      </c>
      <c r="B94" s="246" t="s">
        <v>66</v>
      </c>
      <c r="C94" s="246" t="s">
        <v>126</v>
      </c>
      <c r="D94" s="246" t="s">
        <v>281</v>
      </c>
      <c r="E94" s="246"/>
      <c r="F94" s="246" t="s">
        <v>276</v>
      </c>
      <c r="G94" s="132">
        <v>0</v>
      </c>
      <c r="H94" s="132">
        <v>0</v>
      </c>
      <c r="I94" s="132">
        <v>0</v>
      </c>
      <c r="J94" s="101" t="s">
        <v>889</v>
      </c>
      <c r="K94" s="245" t="s">
        <v>390</v>
      </c>
      <c r="L94" s="245">
        <v>42674</v>
      </c>
      <c r="M94" s="245" t="s">
        <v>391</v>
      </c>
      <c r="N94" s="101">
        <v>0</v>
      </c>
      <c r="O94" s="101" t="s">
        <v>392</v>
      </c>
      <c r="P94" s="101">
        <v>0</v>
      </c>
      <c r="Q94" s="101">
        <v>0</v>
      </c>
      <c r="R94" s="101" t="s">
        <v>393</v>
      </c>
      <c r="S94" s="101" t="s">
        <v>756</v>
      </c>
      <c r="T94" s="101" t="s">
        <v>394</v>
      </c>
      <c r="V94" s="245">
        <v>36525</v>
      </c>
      <c r="W94" s="101" t="s">
        <v>424</v>
      </c>
      <c r="X94" s="101" t="s">
        <v>425</v>
      </c>
      <c r="Y94" s="101" t="s">
        <v>396</v>
      </c>
      <c r="Z94" s="101" t="s">
        <v>426</v>
      </c>
      <c r="AA94" s="101" t="s">
        <v>397</v>
      </c>
      <c r="AB94" s="101">
        <v>5101000018</v>
      </c>
      <c r="AC94" s="101" t="s">
        <v>419</v>
      </c>
      <c r="AD94" s="101" t="s">
        <v>94</v>
      </c>
      <c r="AE94" s="101" t="s">
        <v>6</v>
      </c>
      <c r="AF94" s="101" t="s">
        <v>400</v>
      </c>
      <c r="AG94" s="101" t="s">
        <v>567</v>
      </c>
      <c r="AI94" s="101" t="s">
        <v>760</v>
      </c>
    </row>
    <row r="95" spans="1:35">
      <c r="A95" s="246" t="s">
        <v>111</v>
      </c>
      <c r="B95" s="246" t="s">
        <v>66</v>
      </c>
      <c r="C95" s="246" t="s">
        <v>126</v>
      </c>
      <c r="D95" s="246" t="s">
        <v>273</v>
      </c>
      <c r="E95" s="246"/>
      <c r="F95" s="246"/>
      <c r="G95" s="132" t="s">
        <v>971</v>
      </c>
      <c r="H95" s="132" t="s">
        <v>972</v>
      </c>
      <c r="I95" s="132">
        <v>-175.71999999999997</v>
      </c>
      <c r="J95" s="101" t="s">
        <v>889</v>
      </c>
      <c r="K95" s="245" t="s">
        <v>390</v>
      </c>
      <c r="L95" s="245">
        <v>42856</v>
      </c>
      <c r="M95" s="245" t="s">
        <v>391</v>
      </c>
      <c r="N95" s="101">
        <v>0</v>
      </c>
      <c r="O95" s="101" t="s">
        <v>392</v>
      </c>
      <c r="P95" s="101">
        <v>0</v>
      </c>
      <c r="Q95" s="101">
        <v>0</v>
      </c>
      <c r="R95" s="101" t="s">
        <v>444</v>
      </c>
      <c r="S95" s="101" t="s">
        <v>465</v>
      </c>
      <c r="T95" s="101" t="s">
        <v>394</v>
      </c>
      <c r="U95" s="101" t="s">
        <v>82</v>
      </c>
      <c r="V95" s="245">
        <v>45658</v>
      </c>
      <c r="W95" s="101" t="s">
        <v>411</v>
      </c>
      <c r="X95" s="101" t="s">
        <v>77</v>
      </c>
      <c r="Y95" s="101" t="s">
        <v>392</v>
      </c>
      <c r="Z95" s="101" t="s">
        <v>412</v>
      </c>
      <c r="AA95" s="101" t="s">
        <v>466</v>
      </c>
      <c r="AB95" s="101">
        <v>101000141</v>
      </c>
      <c r="AC95" s="101" t="s">
        <v>414</v>
      </c>
      <c r="AD95" s="101" t="s">
        <v>79</v>
      </c>
      <c r="AE95" s="101" t="s">
        <v>75</v>
      </c>
      <c r="AF95" s="101" t="s">
        <v>400</v>
      </c>
      <c r="AI95" s="101" t="s">
        <v>172</v>
      </c>
    </row>
    <row r="96" spans="1:35">
      <c r="A96" s="246" t="s">
        <v>112</v>
      </c>
      <c r="B96" s="246" t="s">
        <v>66</v>
      </c>
      <c r="C96" s="246" t="s">
        <v>126</v>
      </c>
      <c r="D96" s="246" t="s">
        <v>270</v>
      </c>
      <c r="E96" s="246"/>
      <c r="F96" s="246"/>
      <c r="G96" s="132" t="s">
        <v>973</v>
      </c>
      <c r="H96" s="132" t="s">
        <v>974</v>
      </c>
      <c r="I96" s="132">
        <v>-195.14</v>
      </c>
      <c r="J96" s="101" t="s">
        <v>889</v>
      </c>
      <c r="K96" s="245" t="s">
        <v>390</v>
      </c>
      <c r="L96" s="245">
        <v>42887</v>
      </c>
      <c r="M96" s="245" t="s">
        <v>391</v>
      </c>
      <c r="N96" s="101">
        <v>0</v>
      </c>
      <c r="O96" s="101" t="s">
        <v>392</v>
      </c>
      <c r="P96" s="101">
        <v>0</v>
      </c>
      <c r="Q96" s="101">
        <v>0</v>
      </c>
      <c r="R96" s="101" t="s">
        <v>444</v>
      </c>
      <c r="S96" s="101" t="s">
        <v>465</v>
      </c>
      <c r="T96" s="101" t="s">
        <v>394</v>
      </c>
      <c r="U96" s="101" t="s">
        <v>82</v>
      </c>
      <c r="V96" s="245">
        <v>45658</v>
      </c>
      <c r="W96" s="101" t="s">
        <v>411</v>
      </c>
      <c r="X96" s="101" t="s">
        <v>77</v>
      </c>
      <c r="Y96" s="101" t="s">
        <v>392</v>
      </c>
      <c r="Z96" s="101" t="s">
        <v>412</v>
      </c>
      <c r="AA96" s="101" t="s">
        <v>466</v>
      </c>
      <c r="AB96" s="101">
        <v>101000141</v>
      </c>
      <c r="AC96" s="101" t="s">
        <v>414</v>
      </c>
      <c r="AD96" s="101" t="s">
        <v>79</v>
      </c>
      <c r="AE96" s="101" t="s">
        <v>75</v>
      </c>
      <c r="AF96" s="101" t="s">
        <v>400</v>
      </c>
      <c r="AI96" s="101" t="s">
        <v>172</v>
      </c>
    </row>
    <row r="97" spans="1:35">
      <c r="A97" s="246" t="s">
        <v>112</v>
      </c>
      <c r="B97" s="246" t="s">
        <v>66</v>
      </c>
      <c r="C97" s="246" t="s">
        <v>126</v>
      </c>
      <c r="D97" s="246" t="s">
        <v>270</v>
      </c>
      <c r="E97" s="246"/>
      <c r="F97" s="246"/>
      <c r="G97" s="132" t="s">
        <v>975</v>
      </c>
      <c r="H97" s="132" t="s">
        <v>976</v>
      </c>
      <c r="I97" s="132">
        <v>-203.51999999999998</v>
      </c>
      <c r="J97" s="101" t="s">
        <v>889</v>
      </c>
      <c r="K97" s="245" t="s">
        <v>390</v>
      </c>
      <c r="L97" s="245">
        <v>42919</v>
      </c>
      <c r="M97" s="245" t="s">
        <v>391</v>
      </c>
      <c r="N97" s="101">
        <v>0</v>
      </c>
      <c r="O97" s="101" t="s">
        <v>392</v>
      </c>
      <c r="P97" s="101">
        <v>0</v>
      </c>
      <c r="Q97" s="101">
        <v>0</v>
      </c>
      <c r="R97" s="101" t="s">
        <v>444</v>
      </c>
      <c r="S97" s="101" t="s">
        <v>465</v>
      </c>
      <c r="T97" s="101" t="s">
        <v>394</v>
      </c>
      <c r="U97" s="101" t="s">
        <v>82</v>
      </c>
      <c r="V97" s="245">
        <v>45658</v>
      </c>
      <c r="W97" s="101" t="s">
        <v>411</v>
      </c>
      <c r="X97" s="101" t="s">
        <v>77</v>
      </c>
      <c r="Y97" s="101" t="s">
        <v>392</v>
      </c>
      <c r="Z97" s="101" t="s">
        <v>412</v>
      </c>
      <c r="AA97" s="101" t="s">
        <v>466</v>
      </c>
      <c r="AB97" s="101">
        <v>101000141</v>
      </c>
      <c r="AC97" s="101" t="s">
        <v>414</v>
      </c>
      <c r="AD97" s="101" t="s">
        <v>79</v>
      </c>
      <c r="AE97" s="101" t="s">
        <v>75</v>
      </c>
      <c r="AF97" s="101" t="s">
        <v>400</v>
      </c>
      <c r="AI97" s="101" t="s">
        <v>172</v>
      </c>
    </row>
    <row r="98" spans="1:35">
      <c r="A98" s="246" t="s">
        <v>112</v>
      </c>
      <c r="B98" s="246" t="s">
        <v>66</v>
      </c>
      <c r="C98" s="246" t="s">
        <v>126</v>
      </c>
      <c r="D98" s="246" t="s">
        <v>270</v>
      </c>
      <c r="E98" s="246"/>
      <c r="F98" s="246"/>
      <c r="G98" s="132" t="s">
        <v>977</v>
      </c>
      <c r="H98" s="132" t="s">
        <v>978</v>
      </c>
      <c r="I98" s="132">
        <v>-185.31</v>
      </c>
      <c r="J98" s="101" t="s">
        <v>889</v>
      </c>
      <c r="K98" s="245" t="s">
        <v>390</v>
      </c>
      <c r="L98" s="245">
        <v>42948</v>
      </c>
      <c r="M98" s="245" t="s">
        <v>391</v>
      </c>
      <c r="N98" s="101">
        <v>0</v>
      </c>
      <c r="O98" s="101" t="s">
        <v>392</v>
      </c>
      <c r="P98" s="101">
        <v>0</v>
      </c>
      <c r="Q98" s="101">
        <v>0</v>
      </c>
      <c r="R98" s="101" t="s">
        <v>444</v>
      </c>
      <c r="S98" s="101" t="s">
        <v>465</v>
      </c>
      <c r="T98" s="101" t="s">
        <v>394</v>
      </c>
      <c r="U98" s="101" t="s">
        <v>82</v>
      </c>
      <c r="V98" s="245">
        <v>45658</v>
      </c>
      <c r="W98" s="101" t="s">
        <v>411</v>
      </c>
      <c r="X98" s="101" t="s">
        <v>77</v>
      </c>
      <c r="Y98" s="101" t="s">
        <v>392</v>
      </c>
      <c r="Z98" s="101" t="s">
        <v>412</v>
      </c>
      <c r="AA98" s="101" t="s">
        <v>466</v>
      </c>
      <c r="AB98" s="101">
        <v>101000141</v>
      </c>
      <c r="AC98" s="101" t="s">
        <v>414</v>
      </c>
      <c r="AD98" s="101" t="s">
        <v>79</v>
      </c>
      <c r="AE98" s="101" t="s">
        <v>75</v>
      </c>
      <c r="AF98" s="101" t="s">
        <v>400</v>
      </c>
      <c r="AI98" s="101" t="s">
        <v>172</v>
      </c>
    </row>
    <row r="99" spans="1:35">
      <c r="A99" s="246" t="s">
        <v>112</v>
      </c>
      <c r="B99" s="246" t="s">
        <v>66</v>
      </c>
      <c r="C99" s="246" t="s">
        <v>126</v>
      </c>
      <c r="D99" s="246" t="s">
        <v>270</v>
      </c>
      <c r="E99" s="246"/>
      <c r="F99" s="246"/>
      <c r="G99" s="132" t="s">
        <v>979</v>
      </c>
      <c r="H99" s="132" t="s">
        <v>980</v>
      </c>
      <c r="I99" s="132">
        <v>-202.55999999999997</v>
      </c>
      <c r="J99" s="101" t="s">
        <v>889</v>
      </c>
      <c r="K99" s="245" t="s">
        <v>390</v>
      </c>
      <c r="L99" s="245">
        <v>42979</v>
      </c>
      <c r="M99" s="245" t="s">
        <v>391</v>
      </c>
      <c r="N99" s="101">
        <v>0</v>
      </c>
      <c r="O99" s="101" t="s">
        <v>392</v>
      </c>
      <c r="P99" s="101">
        <v>0</v>
      </c>
      <c r="Q99" s="101">
        <v>0</v>
      </c>
      <c r="R99" s="101" t="s">
        <v>444</v>
      </c>
      <c r="S99" s="101" t="s">
        <v>465</v>
      </c>
      <c r="T99" s="101" t="s">
        <v>394</v>
      </c>
      <c r="U99" s="101" t="s">
        <v>82</v>
      </c>
      <c r="V99" s="245">
        <v>45658</v>
      </c>
      <c r="W99" s="101" t="s">
        <v>411</v>
      </c>
      <c r="X99" s="101" t="s">
        <v>77</v>
      </c>
      <c r="Y99" s="101" t="s">
        <v>392</v>
      </c>
      <c r="Z99" s="101" t="s">
        <v>412</v>
      </c>
      <c r="AA99" s="101" t="s">
        <v>466</v>
      </c>
      <c r="AB99" s="101">
        <v>101000141</v>
      </c>
      <c r="AC99" s="101" t="s">
        <v>414</v>
      </c>
      <c r="AD99" s="101" t="s">
        <v>79</v>
      </c>
      <c r="AE99" s="101" t="s">
        <v>75</v>
      </c>
      <c r="AF99" s="101" t="s">
        <v>400</v>
      </c>
      <c r="AI99" s="101" t="s">
        <v>172</v>
      </c>
    </row>
    <row r="100" spans="1:35">
      <c r="A100" s="246" t="s">
        <v>112</v>
      </c>
      <c r="B100" s="246" t="s">
        <v>66</v>
      </c>
      <c r="C100" s="246" t="s">
        <v>126</v>
      </c>
      <c r="D100" s="246" t="s">
        <v>270</v>
      </c>
      <c r="E100" s="246"/>
      <c r="F100" s="246"/>
      <c r="G100" s="132" t="s">
        <v>981</v>
      </c>
      <c r="H100" s="132" t="s">
        <v>982</v>
      </c>
      <c r="I100" s="132">
        <v>-203.95</v>
      </c>
      <c r="J100" s="101" t="s">
        <v>889</v>
      </c>
      <c r="K100" s="245" t="s">
        <v>390</v>
      </c>
      <c r="L100" s="245">
        <v>43010</v>
      </c>
      <c r="M100" s="245" t="s">
        <v>391</v>
      </c>
      <c r="N100" s="101">
        <v>0</v>
      </c>
      <c r="O100" s="101" t="s">
        <v>392</v>
      </c>
      <c r="P100" s="101">
        <v>0</v>
      </c>
      <c r="Q100" s="101">
        <v>0</v>
      </c>
      <c r="R100" s="101" t="s">
        <v>444</v>
      </c>
      <c r="S100" s="101" t="s">
        <v>465</v>
      </c>
      <c r="T100" s="101" t="s">
        <v>394</v>
      </c>
      <c r="U100" s="101" t="s">
        <v>82</v>
      </c>
      <c r="V100" s="245">
        <v>45658</v>
      </c>
      <c r="W100" s="101" t="s">
        <v>411</v>
      </c>
      <c r="X100" s="101" t="s">
        <v>77</v>
      </c>
      <c r="Y100" s="101" t="s">
        <v>392</v>
      </c>
      <c r="Z100" s="101" t="s">
        <v>412</v>
      </c>
      <c r="AA100" s="101" t="s">
        <v>466</v>
      </c>
      <c r="AB100" s="101">
        <v>101000141</v>
      </c>
      <c r="AC100" s="101" t="s">
        <v>414</v>
      </c>
      <c r="AD100" s="101" t="s">
        <v>79</v>
      </c>
      <c r="AE100" s="101" t="s">
        <v>75</v>
      </c>
      <c r="AF100" s="101" t="s">
        <v>400</v>
      </c>
      <c r="AI100" s="101" t="s">
        <v>172</v>
      </c>
    </row>
    <row r="101" spans="1:35">
      <c r="A101" s="246" t="s">
        <v>112</v>
      </c>
      <c r="B101" s="246" t="s">
        <v>66</v>
      </c>
      <c r="C101" s="246" t="s">
        <v>126</v>
      </c>
      <c r="D101" s="246" t="s">
        <v>270</v>
      </c>
      <c r="E101" s="246"/>
      <c r="F101" s="246"/>
      <c r="G101" s="132" t="s">
        <v>983</v>
      </c>
      <c r="H101" s="132" t="s">
        <v>984</v>
      </c>
      <c r="I101" s="132">
        <v>-206.4</v>
      </c>
      <c r="J101" s="101" t="s">
        <v>889</v>
      </c>
      <c r="K101" s="245" t="s">
        <v>390</v>
      </c>
      <c r="L101" s="245">
        <v>43040</v>
      </c>
      <c r="M101" s="245" t="s">
        <v>391</v>
      </c>
      <c r="N101" s="101">
        <v>0</v>
      </c>
      <c r="O101" s="101" t="s">
        <v>392</v>
      </c>
      <c r="P101" s="101">
        <v>0</v>
      </c>
      <c r="Q101" s="101">
        <v>0</v>
      </c>
      <c r="R101" s="101" t="s">
        <v>444</v>
      </c>
      <c r="S101" s="101" t="s">
        <v>465</v>
      </c>
      <c r="T101" s="101" t="s">
        <v>394</v>
      </c>
      <c r="U101" s="101" t="s">
        <v>82</v>
      </c>
      <c r="V101" s="245">
        <v>45658</v>
      </c>
      <c r="W101" s="101" t="s">
        <v>411</v>
      </c>
      <c r="X101" s="101" t="s">
        <v>77</v>
      </c>
      <c r="Y101" s="101" t="s">
        <v>392</v>
      </c>
      <c r="Z101" s="101" t="s">
        <v>412</v>
      </c>
      <c r="AA101" s="101" t="s">
        <v>466</v>
      </c>
      <c r="AB101" s="101">
        <v>101000141</v>
      </c>
      <c r="AC101" s="101" t="s">
        <v>414</v>
      </c>
      <c r="AD101" s="101" t="s">
        <v>79</v>
      </c>
      <c r="AE101" s="101" t="s">
        <v>75</v>
      </c>
      <c r="AF101" s="101" t="s">
        <v>400</v>
      </c>
      <c r="AI101" s="101" t="s">
        <v>172</v>
      </c>
    </row>
    <row r="102" spans="1:35">
      <c r="A102" s="246" t="s">
        <v>113</v>
      </c>
      <c r="B102" s="246" t="s">
        <v>66</v>
      </c>
      <c r="C102" s="246" t="s">
        <v>126</v>
      </c>
      <c r="D102" s="246" t="s">
        <v>271</v>
      </c>
      <c r="E102" s="246"/>
      <c r="F102" s="246"/>
      <c r="G102" s="132" t="s">
        <v>985</v>
      </c>
      <c r="H102" s="132" t="s">
        <v>986</v>
      </c>
      <c r="I102" s="132">
        <v>-207.8</v>
      </c>
      <c r="J102" s="101" t="s">
        <v>889</v>
      </c>
      <c r="K102" s="245" t="s">
        <v>390</v>
      </c>
      <c r="L102" s="245">
        <v>43070</v>
      </c>
      <c r="M102" s="245" t="s">
        <v>391</v>
      </c>
      <c r="N102" s="101">
        <v>0</v>
      </c>
      <c r="O102" s="101" t="s">
        <v>392</v>
      </c>
      <c r="P102" s="101">
        <v>0</v>
      </c>
      <c r="Q102" s="101">
        <v>0</v>
      </c>
      <c r="R102" s="101" t="s">
        <v>444</v>
      </c>
      <c r="S102" s="101" t="s">
        <v>465</v>
      </c>
      <c r="T102" s="101" t="s">
        <v>394</v>
      </c>
      <c r="U102" s="101" t="s">
        <v>82</v>
      </c>
      <c r="V102" s="245">
        <v>45658</v>
      </c>
      <c r="W102" s="101" t="s">
        <v>411</v>
      </c>
      <c r="X102" s="101" t="s">
        <v>77</v>
      </c>
      <c r="Y102" s="101" t="s">
        <v>392</v>
      </c>
      <c r="Z102" s="101" t="s">
        <v>412</v>
      </c>
      <c r="AA102" s="101" t="s">
        <v>466</v>
      </c>
      <c r="AB102" s="101">
        <v>101000141</v>
      </c>
      <c r="AC102" s="101" t="s">
        <v>414</v>
      </c>
      <c r="AD102" s="101" t="s">
        <v>79</v>
      </c>
      <c r="AE102" s="101" t="s">
        <v>75</v>
      </c>
      <c r="AF102" s="101" t="s">
        <v>400</v>
      </c>
      <c r="AI102" s="101" t="s">
        <v>172</v>
      </c>
    </row>
    <row r="103" spans="1:35">
      <c r="A103" s="246" t="s">
        <v>113</v>
      </c>
      <c r="B103" s="246" t="s">
        <v>66</v>
      </c>
      <c r="C103" s="246" t="s">
        <v>126</v>
      </c>
      <c r="D103" s="246" t="s">
        <v>271</v>
      </c>
      <c r="E103" s="246"/>
      <c r="F103" s="246"/>
      <c r="G103" s="132" t="s">
        <v>987</v>
      </c>
      <c r="H103" s="132" t="s">
        <v>988</v>
      </c>
      <c r="I103" s="132">
        <v>-244.02999999999997</v>
      </c>
      <c r="J103" s="101" t="s">
        <v>889</v>
      </c>
      <c r="K103" s="245" t="s">
        <v>390</v>
      </c>
      <c r="L103" s="245">
        <v>43102</v>
      </c>
      <c r="M103" s="245" t="s">
        <v>391</v>
      </c>
      <c r="N103" s="101">
        <v>0</v>
      </c>
      <c r="O103" s="101" t="s">
        <v>392</v>
      </c>
      <c r="P103" s="101">
        <v>0</v>
      </c>
      <c r="Q103" s="101">
        <v>0</v>
      </c>
      <c r="R103" s="101" t="s">
        <v>444</v>
      </c>
      <c r="S103" s="101" t="s">
        <v>465</v>
      </c>
      <c r="T103" s="101" t="s">
        <v>394</v>
      </c>
      <c r="U103" s="101" t="s">
        <v>82</v>
      </c>
      <c r="V103" s="245">
        <v>45658</v>
      </c>
      <c r="W103" s="101" t="s">
        <v>411</v>
      </c>
      <c r="X103" s="101" t="s">
        <v>77</v>
      </c>
      <c r="Y103" s="101" t="s">
        <v>392</v>
      </c>
      <c r="Z103" s="101" t="s">
        <v>412</v>
      </c>
      <c r="AA103" s="101" t="s">
        <v>466</v>
      </c>
      <c r="AB103" s="101">
        <v>101000141</v>
      </c>
      <c r="AC103" s="101" t="s">
        <v>414</v>
      </c>
      <c r="AD103" s="101" t="s">
        <v>79</v>
      </c>
      <c r="AE103" s="101" t="s">
        <v>75</v>
      </c>
      <c r="AF103" s="101" t="s">
        <v>400</v>
      </c>
      <c r="AI103" s="101" t="s">
        <v>172</v>
      </c>
    </row>
    <row r="104" spans="1:35">
      <c r="A104" s="246" t="s">
        <v>113</v>
      </c>
      <c r="B104" s="246" t="s">
        <v>66</v>
      </c>
      <c r="C104" s="246" t="s">
        <v>126</v>
      </c>
      <c r="D104" s="246" t="s">
        <v>271</v>
      </c>
      <c r="E104" s="246"/>
      <c r="F104" s="246"/>
      <c r="G104" s="132" t="s">
        <v>989</v>
      </c>
      <c r="H104" s="132" t="s">
        <v>990</v>
      </c>
      <c r="I104" s="132">
        <v>-228.77</v>
      </c>
      <c r="J104" s="101" t="s">
        <v>889</v>
      </c>
      <c r="K104" s="245" t="s">
        <v>390</v>
      </c>
      <c r="L104" s="245">
        <v>43132</v>
      </c>
      <c r="M104" s="245" t="s">
        <v>391</v>
      </c>
      <c r="N104" s="101">
        <v>0</v>
      </c>
      <c r="O104" s="101" t="s">
        <v>392</v>
      </c>
      <c r="P104" s="101">
        <v>0</v>
      </c>
      <c r="Q104" s="101">
        <v>0</v>
      </c>
      <c r="R104" s="101" t="s">
        <v>444</v>
      </c>
      <c r="S104" s="101" t="s">
        <v>465</v>
      </c>
      <c r="T104" s="101" t="s">
        <v>394</v>
      </c>
      <c r="U104" s="101" t="s">
        <v>82</v>
      </c>
      <c r="V104" s="245">
        <v>45658</v>
      </c>
      <c r="W104" s="101" t="s">
        <v>411</v>
      </c>
      <c r="X104" s="101" t="s">
        <v>77</v>
      </c>
      <c r="Y104" s="101" t="s">
        <v>392</v>
      </c>
      <c r="Z104" s="101" t="s">
        <v>412</v>
      </c>
      <c r="AA104" s="101" t="s">
        <v>466</v>
      </c>
      <c r="AB104" s="101">
        <v>101000141</v>
      </c>
      <c r="AC104" s="101" t="s">
        <v>414</v>
      </c>
      <c r="AD104" s="101" t="s">
        <v>79</v>
      </c>
      <c r="AE104" s="101" t="s">
        <v>75</v>
      </c>
      <c r="AF104" s="101" t="s">
        <v>400</v>
      </c>
      <c r="AI104" s="101" t="s">
        <v>172</v>
      </c>
    </row>
    <row r="105" spans="1:35">
      <c r="A105" s="246" t="s">
        <v>113</v>
      </c>
      <c r="B105" s="246" t="s">
        <v>66</v>
      </c>
      <c r="C105" s="246" t="s">
        <v>126</v>
      </c>
      <c r="D105" s="246" t="s">
        <v>271</v>
      </c>
      <c r="E105" s="246"/>
      <c r="F105" s="246"/>
      <c r="G105" s="132" t="s">
        <v>991</v>
      </c>
      <c r="H105" s="132" t="s">
        <v>992</v>
      </c>
      <c r="I105" s="132">
        <v>-213.51999999999998</v>
      </c>
      <c r="J105" s="101" t="s">
        <v>889</v>
      </c>
      <c r="K105" s="245" t="s">
        <v>390</v>
      </c>
      <c r="L105" s="245">
        <v>43160</v>
      </c>
      <c r="M105" s="245" t="s">
        <v>391</v>
      </c>
      <c r="N105" s="101">
        <v>0</v>
      </c>
      <c r="O105" s="101" t="s">
        <v>392</v>
      </c>
      <c r="P105" s="101">
        <v>0</v>
      </c>
      <c r="Q105" s="101">
        <v>0</v>
      </c>
      <c r="R105" s="101" t="s">
        <v>444</v>
      </c>
      <c r="S105" s="101" t="s">
        <v>465</v>
      </c>
      <c r="T105" s="101" t="s">
        <v>394</v>
      </c>
      <c r="U105" s="101" t="s">
        <v>82</v>
      </c>
      <c r="V105" s="245">
        <v>45658</v>
      </c>
      <c r="W105" s="101" t="s">
        <v>411</v>
      </c>
      <c r="X105" s="101" t="s">
        <v>77</v>
      </c>
      <c r="Y105" s="101" t="s">
        <v>392</v>
      </c>
      <c r="Z105" s="101" t="s">
        <v>412</v>
      </c>
      <c r="AA105" s="101" t="s">
        <v>466</v>
      </c>
      <c r="AB105" s="101">
        <v>101000141</v>
      </c>
      <c r="AC105" s="101" t="s">
        <v>414</v>
      </c>
      <c r="AD105" s="101" t="s">
        <v>79</v>
      </c>
      <c r="AE105" s="101" t="s">
        <v>75</v>
      </c>
      <c r="AF105" s="101" t="s">
        <v>400</v>
      </c>
      <c r="AI105" s="101" t="s">
        <v>172</v>
      </c>
    </row>
    <row r="106" spans="1:35">
      <c r="A106" s="246" t="s">
        <v>113</v>
      </c>
      <c r="B106" s="246" t="s">
        <v>66</v>
      </c>
      <c r="C106" s="246" t="s">
        <v>126</v>
      </c>
      <c r="D106" s="246" t="s">
        <v>271</v>
      </c>
      <c r="E106" s="246"/>
      <c r="F106" s="246"/>
      <c r="G106" s="132" t="s">
        <v>993</v>
      </c>
      <c r="H106" s="132" t="s">
        <v>994</v>
      </c>
      <c r="I106" s="132">
        <v>-244.02</v>
      </c>
      <c r="J106" s="101" t="s">
        <v>889</v>
      </c>
      <c r="K106" s="245" t="s">
        <v>390</v>
      </c>
      <c r="L106" s="245">
        <v>43192</v>
      </c>
      <c r="M106" s="245" t="s">
        <v>391</v>
      </c>
      <c r="N106" s="101">
        <v>0</v>
      </c>
      <c r="O106" s="101" t="s">
        <v>392</v>
      </c>
      <c r="P106" s="101">
        <v>0</v>
      </c>
      <c r="Q106" s="101">
        <v>0</v>
      </c>
      <c r="R106" s="101" t="s">
        <v>444</v>
      </c>
      <c r="S106" s="101" t="s">
        <v>465</v>
      </c>
      <c r="T106" s="101" t="s">
        <v>394</v>
      </c>
      <c r="U106" s="101" t="s">
        <v>82</v>
      </c>
      <c r="V106" s="245">
        <v>45658</v>
      </c>
      <c r="W106" s="101" t="s">
        <v>411</v>
      </c>
      <c r="X106" s="101" t="s">
        <v>77</v>
      </c>
      <c r="Y106" s="101" t="s">
        <v>392</v>
      </c>
      <c r="Z106" s="101" t="s">
        <v>412</v>
      </c>
      <c r="AA106" s="101" t="s">
        <v>466</v>
      </c>
      <c r="AB106" s="101">
        <v>101000141</v>
      </c>
      <c r="AC106" s="101" t="s">
        <v>414</v>
      </c>
      <c r="AD106" s="101" t="s">
        <v>79</v>
      </c>
      <c r="AE106" s="101" t="s">
        <v>75</v>
      </c>
      <c r="AF106" s="101" t="s">
        <v>400</v>
      </c>
      <c r="AI106" s="101" t="s">
        <v>172</v>
      </c>
    </row>
    <row r="107" spans="1:35">
      <c r="A107" s="246" t="s">
        <v>113</v>
      </c>
      <c r="B107" s="246" t="s">
        <v>66</v>
      </c>
      <c r="C107" s="246" t="s">
        <v>126</v>
      </c>
      <c r="D107" s="246" t="s">
        <v>271</v>
      </c>
      <c r="E107" s="246"/>
      <c r="F107" s="246"/>
      <c r="G107" s="132" t="s">
        <v>995</v>
      </c>
      <c r="H107" s="132" t="s">
        <v>996</v>
      </c>
      <c r="I107" s="132">
        <v>-229.57999999999998</v>
      </c>
      <c r="J107" s="101" t="s">
        <v>889</v>
      </c>
      <c r="K107" s="245" t="s">
        <v>390</v>
      </c>
      <c r="L107" s="245">
        <v>43221</v>
      </c>
      <c r="M107" s="245" t="s">
        <v>391</v>
      </c>
      <c r="N107" s="101">
        <v>0</v>
      </c>
      <c r="O107" s="101" t="s">
        <v>392</v>
      </c>
      <c r="P107" s="101">
        <v>0</v>
      </c>
      <c r="Q107" s="101">
        <v>0</v>
      </c>
      <c r="R107" s="101" t="s">
        <v>444</v>
      </c>
      <c r="S107" s="101" t="s">
        <v>465</v>
      </c>
      <c r="T107" s="101" t="s">
        <v>394</v>
      </c>
      <c r="U107" s="101" t="s">
        <v>82</v>
      </c>
      <c r="V107" s="245">
        <v>45658</v>
      </c>
      <c r="W107" s="101" t="s">
        <v>411</v>
      </c>
      <c r="X107" s="101" t="s">
        <v>77</v>
      </c>
      <c r="Y107" s="101" t="s">
        <v>392</v>
      </c>
      <c r="Z107" s="101" t="s">
        <v>412</v>
      </c>
      <c r="AA107" s="101" t="s">
        <v>466</v>
      </c>
      <c r="AB107" s="101">
        <v>101000141</v>
      </c>
      <c r="AC107" s="101" t="s">
        <v>414</v>
      </c>
      <c r="AD107" s="101" t="s">
        <v>79</v>
      </c>
      <c r="AE107" s="101" t="s">
        <v>75</v>
      </c>
      <c r="AF107" s="101" t="s">
        <v>400</v>
      </c>
      <c r="AI107" s="101" t="s">
        <v>172</v>
      </c>
    </row>
    <row r="108" spans="1:35">
      <c r="A108" s="246" t="s">
        <v>107</v>
      </c>
      <c r="B108" s="246" t="s">
        <v>66</v>
      </c>
      <c r="C108" s="246" t="s">
        <v>126</v>
      </c>
      <c r="D108" s="246" t="s">
        <v>1769</v>
      </c>
      <c r="E108" s="246"/>
      <c r="F108" s="246"/>
      <c r="G108" s="132" t="s">
        <v>997</v>
      </c>
      <c r="H108" s="132" t="s">
        <v>998</v>
      </c>
      <c r="I108" s="132">
        <v>-159.16999999999999</v>
      </c>
      <c r="J108" s="101" t="s">
        <v>889</v>
      </c>
      <c r="K108" s="245" t="s">
        <v>390</v>
      </c>
      <c r="L108" s="245">
        <v>42522</v>
      </c>
      <c r="M108" s="245" t="s">
        <v>391</v>
      </c>
      <c r="N108" s="101">
        <v>0</v>
      </c>
      <c r="O108" s="101" t="s">
        <v>392</v>
      </c>
      <c r="P108" s="101">
        <v>0</v>
      </c>
      <c r="Q108" s="101">
        <v>0</v>
      </c>
      <c r="R108" s="101" t="s">
        <v>444</v>
      </c>
      <c r="S108" s="101" t="s">
        <v>465</v>
      </c>
      <c r="T108" s="101" t="s">
        <v>394</v>
      </c>
      <c r="U108" s="101" t="s">
        <v>82</v>
      </c>
      <c r="V108" s="245">
        <v>45658</v>
      </c>
      <c r="W108" s="101" t="s">
        <v>411</v>
      </c>
      <c r="X108" s="101" t="s">
        <v>77</v>
      </c>
      <c r="Y108" s="101" t="s">
        <v>392</v>
      </c>
      <c r="Z108" s="101" t="s">
        <v>412</v>
      </c>
      <c r="AA108" s="101" t="s">
        <v>466</v>
      </c>
      <c r="AB108" s="101">
        <v>101000141</v>
      </c>
      <c r="AC108" s="101" t="s">
        <v>414</v>
      </c>
      <c r="AD108" s="101" t="s">
        <v>79</v>
      </c>
      <c r="AE108" s="101" t="s">
        <v>75</v>
      </c>
      <c r="AF108" s="101" t="s">
        <v>400</v>
      </c>
      <c r="AI108" s="101" t="s">
        <v>172</v>
      </c>
    </row>
    <row r="109" spans="1:35">
      <c r="A109" s="246" t="s">
        <v>109</v>
      </c>
      <c r="B109" s="246" t="s">
        <v>66</v>
      </c>
      <c r="C109" s="246" t="s">
        <v>126</v>
      </c>
      <c r="D109" s="246" t="s">
        <v>272</v>
      </c>
      <c r="E109" s="246"/>
      <c r="F109" s="246"/>
      <c r="G109" s="132" t="s">
        <v>999</v>
      </c>
      <c r="H109" s="132" t="s">
        <v>1000</v>
      </c>
      <c r="I109" s="132">
        <v>-148.19999999999999</v>
      </c>
      <c r="J109" s="101" t="s">
        <v>889</v>
      </c>
      <c r="K109" s="245" t="s">
        <v>390</v>
      </c>
      <c r="L109" s="245">
        <v>42552</v>
      </c>
      <c r="M109" s="245" t="s">
        <v>391</v>
      </c>
      <c r="N109" s="101">
        <v>0</v>
      </c>
      <c r="O109" s="101" t="s">
        <v>392</v>
      </c>
      <c r="P109" s="101">
        <v>0</v>
      </c>
      <c r="Q109" s="101">
        <v>0</v>
      </c>
      <c r="R109" s="101" t="s">
        <v>444</v>
      </c>
      <c r="S109" s="101" t="s">
        <v>465</v>
      </c>
      <c r="T109" s="101" t="s">
        <v>394</v>
      </c>
      <c r="U109" s="101" t="s">
        <v>82</v>
      </c>
      <c r="V109" s="245">
        <v>45658</v>
      </c>
      <c r="W109" s="101" t="s">
        <v>411</v>
      </c>
      <c r="X109" s="101" t="s">
        <v>77</v>
      </c>
      <c r="Y109" s="101" t="s">
        <v>392</v>
      </c>
      <c r="Z109" s="101" t="s">
        <v>412</v>
      </c>
      <c r="AA109" s="101" t="s">
        <v>466</v>
      </c>
      <c r="AB109" s="101">
        <v>101000141</v>
      </c>
      <c r="AC109" s="101" t="s">
        <v>414</v>
      </c>
      <c r="AD109" s="101" t="s">
        <v>79</v>
      </c>
      <c r="AE109" s="101" t="s">
        <v>75</v>
      </c>
      <c r="AF109" s="101" t="s">
        <v>400</v>
      </c>
      <c r="AI109" s="101" t="s">
        <v>172</v>
      </c>
    </row>
    <row r="110" spans="1:35">
      <c r="A110" s="246" t="s">
        <v>109</v>
      </c>
      <c r="B110" s="246" t="s">
        <v>66</v>
      </c>
      <c r="C110" s="246" t="s">
        <v>126</v>
      </c>
      <c r="D110" s="246" t="s">
        <v>272</v>
      </c>
      <c r="E110" s="246"/>
      <c r="F110" s="246"/>
      <c r="G110" s="132" t="s">
        <v>1001</v>
      </c>
      <c r="H110" s="132" t="s">
        <v>1002</v>
      </c>
      <c r="I110" s="132">
        <v>-153.52000000000001</v>
      </c>
      <c r="J110" s="101" t="s">
        <v>889</v>
      </c>
      <c r="K110" s="245" t="s">
        <v>390</v>
      </c>
      <c r="L110" s="245">
        <v>42583</v>
      </c>
      <c r="M110" s="245" t="s">
        <v>391</v>
      </c>
      <c r="N110" s="101">
        <v>0</v>
      </c>
      <c r="O110" s="101" t="s">
        <v>392</v>
      </c>
      <c r="P110" s="101">
        <v>0</v>
      </c>
      <c r="Q110" s="101">
        <v>0</v>
      </c>
      <c r="R110" s="101" t="s">
        <v>444</v>
      </c>
      <c r="S110" s="101" t="s">
        <v>465</v>
      </c>
      <c r="T110" s="101" t="s">
        <v>394</v>
      </c>
      <c r="U110" s="101" t="s">
        <v>82</v>
      </c>
      <c r="V110" s="245">
        <v>45658</v>
      </c>
      <c r="W110" s="101" t="s">
        <v>411</v>
      </c>
      <c r="X110" s="101" t="s">
        <v>77</v>
      </c>
      <c r="Y110" s="101" t="s">
        <v>392</v>
      </c>
      <c r="Z110" s="101" t="s">
        <v>412</v>
      </c>
      <c r="AA110" s="101" t="s">
        <v>466</v>
      </c>
      <c r="AB110" s="101">
        <v>101000141</v>
      </c>
      <c r="AC110" s="101" t="s">
        <v>414</v>
      </c>
      <c r="AD110" s="101" t="s">
        <v>79</v>
      </c>
      <c r="AE110" s="101" t="s">
        <v>75</v>
      </c>
      <c r="AF110" s="101" t="s">
        <v>400</v>
      </c>
      <c r="AI110" s="101" t="s">
        <v>172</v>
      </c>
    </row>
    <row r="111" spans="1:35">
      <c r="A111" s="246" t="s">
        <v>110</v>
      </c>
      <c r="B111" s="246" t="s">
        <v>66</v>
      </c>
      <c r="C111" s="246" t="s">
        <v>126</v>
      </c>
      <c r="D111" s="246" t="s">
        <v>281</v>
      </c>
      <c r="E111" s="246"/>
      <c r="F111" s="246"/>
      <c r="G111" s="132" t="s">
        <v>1003</v>
      </c>
      <c r="H111" s="132" t="s">
        <v>1004</v>
      </c>
      <c r="I111" s="132">
        <v>-153.80000000000001</v>
      </c>
      <c r="J111" s="101" t="s">
        <v>889</v>
      </c>
      <c r="K111" s="245" t="s">
        <v>390</v>
      </c>
      <c r="L111" s="245">
        <v>42614</v>
      </c>
      <c r="M111" s="245" t="s">
        <v>391</v>
      </c>
      <c r="N111" s="101">
        <v>0</v>
      </c>
      <c r="O111" s="101" t="s">
        <v>392</v>
      </c>
      <c r="P111" s="101">
        <v>0</v>
      </c>
      <c r="Q111" s="101">
        <v>0</v>
      </c>
      <c r="R111" s="101" t="s">
        <v>444</v>
      </c>
      <c r="S111" s="101" t="s">
        <v>465</v>
      </c>
      <c r="T111" s="101" t="s">
        <v>394</v>
      </c>
      <c r="U111" s="101" t="s">
        <v>82</v>
      </c>
      <c r="V111" s="245">
        <v>45658</v>
      </c>
      <c r="W111" s="101" t="s">
        <v>411</v>
      </c>
      <c r="X111" s="101" t="s">
        <v>77</v>
      </c>
      <c r="Y111" s="101" t="s">
        <v>392</v>
      </c>
      <c r="Z111" s="101" t="s">
        <v>412</v>
      </c>
      <c r="AA111" s="101" t="s">
        <v>466</v>
      </c>
      <c r="AB111" s="101">
        <v>101000141</v>
      </c>
      <c r="AC111" s="101" t="s">
        <v>414</v>
      </c>
      <c r="AD111" s="101" t="s">
        <v>79</v>
      </c>
      <c r="AE111" s="101" t="s">
        <v>75</v>
      </c>
      <c r="AF111" s="101" t="s">
        <v>400</v>
      </c>
      <c r="AI111" s="101" t="s">
        <v>172</v>
      </c>
    </row>
    <row r="112" spans="1:35">
      <c r="A112" s="246" t="s">
        <v>110</v>
      </c>
      <c r="B112" s="246" t="s">
        <v>66</v>
      </c>
      <c r="C112" s="246" t="s">
        <v>126</v>
      </c>
      <c r="D112" s="246" t="s">
        <v>281</v>
      </c>
      <c r="E112" s="246"/>
      <c r="F112" s="246"/>
      <c r="G112" s="132" t="s">
        <v>1005</v>
      </c>
      <c r="H112" s="132" t="s">
        <v>1006</v>
      </c>
      <c r="I112" s="132">
        <v>-170.1</v>
      </c>
      <c r="J112" s="101" t="s">
        <v>889</v>
      </c>
      <c r="K112" s="245" t="s">
        <v>390</v>
      </c>
      <c r="L112" s="245">
        <v>42646</v>
      </c>
      <c r="M112" s="245" t="s">
        <v>391</v>
      </c>
      <c r="N112" s="101">
        <v>0</v>
      </c>
      <c r="O112" s="101" t="s">
        <v>392</v>
      </c>
      <c r="P112" s="101">
        <v>0</v>
      </c>
      <c r="Q112" s="101">
        <v>0</v>
      </c>
      <c r="R112" s="101" t="s">
        <v>444</v>
      </c>
      <c r="S112" s="101" t="s">
        <v>465</v>
      </c>
      <c r="T112" s="101" t="s">
        <v>394</v>
      </c>
      <c r="U112" s="101" t="s">
        <v>82</v>
      </c>
      <c r="V112" s="245">
        <v>45658</v>
      </c>
      <c r="W112" s="101" t="s">
        <v>411</v>
      </c>
      <c r="X112" s="101" t="s">
        <v>77</v>
      </c>
      <c r="Y112" s="101" t="s">
        <v>392</v>
      </c>
      <c r="Z112" s="101" t="s">
        <v>412</v>
      </c>
      <c r="AA112" s="101" t="s">
        <v>466</v>
      </c>
      <c r="AB112" s="101">
        <v>101000141</v>
      </c>
      <c r="AC112" s="101" t="s">
        <v>414</v>
      </c>
      <c r="AD112" s="101" t="s">
        <v>79</v>
      </c>
      <c r="AE112" s="101" t="s">
        <v>75</v>
      </c>
      <c r="AF112" s="101" t="s">
        <v>400</v>
      </c>
      <c r="AI112" s="101" t="s">
        <v>172</v>
      </c>
    </row>
    <row r="113" spans="1:35">
      <c r="A113" s="246" t="s">
        <v>110</v>
      </c>
      <c r="B113" s="246" t="s">
        <v>66</v>
      </c>
      <c r="C113" s="246" t="s">
        <v>126</v>
      </c>
      <c r="D113" s="246" t="s">
        <v>281</v>
      </c>
      <c r="E113" s="246"/>
      <c r="F113" s="246"/>
      <c r="G113" s="132" t="s">
        <v>1007</v>
      </c>
      <c r="H113" s="132" t="s">
        <v>1008</v>
      </c>
      <c r="I113" s="132">
        <v>-162.14999999999998</v>
      </c>
      <c r="J113" s="101" t="s">
        <v>889</v>
      </c>
      <c r="K113" s="245" t="s">
        <v>390</v>
      </c>
      <c r="L113" s="245">
        <v>42675</v>
      </c>
      <c r="M113" s="245" t="s">
        <v>391</v>
      </c>
      <c r="N113" s="101">
        <v>0</v>
      </c>
      <c r="O113" s="101" t="s">
        <v>392</v>
      </c>
      <c r="P113" s="101">
        <v>0</v>
      </c>
      <c r="Q113" s="101">
        <v>0</v>
      </c>
      <c r="R113" s="101" t="s">
        <v>444</v>
      </c>
      <c r="S113" s="101" t="s">
        <v>465</v>
      </c>
      <c r="T113" s="101" t="s">
        <v>394</v>
      </c>
      <c r="U113" s="101" t="s">
        <v>82</v>
      </c>
      <c r="V113" s="245">
        <v>45658</v>
      </c>
      <c r="W113" s="101" t="s">
        <v>411</v>
      </c>
      <c r="X113" s="101" t="s">
        <v>77</v>
      </c>
      <c r="Y113" s="101" t="s">
        <v>392</v>
      </c>
      <c r="Z113" s="101" t="s">
        <v>412</v>
      </c>
      <c r="AA113" s="101" t="s">
        <v>466</v>
      </c>
      <c r="AB113" s="101">
        <v>101000141</v>
      </c>
      <c r="AC113" s="101" t="s">
        <v>414</v>
      </c>
      <c r="AD113" s="101" t="s">
        <v>79</v>
      </c>
      <c r="AE113" s="101" t="s">
        <v>75</v>
      </c>
      <c r="AF113" s="101" t="s">
        <v>400</v>
      </c>
      <c r="AI113" s="101" t="s">
        <v>172</v>
      </c>
    </row>
    <row r="114" spans="1:35">
      <c r="A114" s="246" t="s">
        <v>111</v>
      </c>
      <c r="B114" s="246" t="s">
        <v>66</v>
      </c>
      <c r="C114" s="246" t="s">
        <v>126</v>
      </c>
      <c r="D114" s="246" t="s">
        <v>273</v>
      </c>
      <c r="E114" s="246"/>
      <c r="F114" s="246"/>
      <c r="G114" s="132" t="s">
        <v>1009</v>
      </c>
      <c r="H114" s="132" t="s">
        <v>1010</v>
      </c>
      <c r="I114" s="132">
        <v>-183.82</v>
      </c>
      <c r="J114" s="101" t="s">
        <v>889</v>
      </c>
      <c r="K114" s="245" t="s">
        <v>390</v>
      </c>
      <c r="L114" s="245">
        <v>42705</v>
      </c>
      <c r="M114" s="245" t="s">
        <v>391</v>
      </c>
      <c r="N114" s="101">
        <v>0</v>
      </c>
      <c r="O114" s="101" t="s">
        <v>392</v>
      </c>
      <c r="P114" s="101">
        <v>0</v>
      </c>
      <c r="Q114" s="101">
        <v>0</v>
      </c>
      <c r="R114" s="101" t="s">
        <v>444</v>
      </c>
      <c r="S114" s="101" t="s">
        <v>465</v>
      </c>
      <c r="T114" s="101" t="s">
        <v>394</v>
      </c>
      <c r="U114" s="101" t="s">
        <v>82</v>
      </c>
      <c r="V114" s="245">
        <v>45658</v>
      </c>
      <c r="W114" s="101" t="s">
        <v>411</v>
      </c>
      <c r="X114" s="101" t="s">
        <v>77</v>
      </c>
      <c r="Y114" s="101" t="s">
        <v>392</v>
      </c>
      <c r="Z114" s="101" t="s">
        <v>412</v>
      </c>
      <c r="AA114" s="101" t="s">
        <v>466</v>
      </c>
      <c r="AB114" s="101">
        <v>101000141</v>
      </c>
      <c r="AC114" s="101" t="s">
        <v>414</v>
      </c>
      <c r="AD114" s="101" t="s">
        <v>79</v>
      </c>
      <c r="AE114" s="101" t="s">
        <v>75</v>
      </c>
      <c r="AF114" s="101" t="s">
        <v>400</v>
      </c>
      <c r="AI114" s="101" t="s">
        <v>172</v>
      </c>
    </row>
    <row r="115" spans="1:35">
      <c r="A115" s="246" t="s">
        <v>111</v>
      </c>
      <c r="B115" s="246" t="s">
        <v>66</v>
      </c>
      <c r="C115" s="246" t="s">
        <v>126</v>
      </c>
      <c r="D115" s="246" t="s">
        <v>273</v>
      </c>
      <c r="E115" s="246"/>
      <c r="F115" s="246"/>
      <c r="G115" s="132" t="s">
        <v>1011</v>
      </c>
      <c r="H115" s="132" t="s">
        <v>1012</v>
      </c>
      <c r="I115" s="132">
        <v>-222.43</v>
      </c>
      <c r="J115" s="101" t="s">
        <v>889</v>
      </c>
      <c r="K115" s="245" t="s">
        <v>390</v>
      </c>
      <c r="L115" s="245">
        <v>42738</v>
      </c>
      <c r="M115" s="245" t="s">
        <v>391</v>
      </c>
      <c r="N115" s="101">
        <v>0</v>
      </c>
      <c r="O115" s="101" t="s">
        <v>392</v>
      </c>
      <c r="P115" s="101">
        <v>0</v>
      </c>
      <c r="Q115" s="101">
        <v>0</v>
      </c>
      <c r="R115" s="101" t="s">
        <v>444</v>
      </c>
      <c r="S115" s="101" t="s">
        <v>465</v>
      </c>
      <c r="T115" s="101" t="s">
        <v>394</v>
      </c>
      <c r="U115" s="101" t="s">
        <v>82</v>
      </c>
      <c r="V115" s="245">
        <v>45658</v>
      </c>
      <c r="W115" s="101" t="s">
        <v>411</v>
      </c>
      <c r="X115" s="101" t="s">
        <v>77</v>
      </c>
      <c r="Y115" s="101" t="s">
        <v>392</v>
      </c>
      <c r="Z115" s="101" t="s">
        <v>412</v>
      </c>
      <c r="AA115" s="101" t="s">
        <v>466</v>
      </c>
      <c r="AB115" s="101">
        <v>101000141</v>
      </c>
      <c r="AC115" s="101" t="s">
        <v>414</v>
      </c>
      <c r="AD115" s="101" t="s">
        <v>79</v>
      </c>
      <c r="AE115" s="101" t="s">
        <v>75</v>
      </c>
      <c r="AF115" s="101" t="s">
        <v>400</v>
      </c>
      <c r="AI115" s="101" t="s">
        <v>172</v>
      </c>
    </row>
    <row r="116" spans="1:35">
      <c r="A116" s="246" t="s">
        <v>111</v>
      </c>
      <c r="B116" s="246" t="s">
        <v>66</v>
      </c>
      <c r="C116" s="246" t="s">
        <v>126</v>
      </c>
      <c r="D116" s="246" t="s">
        <v>273</v>
      </c>
      <c r="E116" s="246"/>
      <c r="F116" s="246"/>
      <c r="G116" s="132" t="s">
        <v>1013</v>
      </c>
      <c r="H116" s="132" t="s">
        <v>1014</v>
      </c>
      <c r="I116" s="132">
        <v>-190.9</v>
      </c>
      <c r="J116" s="101" t="s">
        <v>889</v>
      </c>
      <c r="K116" s="245" t="s">
        <v>390</v>
      </c>
      <c r="L116" s="245">
        <v>42767</v>
      </c>
      <c r="M116" s="245" t="s">
        <v>391</v>
      </c>
      <c r="N116" s="101">
        <v>0</v>
      </c>
      <c r="O116" s="101" t="s">
        <v>392</v>
      </c>
      <c r="P116" s="101">
        <v>0</v>
      </c>
      <c r="Q116" s="101">
        <v>0</v>
      </c>
      <c r="R116" s="101" t="s">
        <v>444</v>
      </c>
      <c r="S116" s="101" t="s">
        <v>465</v>
      </c>
      <c r="T116" s="101" t="s">
        <v>394</v>
      </c>
      <c r="U116" s="101" t="s">
        <v>82</v>
      </c>
      <c r="V116" s="245">
        <v>45658</v>
      </c>
      <c r="W116" s="101" t="s">
        <v>411</v>
      </c>
      <c r="X116" s="101" t="s">
        <v>77</v>
      </c>
      <c r="Y116" s="101" t="s">
        <v>392</v>
      </c>
      <c r="Z116" s="101" t="s">
        <v>412</v>
      </c>
      <c r="AA116" s="101" t="s">
        <v>466</v>
      </c>
      <c r="AB116" s="101">
        <v>101000141</v>
      </c>
      <c r="AC116" s="101" t="s">
        <v>414</v>
      </c>
      <c r="AD116" s="101" t="s">
        <v>79</v>
      </c>
      <c r="AE116" s="101" t="s">
        <v>75</v>
      </c>
      <c r="AF116" s="101" t="s">
        <v>400</v>
      </c>
      <c r="AI116" s="101" t="s">
        <v>172</v>
      </c>
    </row>
    <row r="117" spans="1:35">
      <c r="A117" s="246" t="s">
        <v>111</v>
      </c>
      <c r="B117" s="246" t="s">
        <v>66</v>
      </c>
      <c r="C117" s="246" t="s">
        <v>126</v>
      </c>
      <c r="D117" s="246" t="s">
        <v>273</v>
      </c>
      <c r="E117" s="246"/>
      <c r="F117" s="246"/>
      <c r="G117" s="132" t="s">
        <v>1015</v>
      </c>
      <c r="H117" s="132" t="s">
        <v>1016</v>
      </c>
      <c r="I117" s="132">
        <v>-178.64000000000001</v>
      </c>
      <c r="J117" s="101" t="s">
        <v>889</v>
      </c>
      <c r="K117" s="245" t="s">
        <v>390</v>
      </c>
      <c r="L117" s="245">
        <v>42795</v>
      </c>
      <c r="M117" s="245" t="s">
        <v>391</v>
      </c>
      <c r="N117" s="101">
        <v>0</v>
      </c>
      <c r="O117" s="101" t="s">
        <v>392</v>
      </c>
      <c r="P117" s="101">
        <v>0</v>
      </c>
      <c r="Q117" s="101">
        <v>0</v>
      </c>
      <c r="R117" s="101" t="s">
        <v>444</v>
      </c>
      <c r="S117" s="101" t="s">
        <v>465</v>
      </c>
      <c r="T117" s="101" t="s">
        <v>394</v>
      </c>
      <c r="U117" s="101" t="s">
        <v>82</v>
      </c>
      <c r="V117" s="245">
        <v>45658</v>
      </c>
      <c r="W117" s="101" t="s">
        <v>411</v>
      </c>
      <c r="X117" s="101" t="s">
        <v>77</v>
      </c>
      <c r="Y117" s="101" t="s">
        <v>392</v>
      </c>
      <c r="Z117" s="101" t="s">
        <v>412</v>
      </c>
      <c r="AA117" s="101" t="s">
        <v>466</v>
      </c>
      <c r="AB117" s="101">
        <v>101000141</v>
      </c>
      <c r="AC117" s="101" t="s">
        <v>414</v>
      </c>
      <c r="AD117" s="101" t="s">
        <v>79</v>
      </c>
      <c r="AE117" s="101" t="s">
        <v>75</v>
      </c>
      <c r="AF117" s="101" t="s">
        <v>400</v>
      </c>
      <c r="AI117" s="101" t="s">
        <v>172</v>
      </c>
    </row>
    <row r="118" spans="1:35">
      <c r="A118" s="246" t="s">
        <v>111</v>
      </c>
      <c r="B118" s="246" t="s">
        <v>66</v>
      </c>
      <c r="C118" s="246" t="s">
        <v>126</v>
      </c>
      <c r="D118" s="246" t="s">
        <v>273</v>
      </c>
      <c r="E118" s="246"/>
      <c r="F118" s="246"/>
      <c r="G118" s="132" t="s">
        <v>1017</v>
      </c>
      <c r="H118" s="132" t="s">
        <v>1018</v>
      </c>
      <c r="I118" s="132">
        <v>-209.39000000000001</v>
      </c>
      <c r="J118" s="101" t="s">
        <v>889</v>
      </c>
      <c r="K118" s="245" t="s">
        <v>390</v>
      </c>
      <c r="L118" s="245">
        <v>42828</v>
      </c>
      <c r="M118" s="245" t="s">
        <v>391</v>
      </c>
      <c r="N118" s="101">
        <v>0</v>
      </c>
      <c r="O118" s="101" t="s">
        <v>392</v>
      </c>
      <c r="P118" s="101">
        <v>0</v>
      </c>
      <c r="Q118" s="101">
        <v>0</v>
      </c>
      <c r="R118" s="101" t="s">
        <v>444</v>
      </c>
      <c r="S118" s="101" t="s">
        <v>465</v>
      </c>
      <c r="T118" s="101" t="s">
        <v>394</v>
      </c>
      <c r="U118" s="101" t="s">
        <v>82</v>
      </c>
      <c r="V118" s="245">
        <v>45658</v>
      </c>
      <c r="W118" s="101" t="s">
        <v>411</v>
      </c>
      <c r="X118" s="101" t="s">
        <v>77</v>
      </c>
      <c r="Y118" s="101" t="s">
        <v>392</v>
      </c>
      <c r="Z118" s="101" t="s">
        <v>412</v>
      </c>
      <c r="AA118" s="101" t="s">
        <v>466</v>
      </c>
      <c r="AB118" s="101">
        <v>101000141</v>
      </c>
      <c r="AC118" s="101" t="s">
        <v>414</v>
      </c>
      <c r="AD118" s="101" t="s">
        <v>79</v>
      </c>
      <c r="AE118" s="101" t="s">
        <v>75</v>
      </c>
      <c r="AF118" s="101" t="s">
        <v>400</v>
      </c>
      <c r="AI118" s="101" t="s">
        <v>172</v>
      </c>
    </row>
    <row r="119" spans="1:35">
      <c r="A119" s="246" t="s">
        <v>109</v>
      </c>
      <c r="B119" s="246" t="s">
        <v>66</v>
      </c>
      <c r="C119" s="246" t="s">
        <v>126</v>
      </c>
      <c r="D119" s="246" t="s">
        <v>272</v>
      </c>
      <c r="E119" s="246"/>
      <c r="F119" s="246" t="s">
        <v>275</v>
      </c>
      <c r="G119" s="132" t="s">
        <v>681</v>
      </c>
      <c r="H119" s="132" t="s">
        <v>1019</v>
      </c>
      <c r="I119" s="132">
        <v>-30514.629999999997</v>
      </c>
      <c r="J119" s="101" t="s">
        <v>889</v>
      </c>
      <c r="K119" s="245" t="s">
        <v>390</v>
      </c>
      <c r="L119" s="245">
        <v>42551</v>
      </c>
      <c r="M119" s="245" t="s">
        <v>391</v>
      </c>
      <c r="N119" s="101">
        <v>0</v>
      </c>
      <c r="O119" s="101" t="s">
        <v>392</v>
      </c>
      <c r="P119" s="101">
        <v>0</v>
      </c>
      <c r="Q119" s="101">
        <v>0</v>
      </c>
      <c r="R119" s="101" t="s">
        <v>444</v>
      </c>
      <c r="S119" s="101" t="s">
        <v>682</v>
      </c>
      <c r="T119" s="101" t="s">
        <v>394</v>
      </c>
      <c r="U119" s="101" t="s">
        <v>35</v>
      </c>
      <c r="V119" s="245">
        <v>46387</v>
      </c>
      <c r="W119" s="101" t="s">
        <v>411</v>
      </c>
      <c r="X119" s="101" t="s">
        <v>77</v>
      </c>
      <c r="Y119" s="101" t="s">
        <v>392</v>
      </c>
      <c r="Z119" s="101" t="s">
        <v>412</v>
      </c>
      <c r="AA119" s="101" t="s">
        <v>631</v>
      </c>
      <c r="AB119" s="101">
        <v>101000580</v>
      </c>
      <c r="AC119" s="101" t="s">
        <v>414</v>
      </c>
      <c r="AD119" s="101" t="s">
        <v>79</v>
      </c>
      <c r="AE119" s="101" t="s">
        <v>6</v>
      </c>
      <c r="AF119" s="101" t="s">
        <v>400</v>
      </c>
      <c r="AI119" s="101" t="s">
        <v>190</v>
      </c>
    </row>
    <row r="120" spans="1:35">
      <c r="A120" s="246" t="s">
        <v>111</v>
      </c>
      <c r="B120" s="246" t="s">
        <v>66</v>
      </c>
      <c r="C120" s="246" t="s">
        <v>126</v>
      </c>
      <c r="D120" s="246" t="s">
        <v>273</v>
      </c>
      <c r="E120" s="246"/>
      <c r="F120" s="246" t="s">
        <v>277</v>
      </c>
      <c r="G120" s="132" t="s">
        <v>681</v>
      </c>
      <c r="H120" s="132" t="s">
        <v>1019</v>
      </c>
      <c r="I120" s="132">
        <v>-30514.629999999997</v>
      </c>
      <c r="J120" s="101" t="s">
        <v>889</v>
      </c>
      <c r="K120" s="245" t="s">
        <v>390</v>
      </c>
      <c r="L120" s="245">
        <v>42734</v>
      </c>
      <c r="M120" s="245" t="s">
        <v>391</v>
      </c>
      <c r="N120" s="101">
        <v>0</v>
      </c>
      <c r="O120" s="101" t="s">
        <v>392</v>
      </c>
      <c r="P120" s="101">
        <v>0</v>
      </c>
      <c r="Q120" s="101">
        <v>0</v>
      </c>
      <c r="R120" s="101" t="s">
        <v>444</v>
      </c>
      <c r="S120" s="101" t="s">
        <v>682</v>
      </c>
      <c r="T120" s="101" t="s">
        <v>394</v>
      </c>
      <c r="U120" s="101" t="s">
        <v>35</v>
      </c>
      <c r="V120" s="245">
        <v>46387</v>
      </c>
      <c r="W120" s="101" t="s">
        <v>411</v>
      </c>
      <c r="X120" s="101" t="s">
        <v>77</v>
      </c>
      <c r="Y120" s="101" t="s">
        <v>392</v>
      </c>
      <c r="Z120" s="101" t="s">
        <v>412</v>
      </c>
      <c r="AA120" s="101" t="s">
        <v>631</v>
      </c>
      <c r="AB120" s="101">
        <v>101000580</v>
      </c>
      <c r="AC120" s="101" t="s">
        <v>414</v>
      </c>
      <c r="AD120" s="101" t="s">
        <v>79</v>
      </c>
      <c r="AE120" s="101" t="s">
        <v>6</v>
      </c>
      <c r="AF120" s="101" t="s">
        <v>400</v>
      </c>
      <c r="AI120" s="101" t="s">
        <v>190</v>
      </c>
    </row>
    <row r="121" spans="1:35">
      <c r="A121" s="246" t="s">
        <v>112</v>
      </c>
      <c r="B121" s="246" t="s">
        <v>66</v>
      </c>
      <c r="C121" s="246" t="s">
        <v>126</v>
      </c>
      <c r="D121" s="246" t="s">
        <v>270</v>
      </c>
      <c r="E121" s="246"/>
      <c r="F121" s="246" t="s">
        <v>278</v>
      </c>
      <c r="G121" s="132" t="s">
        <v>681</v>
      </c>
      <c r="H121" s="132" t="s">
        <v>1019</v>
      </c>
      <c r="I121" s="132">
        <v>-30514.629999999997</v>
      </c>
      <c r="J121" s="101" t="s">
        <v>889</v>
      </c>
      <c r="K121" s="245" t="s">
        <v>390</v>
      </c>
      <c r="L121" s="245">
        <v>42916</v>
      </c>
      <c r="M121" s="245" t="s">
        <v>391</v>
      </c>
      <c r="N121" s="101">
        <v>0</v>
      </c>
      <c r="O121" s="101" t="s">
        <v>392</v>
      </c>
      <c r="P121" s="101">
        <v>0</v>
      </c>
      <c r="Q121" s="101">
        <v>0</v>
      </c>
      <c r="R121" s="101" t="s">
        <v>444</v>
      </c>
      <c r="S121" s="101" t="s">
        <v>682</v>
      </c>
      <c r="T121" s="101" t="s">
        <v>394</v>
      </c>
      <c r="U121" s="101" t="s">
        <v>35</v>
      </c>
      <c r="V121" s="245">
        <v>46387</v>
      </c>
      <c r="W121" s="101" t="s">
        <v>411</v>
      </c>
      <c r="X121" s="101" t="s">
        <v>77</v>
      </c>
      <c r="Y121" s="101" t="s">
        <v>392</v>
      </c>
      <c r="Z121" s="101" t="s">
        <v>412</v>
      </c>
      <c r="AA121" s="101" t="s">
        <v>631</v>
      </c>
      <c r="AB121" s="101">
        <v>101000580</v>
      </c>
      <c r="AC121" s="101" t="s">
        <v>414</v>
      </c>
      <c r="AD121" s="101" t="s">
        <v>79</v>
      </c>
      <c r="AE121" s="101" t="s">
        <v>6</v>
      </c>
      <c r="AF121" s="101" t="s">
        <v>400</v>
      </c>
      <c r="AI121" s="101" t="s">
        <v>190</v>
      </c>
    </row>
    <row r="122" spans="1:35">
      <c r="A122" s="246" t="s">
        <v>113</v>
      </c>
      <c r="B122" s="246" t="s">
        <v>66</v>
      </c>
      <c r="C122" s="246" t="s">
        <v>126</v>
      </c>
      <c r="D122" s="246" t="s">
        <v>271</v>
      </c>
      <c r="E122" s="246"/>
      <c r="F122" s="246" t="s">
        <v>279</v>
      </c>
      <c r="G122" s="132" t="s">
        <v>683</v>
      </c>
      <c r="H122" s="132" t="s">
        <v>1020</v>
      </c>
      <c r="I122" s="132">
        <v>-30345.1</v>
      </c>
      <c r="J122" s="101" t="s">
        <v>889</v>
      </c>
      <c r="K122" s="245" t="s">
        <v>390</v>
      </c>
      <c r="L122" s="245">
        <v>43098</v>
      </c>
      <c r="M122" s="245" t="s">
        <v>391</v>
      </c>
      <c r="N122" s="101">
        <v>1</v>
      </c>
      <c r="O122" s="101" t="s">
        <v>392</v>
      </c>
      <c r="P122" s="101">
        <v>0</v>
      </c>
      <c r="Q122" s="101">
        <v>0</v>
      </c>
      <c r="R122" s="101" t="s">
        <v>444</v>
      </c>
      <c r="S122" s="101" t="s">
        <v>682</v>
      </c>
      <c r="T122" s="101" t="s">
        <v>394</v>
      </c>
      <c r="U122" s="101" t="s">
        <v>35</v>
      </c>
      <c r="V122" s="245">
        <v>46387</v>
      </c>
      <c r="W122" s="101" t="s">
        <v>411</v>
      </c>
      <c r="X122" s="101" t="s">
        <v>77</v>
      </c>
      <c r="Y122" s="101" t="s">
        <v>392</v>
      </c>
      <c r="Z122" s="101" t="s">
        <v>412</v>
      </c>
      <c r="AA122" s="101" t="s">
        <v>631</v>
      </c>
      <c r="AB122" s="101">
        <v>101000580</v>
      </c>
      <c r="AC122" s="101" t="s">
        <v>414</v>
      </c>
      <c r="AD122" s="101" t="s">
        <v>79</v>
      </c>
      <c r="AE122" s="101" t="s">
        <v>6</v>
      </c>
      <c r="AF122" s="101" t="s">
        <v>400</v>
      </c>
      <c r="AI122" s="101" t="s">
        <v>190</v>
      </c>
    </row>
    <row r="123" spans="1:35">
      <c r="A123" s="246" t="s">
        <v>109</v>
      </c>
      <c r="B123" s="246" t="s">
        <v>66</v>
      </c>
      <c r="C123" s="246" t="s">
        <v>126</v>
      </c>
      <c r="D123" s="246" t="s">
        <v>272</v>
      </c>
      <c r="E123" s="246"/>
      <c r="F123" s="246"/>
      <c r="G123" s="132">
        <v>12500</v>
      </c>
      <c r="H123" s="132" t="s">
        <v>1021</v>
      </c>
      <c r="I123" s="132">
        <v>12500</v>
      </c>
      <c r="J123" s="101" t="s">
        <v>889</v>
      </c>
      <c r="K123" s="245" t="s">
        <v>390</v>
      </c>
      <c r="L123" s="245">
        <v>42536</v>
      </c>
      <c r="M123" s="245" t="s">
        <v>391</v>
      </c>
      <c r="N123" s="101">
        <v>0</v>
      </c>
      <c r="O123" s="101" t="s">
        <v>392</v>
      </c>
      <c r="P123" s="101">
        <v>0</v>
      </c>
      <c r="Q123" s="101">
        <v>0</v>
      </c>
      <c r="R123" s="101" t="s">
        <v>450</v>
      </c>
      <c r="S123" s="101">
        <v>193061</v>
      </c>
      <c r="T123" s="101" t="s">
        <v>394</v>
      </c>
      <c r="V123" s="245">
        <v>42536</v>
      </c>
      <c r="W123" s="101" t="s">
        <v>441</v>
      </c>
      <c r="X123" s="101" t="s">
        <v>76</v>
      </c>
      <c r="Y123" s="101" t="s">
        <v>392</v>
      </c>
      <c r="Z123" s="101" t="s">
        <v>430</v>
      </c>
      <c r="AA123" s="101" t="s">
        <v>531</v>
      </c>
      <c r="AB123" s="101">
        <v>3101053435</v>
      </c>
      <c r="AC123" s="101" t="s">
        <v>431</v>
      </c>
      <c r="AD123" s="101" t="s">
        <v>431</v>
      </c>
      <c r="AE123" s="101" t="s">
        <v>75</v>
      </c>
      <c r="AF123" s="101" t="s">
        <v>400</v>
      </c>
      <c r="AG123" s="101" t="s">
        <v>532</v>
      </c>
      <c r="AI123" s="101" t="s">
        <v>760</v>
      </c>
    </row>
    <row r="124" spans="1:35">
      <c r="A124" s="246" t="s">
        <v>109</v>
      </c>
      <c r="B124" s="246" t="s">
        <v>66</v>
      </c>
      <c r="C124" s="246" t="s">
        <v>116</v>
      </c>
      <c r="D124" s="246" t="s">
        <v>338</v>
      </c>
      <c r="E124" s="246"/>
      <c r="F124" s="246"/>
      <c r="G124" s="132">
        <v>5000000</v>
      </c>
      <c r="H124" s="132" t="s">
        <v>1022</v>
      </c>
      <c r="I124" s="132">
        <v>4999999.9999999991</v>
      </c>
      <c r="J124" s="101" t="s">
        <v>889</v>
      </c>
      <c r="K124" s="245" t="s">
        <v>390</v>
      </c>
      <c r="L124" s="245">
        <v>42536</v>
      </c>
      <c r="M124" s="245" t="s">
        <v>421</v>
      </c>
      <c r="N124" s="101">
        <v>0</v>
      </c>
      <c r="O124" s="101" t="s">
        <v>392</v>
      </c>
      <c r="P124" s="101">
        <v>0</v>
      </c>
      <c r="Q124" s="101">
        <v>0</v>
      </c>
      <c r="R124" s="101" t="s">
        <v>450</v>
      </c>
      <c r="S124" s="101">
        <v>193061</v>
      </c>
      <c r="T124" s="101" t="s">
        <v>394</v>
      </c>
      <c r="V124" s="245">
        <v>42536</v>
      </c>
      <c r="W124" s="101" t="s">
        <v>441</v>
      </c>
      <c r="X124" s="101" t="s">
        <v>76</v>
      </c>
      <c r="Y124" s="101" t="s">
        <v>392</v>
      </c>
      <c r="Z124" s="101" t="s">
        <v>430</v>
      </c>
      <c r="AA124" s="101" t="s">
        <v>531</v>
      </c>
      <c r="AB124" s="101">
        <v>3101053435</v>
      </c>
      <c r="AC124" s="101" t="s">
        <v>431</v>
      </c>
      <c r="AD124" s="101" t="s">
        <v>431</v>
      </c>
      <c r="AE124" s="101" t="s">
        <v>75</v>
      </c>
      <c r="AF124" s="101" t="s">
        <v>400</v>
      </c>
      <c r="AG124" s="101" t="s">
        <v>532</v>
      </c>
      <c r="AI124" s="101" t="s">
        <v>760</v>
      </c>
    </row>
    <row r="125" spans="1:35">
      <c r="A125" s="246" t="s">
        <v>113</v>
      </c>
      <c r="B125" s="246" t="s">
        <v>66</v>
      </c>
      <c r="C125" s="246" t="s">
        <v>126</v>
      </c>
      <c r="D125" s="246" t="s">
        <v>271</v>
      </c>
      <c r="E125" s="246"/>
      <c r="F125" s="246" t="s">
        <v>279</v>
      </c>
      <c r="G125" s="132">
        <v>-8234</v>
      </c>
      <c r="H125" s="132" t="s">
        <v>1023</v>
      </c>
      <c r="I125" s="132">
        <v>-8234</v>
      </c>
      <c r="J125" s="101" t="s">
        <v>889</v>
      </c>
      <c r="K125" s="245" t="s">
        <v>390</v>
      </c>
      <c r="L125" s="245">
        <v>43098</v>
      </c>
      <c r="M125" s="245" t="s">
        <v>391</v>
      </c>
      <c r="N125" s="101">
        <v>0</v>
      </c>
      <c r="O125" s="101" t="s">
        <v>392</v>
      </c>
      <c r="P125" s="101">
        <v>0</v>
      </c>
      <c r="Q125" s="101">
        <v>0</v>
      </c>
      <c r="R125" s="101" t="s">
        <v>422</v>
      </c>
      <c r="S125" s="101" t="s">
        <v>646</v>
      </c>
      <c r="T125" s="101" t="s">
        <v>394</v>
      </c>
      <c r="U125" s="101" t="s">
        <v>27</v>
      </c>
      <c r="V125" s="245">
        <v>14426</v>
      </c>
      <c r="W125" s="101" t="s">
        <v>411</v>
      </c>
      <c r="X125" s="101" t="s">
        <v>77</v>
      </c>
      <c r="Y125" s="101" t="s">
        <v>392</v>
      </c>
      <c r="Z125" s="101" t="s">
        <v>412</v>
      </c>
      <c r="AA125" s="101" t="s">
        <v>413</v>
      </c>
      <c r="AB125" s="101">
        <v>101000512</v>
      </c>
      <c r="AC125" s="101" t="s">
        <v>414</v>
      </c>
      <c r="AD125" s="101" t="s">
        <v>79</v>
      </c>
      <c r="AE125" s="101" t="s">
        <v>6</v>
      </c>
      <c r="AF125" s="101" t="s">
        <v>400</v>
      </c>
      <c r="AI125" s="101" t="s">
        <v>190</v>
      </c>
    </row>
    <row r="126" spans="1:35">
      <c r="A126" s="246" t="s">
        <v>109</v>
      </c>
      <c r="B126" s="246" t="s">
        <v>66</v>
      </c>
      <c r="C126" s="246" t="s">
        <v>126</v>
      </c>
      <c r="D126" s="246" t="s">
        <v>272</v>
      </c>
      <c r="E126" s="246"/>
      <c r="F126" s="246" t="s">
        <v>275</v>
      </c>
      <c r="G126" s="132" t="s">
        <v>878</v>
      </c>
      <c r="H126" s="132" t="s">
        <v>1024</v>
      </c>
      <c r="I126" s="132">
        <v>-9344.8599999999988</v>
      </c>
      <c r="J126" s="101" t="s">
        <v>889</v>
      </c>
      <c r="K126" s="245" t="s">
        <v>390</v>
      </c>
      <c r="L126" s="245">
        <v>42551</v>
      </c>
      <c r="M126" s="245" t="s">
        <v>391</v>
      </c>
      <c r="N126" s="101">
        <v>0</v>
      </c>
      <c r="O126" s="101" t="s">
        <v>392</v>
      </c>
      <c r="P126" s="101">
        <v>0</v>
      </c>
      <c r="Q126" s="101">
        <v>0</v>
      </c>
      <c r="R126" s="101" t="s">
        <v>422</v>
      </c>
      <c r="S126" s="101" t="s">
        <v>646</v>
      </c>
      <c r="T126" s="101" t="s">
        <v>394</v>
      </c>
      <c r="U126" s="101" t="s">
        <v>27</v>
      </c>
      <c r="V126" s="245">
        <v>14426</v>
      </c>
      <c r="W126" s="101" t="s">
        <v>411</v>
      </c>
      <c r="X126" s="101" t="s">
        <v>77</v>
      </c>
      <c r="Y126" s="101" t="s">
        <v>392</v>
      </c>
      <c r="Z126" s="101" t="s">
        <v>412</v>
      </c>
      <c r="AA126" s="101" t="s">
        <v>413</v>
      </c>
      <c r="AB126" s="101">
        <v>101000512</v>
      </c>
      <c r="AC126" s="101" t="s">
        <v>414</v>
      </c>
      <c r="AD126" s="101" t="s">
        <v>79</v>
      </c>
      <c r="AE126" s="101" t="s">
        <v>6</v>
      </c>
      <c r="AF126" s="101" t="s">
        <v>400</v>
      </c>
      <c r="AI126" s="101" t="s">
        <v>190</v>
      </c>
    </row>
    <row r="127" spans="1:35">
      <c r="A127" s="246" t="s">
        <v>109</v>
      </c>
      <c r="B127" s="246" t="s">
        <v>66</v>
      </c>
      <c r="C127" s="246" t="s">
        <v>265</v>
      </c>
      <c r="D127" s="246" t="s">
        <v>291</v>
      </c>
      <c r="E127" s="246"/>
      <c r="F127" s="246" t="s">
        <v>275</v>
      </c>
      <c r="G127" s="132" t="s">
        <v>879</v>
      </c>
      <c r="H127" s="132" t="s">
        <v>1025</v>
      </c>
      <c r="I127" s="132">
        <v>1260075.73</v>
      </c>
      <c r="J127" s="101" t="s">
        <v>889</v>
      </c>
      <c r="K127" s="245" t="s">
        <v>390</v>
      </c>
      <c r="L127" s="245">
        <v>42551</v>
      </c>
      <c r="M127" s="245" t="s">
        <v>421</v>
      </c>
      <c r="N127" s="101">
        <v>0</v>
      </c>
      <c r="O127" s="101" t="s">
        <v>392</v>
      </c>
      <c r="P127" s="101">
        <v>0</v>
      </c>
      <c r="Q127" s="101">
        <v>0</v>
      </c>
      <c r="R127" s="101" t="s">
        <v>410</v>
      </c>
      <c r="S127" s="101" t="s">
        <v>646</v>
      </c>
      <c r="T127" s="101" t="s">
        <v>394</v>
      </c>
      <c r="U127" s="101" t="s">
        <v>27</v>
      </c>
      <c r="V127" s="245">
        <v>14426</v>
      </c>
      <c r="W127" s="101" t="s">
        <v>411</v>
      </c>
      <c r="X127" s="101" t="s">
        <v>77</v>
      </c>
      <c r="Y127" s="101" t="s">
        <v>392</v>
      </c>
      <c r="Z127" s="101" t="s">
        <v>412</v>
      </c>
      <c r="AA127" s="101" t="s">
        <v>413</v>
      </c>
      <c r="AB127" s="101">
        <v>101000512</v>
      </c>
      <c r="AC127" s="101" t="s">
        <v>414</v>
      </c>
      <c r="AD127" s="101" t="s">
        <v>79</v>
      </c>
      <c r="AE127" s="101" t="s">
        <v>6</v>
      </c>
      <c r="AF127" s="101" t="s">
        <v>400</v>
      </c>
      <c r="AI127" s="101" t="s">
        <v>190</v>
      </c>
    </row>
    <row r="128" spans="1:35">
      <c r="A128" s="246" t="s">
        <v>111</v>
      </c>
      <c r="B128" s="246" t="s">
        <v>66</v>
      </c>
      <c r="C128" s="246" t="s">
        <v>126</v>
      </c>
      <c r="D128" s="246" t="s">
        <v>273</v>
      </c>
      <c r="E128" s="246"/>
      <c r="F128" s="246" t="s">
        <v>277</v>
      </c>
      <c r="G128" s="132">
        <v>-41400</v>
      </c>
      <c r="H128" s="132" t="s">
        <v>1026</v>
      </c>
      <c r="I128" s="132">
        <v>-41400</v>
      </c>
      <c r="J128" s="101" t="s">
        <v>889</v>
      </c>
      <c r="K128" s="245" t="s">
        <v>390</v>
      </c>
      <c r="L128" s="245">
        <v>42734</v>
      </c>
      <c r="M128" s="245" t="s">
        <v>391</v>
      </c>
      <c r="N128" s="101">
        <v>0</v>
      </c>
      <c r="O128" s="101" t="s">
        <v>392</v>
      </c>
      <c r="P128" s="101">
        <v>0</v>
      </c>
      <c r="Q128" s="101">
        <v>0</v>
      </c>
      <c r="R128" s="101" t="s">
        <v>422</v>
      </c>
      <c r="S128" s="101" t="s">
        <v>646</v>
      </c>
      <c r="T128" s="101" t="s">
        <v>394</v>
      </c>
      <c r="U128" s="101" t="s">
        <v>27</v>
      </c>
      <c r="V128" s="245">
        <v>14426</v>
      </c>
      <c r="W128" s="101" t="s">
        <v>411</v>
      </c>
      <c r="X128" s="101" t="s">
        <v>77</v>
      </c>
      <c r="Y128" s="101" t="s">
        <v>392</v>
      </c>
      <c r="Z128" s="101" t="s">
        <v>412</v>
      </c>
      <c r="AA128" s="101" t="s">
        <v>413</v>
      </c>
      <c r="AB128" s="101">
        <v>101000512</v>
      </c>
      <c r="AC128" s="101" t="s">
        <v>414</v>
      </c>
      <c r="AD128" s="101" t="s">
        <v>79</v>
      </c>
      <c r="AE128" s="101" t="s">
        <v>6</v>
      </c>
      <c r="AF128" s="101" t="s">
        <v>400</v>
      </c>
      <c r="AI128" s="101" t="s">
        <v>190</v>
      </c>
    </row>
    <row r="129" spans="1:35">
      <c r="A129" s="246" t="s">
        <v>111</v>
      </c>
      <c r="B129" s="246" t="s">
        <v>66</v>
      </c>
      <c r="C129" s="246" t="s">
        <v>265</v>
      </c>
      <c r="D129" s="246" t="s">
        <v>286</v>
      </c>
      <c r="E129" s="246"/>
      <c r="F129" s="246" t="s">
        <v>277</v>
      </c>
      <c r="G129" s="132">
        <v>-1600000</v>
      </c>
      <c r="H129" s="132" t="s">
        <v>1027</v>
      </c>
      <c r="I129" s="132">
        <v>-1600000</v>
      </c>
      <c r="J129" s="101" t="s">
        <v>889</v>
      </c>
      <c r="K129" s="245" t="s">
        <v>390</v>
      </c>
      <c r="L129" s="245">
        <v>42734</v>
      </c>
      <c r="M129" s="245" t="s">
        <v>421</v>
      </c>
      <c r="N129" s="101">
        <v>0</v>
      </c>
      <c r="O129" s="101" t="s">
        <v>392</v>
      </c>
      <c r="P129" s="101">
        <v>0</v>
      </c>
      <c r="Q129" s="101">
        <v>0</v>
      </c>
      <c r="R129" s="101" t="s">
        <v>422</v>
      </c>
      <c r="S129" s="101" t="s">
        <v>646</v>
      </c>
      <c r="T129" s="101" t="s">
        <v>394</v>
      </c>
      <c r="U129" s="101" t="s">
        <v>27</v>
      </c>
      <c r="V129" s="245">
        <v>14426</v>
      </c>
      <c r="W129" s="101" t="s">
        <v>411</v>
      </c>
      <c r="X129" s="101" t="s">
        <v>77</v>
      </c>
      <c r="Y129" s="101" t="s">
        <v>392</v>
      </c>
      <c r="Z129" s="101" t="s">
        <v>412</v>
      </c>
      <c r="AA129" s="101" t="s">
        <v>413</v>
      </c>
      <c r="AB129" s="101">
        <v>101000512</v>
      </c>
      <c r="AC129" s="101" t="s">
        <v>414</v>
      </c>
      <c r="AD129" s="101" t="s">
        <v>79</v>
      </c>
      <c r="AE129" s="101" t="s">
        <v>6</v>
      </c>
      <c r="AF129" s="101" t="s">
        <v>400</v>
      </c>
      <c r="AI129" s="101" t="s">
        <v>190</v>
      </c>
    </row>
    <row r="130" spans="1:35">
      <c r="A130" s="246" t="s">
        <v>112</v>
      </c>
      <c r="B130" s="246" t="s">
        <v>66</v>
      </c>
      <c r="C130" s="246" t="s">
        <v>126</v>
      </c>
      <c r="D130" s="246" t="s">
        <v>270</v>
      </c>
      <c r="E130" s="246"/>
      <c r="F130" s="246" t="s">
        <v>278</v>
      </c>
      <c r="G130" s="132">
        <v>-8280</v>
      </c>
      <c r="H130" s="132" t="s">
        <v>1028</v>
      </c>
      <c r="I130" s="132">
        <v>-8280</v>
      </c>
      <c r="J130" s="101" t="s">
        <v>889</v>
      </c>
      <c r="K130" s="245" t="s">
        <v>390</v>
      </c>
      <c r="L130" s="245">
        <v>42916</v>
      </c>
      <c r="M130" s="245" t="s">
        <v>391</v>
      </c>
      <c r="N130" s="101">
        <v>0</v>
      </c>
      <c r="O130" s="101" t="s">
        <v>392</v>
      </c>
      <c r="P130" s="101">
        <v>0</v>
      </c>
      <c r="Q130" s="101">
        <v>0</v>
      </c>
      <c r="R130" s="101" t="s">
        <v>422</v>
      </c>
      <c r="S130" s="101" t="s">
        <v>646</v>
      </c>
      <c r="T130" s="101" t="s">
        <v>394</v>
      </c>
      <c r="U130" s="101" t="s">
        <v>27</v>
      </c>
      <c r="V130" s="245">
        <v>14426</v>
      </c>
      <c r="W130" s="101" t="s">
        <v>411</v>
      </c>
      <c r="X130" s="101" t="s">
        <v>77</v>
      </c>
      <c r="Y130" s="101" t="s">
        <v>392</v>
      </c>
      <c r="Z130" s="101" t="s">
        <v>412</v>
      </c>
      <c r="AA130" s="101" t="s">
        <v>413</v>
      </c>
      <c r="AB130" s="101">
        <v>101000512</v>
      </c>
      <c r="AC130" s="101" t="s">
        <v>414</v>
      </c>
      <c r="AD130" s="101" t="s">
        <v>79</v>
      </c>
      <c r="AE130" s="101" t="s">
        <v>6</v>
      </c>
      <c r="AF130" s="101" t="s">
        <v>400</v>
      </c>
      <c r="AI130" s="101" t="s">
        <v>190</v>
      </c>
    </row>
    <row r="131" spans="1:35">
      <c r="A131" s="246" t="s">
        <v>102</v>
      </c>
      <c r="B131" s="246" t="s">
        <v>263</v>
      </c>
      <c r="C131" s="246" t="s">
        <v>126</v>
      </c>
      <c r="D131" s="246" t="s">
        <v>1771</v>
      </c>
      <c r="E131" s="246" t="s">
        <v>1772</v>
      </c>
      <c r="F131" s="246"/>
      <c r="G131" s="132">
        <v>-21000</v>
      </c>
      <c r="H131" s="132" t="s">
        <v>1029</v>
      </c>
      <c r="I131" s="132">
        <v>-21000</v>
      </c>
      <c r="J131" s="101" t="s">
        <v>889</v>
      </c>
      <c r="K131" s="245" t="s">
        <v>390</v>
      </c>
      <c r="L131" s="245">
        <v>42503</v>
      </c>
      <c r="M131" s="245" t="s">
        <v>391</v>
      </c>
      <c r="N131" s="101">
        <v>0</v>
      </c>
      <c r="O131" s="101" t="s">
        <v>392</v>
      </c>
      <c r="P131" s="101">
        <v>0</v>
      </c>
      <c r="Q131" s="101">
        <v>0</v>
      </c>
      <c r="R131" s="101" t="s">
        <v>393</v>
      </c>
      <c r="S131" s="101" t="s">
        <v>448</v>
      </c>
      <c r="T131" s="101" t="s">
        <v>394</v>
      </c>
      <c r="V131" s="245">
        <v>42503</v>
      </c>
      <c r="W131" s="101" t="s">
        <v>417</v>
      </c>
      <c r="X131" s="101" t="s">
        <v>76</v>
      </c>
      <c r="Y131" s="101" t="s">
        <v>396</v>
      </c>
      <c r="Z131" s="101" t="s">
        <v>449</v>
      </c>
      <c r="AA131" s="101" t="s">
        <v>91</v>
      </c>
      <c r="AB131" s="101">
        <v>3101005792</v>
      </c>
      <c r="AC131" s="101" t="s">
        <v>419</v>
      </c>
      <c r="AD131" s="101" t="s">
        <v>95</v>
      </c>
      <c r="AE131" s="101" t="s">
        <v>75</v>
      </c>
      <c r="AF131" s="101" t="s">
        <v>400</v>
      </c>
      <c r="AG131" s="101" t="s">
        <v>427</v>
      </c>
      <c r="AI131" s="101" t="s">
        <v>760</v>
      </c>
    </row>
    <row r="132" spans="1:35">
      <c r="A132" s="246" t="s">
        <v>102</v>
      </c>
      <c r="B132" s="246" t="s">
        <v>263</v>
      </c>
      <c r="C132" s="246" t="s">
        <v>95</v>
      </c>
      <c r="D132" s="246" t="s">
        <v>1773</v>
      </c>
      <c r="E132" s="246" t="s">
        <v>1772</v>
      </c>
      <c r="F132" s="246"/>
      <c r="G132" s="132">
        <v>-9000000</v>
      </c>
      <c r="H132" s="132" t="s">
        <v>1030</v>
      </c>
      <c r="I132" s="132">
        <v>-9000000</v>
      </c>
      <c r="J132" s="101" t="s">
        <v>889</v>
      </c>
      <c r="K132" s="245" t="s">
        <v>390</v>
      </c>
      <c r="L132" s="245">
        <v>42503</v>
      </c>
      <c r="M132" s="245" t="s">
        <v>421</v>
      </c>
      <c r="N132" s="101">
        <v>0</v>
      </c>
      <c r="O132" s="101" t="s">
        <v>392</v>
      </c>
      <c r="P132" s="101">
        <v>0</v>
      </c>
      <c r="Q132" s="101">
        <v>0</v>
      </c>
      <c r="R132" s="101" t="s">
        <v>393</v>
      </c>
      <c r="S132" s="101" t="s">
        <v>448</v>
      </c>
      <c r="T132" s="101" t="s">
        <v>394</v>
      </c>
      <c r="V132" s="245">
        <v>42503</v>
      </c>
      <c r="W132" s="101" t="s">
        <v>417</v>
      </c>
      <c r="X132" s="101" t="s">
        <v>76</v>
      </c>
      <c r="Y132" s="101" t="s">
        <v>396</v>
      </c>
      <c r="Z132" s="101" t="s">
        <v>449</v>
      </c>
      <c r="AA132" s="101" t="s">
        <v>91</v>
      </c>
      <c r="AB132" s="101">
        <v>3101005792</v>
      </c>
      <c r="AC132" s="101" t="s">
        <v>419</v>
      </c>
      <c r="AD132" s="101" t="s">
        <v>95</v>
      </c>
      <c r="AE132" s="101" t="s">
        <v>75</v>
      </c>
      <c r="AF132" s="101" t="s">
        <v>400</v>
      </c>
      <c r="AG132" s="101" t="s">
        <v>427</v>
      </c>
      <c r="AI132" s="101" t="s">
        <v>760</v>
      </c>
    </row>
    <row r="133" spans="1:35">
      <c r="A133" s="246" t="s">
        <v>108</v>
      </c>
      <c r="B133" s="246" t="s">
        <v>66</v>
      </c>
      <c r="C133" s="246" t="s">
        <v>126</v>
      </c>
      <c r="D133" s="246" t="s">
        <v>280</v>
      </c>
      <c r="E133" s="246"/>
      <c r="F133" s="246"/>
      <c r="G133" s="132">
        <v>43125</v>
      </c>
      <c r="H133" s="132" t="s">
        <v>1031</v>
      </c>
      <c r="I133" s="132">
        <v>43125</v>
      </c>
      <c r="J133" s="101" t="s">
        <v>889</v>
      </c>
      <c r="K133" s="245" t="s">
        <v>390</v>
      </c>
      <c r="L133" s="245">
        <v>42531</v>
      </c>
      <c r="M133" s="245" t="s">
        <v>391</v>
      </c>
      <c r="N133" s="101">
        <v>0</v>
      </c>
      <c r="O133" s="101" t="s">
        <v>392</v>
      </c>
      <c r="P133" s="101">
        <v>0</v>
      </c>
      <c r="Q133" s="101">
        <v>0</v>
      </c>
      <c r="R133" s="101" t="s">
        <v>438</v>
      </c>
      <c r="S133" s="101">
        <v>190709</v>
      </c>
      <c r="T133" s="101" t="s">
        <v>394</v>
      </c>
      <c r="V133" s="245">
        <v>44722</v>
      </c>
      <c r="W133" s="101" t="s">
        <v>622</v>
      </c>
      <c r="X133" s="101" t="s">
        <v>76</v>
      </c>
      <c r="Y133" s="101" t="s">
        <v>392</v>
      </c>
      <c r="Z133" s="101" t="s">
        <v>430</v>
      </c>
      <c r="AA133" s="101" t="s">
        <v>397</v>
      </c>
      <c r="AB133" s="101">
        <v>5101000018</v>
      </c>
      <c r="AC133" s="101" t="s">
        <v>431</v>
      </c>
      <c r="AD133" s="101" t="s">
        <v>431</v>
      </c>
      <c r="AE133" s="101" t="s">
        <v>75</v>
      </c>
      <c r="AF133" s="101" t="s">
        <v>400</v>
      </c>
      <c r="AG133" s="101" t="s">
        <v>623</v>
      </c>
      <c r="AI133" s="101" t="s">
        <v>760</v>
      </c>
    </row>
    <row r="134" spans="1:35">
      <c r="A134" s="246" t="s">
        <v>111</v>
      </c>
      <c r="B134" s="246" t="s">
        <v>66</v>
      </c>
      <c r="C134" s="246" t="s">
        <v>126</v>
      </c>
      <c r="D134" s="246" t="s">
        <v>273</v>
      </c>
      <c r="E134" s="246"/>
      <c r="F134" s="246"/>
      <c r="G134" s="132">
        <v>43125</v>
      </c>
      <c r="H134" s="132" t="s">
        <v>1031</v>
      </c>
      <c r="I134" s="132">
        <v>43125</v>
      </c>
      <c r="J134" s="101" t="s">
        <v>889</v>
      </c>
      <c r="K134" s="245" t="s">
        <v>390</v>
      </c>
      <c r="L134" s="245">
        <v>42716</v>
      </c>
      <c r="M134" s="245" t="s">
        <v>391</v>
      </c>
      <c r="N134" s="101">
        <v>0</v>
      </c>
      <c r="O134" s="101" t="s">
        <v>392</v>
      </c>
      <c r="P134" s="101">
        <v>0</v>
      </c>
      <c r="Q134" s="101">
        <v>0</v>
      </c>
      <c r="R134" s="101" t="s">
        <v>438</v>
      </c>
      <c r="S134" s="101">
        <v>190709</v>
      </c>
      <c r="T134" s="101" t="s">
        <v>394</v>
      </c>
      <c r="V134" s="245">
        <v>44722</v>
      </c>
      <c r="W134" s="101" t="s">
        <v>622</v>
      </c>
      <c r="X134" s="101" t="s">
        <v>76</v>
      </c>
      <c r="Y134" s="101" t="s">
        <v>392</v>
      </c>
      <c r="Z134" s="101" t="s">
        <v>430</v>
      </c>
      <c r="AA134" s="101" t="s">
        <v>397</v>
      </c>
      <c r="AB134" s="101">
        <v>5101000018</v>
      </c>
      <c r="AC134" s="101" t="s">
        <v>431</v>
      </c>
      <c r="AD134" s="101" t="s">
        <v>431</v>
      </c>
      <c r="AE134" s="101" t="s">
        <v>75</v>
      </c>
      <c r="AF134" s="101" t="s">
        <v>400</v>
      </c>
      <c r="AG134" s="101" t="s">
        <v>623</v>
      </c>
      <c r="AI134" s="101" t="s">
        <v>760</v>
      </c>
    </row>
    <row r="135" spans="1:35">
      <c r="A135" s="246" t="s">
        <v>112</v>
      </c>
      <c r="B135" s="246" t="s">
        <v>66</v>
      </c>
      <c r="C135" s="246" t="s">
        <v>126</v>
      </c>
      <c r="D135" s="246" t="s">
        <v>270</v>
      </c>
      <c r="E135" s="246"/>
      <c r="F135" s="246"/>
      <c r="G135" s="132">
        <v>43125</v>
      </c>
      <c r="H135" s="132" t="s">
        <v>1031</v>
      </c>
      <c r="I135" s="132">
        <v>43125</v>
      </c>
      <c r="J135" s="101" t="s">
        <v>889</v>
      </c>
      <c r="K135" s="245" t="s">
        <v>390</v>
      </c>
      <c r="L135" s="245">
        <v>42898</v>
      </c>
      <c r="M135" s="245" t="s">
        <v>391</v>
      </c>
      <c r="N135" s="101">
        <v>0</v>
      </c>
      <c r="O135" s="101" t="s">
        <v>392</v>
      </c>
      <c r="P135" s="101">
        <v>0</v>
      </c>
      <c r="Q135" s="101">
        <v>0</v>
      </c>
      <c r="R135" s="101" t="s">
        <v>438</v>
      </c>
      <c r="S135" s="101">
        <v>190709</v>
      </c>
      <c r="T135" s="101" t="s">
        <v>394</v>
      </c>
      <c r="V135" s="245">
        <v>44722</v>
      </c>
      <c r="W135" s="101" t="s">
        <v>622</v>
      </c>
      <c r="X135" s="101" t="s">
        <v>76</v>
      </c>
      <c r="Y135" s="101" t="s">
        <v>392</v>
      </c>
      <c r="Z135" s="101" t="s">
        <v>430</v>
      </c>
      <c r="AA135" s="101" t="s">
        <v>397</v>
      </c>
      <c r="AB135" s="101">
        <v>5101000018</v>
      </c>
      <c r="AC135" s="101" t="s">
        <v>431</v>
      </c>
      <c r="AD135" s="101" t="s">
        <v>431</v>
      </c>
      <c r="AE135" s="101" t="s">
        <v>75</v>
      </c>
      <c r="AF135" s="101" t="s">
        <v>400</v>
      </c>
      <c r="AG135" s="101" t="s">
        <v>623</v>
      </c>
      <c r="AI135" s="101" t="s">
        <v>760</v>
      </c>
    </row>
    <row r="136" spans="1:35">
      <c r="A136" s="246" t="s">
        <v>113</v>
      </c>
      <c r="B136" s="246" t="s">
        <v>66</v>
      </c>
      <c r="C136" s="246" t="s">
        <v>126</v>
      </c>
      <c r="D136" s="246" t="s">
        <v>271</v>
      </c>
      <c r="E136" s="246"/>
      <c r="F136" s="246"/>
      <c r="G136" s="132">
        <v>43125</v>
      </c>
      <c r="H136" s="132" t="s">
        <v>1031</v>
      </c>
      <c r="I136" s="132">
        <v>43125</v>
      </c>
      <c r="J136" s="101" t="s">
        <v>889</v>
      </c>
      <c r="K136" s="245" t="s">
        <v>390</v>
      </c>
      <c r="L136" s="245">
        <v>43080</v>
      </c>
      <c r="M136" s="245" t="s">
        <v>391</v>
      </c>
      <c r="N136" s="101">
        <v>0</v>
      </c>
      <c r="O136" s="101" t="s">
        <v>392</v>
      </c>
      <c r="P136" s="101">
        <v>0</v>
      </c>
      <c r="Q136" s="101">
        <v>0</v>
      </c>
      <c r="R136" s="101" t="s">
        <v>438</v>
      </c>
      <c r="S136" s="101">
        <v>190709</v>
      </c>
      <c r="T136" s="101" t="s">
        <v>394</v>
      </c>
      <c r="V136" s="245">
        <v>44722</v>
      </c>
      <c r="W136" s="101" t="s">
        <v>622</v>
      </c>
      <c r="X136" s="101" t="s">
        <v>76</v>
      </c>
      <c r="Y136" s="101" t="s">
        <v>392</v>
      </c>
      <c r="Z136" s="101" t="s">
        <v>430</v>
      </c>
      <c r="AA136" s="101" t="s">
        <v>397</v>
      </c>
      <c r="AB136" s="101">
        <v>5101000018</v>
      </c>
      <c r="AC136" s="101" t="s">
        <v>431</v>
      </c>
      <c r="AD136" s="101" t="s">
        <v>431</v>
      </c>
      <c r="AE136" s="101" t="s">
        <v>75</v>
      </c>
      <c r="AF136" s="101" t="s">
        <v>400</v>
      </c>
      <c r="AG136" s="101" t="s">
        <v>623</v>
      </c>
      <c r="AI136" s="101" t="s">
        <v>760</v>
      </c>
    </row>
    <row r="137" spans="1:35">
      <c r="A137" s="246" t="s">
        <v>109</v>
      </c>
      <c r="B137" s="246" t="s">
        <v>66</v>
      </c>
      <c r="C137" s="246" t="s">
        <v>126</v>
      </c>
      <c r="D137" s="246" t="s">
        <v>272</v>
      </c>
      <c r="E137" s="246"/>
      <c r="F137" s="246"/>
      <c r="G137" s="132" t="s">
        <v>616</v>
      </c>
      <c r="H137" s="132" t="s">
        <v>1032</v>
      </c>
      <c r="I137" s="132">
        <v>-133391.65999999997</v>
      </c>
      <c r="J137" s="101" t="s">
        <v>889</v>
      </c>
      <c r="K137" s="245" t="s">
        <v>390</v>
      </c>
      <c r="L137" s="245">
        <v>42578</v>
      </c>
      <c r="M137" s="245" t="s">
        <v>391</v>
      </c>
      <c r="N137" s="101">
        <v>0</v>
      </c>
      <c r="O137" s="101" t="s">
        <v>392</v>
      </c>
      <c r="P137" s="101">
        <v>0</v>
      </c>
      <c r="Q137" s="101">
        <v>0</v>
      </c>
      <c r="R137" s="101" t="s">
        <v>422</v>
      </c>
      <c r="S137" s="101" t="s">
        <v>617</v>
      </c>
      <c r="T137" s="101" t="s">
        <v>394</v>
      </c>
      <c r="U137" s="101" t="s">
        <v>90</v>
      </c>
      <c r="V137" s="245">
        <v>13728</v>
      </c>
      <c r="W137" s="101" t="s">
        <v>445</v>
      </c>
      <c r="X137" s="101" t="s">
        <v>76</v>
      </c>
      <c r="Y137" s="101" t="s">
        <v>392</v>
      </c>
      <c r="Z137" s="101" t="s">
        <v>412</v>
      </c>
      <c r="AA137" s="101" t="s">
        <v>618</v>
      </c>
      <c r="AB137" s="101">
        <v>3101054097</v>
      </c>
      <c r="AC137" s="101" t="s">
        <v>414</v>
      </c>
      <c r="AD137" s="101" t="s">
        <v>79</v>
      </c>
      <c r="AE137" s="101" t="s">
        <v>75</v>
      </c>
      <c r="AF137" s="101" t="s">
        <v>400</v>
      </c>
      <c r="AI137" s="101" t="s">
        <v>172</v>
      </c>
    </row>
    <row r="138" spans="1:35">
      <c r="A138" s="246" t="s">
        <v>111</v>
      </c>
      <c r="B138" s="246" t="s">
        <v>66</v>
      </c>
      <c r="C138" s="246" t="s">
        <v>126</v>
      </c>
      <c r="D138" s="246" t="s">
        <v>273</v>
      </c>
      <c r="E138" s="246"/>
      <c r="F138" s="246"/>
      <c r="G138" s="132" t="s">
        <v>616</v>
      </c>
      <c r="H138" s="132" t="s">
        <v>1032</v>
      </c>
      <c r="I138" s="132">
        <v>-133391.65999999997</v>
      </c>
      <c r="J138" s="101" t="s">
        <v>889</v>
      </c>
      <c r="K138" s="245" t="s">
        <v>390</v>
      </c>
      <c r="L138" s="245">
        <v>42762</v>
      </c>
      <c r="M138" s="245" t="s">
        <v>391</v>
      </c>
      <c r="N138" s="101">
        <v>0</v>
      </c>
      <c r="O138" s="101" t="s">
        <v>392</v>
      </c>
      <c r="P138" s="101">
        <v>0</v>
      </c>
      <c r="Q138" s="101">
        <v>0</v>
      </c>
      <c r="R138" s="101" t="s">
        <v>422</v>
      </c>
      <c r="S138" s="101" t="s">
        <v>617</v>
      </c>
      <c r="T138" s="101" t="s">
        <v>394</v>
      </c>
      <c r="U138" s="101" t="s">
        <v>90</v>
      </c>
      <c r="V138" s="245">
        <v>13728</v>
      </c>
      <c r="W138" s="101" t="s">
        <v>445</v>
      </c>
      <c r="X138" s="101" t="s">
        <v>76</v>
      </c>
      <c r="Y138" s="101" t="s">
        <v>392</v>
      </c>
      <c r="Z138" s="101" t="s">
        <v>412</v>
      </c>
      <c r="AA138" s="101" t="s">
        <v>618</v>
      </c>
      <c r="AB138" s="101">
        <v>3101054097</v>
      </c>
      <c r="AC138" s="101" t="s">
        <v>414</v>
      </c>
      <c r="AD138" s="101" t="s">
        <v>79</v>
      </c>
      <c r="AE138" s="101" t="s">
        <v>75</v>
      </c>
      <c r="AF138" s="101" t="s">
        <v>400</v>
      </c>
      <c r="AI138" s="101" t="s">
        <v>172</v>
      </c>
    </row>
    <row r="139" spans="1:35">
      <c r="A139" s="246" t="s">
        <v>112</v>
      </c>
      <c r="B139" s="246" t="s">
        <v>66</v>
      </c>
      <c r="C139" s="246" t="s">
        <v>126</v>
      </c>
      <c r="D139" s="246" t="s">
        <v>270</v>
      </c>
      <c r="E139" s="246"/>
      <c r="F139" s="246"/>
      <c r="G139" s="132" t="s">
        <v>616</v>
      </c>
      <c r="H139" s="132" t="s">
        <v>1032</v>
      </c>
      <c r="I139" s="132">
        <v>-133391.65999999997</v>
      </c>
      <c r="J139" s="101" t="s">
        <v>889</v>
      </c>
      <c r="K139" s="245" t="s">
        <v>390</v>
      </c>
      <c r="L139" s="245">
        <v>42943</v>
      </c>
      <c r="M139" s="245" t="s">
        <v>391</v>
      </c>
      <c r="N139" s="101">
        <v>0</v>
      </c>
      <c r="O139" s="101" t="s">
        <v>392</v>
      </c>
      <c r="P139" s="101">
        <v>0</v>
      </c>
      <c r="Q139" s="101">
        <v>0</v>
      </c>
      <c r="R139" s="101" t="s">
        <v>422</v>
      </c>
      <c r="S139" s="101" t="s">
        <v>617</v>
      </c>
      <c r="T139" s="101" t="s">
        <v>394</v>
      </c>
      <c r="U139" s="101" t="s">
        <v>90</v>
      </c>
      <c r="V139" s="245">
        <v>13728</v>
      </c>
      <c r="W139" s="101" t="s">
        <v>445</v>
      </c>
      <c r="X139" s="101" t="s">
        <v>76</v>
      </c>
      <c r="Y139" s="101" t="s">
        <v>392</v>
      </c>
      <c r="Z139" s="101" t="s">
        <v>412</v>
      </c>
      <c r="AA139" s="101" t="s">
        <v>618</v>
      </c>
      <c r="AB139" s="101">
        <v>3101054097</v>
      </c>
      <c r="AC139" s="101" t="s">
        <v>414</v>
      </c>
      <c r="AD139" s="101" t="s">
        <v>79</v>
      </c>
      <c r="AE139" s="101" t="s">
        <v>75</v>
      </c>
      <c r="AF139" s="101" t="s">
        <v>400</v>
      </c>
      <c r="AI139" s="101" t="s">
        <v>172</v>
      </c>
    </row>
    <row r="140" spans="1:35">
      <c r="A140" s="246" t="s">
        <v>113</v>
      </c>
      <c r="B140" s="246" t="s">
        <v>66</v>
      </c>
      <c r="C140" s="246" t="s">
        <v>126</v>
      </c>
      <c r="D140" s="246" t="s">
        <v>271</v>
      </c>
      <c r="E140" s="246"/>
      <c r="F140" s="246"/>
      <c r="G140" s="132" t="s">
        <v>616</v>
      </c>
      <c r="H140" s="132" t="s">
        <v>1032</v>
      </c>
      <c r="I140" s="132">
        <v>-133391.65999999997</v>
      </c>
      <c r="J140" s="101" t="s">
        <v>889</v>
      </c>
      <c r="K140" s="245" t="s">
        <v>390</v>
      </c>
      <c r="L140" s="245">
        <v>43129</v>
      </c>
      <c r="M140" s="245" t="s">
        <v>391</v>
      </c>
      <c r="N140" s="101">
        <v>0</v>
      </c>
      <c r="O140" s="101" t="s">
        <v>392</v>
      </c>
      <c r="P140" s="101">
        <v>0</v>
      </c>
      <c r="Q140" s="101">
        <v>0</v>
      </c>
      <c r="R140" s="101" t="s">
        <v>422</v>
      </c>
      <c r="S140" s="101" t="s">
        <v>617</v>
      </c>
      <c r="T140" s="101" t="s">
        <v>394</v>
      </c>
      <c r="U140" s="101" t="s">
        <v>90</v>
      </c>
      <c r="V140" s="245">
        <v>13728</v>
      </c>
      <c r="W140" s="101" t="s">
        <v>445</v>
      </c>
      <c r="X140" s="101" t="s">
        <v>76</v>
      </c>
      <c r="Y140" s="101" t="s">
        <v>392</v>
      </c>
      <c r="Z140" s="101" t="s">
        <v>412</v>
      </c>
      <c r="AA140" s="101" t="s">
        <v>618</v>
      </c>
      <c r="AB140" s="101">
        <v>3101054097</v>
      </c>
      <c r="AC140" s="101" t="s">
        <v>414</v>
      </c>
      <c r="AD140" s="101" t="s">
        <v>79</v>
      </c>
      <c r="AE140" s="101" t="s">
        <v>75</v>
      </c>
      <c r="AF140" s="101" t="s">
        <v>400</v>
      </c>
      <c r="AI140" s="101" t="s">
        <v>172</v>
      </c>
    </row>
    <row r="141" spans="1:35">
      <c r="A141" s="246" t="s">
        <v>109</v>
      </c>
      <c r="B141" s="246" t="s">
        <v>66</v>
      </c>
      <c r="C141" s="246" t="s">
        <v>126</v>
      </c>
      <c r="D141" s="246" t="s">
        <v>272</v>
      </c>
      <c r="E141" s="246"/>
      <c r="F141" s="246"/>
      <c r="G141" s="132">
        <v>167500</v>
      </c>
      <c r="H141" s="132" t="s">
        <v>1033</v>
      </c>
      <c r="I141" s="132">
        <v>167499.99999999997</v>
      </c>
      <c r="J141" s="101" t="s">
        <v>889</v>
      </c>
      <c r="K141" s="245" t="s">
        <v>390</v>
      </c>
      <c r="L141" s="245">
        <v>42536</v>
      </c>
      <c r="M141" s="245" t="s">
        <v>391</v>
      </c>
      <c r="N141" s="101">
        <v>0</v>
      </c>
      <c r="O141" s="101" t="s">
        <v>392</v>
      </c>
      <c r="P141" s="101">
        <v>0</v>
      </c>
      <c r="Q141" s="101">
        <v>0</v>
      </c>
      <c r="R141" s="101" t="s">
        <v>450</v>
      </c>
      <c r="S141" s="101">
        <v>193021</v>
      </c>
      <c r="T141" s="101" t="s">
        <v>394</v>
      </c>
      <c r="V141" s="245">
        <v>42536</v>
      </c>
      <c r="W141" s="101" t="s">
        <v>441</v>
      </c>
      <c r="X141" s="101" t="s">
        <v>76</v>
      </c>
      <c r="Y141" s="101" t="s">
        <v>392</v>
      </c>
      <c r="Z141" s="101" t="s">
        <v>430</v>
      </c>
      <c r="AA141" s="101" t="s">
        <v>531</v>
      </c>
      <c r="AB141" s="101">
        <v>3101053435</v>
      </c>
      <c r="AC141" s="101" t="s">
        <v>431</v>
      </c>
      <c r="AD141" s="101" t="s">
        <v>431</v>
      </c>
      <c r="AE141" s="101" t="s">
        <v>75</v>
      </c>
      <c r="AF141" s="101" t="s">
        <v>400</v>
      </c>
      <c r="AG141" s="101" t="s">
        <v>532</v>
      </c>
      <c r="AI141" s="101" t="s">
        <v>760</v>
      </c>
    </row>
    <row r="142" spans="1:35">
      <c r="A142" s="246" t="s">
        <v>109</v>
      </c>
      <c r="B142" s="246" t="s">
        <v>66</v>
      </c>
      <c r="C142" s="246" t="s">
        <v>116</v>
      </c>
      <c r="D142" s="246" t="s">
        <v>338</v>
      </c>
      <c r="E142" s="246"/>
      <c r="F142" s="246"/>
      <c r="G142" s="132">
        <v>67000000</v>
      </c>
      <c r="H142" s="132" t="s">
        <v>1034</v>
      </c>
      <c r="I142" s="132">
        <v>66999999.999999993</v>
      </c>
      <c r="J142" s="101" t="s">
        <v>889</v>
      </c>
      <c r="K142" s="245" t="s">
        <v>390</v>
      </c>
      <c r="L142" s="245">
        <v>42536</v>
      </c>
      <c r="M142" s="245" t="s">
        <v>421</v>
      </c>
      <c r="N142" s="101">
        <v>0</v>
      </c>
      <c r="O142" s="101" t="s">
        <v>392</v>
      </c>
      <c r="P142" s="101">
        <v>0</v>
      </c>
      <c r="Q142" s="101">
        <v>0</v>
      </c>
      <c r="R142" s="101" t="s">
        <v>450</v>
      </c>
      <c r="S142" s="101">
        <v>193021</v>
      </c>
      <c r="T142" s="101" t="s">
        <v>394</v>
      </c>
      <c r="V142" s="245">
        <v>42536</v>
      </c>
      <c r="W142" s="101" t="s">
        <v>441</v>
      </c>
      <c r="X142" s="101" t="s">
        <v>76</v>
      </c>
      <c r="Y142" s="101" t="s">
        <v>392</v>
      </c>
      <c r="Z142" s="101" t="s">
        <v>430</v>
      </c>
      <c r="AA142" s="101" t="s">
        <v>531</v>
      </c>
      <c r="AB142" s="101">
        <v>3101053435</v>
      </c>
      <c r="AC142" s="101" t="s">
        <v>431</v>
      </c>
      <c r="AD142" s="101" t="s">
        <v>431</v>
      </c>
      <c r="AE142" s="101" t="s">
        <v>75</v>
      </c>
      <c r="AF142" s="101" t="s">
        <v>400</v>
      </c>
      <c r="AG142" s="101" t="s">
        <v>532</v>
      </c>
      <c r="AI142" s="101" t="s">
        <v>760</v>
      </c>
    </row>
    <row r="143" spans="1:35">
      <c r="A143" s="246" t="s">
        <v>103</v>
      </c>
      <c r="B143" s="246" t="s">
        <v>66</v>
      </c>
      <c r="C143" s="246" t="s">
        <v>126</v>
      </c>
      <c r="D143" s="246" t="s">
        <v>1774</v>
      </c>
      <c r="E143" s="246"/>
      <c r="F143" s="246"/>
      <c r="G143" s="132">
        <v>2187500</v>
      </c>
      <c r="H143" s="132" t="s">
        <v>1035</v>
      </c>
      <c r="I143" s="132">
        <v>2187500</v>
      </c>
      <c r="J143" s="101" t="s">
        <v>889</v>
      </c>
      <c r="K143" s="245" t="s">
        <v>390</v>
      </c>
      <c r="L143" s="245">
        <v>42506</v>
      </c>
      <c r="M143" s="245" t="s">
        <v>391</v>
      </c>
      <c r="N143" s="101">
        <v>0</v>
      </c>
      <c r="O143" s="101" t="s">
        <v>392</v>
      </c>
      <c r="P143" s="101">
        <v>0</v>
      </c>
      <c r="Q143" s="101">
        <v>0</v>
      </c>
      <c r="R143" s="101" t="s">
        <v>438</v>
      </c>
      <c r="S143" s="101">
        <v>148891</v>
      </c>
      <c r="T143" s="101" t="s">
        <v>394</v>
      </c>
      <c r="V143" s="245">
        <v>47253</v>
      </c>
      <c r="W143" s="101" t="s">
        <v>424</v>
      </c>
      <c r="X143" s="101" t="s">
        <v>76</v>
      </c>
      <c r="Y143" s="101" t="s">
        <v>392</v>
      </c>
      <c r="Z143" s="101" t="s">
        <v>430</v>
      </c>
      <c r="AA143" s="101" t="s">
        <v>397</v>
      </c>
      <c r="AB143" s="101">
        <v>5101000018</v>
      </c>
      <c r="AC143" s="101" t="s">
        <v>431</v>
      </c>
      <c r="AD143" s="101" t="s">
        <v>431</v>
      </c>
      <c r="AE143" s="101" t="s">
        <v>75</v>
      </c>
      <c r="AF143" s="101" t="s">
        <v>400</v>
      </c>
      <c r="AG143" s="101" t="s">
        <v>427</v>
      </c>
      <c r="AI143" s="101" t="s">
        <v>760</v>
      </c>
    </row>
    <row r="144" spans="1:35">
      <c r="A144" s="246" t="s">
        <v>111</v>
      </c>
      <c r="B144" s="246" t="s">
        <v>66</v>
      </c>
      <c r="C144" s="246" t="s">
        <v>126</v>
      </c>
      <c r="D144" s="246" t="s">
        <v>273</v>
      </c>
      <c r="E144" s="246"/>
      <c r="F144" s="246"/>
      <c r="G144" s="132">
        <v>2187500</v>
      </c>
      <c r="H144" s="132" t="s">
        <v>1035</v>
      </c>
      <c r="I144" s="132">
        <v>2187500</v>
      </c>
      <c r="J144" s="101" t="s">
        <v>889</v>
      </c>
      <c r="K144" s="245" t="s">
        <v>390</v>
      </c>
      <c r="L144" s="245">
        <v>42689</v>
      </c>
      <c r="M144" s="245" t="s">
        <v>391</v>
      </c>
      <c r="N144" s="101">
        <v>0</v>
      </c>
      <c r="O144" s="101" t="s">
        <v>392</v>
      </c>
      <c r="P144" s="101">
        <v>0</v>
      </c>
      <c r="Q144" s="101">
        <v>0</v>
      </c>
      <c r="R144" s="101" t="s">
        <v>438</v>
      </c>
      <c r="S144" s="101">
        <v>148891</v>
      </c>
      <c r="T144" s="101" t="s">
        <v>394</v>
      </c>
      <c r="V144" s="245">
        <v>47253</v>
      </c>
      <c r="W144" s="101" t="s">
        <v>424</v>
      </c>
      <c r="X144" s="101" t="s">
        <v>76</v>
      </c>
      <c r="Y144" s="101" t="s">
        <v>392</v>
      </c>
      <c r="Z144" s="101" t="s">
        <v>430</v>
      </c>
      <c r="AA144" s="101" t="s">
        <v>397</v>
      </c>
      <c r="AB144" s="101">
        <v>5101000018</v>
      </c>
      <c r="AC144" s="101" t="s">
        <v>431</v>
      </c>
      <c r="AD144" s="101" t="s">
        <v>431</v>
      </c>
      <c r="AE144" s="101" t="s">
        <v>75</v>
      </c>
      <c r="AF144" s="101" t="s">
        <v>400</v>
      </c>
      <c r="AG144" s="101" t="s">
        <v>427</v>
      </c>
      <c r="AI144" s="101" t="s">
        <v>760</v>
      </c>
    </row>
    <row r="145" spans="1:35">
      <c r="A145" s="246" t="s">
        <v>112</v>
      </c>
      <c r="B145" s="246" t="s">
        <v>66</v>
      </c>
      <c r="C145" s="246" t="s">
        <v>126</v>
      </c>
      <c r="D145" s="246" t="s">
        <v>270</v>
      </c>
      <c r="E145" s="246"/>
      <c r="F145" s="246"/>
      <c r="G145" s="132">
        <v>2187500</v>
      </c>
      <c r="H145" s="132" t="s">
        <v>1035</v>
      </c>
      <c r="I145" s="132">
        <v>2187500</v>
      </c>
      <c r="J145" s="101" t="s">
        <v>889</v>
      </c>
      <c r="K145" s="245" t="s">
        <v>390</v>
      </c>
      <c r="L145" s="245">
        <v>42870</v>
      </c>
      <c r="M145" s="245" t="s">
        <v>391</v>
      </c>
      <c r="N145" s="101">
        <v>0</v>
      </c>
      <c r="O145" s="101" t="s">
        <v>392</v>
      </c>
      <c r="P145" s="101">
        <v>0</v>
      </c>
      <c r="Q145" s="101">
        <v>0</v>
      </c>
      <c r="R145" s="101" t="s">
        <v>438</v>
      </c>
      <c r="S145" s="101">
        <v>148891</v>
      </c>
      <c r="T145" s="101" t="s">
        <v>394</v>
      </c>
      <c r="V145" s="245">
        <v>47253</v>
      </c>
      <c r="W145" s="101" t="s">
        <v>424</v>
      </c>
      <c r="X145" s="101" t="s">
        <v>76</v>
      </c>
      <c r="Y145" s="101" t="s">
        <v>392</v>
      </c>
      <c r="Z145" s="101" t="s">
        <v>430</v>
      </c>
      <c r="AA145" s="101" t="s">
        <v>397</v>
      </c>
      <c r="AB145" s="101">
        <v>5101000018</v>
      </c>
      <c r="AC145" s="101" t="s">
        <v>431</v>
      </c>
      <c r="AD145" s="101" t="s">
        <v>431</v>
      </c>
      <c r="AE145" s="101" t="s">
        <v>75</v>
      </c>
      <c r="AF145" s="101" t="s">
        <v>400</v>
      </c>
      <c r="AG145" s="101" t="s">
        <v>427</v>
      </c>
      <c r="AI145" s="101" t="s">
        <v>760</v>
      </c>
    </row>
    <row r="146" spans="1:35">
      <c r="A146" s="246" t="s">
        <v>113</v>
      </c>
      <c r="B146" s="246" t="s">
        <v>66</v>
      </c>
      <c r="C146" s="246" t="s">
        <v>126</v>
      </c>
      <c r="D146" s="246" t="s">
        <v>271</v>
      </c>
      <c r="E146" s="246"/>
      <c r="F146" s="246"/>
      <c r="G146" s="132">
        <v>2187500</v>
      </c>
      <c r="H146" s="132" t="s">
        <v>1035</v>
      </c>
      <c r="I146" s="132">
        <v>2187500</v>
      </c>
      <c r="J146" s="101" t="s">
        <v>889</v>
      </c>
      <c r="K146" s="245" t="s">
        <v>390</v>
      </c>
      <c r="L146" s="245">
        <v>43054</v>
      </c>
      <c r="M146" s="245" t="s">
        <v>391</v>
      </c>
      <c r="N146" s="101">
        <v>0</v>
      </c>
      <c r="O146" s="101" t="s">
        <v>392</v>
      </c>
      <c r="P146" s="101">
        <v>0</v>
      </c>
      <c r="Q146" s="101">
        <v>0</v>
      </c>
      <c r="R146" s="101" t="s">
        <v>438</v>
      </c>
      <c r="S146" s="101">
        <v>148891</v>
      </c>
      <c r="T146" s="101" t="s">
        <v>394</v>
      </c>
      <c r="V146" s="245">
        <v>47253</v>
      </c>
      <c r="W146" s="101" t="s">
        <v>424</v>
      </c>
      <c r="X146" s="101" t="s">
        <v>76</v>
      </c>
      <c r="Y146" s="101" t="s">
        <v>392</v>
      </c>
      <c r="Z146" s="101" t="s">
        <v>430</v>
      </c>
      <c r="AA146" s="101" t="s">
        <v>397</v>
      </c>
      <c r="AB146" s="101">
        <v>5101000018</v>
      </c>
      <c r="AC146" s="101" t="s">
        <v>431</v>
      </c>
      <c r="AD146" s="101" t="s">
        <v>431</v>
      </c>
      <c r="AE146" s="101" t="s">
        <v>75</v>
      </c>
      <c r="AF146" s="101" t="s">
        <v>400</v>
      </c>
      <c r="AG146" s="101" t="s">
        <v>427</v>
      </c>
      <c r="AI146" s="101" t="s">
        <v>760</v>
      </c>
    </row>
    <row r="147" spans="1:35">
      <c r="A147" s="246" t="s">
        <v>103</v>
      </c>
      <c r="B147" s="246" t="s">
        <v>78</v>
      </c>
      <c r="C147" s="246" t="s">
        <v>126</v>
      </c>
      <c r="D147" s="246" t="s">
        <v>886</v>
      </c>
      <c r="E147" s="246" t="s">
        <v>887</v>
      </c>
      <c r="F147" s="246"/>
      <c r="G147" s="132">
        <v>-34375</v>
      </c>
      <c r="H147" s="132" t="s">
        <v>1036</v>
      </c>
      <c r="I147" s="132">
        <v>-34375</v>
      </c>
      <c r="J147" s="101" t="s">
        <v>889</v>
      </c>
      <c r="K147" s="245" t="s">
        <v>390</v>
      </c>
      <c r="L147" s="245">
        <v>42506</v>
      </c>
      <c r="M147" s="245" t="s">
        <v>391</v>
      </c>
      <c r="N147" s="101">
        <v>0</v>
      </c>
      <c r="O147" s="101" t="s">
        <v>392</v>
      </c>
      <c r="P147" s="101">
        <v>0</v>
      </c>
      <c r="Q147" s="101">
        <v>0</v>
      </c>
      <c r="R147" s="101" t="s">
        <v>438</v>
      </c>
      <c r="S147" s="101">
        <v>194030</v>
      </c>
      <c r="T147" s="101" t="s">
        <v>394</v>
      </c>
      <c r="V147" s="245">
        <v>47253</v>
      </c>
      <c r="W147" s="101" t="s">
        <v>424</v>
      </c>
      <c r="X147" s="101" t="s">
        <v>76</v>
      </c>
      <c r="Y147" s="101" t="s">
        <v>392</v>
      </c>
      <c r="Z147" s="101" t="s">
        <v>430</v>
      </c>
      <c r="AA147" s="101" t="s">
        <v>78</v>
      </c>
      <c r="AB147" s="101">
        <v>4101000279</v>
      </c>
      <c r="AC147" s="101" t="s">
        <v>431</v>
      </c>
      <c r="AD147" s="101" t="s">
        <v>431</v>
      </c>
      <c r="AE147" s="101" t="s">
        <v>75</v>
      </c>
      <c r="AF147" s="101" t="s">
        <v>400</v>
      </c>
      <c r="AG147" s="101" t="s">
        <v>427</v>
      </c>
      <c r="AI147" s="101" t="s">
        <v>760</v>
      </c>
    </row>
    <row r="148" spans="1:35">
      <c r="A148" s="246" t="s">
        <v>111</v>
      </c>
      <c r="B148" s="246" t="s">
        <v>78</v>
      </c>
      <c r="C148" s="246" t="s">
        <v>126</v>
      </c>
      <c r="D148" s="246" t="s">
        <v>768</v>
      </c>
      <c r="E148" s="246" t="s">
        <v>769</v>
      </c>
      <c r="F148" s="246"/>
      <c r="G148" s="132">
        <v>-34375</v>
      </c>
      <c r="H148" s="132" t="s">
        <v>1036</v>
      </c>
      <c r="I148" s="132">
        <v>-34375</v>
      </c>
      <c r="J148" s="101" t="s">
        <v>889</v>
      </c>
      <c r="K148" s="245" t="s">
        <v>390</v>
      </c>
      <c r="L148" s="245">
        <v>42689</v>
      </c>
      <c r="M148" s="245" t="s">
        <v>391</v>
      </c>
      <c r="N148" s="101">
        <v>0</v>
      </c>
      <c r="O148" s="101" t="s">
        <v>392</v>
      </c>
      <c r="P148" s="101">
        <v>0</v>
      </c>
      <c r="Q148" s="101">
        <v>0</v>
      </c>
      <c r="R148" s="101" t="s">
        <v>438</v>
      </c>
      <c r="S148" s="101">
        <v>194030</v>
      </c>
      <c r="T148" s="101" t="s">
        <v>394</v>
      </c>
      <c r="V148" s="245">
        <v>47253</v>
      </c>
      <c r="W148" s="101" t="s">
        <v>424</v>
      </c>
      <c r="X148" s="101" t="s">
        <v>76</v>
      </c>
      <c r="Y148" s="101" t="s">
        <v>392</v>
      </c>
      <c r="Z148" s="101" t="s">
        <v>430</v>
      </c>
      <c r="AA148" s="101" t="s">
        <v>78</v>
      </c>
      <c r="AB148" s="101">
        <v>4101000279</v>
      </c>
      <c r="AC148" s="101" t="s">
        <v>431</v>
      </c>
      <c r="AD148" s="101" t="s">
        <v>431</v>
      </c>
      <c r="AE148" s="101" t="s">
        <v>75</v>
      </c>
      <c r="AF148" s="101" t="s">
        <v>400</v>
      </c>
      <c r="AG148" s="101" t="s">
        <v>427</v>
      </c>
      <c r="AI148" s="101" t="s">
        <v>760</v>
      </c>
    </row>
    <row r="149" spans="1:35">
      <c r="A149" s="246" t="s">
        <v>112</v>
      </c>
      <c r="B149" s="246" t="s">
        <v>78</v>
      </c>
      <c r="C149" s="246" t="s">
        <v>126</v>
      </c>
      <c r="D149" s="246" t="s">
        <v>341</v>
      </c>
      <c r="E149" s="246" t="s">
        <v>342</v>
      </c>
      <c r="F149" s="246"/>
      <c r="G149" s="132">
        <v>-34375</v>
      </c>
      <c r="H149" s="132" t="s">
        <v>1036</v>
      </c>
      <c r="I149" s="132">
        <v>-34375</v>
      </c>
      <c r="J149" s="101" t="s">
        <v>889</v>
      </c>
      <c r="K149" s="245" t="s">
        <v>390</v>
      </c>
      <c r="L149" s="245">
        <v>42870</v>
      </c>
      <c r="M149" s="245" t="s">
        <v>391</v>
      </c>
      <c r="N149" s="101">
        <v>0</v>
      </c>
      <c r="O149" s="101" t="s">
        <v>392</v>
      </c>
      <c r="P149" s="101">
        <v>0</v>
      </c>
      <c r="Q149" s="101">
        <v>0</v>
      </c>
      <c r="R149" s="101" t="s">
        <v>438</v>
      </c>
      <c r="S149" s="101">
        <v>194030</v>
      </c>
      <c r="T149" s="101" t="s">
        <v>394</v>
      </c>
      <c r="V149" s="245">
        <v>47253</v>
      </c>
      <c r="W149" s="101" t="s">
        <v>424</v>
      </c>
      <c r="X149" s="101" t="s">
        <v>76</v>
      </c>
      <c r="Y149" s="101" t="s">
        <v>392</v>
      </c>
      <c r="Z149" s="101" t="s">
        <v>430</v>
      </c>
      <c r="AA149" s="101" t="s">
        <v>78</v>
      </c>
      <c r="AB149" s="101">
        <v>4101000279</v>
      </c>
      <c r="AC149" s="101" t="s">
        <v>431</v>
      </c>
      <c r="AD149" s="101" t="s">
        <v>431</v>
      </c>
      <c r="AE149" s="101" t="s">
        <v>75</v>
      </c>
      <c r="AF149" s="101" t="s">
        <v>400</v>
      </c>
      <c r="AG149" s="101" t="s">
        <v>427</v>
      </c>
      <c r="AI149" s="101" t="s">
        <v>760</v>
      </c>
    </row>
    <row r="150" spans="1:35">
      <c r="A150" s="246" t="s">
        <v>113</v>
      </c>
      <c r="B150" s="246" t="s">
        <v>78</v>
      </c>
      <c r="C150" s="246" t="s">
        <v>126</v>
      </c>
      <c r="D150" s="246" t="s">
        <v>339</v>
      </c>
      <c r="E150" s="246" t="s">
        <v>340</v>
      </c>
      <c r="F150" s="246"/>
      <c r="G150" s="132">
        <v>-34375</v>
      </c>
      <c r="H150" s="132" t="s">
        <v>1036</v>
      </c>
      <c r="I150" s="132">
        <v>-34375</v>
      </c>
      <c r="J150" s="101" t="s">
        <v>889</v>
      </c>
      <c r="K150" s="245" t="s">
        <v>390</v>
      </c>
      <c r="L150" s="245">
        <v>43054</v>
      </c>
      <c r="M150" s="245" t="s">
        <v>391</v>
      </c>
      <c r="N150" s="101">
        <v>0</v>
      </c>
      <c r="O150" s="101" t="s">
        <v>392</v>
      </c>
      <c r="P150" s="101">
        <v>0</v>
      </c>
      <c r="Q150" s="101">
        <v>0</v>
      </c>
      <c r="R150" s="101" t="s">
        <v>438</v>
      </c>
      <c r="S150" s="101">
        <v>194030</v>
      </c>
      <c r="T150" s="101" t="s">
        <v>394</v>
      </c>
      <c r="V150" s="245">
        <v>47253</v>
      </c>
      <c r="W150" s="101" t="s">
        <v>424</v>
      </c>
      <c r="X150" s="101" t="s">
        <v>76</v>
      </c>
      <c r="Y150" s="101" t="s">
        <v>392</v>
      </c>
      <c r="Z150" s="101" t="s">
        <v>430</v>
      </c>
      <c r="AA150" s="101" t="s">
        <v>78</v>
      </c>
      <c r="AB150" s="101">
        <v>4101000279</v>
      </c>
      <c r="AC150" s="101" t="s">
        <v>431</v>
      </c>
      <c r="AD150" s="101" t="s">
        <v>431</v>
      </c>
      <c r="AE150" s="101" t="s">
        <v>75</v>
      </c>
      <c r="AF150" s="101" t="s">
        <v>400</v>
      </c>
      <c r="AG150" s="101" t="s">
        <v>427</v>
      </c>
      <c r="AI150" s="101" t="s">
        <v>760</v>
      </c>
    </row>
    <row r="151" spans="1:35">
      <c r="A151" s="246" t="s">
        <v>110</v>
      </c>
      <c r="B151" s="246" t="s">
        <v>66</v>
      </c>
      <c r="C151" s="246" t="s">
        <v>265</v>
      </c>
      <c r="D151" s="246" t="s">
        <v>283</v>
      </c>
      <c r="E151" s="246"/>
      <c r="F151" s="246"/>
      <c r="G151" s="132" t="s">
        <v>874</v>
      </c>
      <c r="H151" s="132" t="s">
        <v>1037</v>
      </c>
      <c r="I151" s="132">
        <v>35948.199999999997</v>
      </c>
      <c r="J151" s="101" t="s">
        <v>889</v>
      </c>
      <c r="K151" s="245" t="s">
        <v>390</v>
      </c>
      <c r="L151" s="245">
        <v>42608</v>
      </c>
      <c r="M151" s="245" t="s">
        <v>421</v>
      </c>
      <c r="N151" s="101">
        <v>0</v>
      </c>
      <c r="O151" s="101" t="s">
        <v>392</v>
      </c>
      <c r="P151" s="101">
        <v>0</v>
      </c>
      <c r="Q151" s="101">
        <v>0</v>
      </c>
      <c r="R151" s="101" t="s">
        <v>453</v>
      </c>
      <c r="S151" s="101" t="s">
        <v>473</v>
      </c>
      <c r="T151" s="101" t="s">
        <v>394</v>
      </c>
      <c r="U151" s="101" t="s">
        <v>85</v>
      </c>
      <c r="V151" s="245">
        <v>14854</v>
      </c>
      <c r="W151" s="101" t="s">
        <v>411</v>
      </c>
      <c r="X151" s="101" t="s">
        <v>77</v>
      </c>
      <c r="Y151" s="101" t="s">
        <v>392</v>
      </c>
      <c r="Z151" s="101" t="s">
        <v>412</v>
      </c>
      <c r="AA151" s="101" t="s">
        <v>474</v>
      </c>
      <c r="AB151" s="101">
        <v>101000310</v>
      </c>
      <c r="AC151" s="101" t="s">
        <v>414</v>
      </c>
      <c r="AD151" s="101" t="s">
        <v>79</v>
      </c>
      <c r="AE151" s="101" t="s">
        <v>75</v>
      </c>
      <c r="AF151" s="101" t="s">
        <v>400</v>
      </c>
      <c r="AI151" s="101" t="s">
        <v>190</v>
      </c>
    </row>
    <row r="152" spans="1:35">
      <c r="A152" s="246" t="s">
        <v>110</v>
      </c>
      <c r="B152" s="246" t="s">
        <v>66</v>
      </c>
      <c r="C152" s="246" t="s">
        <v>126</v>
      </c>
      <c r="D152" s="246" t="s">
        <v>281</v>
      </c>
      <c r="E152" s="246"/>
      <c r="F152" s="246"/>
      <c r="G152" s="132" t="s">
        <v>873</v>
      </c>
      <c r="H152" s="132" t="s">
        <v>1038</v>
      </c>
      <c r="I152" s="132">
        <v>-4333.9399999999996</v>
      </c>
      <c r="J152" s="101" t="s">
        <v>889</v>
      </c>
      <c r="K152" s="245" t="s">
        <v>390</v>
      </c>
      <c r="L152" s="245">
        <v>42614</v>
      </c>
      <c r="M152" s="245" t="s">
        <v>391</v>
      </c>
      <c r="N152" s="101">
        <v>0</v>
      </c>
      <c r="O152" s="101" t="s">
        <v>392</v>
      </c>
      <c r="P152" s="101">
        <v>0</v>
      </c>
      <c r="Q152" s="101">
        <v>0</v>
      </c>
      <c r="R152" s="101" t="s">
        <v>444</v>
      </c>
      <c r="S152" s="101" t="s">
        <v>473</v>
      </c>
      <c r="T152" s="101" t="s">
        <v>394</v>
      </c>
      <c r="U152" s="101" t="s">
        <v>85</v>
      </c>
      <c r="V152" s="245">
        <v>14854</v>
      </c>
      <c r="W152" s="101" t="s">
        <v>411</v>
      </c>
      <c r="X152" s="101" t="s">
        <v>77</v>
      </c>
      <c r="Y152" s="101" t="s">
        <v>392</v>
      </c>
      <c r="Z152" s="101" t="s">
        <v>412</v>
      </c>
      <c r="AA152" s="101" t="s">
        <v>474</v>
      </c>
      <c r="AB152" s="101">
        <v>101000310</v>
      </c>
      <c r="AC152" s="101" t="s">
        <v>414</v>
      </c>
      <c r="AD152" s="101" t="s">
        <v>79</v>
      </c>
      <c r="AE152" s="101" t="s">
        <v>75</v>
      </c>
      <c r="AF152" s="101" t="s">
        <v>400</v>
      </c>
      <c r="AI152" s="101" t="s">
        <v>190</v>
      </c>
    </row>
    <row r="153" spans="1:35">
      <c r="A153" s="246" t="s">
        <v>111</v>
      </c>
      <c r="B153" s="246" t="s">
        <v>66</v>
      </c>
      <c r="C153" s="246" t="s">
        <v>126</v>
      </c>
      <c r="D153" s="246" t="s">
        <v>273</v>
      </c>
      <c r="E153" s="246"/>
      <c r="F153" s="246"/>
      <c r="G153" s="132" t="s">
        <v>475</v>
      </c>
      <c r="H153" s="132" t="s">
        <v>1039</v>
      </c>
      <c r="I153" s="132">
        <v>-4404.33</v>
      </c>
      <c r="J153" s="101" t="s">
        <v>889</v>
      </c>
      <c r="K153" s="245" t="s">
        <v>390</v>
      </c>
      <c r="L153" s="245">
        <v>42795</v>
      </c>
      <c r="M153" s="245" t="s">
        <v>391</v>
      </c>
      <c r="N153" s="101">
        <v>0</v>
      </c>
      <c r="O153" s="101" t="s">
        <v>392</v>
      </c>
      <c r="P153" s="101">
        <v>0</v>
      </c>
      <c r="Q153" s="101">
        <v>0</v>
      </c>
      <c r="R153" s="101" t="s">
        <v>444</v>
      </c>
      <c r="S153" s="101" t="s">
        <v>473</v>
      </c>
      <c r="T153" s="101" t="s">
        <v>394</v>
      </c>
      <c r="U153" s="101" t="s">
        <v>85</v>
      </c>
      <c r="V153" s="245">
        <v>14854</v>
      </c>
      <c r="W153" s="101" t="s">
        <v>411</v>
      </c>
      <c r="X153" s="101" t="s">
        <v>77</v>
      </c>
      <c r="Y153" s="101" t="s">
        <v>392</v>
      </c>
      <c r="Z153" s="101" t="s">
        <v>412</v>
      </c>
      <c r="AA153" s="101" t="s">
        <v>474</v>
      </c>
      <c r="AB153" s="101">
        <v>101000310</v>
      </c>
      <c r="AC153" s="101" t="s">
        <v>414</v>
      </c>
      <c r="AD153" s="101" t="s">
        <v>79</v>
      </c>
      <c r="AE153" s="101" t="s">
        <v>75</v>
      </c>
      <c r="AF153" s="101" t="s">
        <v>400</v>
      </c>
      <c r="AI153" s="101" t="s">
        <v>190</v>
      </c>
    </row>
    <row r="154" spans="1:35">
      <c r="A154" s="246" t="s">
        <v>112</v>
      </c>
      <c r="B154" s="246" t="s">
        <v>66</v>
      </c>
      <c r="C154" s="246" t="s">
        <v>126</v>
      </c>
      <c r="D154" s="246" t="s">
        <v>270</v>
      </c>
      <c r="E154" s="246"/>
      <c r="F154" s="246"/>
      <c r="G154" s="132" t="s">
        <v>476</v>
      </c>
      <c r="H154" s="132" t="s">
        <v>1040</v>
      </c>
      <c r="I154" s="132">
        <v>-4477.33</v>
      </c>
      <c r="J154" s="101" t="s">
        <v>889</v>
      </c>
      <c r="K154" s="245" t="s">
        <v>390</v>
      </c>
      <c r="L154" s="245">
        <v>42979</v>
      </c>
      <c r="M154" s="245" t="s">
        <v>391</v>
      </c>
      <c r="N154" s="101">
        <v>0</v>
      </c>
      <c r="O154" s="101" t="s">
        <v>392</v>
      </c>
      <c r="P154" s="101">
        <v>0</v>
      </c>
      <c r="Q154" s="101">
        <v>0</v>
      </c>
      <c r="R154" s="101" t="s">
        <v>444</v>
      </c>
      <c r="S154" s="101" t="s">
        <v>473</v>
      </c>
      <c r="T154" s="101" t="s">
        <v>394</v>
      </c>
      <c r="U154" s="101" t="s">
        <v>85</v>
      </c>
      <c r="V154" s="245">
        <v>14854</v>
      </c>
      <c r="W154" s="101" t="s">
        <v>411</v>
      </c>
      <c r="X154" s="101" t="s">
        <v>77</v>
      </c>
      <c r="Y154" s="101" t="s">
        <v>392</v>
      </c>
      <c r="Z154" s="101" t="s">
        <v>412</v>
      </c>
      <c r="AA154" s="101" t="s">
        <v>474</v>
      </c>
      <c r="AB154" s="101">
        <v>101000310</v>
      </c>
      <c r="AC154" s="101" t="s">
        <v>414</v>
      </c>
      <c r="AD154" s="101" t="s">
        <v>79</v>
      </c>
      <c r="AE154" s="101" t="s">
        <v>75</v>
      </c>
      <c r="AF154" s="101" t="s">
        <v>400</v>
      </c>
      <c r="AI154" s="101" t="s">
        <v>190</v>
      </c>
    </row>
    <row r="155" spans="1:35">
      <c r="A155" s="246" t="s">
        <v>113</v>
      </c>
      <c r="B155" s="246" t="s">
        <v>66</v>
      </c>
      <c r="C155" s="246" t="s">
        <v>126</v>
      </c>
      <c r="D155" s="246" t="s">
        <v>271</v>
      </c>
      <c r="E155" s="246"/>
      <c r="F155" s="246"/>
      <c r="G155" s="132" t="s">
        <v>475</v>
      </c>
      <c r="H155" s="132" t="s">
        <v>1039</v>
      </c>
      <c r="I155" s="132">
        <v>-4404.33</v>
      </c>
      <c r="J155" s="101" t="s">
        <v>889</v>
      </c>
      <c r="K155" s="245" t="s">
        <v>390</v>
      </c>
      <c r="L155" s="245">
        <v>43160</v>
      </c>
      <c r="M155" s="245" t="s">
        <v>391</v>
      </c>
      <c r="N155" s="101">
        <v>0</v>
      </c>
      <c r="O155" s="101" t="s">
        <v>392</v>
      </c>
      <c r="P155" s="101">
        <v>0</v>
      </c>
      <c r="Q155" s="101">
        <v>0</v>
      </c>
      <c r="R155" s="101" t="s">
        <v>444</v>
      </c>
      <c r="S155" s="101" t="s">
        <v>473</v>
      </c>
      <c r="T155" s="101" t="s">
        <v>394</v>
      </c>
      <c r="U155" s="101" t="s">
        <v>85</v>
      </c>
      <c r="V155" s="245">
        <v>14854</v>
      </c>
      <c r="W155" s="101" t="s">
        <v>411</v>
      </c>
      <c r="X155" s="101" t="s">
        <v>77</v>
      </c>
      <c r="Y155" s="101" t="s">
        <v>392</v>
      </c>
      <c r="Z155" s="101" t="s">
        <v>412</v>
      </c>
      <c r="AA155" s="101" t="s">
        <v>474</v>
      </c>
      <c r="AB155" s="101">
        <v>101000310</v>
      </c>
      <c r="AC155" s="101" t="s">
        <v>414</v>
      </c>
      <c r="AD155" s="101" t="s">
        <v>79</v>
      </c>
      <c r="AE155" s="101" t="s">
        <v>75</v>
      </c>
      <c r="AF155" s="101" t="s">
        <v>400</v>
      </c>
      <c r="AI155" s="101" t="s">
        <v>190</v>
      </c>
    </row>
    <row r="156" spans="1:35">
      <c r="A156" s="246" t="s">
        <v>113</v>
      </c>
      <c r="B156" s="246" t="s">
        <v>66</v>
      </c>
      <c r="C156" s="246" t="s">
        <v>126</v>
      </c>
      <c r="D156" s="246" t="s">
        <v>271</v>
      </c>
      <c r="E156" s="246"/>
      <c r="F156" s="246" t="s">
        <v>279</v>
      </c>
      <c r="G156" s="132" t="s">
        <v>1041</v>
      </c>
      <c r="H156" s="132" t="s">
        <v>1042</v>
      </c>
      <c r="I156" s="132">
        <v>-25.71</v>
      </c>
      <c r="J156" s="101" t="s">
        <v>889</v>
      </c>
      <c r="K156" s="245" t="s">
        <v>390</v>
      </c>
      <c r="L156" s="245">
        <v>43098</v>
      </c>
      <c r="M156" s="245" t="s">
        <v>391</v>
      </c>
      <c r="N156" s="101">
        <v>0</v>
      </c>
      <c r="O156" s="101" t="s">
        <v>392</v>
      </c>
      <c r="P156" s="101">
        <v>0</v>
      </c>
      <c r="Q156" s="101">
        <v>0</v>
      </c>
      <c r="R156" s="101" t="s">
        <v>393</v>
      </c>
      <c r="S156" s="101" t="s">
        <v>630</v>
      </c>
      <c r="T156" s="101" t="s">
        <v>394</v>
      </c>
      <c r="V156" s="245">
        <v>46387</v>
      </c>
      <c r="W156" s="101" t="s">
        <v>395</v>
      </c>
      <c r="X156" s="101" t="s">
        <v>77</v>
      </c>
      <c r="Y156" s="101" t="s">
        <v>392</v>
      </c>
      <c r="Z156" s="101" t="s">
        <v>393</v>
      </c>
      <c r="AA156" s="101" t="s">
        <v>631</v>
      </c>
      <c r="AB156" s="101">
        <v>101000580</v>
      </c>
      <c r="AC156" s="101" t="s">
        <v>398</v>
      </c>
      <c r="AD156" s="101" t="s">
        <v>399</v>
      </c>
      <c r="AE156" s="101" t="s">
        <v>6</v>
      </c>
      <c r="AF156" s="101" t="s">
        <v>400</v>
      </c>
      <c r="AI156" s="101" t="s">
        <v>760</v>
      </c>
    </row>
    <row r="157" spans="1:35">
      <c r="A157" s="246" t="s">
        <v>113</v>
      </c>
      <c r="B157" s="246" t="s">
        <v>66</v>
      </c>
      <c r="C157" s="246" t="s">
        <v>126</v>
      </c>
      <c r="D157" s="246" t="s">
        <v>271</v>
      </c>
      <c r="E157" s="246"/>
      <c r="F157" s="246" t="s">
        <v>279</v>
      </c>
      <c r="G157" s="132" t="s">
        <v>1043</v>
      </c>
      <c r="H157" s="132" t="s">
        <v>1044</v>
      </c>
      <c r="I157" s="132">
        <v>-2317.27</v>
      </c>
      <c r="J157" s="101" t="s">
        <v>889</v>
      </c>
      <c r="K157" s="245" t="s">
        <v>390</v>
      </c>
      <c r="L157" s="245">
        <v>43188</v>
      </c>
      <c r="M157" s="245" t="s">
        <v>391</v>
      </c>
      <c r="N157" s="101">
        <v>0</v>
      </c>
      <c r="O157" s="101" t="s">
        <v>392</v>
      </c>
      <c r="P157" s="101">
        <v>0</v>
      </c>
      <c r="Q157" s="101">
        <v>0</v>
      </c>
      <c r="R157" s="101" t="s">
        <v>393</v>
      </c>
      <c r="S157" s="101" t="s">
        <v>630</v>
      </c>
      <c r="T157" s="101" t="s">
        <v>394</v>
      </c>
      <c r="V157" s="245">
        <v>46387</v>
      </c>
      <c r="W157" s="101" t="s">
        <v>395</v>
      </c>
      <c r="X157" s="101" t="s">
        <v>77</v>
      </c>
      <c r="Y157" s="101" t="s">
        <v>392</v>
      </c>
      <c r="Z157" s="101" t="s">
        <v>393</v>
      </c>
      <c r="AA157" s="101" t="s">
        <v>631</v>
      </c>
      <c r="AB157" s="101">
        <v>101000580</v>
      </c>
      <c r="AC157" s="101" t="s">
        <v>398</v>
      </c>
      <c r="AD157" s="101" t="s">
        <v>399</v>
      </c>
      <c r="AE157" s="101" t="s">
        <v>6</v>
      </c>
      <c r="AF157" s="101" t="s">
        <v>400</v>
      </c>
      <c r="AI157" s="101" t="s">
        <v>760</v>
      </c>
    </row>
    <row r="158" spans="1:35">
      <c r="A158" s="246" t="s">
        <v>113</v>
      </c>
      <c r="B158" s="246" t="s">
        <v>66</v>
      </c>
      <c r="C158" s="246" t="s">
        <v>126</v>
      </c>
      <c r="D158" s="246" t="s">
        <v>271</v>
      </c>
      <c r="E158" s="246"/>
      <c r="F158" s="246" t="s">
        <v>279</v>
      </c>
      <c r="G158" s="132" t="s">
        <v>401</v>
      </c>
      <c r="H158" s="132" t="s">
        <v>1045</v>
      </c>
      <c r="I158" s="132">
        <v>169.53</v>
      </c>
      <c r="J158" s="101" t="s">
        <v>889</v>
      </c>
      <c r="K158" s="245" t="s">
        <v>390</v>
      </c>
      <c r="L158" s="245">
        <v>43098</v>
      </c>
      <c r="M158" s="245" t="s">
        <v>391</v>
      </c>
      <c r="N158" s="101">
        <v>0</v>
      </c>
      <c r="O158" s="101" t="s">
        <v>392</v>
      </c>
      <c r="P158" s="101">
        <v>0</v>
      </c>
      <c r="Q158" s="101">
        <v>0</v>
      </c>
      <c r="R158" s="101" t="s">
        <v>393</v>
      </c>
      <c r="S158" s="101" t="s">
        <v>630</v>
      </c>
      <c r="T158" s="101" t="s">
        <v>394</v>
      </c>
      <c r="V158" s="245">
        <v>46387</v>
      </c>
      <c r="W158" s="101" t="s">
        <v>395</v>
      </c>
      <c r="X158" s="101" t="s">
        <v>77</v>
      </c>
      <c r="Y158" s="101" t="s">
        <v>392</v>
      </c>
      <c r="Z158" s="101" t="s">
        <v>393</v>
      </c>
      <c r="AA158" s="101" t="s">
        <v>631</v>
      </c>
      <c r="AB158" s="101">
        <v>101000580</v>
      </c>
      <c r="AC158" s="101" t="s">
        <v>398</v>
      </c>
      <c r="AD158" s="101" t="s">
        <v>399</v>
      </c>
      <c r="AE158" s="101" t="s">
        <v>6</v>
      </c>
      <c r="AF158" s="101" t="s">
        <v>400</v>
      </c>
      <c r="AI158" s="101" t="s">
        <v>760</v>
      </c>
    </row>
    <row r="159" spans="1:35">
      <c r="A159" s="246" t="s">
        <v>107</v>
      </c>
      <c r="B159" s="246" t="s">
        <v>78</v>
      </c>
      <c r="C159" s="246" t="s">
        <v>126</v>
      </c>
      <c r="D159" s="246" t="s">
        <v>772</v>
      </c>
      <c r="E159" s="246" t="s">
        <v>773</v>
      </c>
      <c r="F159" s="246" t="s">
        <v>334</v>
      </c>
      <c r="G159" s="132" t="s">
        <v>826</v>
      </c>
      <c r="H159" s="132" t="s">
        <v>1046</v>
      </c>
      <c r="I159" s="132">
        <v>536.09</v>
      </c>
      <c r="J159" s="101" t="s">
        <v>889</v>
      </c>
      <c r="K159" s="245" t="s">
        <v>390</v>
      </c>
      <c r="L159" s="245">
        <v>42521</v>
      </c>
      <c r="M159" s="245" t="s">
        <v>391</v>
      </c>
      <c r="N159" s="101">
        <v>0</v>
      </c>
      <c r="O159" s="101" t="s">
        <v>392</v>
      </c>
      <c r="P159" s="101">
        <v>0</v>
      </c>
      <c r="Q159" s="101">
        <v>0</v>
      </c>
      <c r="R159" s="101" t="s">
        <v>393</v>
      </c>
      <c r="S159" s="101" t="s">
        <v>818</v>
      </c>
      <c r="T159" s="101" t="s">
        <v>394</v>
      </c>
      <c r="V159" s="245">
        <v>14248</v>
      </c>
      <c r="W159" s="101" t="s">
        <v>395</v>
      </c>
      <c r="X159" s="101" t="s">
        <v>795</v>
      </c>
      <c r="Y159" s="101" t="s">
        <v>396</v>
      </c>
      <c r="Z159" s="101" t="s">
        <v>402</v>
      </c>
      <c r="AA159" s="101" t="s">
        <v>78</v>
      </c>
      <c r="AB159" s="101">
        <v>4101000279</v>
      </c>
      <c r="AC159" s="101" t="s">
        <v>398</v>
      </c>
      <c r="AD159" s="101" t="s">
        <v>403</v>
      </c>
      <c r="AE159" s="101" t="s">
        <v>6</v>
      </c>
      <c r="AF159" s="101" t="s">
        <v>400</v>
      </c>
      <c r="AI159" s="101" t="s">
        <v>760</v>
      </c>
    </row>
    <row r="160" spans="1:35">
      <c r="A160" s="246" t="s">
        <v>109</v>
      </c>
      <c r="B160" s="246" t="s">
        <v>78</v>
      </c>
      <c r="C160" s="246" t="s">
        <v>126</v>
      </c>
      <c r="D160" s="246" t="s">
        <v>337</v>
      </c>
      <c r="E160" s="246" t="s">
        <v>336</v>
      </c>
      <c r="F160" s="246" t="s">
        <v>275</v>
      </c>
      <c r="G160" s="132" t="s">
        <v>1047</v>
      </c>
      <c r="H160" s="132" t="s">
        <v>1048</v>
      </c>
      <c r="I160" s="132">
        <v>480.94</v>
      </c>
      <c r="J160" s="101" t="s">
        <v>889</v>
      </c>
      <c r="K160" s="245" t="s">
        <v>390</v>
      </c>
      <c r="L160" s="245">
        <v>42551</v>
      </c>
      <c r="M160" s="245" t="s">
        <v>391</v>
      </c>
      <c r="N160" s="101">
        <v>0</v>
      </c>
      <c r="O160" s="101" t="s">
        <v>392</v>
      </c>
      <c r="P160" s="101">
        <v>0</v>
      </c>
      <c r="Q160" s="101">
        <v>0</v>
      </c>
      <c r="R160" s="101" t="s">
        <v>393</v>
      </c>
      <c r="S160" s="101" t="s">
        <v>818</v>
      </c>
      <c r="T160" s="101" t="s">
        <v>394</v>
      </c>
      <c r="V160" s="245">
        <v>14248</v>
      </c>
      <c r="W160" s="101" t="s">
        <v>395</v>
      </c>
      <c r="X160" s="101" t="s">
        <v>795</v>
      </c>
      <c r="Y160" s="101" t="s">
        <v>396</v>
      </c>
      <c r="Z160" s="101" t="s">
        <v>402</v>
      </c>
      <c r="AA160" s="101" t="s">
        <v>78</v>
      </c>
      <c r="AB160" s="101">
        <v>4101000279</v>
      </c>
      <c r="AC160" s="101" t="s">
        <v>398</v>
      </c>
      <c r="AD160" s="101" t="s">
        <v>403</v>
      </c>
      <c r="AE160" s="101" t="s">
        <v>6</v>
      </c>
      <c r="AF160" s="101" t="s">
        <v>400</v>
      </c>
      <c r="AI160" s="101" t="s">
        <v>760</v>
      </c>
    </row>
    <row r="161" spans="1:35">
      <c r="A161" s="246" t="s">
        <v>109</v>
      </c>
      <c r="B161" s="246" t="s">
        <v>78</v>
      </c>
      <c r="C161" s="246" t="s">
        <v>126</v>
      </c>
      <c r="D161" s="246" t="s">
        <v>337</v>
      </c>
      <c r="E161" s="246" t="s">
        <v>336</v>
      </c>
      <c r="F161" s="246" t="s">
        <v>275</v>
      </c>
      <c r="G161" s="132" t="s">
        <v>1049</v>
      </c>
      <c r="H161" s="132" t="s">
        <v>1050</v>
      </c>
      <c r="I161" s="132">
        <v>237.53</v>
      </c>
      <c r="J161" s="101" t="s">
        <v>889</v>
      </c>
      <c r="K161" s="245" t="s">
        <v>390</v>
      </c>
      <c r="L161" s="245">
        <v>42580</v>
      </c>
      <c r="M161" s="245" t="s">
        <v>391</v>
      </c>
      <c r="N161" s="101">
        <v>0</v>
      </c>
      <c r="O161" s="101" t="s">
        <v>392</v>
      </c>
      <c r="P161" s="101">
        <v>0</v>
      </c>
      <c r="Q161" s="101">
        <v>0</v>
      </c>
      <c r="R161" s="101" t="s">
        <v>393</v>
      </c>
      <c r="S161" s="101" t="s">
        <v>818</v>
      </c>
      <c r="T161" s="101" t="s">
        <v>394</v>
      </c>
      <c r="V161" s="245">
        <v>14248</v>
      </c>
      <c r="W161" s="101" t="s">
        <v>395</v>
      </c>
      <c r="X161" s="101" t="s">
        <v>795</v>
      </c>
      <c r="Y161" s="101" t="s">
        <v>396</v>
      </c>
      <c r="Z161" s="101" t="s">
        <v>402</v>
      </c>
      <c r="AA161" s="101" t="s">
        <v>78</v>
      </c>
      <c r="AB161" s="101">
        <v>4101000279</v>
      </c>
      <c r="AC161" s="101" t="s">
        <v>398</v>
      </c>
      <c r="AD161" s="101" t="s">
        <v>403</v>
      </c>
      <c r="AE161" s="101" t="s">
        <v>6</v>
      </c>
      <c r="AF161" s="101" t="s">
        <v>400</v>
      </c>
      <c r="AI161" s="101" t="s">
        <v>760</v>
      </c>
    </row>
    <row r="162" spans="1:35">
      <c r="A162" s="246" t="s">
        <v>110</v>
      </c>
      <c r="B162" s="246" t="s">
        <v>78</v>
      </c>
      <c r="C162" s="246" t="s">
        <v>126</v>
      </c>
      <c r="D162" s="246" t="s">
        <v>770</v>
      </c>
      <c r="E162" s="246" t="s">
        <v>771</v>
      </c>
      <c r="F162" s="246" t="s">
        <v>276</v>
      </c>
      <c r="G162" s="132" t="s">
        <v>1051</v>
      </c>
      <c r="H162" s="132" t="s">
        <v>1052</v>
      </c>
      <c r="I162" s="132">
        <v>214.16</v>
      </c>
      <c r="J162" s="101" t="s">
        <v>889</v>
      </c>
      <c r="K162" s="245" t="s">
        <v>390</v>
      </c>
      <c r="L162" s="245">
        <v>42613</v>
      </c>
      <c r="M162" s="245" t="s">
        <v>391</v>
      </c>
      <c r="N162" s="101">
        <v>0</v>
      </c>
      <c r="O162" s="101" t="s">
        <v>392</v>
      </c>
      <c r="P162" s="101">
        <v>0</v>
      </c>
      <c r="Q162" s="101">
        <v>0</v>
      </c>
      <c r="R162" s="101" t="s">
        <v>393</v>
      </c>
      <c r="S162" s="101" t="s">
        <v>818</v>
      </c>
      <c r="T162" s="101" t="s">
        <v>394</v>
      </c>
      <c r="V162" s="245">
        <v>14248</v>
      </c>
      <c r="W162" s="101" t="s">
        <v>395</v>
      </c>
      <c r="X162" s="101" t="s">
        <v>795</v>
      </c>
      <c r="Y162" s="101" t="s">
        <v>396</v>
      </c>
      <c r="Z162" s="101" t="s">
        <v>402</v>
      </c>
      <c r="AA162" s="101" t="s">
        <v>78</v>
      </c>
      <c r="AB162" s="101">
        <v>4101000279</v>
      </c>
      <c r="AC162" s="101" t="s">
        <v>398</v>
      </c>
      <c r="AD162" s="101" t="s">
        <v>403</v>
      </c>
      <c r="AE162" s="101" t="s">
        <v>6</v>
      </c>
      <c r="AF162" s="101" t="s">
        <v>400</v>
      </c>
      <c r="AI162" s="101" t="s">
        <v>760</v>
      </c>
    </row>
    <row r="163" spans="1:35">
      <c r="A163" s="246" t="s">
        <v>110</v>
      </c>
      <c r="B163" s="246" t="s">
        <v>78</v>
      </c>
      <c r="C163" s="246" t="s">
        <v>126</v>
      </c>
      <c r="D163" s="246" t="s">
        <v>770</v>
      </c>
      <c r="E163" s="246" t="s">
        <v>771</v>
      </c>
      <c r="F163" s="246" t="s">
        <v>276</v>
      </c>
      <c r="G163" s="132">
        <v>195</v>
      </c>
      <c r="H163" s="132" t="s">
        <v>1053</v>
      </c>
      <c r="I163" s="132">
        <v>194.99999999999997</v>
      </c>
      <c r="J163" s="101" t="s">
        <v>889</v>
      </c>
      <c r="K163" s="245" t="s">
        <v>390</v>
      </c>
      <c r="L163" s="245">
        <v>42643</v>
      </c>
      <c r="M163" s="245" t="s">
        <v>391</v>
      </c>
      <c r="N163" s="101">
        <v>0</v>
      </c>
      <c r="O163" s="101" t="s">
        <v>392</v>
      </c>
      <c r="P163" s="101">
        <v>0</v>
      </c>
      <c r="Q163" s="101">
        <v>0</v>
      </c>
      <c r="R163" s="101" t="s">
        <v>393</v>
      </c>
      <c r="S163" s="101" t="s">
        <v>818</v>
      </c>
      <c r="T163" s="101" t="s">
        <v>394</v>
      </c>
      <c r="V163" s="245">
        <v>14248</v>
      </c>
      <c r="W163" s="101" t="s">
        <v>395</v>
      </c>
      <c r="X163" s="101" t="s">
        <v>795</v>
      </c>
      <c r="Y163" s="101" t="s">
        <v>396</v>
      </c>
      <c r="Z163" s="101" t="s">
        <v>402</v>
      </c>
      <c r="AA163" s="101" t="s">
        <v>78</v>
      </c>
      <c r="AB163" s="101">
        <v>4101000279</v>
      </c>
      <c r="AC163" s="101" t="s">
        <v>398</v>
      </c>
      <c r="AD163" s="101" t="s">
        <v>403</v>
      </c>
      <c r="AE163" s="101" t="s">
        <v>6</v>
      </c>
      <c r="AF163" s="101" t="s">
        <v>400</v>
      </c>
      <c r="AI163" s="101" t="s">
        <v>760</v>
      </c>
    </row>
    <row r="164" spans="1:35">
      <c r="A164" s="246" t="s">
        <v>110</v>
      </c>
      <c r="B164" s="246" t="s">
        <v>78</v>
      </c>
      <c r="C164" s="246" t="s">
        <v>126</v>
      </c>
      <c r="D164" s="246" t="s">
        <v>770</v>
      </c>
      <c r="E164" s="246" t="s">
        <v>771</v>
      </c>
      <c r="F164" s="246" t="s">
        <v>276</v>
      </c>
      <c r="G164" s="132" t="s">
        <v>1054</v>
      </c>
      <c r="H164" s="132" t="s">
        <v>1055</v>
      </c>
      <c r="I164" s="132">
        <v>201.5</v>
      </c>
      <c r="J164" s="101" t="s">
        <v>889</v>
      </c>
      <c r="K164" s="245" t="s">
        <v>390</v>
      </c>
      <c r="L164" s="245">
        <v>42674</v>
      </c>
      <c r="M164" s="245" t="s">
        <v>391</v>
      </c>
      <c r="N164" s="101">
        <v>0</v>
      </c>
      <c r="O164" s="101" t="s">
        <v>392</v>
      </c>
      <c r="P164" s="101">
        <v>0</v>
      </c>
      <c r="Q164" s="101">
        <v>0</v>
      </c>
      <c r="R164" s="101" t="s">
        <v>393</v>
      </c>
      <c r="S164" s="101" t="s">
        <v>818</v>
      </c>
      <c r="T164" s="101" t="s">
        <v>394</v>
      </c>
      <c r="V164" s="245">
        <v>14248</v>
      </c>
      <c r="W164" s="101" t="s">
        <v>395</v>
      </c>
      <c r="X164" s="101" t="s">
        <v>795</v>
      </c>
      <c r="Y164" s="101" t="s">
        <v>396</v>
      </c>
      <c r="Z164" s="101" t="s">
        <v>402</v>
      </c>
      <c r="AA164" s="101" t="s">
        <v>78</v>
      </c>
      <c r="AB164" s="101">
        <v>4101000279</v>
      </c>
      <c r="AC164" s="101" t="s">
        <v>398</v>
      </c>
      <c r="AD164" s="101" t="s">
        <v>403</v>
      </c>
      <c r="AE164" s="101" t="s">
        <v>6</v>
      </c>
      <c r="AF164" s="101" t="s">
        <v>400</v>
      </c>
      <c r="AI164" s="101" t="s">
        <v>760</v>
      </c>
    </row>
    <row r="165" spans="1:35">
      <c r="A165" s="246" t="s">
        <v>111</v>
      </c>
      <c r="B165" s="246" t="s">
        <v>78</v>
      </c>
      <c r="C165" s="246" t="s">
        <v>126</v>
      </c>
      <c r="D165" s="246" t="s">
        <v>768</v>
      </c>
      <c r="E165" s="246" t="s">
        <v>769</v>
      </c>
      <c r="F165" s="246" t="s">
        <v>277</v>
      </c>
      <c r="G165" s="132" t="s">
        <v>1056</v>
      </c>
      <c r="H165" s="132" t="s">
        <v>1057</v>
      </c>
      <c r="I165" s="132">
        <v>171.02</v>
      </c>
      <c r="J165" s="101" t="s">
        <v>889</v>
      </c>
      <c r="K165" s="245" t="s">
        <v>390</v>
      </c>
      <c r="L165" s="245">
        <v>42704</v>
      </c>
      <c r="M165" s="245" t="s">
        <v>391</v>
      </c>
      <c r="N165" s="101">
        <v>0</v>
      </c>
      <c r="O165" s="101" t="s">
        <v>392</v>
      </c>
      <c r="P165" s="101">
        <v>0</v>
      </c>
      <c r="Q165" s="101">
        <v>0</v>
      </c>
      <c r="R165" s="101" t="s">
        <v>393</v>
      </c>
      <c r="S165" s="101" t="s">
        <v>818</v>
      </c>
      <c r="T165" s="101" t="s">
        <v>394</v>
      </c>
      <c r="V165" s="245">
        <v>14248</v>
      </c>
      <c r="W165" s="101" t="s">
        <v>395</v>
      </c>
      <c r="X165" s="101" t="s">
        <v>795</v>
      </c>
      <c r="Y165" s="101" t="s">
        <v>396</v>
      </c>
      <c r="Z165" s="101" t="s">
        <v>402</v>
      </c>
      <c r="AA165" s="101" t="s">
        <v>78</v>
      </c>
      <c r="AB165" s="101">
        <v>4101000279</v>
      </c>
      <c r="AC165" s="101" t="s">
        <v>398</v>
      </c>
      <c r="AD165" s="101" t="s">
        <v>403</v>
      </c>
      <c r="AE165" s="101" t="s">
        <v>6</v>
      </c>
      <c r="AF165" s="101" t="s">
        <v>400</v>
      </c>
      <c r="AI165" s="101" t="s">
        <v>760</v>
      </c>
    </row>
    <row r="166" spans="1:35">
      <c r="A166" s="246" t="s">
        <v>111</v>
      </c>
      <c r="B166" s="246" t="s">
        <v>78</v>
      </c>
      <c r="C166" s="246" t="s">
        <v>126</v>
      </c>
      <c r="D166" s="246" t="s">
        <v>768</v>
      </c>
      <c r="E166" s="246" t="s">
        <v>769</v>
      </c>
      <c r="F166" s="246" t="s">
        <v>277</v>
      </c>
      <c r="G166" s="132" t="s">
        <v>1058</v>
      </c>
      <c r="H166" s="132" t="s">
        <v>1059</v>
      </c>
      <c r="I166" s="132">
        <v>157.76</v>
      </c>
      <c r="J166" s="101" t="s">
        <v>889</v>
      </c>
      <c r="K166" s="245" t="s">
        <v>390</v>
      </c>
      <c r="L166" s="245">
        <v>42734</v>
      </c>
      <c r="M166" s="245" t="s">
        <v>391</v>
      </c>
      <c r="N166" s="101">
        <v>0</v>
      </c>
      <c r="O166" s="101" t="s">
        <v>392</v>
      </c>
      <c r="P166" s="101">
        <v>0</v>
      </c>
      <c r="Q166" s="101">
        <v>0</v>
      </c>
      <c r="R166" s="101" t="s">
        <v>393</v>
      </c>
      <c r="S166" s="101" t="s">
        <v>818</v>
      </c>
      <c r="T166" s="101" t="s">
        <v>394</v>
      </c>
      <c r="V166" s="245">
        <v>14248</v>
      </c>
      <c r="W166" s="101" t="s">
        <v>395</v>
      </c>
      <c r="X166" s="101" t="s">
        <v>795</v>
      </c>
      <c r="Y166" s="101" t="s">
        <v>396</v>
      </c>
      <c r="Z166" s="101" t="s">
        <v>402</v>
      </c>
      <c r="AA166" s="101" t="s">
        <v>78</v>
      </c>
      <c r="AB166" s="101">
        <v>4101000279</v>
      </c>
      <c r="AC166" s="101" t="s">
        <v>398</v>
      </c>
      <c r="AD166" s="101" t="s">
        <v>403</v>
      </c>
      <c r="AE166" s="101" t="s">
        <v>6</v>
      </c>
      <c r="AF166" s="101" t="s">
        <v>400</v>
      </c>
      <c r="AI166" s="101" t="s">
        <v>760</v>
      </c>
    </row>
    <row r="167" spans="1:35">
      <c r="A167" s="246" t="s">
        <v>111</v>
      </c>
      <c r="B167" s="246" t="s">
        <v>78</v>
      </c>
      <c r="C167" s="246" t="s">
        <v>126</v>
      </c>
      <c r="D167" s="246" t="s">
        <v>768</v>
      </c>
      <c r="E167" s="246" t="s">
        <v>769</v>
      </c>
      <c r="F167" s="246" t="s">
        <v>277</v>
      </c>
      <c r="G167" s="132" t="s">
        <v>1058</v>
      </c>
      <c r="H167" s="132" t="s">
        <v>1059</v>
      </c>
      <c r="I167" s="132">
        <v>157.76</v>
      </c>
      <c r="J167" s="101" t="s">
        <v>889</v>
      </c>
      <c r="K167" s="245" t="s">
        <v>390</v>
      </c>
      <c r="L167" s="245">
        <v>42766</v>
      </c>
      <c r="M167" s="245" t="s">
        <v>391</v>
      </c>
      <c r="N167" s="101">
        <v>0</v>
      </c>
      <c r="O167" s="101" t="s">
        <v>392</v>
      </c>
      <c r="P167" s="101">
        <v>0</v>
      </c>
      <c r="Q167" s="101">
        <v>0</v>
      </c>
      <c r="R167" s="101" t="s">
        <v>393</v>
      </c>
      <c r="S167" s="101" t="s">
        <v>818</v>
      </c>
      <c r="T167" s="101" t="s">
        <v>394</v>
      </c>
      <c r="V167" s="245">
        <v>14248</v>
      </c>
      <c r="W167" s="101" t="s">
        <v>395</v>
      </c>
      <c r="X167" s="101" t="s">
        <v>795</v>
      </c>
      <c r="Y167" s="101" t="s">
        <v>396</v>
      </c>
      <c r="Z167" s="101" t="s">
        <v>402</v>
      </c>
      <c r="AA167" s="101" t="s">
        <v>78</v>
      </c>
      <c r="AB167" s="101">
        <v>4101000279</v>
      </c>
      <c r="AC167" s="101" t="s">
        <v>398</v>
      </c>
      <c r="AD167" s="101" t="s">
        <v>403</v>
      </c>
      <c r="AE167" s="101" t="s">
        <v>6</v>
      </c>
      <c r="AF167" s="101" t="s">
        <v>400</v>
      </c>
      <c r="AI167" s="101" t="s">
        <v>760</v>
      </c>
    </row>
    <row r="168" spans="1:35">
      <c r="A168" s="246" t="s">
        <v>111</v>
      </c>
      <c r="B168" s="246" t="s">
        <v>78</v>
      </c>
      <c r="C168" s="246" t="s">
        <v>126</v>
      </c>
      <c r="D168" s="246" t="s">
        <v>768</v>
      </c>
      <c r="E168" s="246" t="s">
        <v>769</v>
      </c>
      <c r="F168" s="246" t="s">
        <v>277</v>
      </c>
      <c r="G168" s="132" t="s">
        <v>1060</v>
      </c>
      <c r="H168" s="132" t="s">
        <v>1061</v>
      </c>
      <c r="I168" s="132">
        <v>116.17</v>
      </c>
      <c r="J168" s="101" t="s">
        <v>889</v>
      </c>
      <c r="K168" s="245" t="s">
        <v>390</v>
      </c>
      <c r="L168" s="245">
        <v>42794</v>
      </c>
      <c r="M168" s="245" t="s">
        <v>391</v>
      </c>
      <c r="N168" s="101">
        <v>0</v>
      </c>
      <c r="O168" s="101" t="s">
        <v>392</v>
      </c>
      <c r="P168" s="101">
        <v>0</v>
      </c>
      <c r="Q168" s="101">
        <v>0</v>
      </c>
      <c r="R168" s="101" t="s">
        <v>393</v>
      </c>
      <c r="S168" s="101" t="s">
        <v>818</v>
      </c>
      <c r="T168" s="101" t="s">
        <v>394</v>
      </c>
      <c r="V168" s="245">
        <v>14248</v>
      </c>
      <c r="W168" s="101" t="s">
        <v>395</v>
      </c>
      <c r="X168" s="101" t="s">
        <v>795</v>
      </c>
      <c r="Y168" s="101" t="s">
        <v>396</v>
      </c>
      <c r="Z168" s="101" t="s">
        <v>402</v>
      </c>
      <c r="AA168" s="101" t="s">
        <v>78</v>
      </c>
      <c r="AB168" s="101">
        <v>4101000279</v>
      </c>
      <c r="AC168" s="101" t="s">
        <v>398</v>
      </c>
      <c r="AD168" s="101" t="s">
        <v>403</v>
      </c>
      <c r="AE168" s="101" t="s">
        <v>6</v>
      </c>
      <c r="AF168" s="101" t="s">
        <v>400</v>
      </c>
      <c r="AI168" s="101" t="s">
        <v>760</v>
      </c>
    </row>
    <row r="169" spans="1:35">
      <c r="A169" s="246" t="s">
        <v>111</v>
      </c>
      <c r="B169" s="246" t="s">
        <v>78</v>
      </c>
      <c r="C169" s="246" t="s">
        <v>126</v>
      </c>
      <c r="D169" s="246" t="s">
        <v>768</v>
      </c>
      <c r="E169" s="246" t="s">
        <v>769</v>
      </c>
      <c r="F169" s="246" t="s">
        <v>277</v>
      </c>
      <c r="G169" s="132" t="s">
        <v>1062</v>
      </c>
      <c r="H169" s="132" t="s">
        <v>1063</v>
      </c>
      <c r="I169" s="132">
        <v>106.74</v>
      </c>
      <c r="J169" s="101" t="s">
        <v>889</v>
      </c>
      <c r="K169" s="245" t="s">
        <v>390</v>
      </c>
      <c r="L169" s="245">
        <v>42825</v>
      </c>
      <c r="M169" s="245" t="s">
        <v>391</v>
      </c>
      <c r="N169" s="101">
        <v>0</v>
      </c>
      <c r="O169" s="101" t="s">
        <v>392</v>
      </c>
      <c r="P169" s="101">
        <v>0</v>
      </c>
      <c r="Q169" s="101">
        <v>0</v>
      </c>
      <c r="R169" s="101" t="s">
        <v>393</v>
      </c>
      <c r="S169" s="101" t="s">
        <v>818</v>
      </c>
      <c r="T169" s="101" t="s">
        <v>394</v>
      </c>
      <c r="V169" s="245">
        <v>14248</v>
      </c>
      <c r="W169" s="101" t="s">
        <v>395</v>
      </c>
      <c r="X169" s="101" t="s">
        <v>795</v>
      </c>
      <c r="Y169" s="101" t="s">
        <v>396</v>
      </c>
      <c r="Z169" s="101" t="s">
        <v>402</v>
      </c>
      <c r="AA169" s="101" t="s">
        <v>78</v>
      </c>
      <c r="AB169" s="101">
        <v>4101000279</v>
      </c>
      <c r="AC169" s="101" t="s">
        <v>398</v>
      </c>
      <c r="AD169" s="101" t="s">
        <v>403</v>
      </c>
      <c r="AE169" s="101" t="s">
        <v>6</v>
      </c>
      <c r="AF169" s="101" t="s">
        <v>400</v>
      </c>
      <c r="AI169" s="101" t="s">
        <v>760</v>
      </c>
    </row>
    <row r="170" spans="1:35">
      <c r="A170" s="246" t="s">
        <v>111</v>
      </c>
      <c r="B170" s="246" t="s">
        <v>78</v>
      </c>
      <c r="C170" s="246" t="s">
        <v>126</v>
      </c>
      <c r="D170" s="246" t="s">
        <v>768</v>
      </c>
      <c r="E170" s="246" t="s">
        <v>769</v>
      </c>
      <c r="F170" s="246" t="s">
        <v>277</v>
      </c>
      <c r="G170" s="132" t="s">
        <v>1064</v>
      </c>
      <c r="H170" s="132" t="s">
        <v>1065</v>
      </c>
      <c r="I170" s="132">
        <v>103.3</v>
      </c>
      <c r="J170" s="101" t="s">
        <v>889</v>
      </c>
      <c r="K170" s="245" t="s">
        <v>390</v>
      </c>
      <c r="L170" s="245">
        <v>42853</v>
      </c>
      <c r="M170" s="245" t="s">
        <v>391</v>
      </c>
      <c r="N170" s="101">
        <v>0</v>
      </c>
      <c r="O170" s="101" t="s">
        <v>392</v>
      </c>
      <c r="P170" s="101">
        <v>0</v>
      </c>
      <c r="Q170" s="101">
        <v>0</v>
      </c>
      <c r="R170" s="101" t="s">
        <v>393</v>
      </c>
      <c r="S170" s="101" t="s">
        <v>818</v>
      </c>
      <c r="T170" s="101" t="s">
        <v>394</v>
      </c>
      <c r="V170" s="245">
        <v>14248</v>
      </c>
      <c r="W170" s="101" t="s">
        <v>395</v>
      </c>
      <c r="X170" s="101" t="s">
        <v>795</v>
      </c>
      <c r="Y170" s="101" t="s">
        <v>396</v>
      </c>
      <c r="Z170" s="101" t="s">
        <v>402</v>
      </c>
      <c r="AA170" s="101" t="s">
        <v>78</v>
      </c>
      <c r="AB170" s="101">
        <v>4101000279</v>
      </c>
      <c r="AC170" s="101" t="s">
        <v>398</v>
      </c>
      <c r="AD170" s="101" t="s">
        <v>403</v>
      </c>
      <c r="AE170" s="101" t="s">
        <v>6</v>
      </c>
      <c r="AF170" s="101" t="s">
        <v>400</v>
      </c>
      <c r="AI170" s="101" t="s">
        <v>760</v>
      </c>
    </row>
    <row r="171" spans="1:35">
      <c r="A171" s="246" t="s">
        <v>112</v>
      </c>
      <c r="B171" s="246" t="s">
        <v>78</v>
      </c>
      <c r="C171" s="246" t="s">
        <v>126</v>
      </c>
      <c r="D171" s="246" t="s">
        <v>341</v>
      </c>
      <c r="E171" s="246" t="s">
        <v>342</v>
      </c>
      <c r="F171" s="246" t="s">
        <v>278</v>
      </c>
      <c r="G171" s="132" t="s">
        <v>1066</v>
      </c>
      <c r="H171" s="132" t="s">
        <v>1067</v>
      </c>
      <c r="I171" s="132">
        <v>72.77</v>
      </c>
      <c r="J171" s="101" t="s">
        <v>889</v>
      </c>
      <c r="K171" s="245" t="s">
        <v>390</v>
      </c>
      <c r="L171" s="245">
        <v>42886</v>
      </c>
      <c r="M171" s="245" t="s">
        <v>391</v>
      </c>
      <c r="N171" s="101">
        <v>0</v>
      </c>
      <c r="O171" s="101" t="s">
        <v>392</v>
      </c>
      <c r="P171" s="101">
        <v>0</v>
      </c>
      <c r="Q171" s="101">
        <v>0</v>
      </c>
      <c r="R171" s="101" t="s">
        <v>393</v>
      </c>
      <c r="S171" s="101" t="s">
        <v>818</v>
      </c>
      <c r="T171" s="101" t="s">
        <v>394</v>
      </c>
      <c r="V171" s="245">
        <v>14248</v>
      </c>
      <c r="W171" s="101" t="s">
        <v>395</v>
      </c>
      <c r="X171" s="101" t="s">
        <v>795</v>
      </c>
      <c r="Y171" s="101" t="s">
        <v>396</v>
      </c>
      <c r="Z171" s="101" t="s">
        <v>402</v>
      </c>
      <c r="AA171" s="101" t="s">
        <v>78</v>
      </c>
      <c r="AB171" s="101">
        <v>4101000279</v>
      </c>
      <c r="AC171" s="101" t="s">
        <v>398</v>
      </c>
      <c r="AD171" s="101" t="s">
        <v>403</v>
      </c>
      <c r="AE171" s="101" t="s">
        <v>6</v>
      </c>
      <c r="AF171" s="101" t="s">
        <v>400</v>
      </c>
      <c r="AI171" s="101" t="s">
        <v>760</v>
      </c>
    </row>
    <row r="172" spans="1:35">
      <c r="A172" s="246" t="s">
        <v>112</v>
      </c>
      <c r="B172" s="246" t="s">
        <v>78</v>
      </c>
      <c r="C172" s="246" t="s">
        <v>126</v>
      </c>
      <c r="D172" s="246" t="s">
        <v>341</v>
      </c>
      <c r="E172" s="246" t="s">
        <v>342</v>
      </c>
      <c r="F172" s="246" t="s">
        <v>278</v>
      </c>
      <c r="G172" s="132" t="s">
        <v>1068</v>
      </c>
      <c r="H172" s="132" t="s">
        <v>1069</v>
      </c>
      <c r="I172" s="132">
        <v>54.769999999999996</v>
      </c>
      <c r="J172" s="101" t="s">
        <v>889</v>
      </c>
      <c r="K172" s="245" t="s">
        <v>390</v>
      </c>
      <c r="L172" s="245">
        <v>42916</v>
      </c>
      <c r="M172" s="245" t="s">
        <v>391</v>
      </c>
      <c r="N172" s="101">
        <v>0</v>
      </c>
      <c r="O172" s="101" t="s">
        <v>392</v>
      </c>
      <c r="P172" s="101">
        <v>0</v>
      </c>
      <c r="Q172" s="101">
        <v>0</v>
      </c>
      <c r="R172" s="101" t="s">
        <v>393</v>
      </c>
      <c r="S172" s="101" t="s">
        <v>818</v>
      </c>
      <c r="T172" s="101" t="s">
        <v>394</v>
      </c>
      <c r="V172" s="245">
        <v>14248</v>
      </c>
      <c r="W172" s="101" t="s">
        <v>395</v>
      </c>
      <c r="X172" s="101" t="s">
        <v>795</v>
      </c>
      <c r="Y172" s="101" t="s">
        <v>396</v>
      </c>
      <c r="Z172" s="101" t="s">
        <v>402</v>
      </c>
      <c r="AA172" s="101" t="s">
        <v>78</v>
      </c>
      <c r="AB172" s="101">
        <v>4101000279</v>
      </c>
      <c r="AC172" s="101" t="s">
        <v>398</v>
      </c>
      <c r="AD172" s="101" t="s">
        <v>403</v>
      </c>
      <c r="AE172" s="101" t="s">
        <v>6</v>
      </c>
      <c r="AF172" s="101" t="s">
        <v>400</v>
      </c>
      <c r="AI172" s="101" t="s">
        <v>760</v>
      </c>
    </row>
    <row r="173" spans="1:35">
      <c r="A173" s="246" t="s">
        <v>112</v>
      </c>
      <c r="B173" s="246" t="s">
        <v>78</v>
      </c>
      <c r="C173" s="246" t="s">
        <v>126</v>
      </c>
      <c r="D173" s="246" t="s">
        <v>341</v>
      </c>
      <c r="E173" s="246" t="s">
        <v>342</v>
      </c>
      <c r="F173" s="246" t="s">
        <v>278</v>
      </c>
      <c r="G173" s="132" t="s">
        <v>1070</v>
      </c>
      <c r="H173" s="132" t="s">
        <v>1071</v>
      </c>
      <c r="I173" s="132">
        <v>56.589999999999996</v>
      </c>
      <c r="J173" s="101" t="s">
        <v>889</v>
      </c>
      <c r="K173" s="245" t="s">
        <v>390</v>
      </c>
      <c r="L173" s="245">
        <v>42947</v>
      </c>
      <c r="M173" s="245" t="s">
        <v>391</v>
      </c>
      <c r="N173" s="101">
        <v>0</v>
      </c>
      <c r="O173" s="101" t="s">
        <v>392</v>
      </c>
      <c r="P173" s="101">
        <v>0</v>
      </c>
      <c r="Q173" s="101">
        <v>0</v>
      </c>
      <c r="R173" s="101" t="s">
        <v>393</v>
      </c>
      <c r="S173" s="101" t="s">
        <v>818</v>
      </c>
      <c r="T173" s="101" t="s">
        <v>394</v>
      </c>
      <c r="V173" s="245">
        <v>14248</v>
      </c>
      <c r="W173" s="101" t="s">
        <v>395</v>
      </c>
      <c r="X173" s="101" t="s">
        <v>795</v>
      </c>
      <c r="Y173" s="101" t="s">
        <v>396</v>
      </c>
      <c r="Z173" s="101" t="s">
        <v>402</v>
      </c>
      <c r="AA173" s="101" t="s">
        <v>78</v>
      </c>
      <c r="AB173" s="101">
        <v>4101000279</v>
      </c>
      <c r="AC173" s="101" t="s">
        <v>398</v>
      </c>
      <c r="AD173" s="101" t="s">
        <v>403</v>
      </c>
      <c r="AE173" s="101" t="s">
        <v>6</v>
      </c>
      <c r="AF173" s="101" t="s">
        <v>400</v>
      </c>
      <c r="AI173" s="101" t="s">
        <v>760</v>
      </c>
    </row>
    <row r="174" spans="1:35">
      <c r="A174" s="246" t="s">
        <v>112</v>
      </c>
      <c r="B174" s="246" t="s">
        <v>78</v>
      </c>
      <c r="C174" s="246" t="s">
        <v>126</v>
      </c>
      <c r="D174" s="246" t="s">
        <v>341</v>
      </c>
      <c r="E174" s="246" t="s">
        <v>342</v>
      </c>
      <c r="F174" s="246" t="s">
        <v>278</v>
      </c>
      <c r="G174" s="132" t="s">
        <v>1070</v>
      </c>
      <c r="H174" s="132" t="s">
        <v>1071</v>
      </c>
      <c r="I174" s="132">
        <v>56.589999999999996</v>
      </c>
      <c r="J174" s="101" t="s">
        <v>889</v>
      </c>
      <c r="K174" s="245" t="s">
        <v>390</v>
      </c>
      <c r="L174" s="245">
        <v>42978</v>
      </c>
      <c r="M174" s="245" t="s">
        <v>391</v>
      </c>
      <c r="N174" s="101">
        <v>0</v>
      </c>
      <c r="O174" s="101" t="s">
        <v>392</v>
      </c>
      <c r="P174" s="101">
        <v>0</v>
      </c>
      <c r="Q174" s="101">
        <v>0</v>
      </c>
      <c r="R174" s="101" t="s">
        <v>393</v>
      </c>
      <c r="S174" s="101" t="s">
        <v>818</v>
      </c>
      <c r="T174" s="101" t="s">
        <v>394</v>
      </c>
      <c r="V174" s="245">
        <v>14248</v>
      </c>
      <c r="W174" s="101" t="s">
        <v>395</v>
      </c>
      <c r="X174" s="101" t="s">
        <v>795</v>
      </c>
      <c r="Y174" s="101" t="s">
        <v>396</v>
      </c>
      <c r="Z174" s="101" t="s">
        <v>402</v>
      </c>
      <c r="AA174" s="101" t="s">
        <v>78</v>
      </c>
      <c r="AB174" s="101">
        <v>4101000279</v>
      </c>
      <c r="AC174" s="101" t="s">
        <v>398</v>
      </c>
      <c r="AD174" s="101" t="s">
        <v>403</v>
      </c>
      <c r="AE174" s="101" t="s">
        <v>6</v>
      </c>
      <c r="AF174" s="101" t="s">
        <v>400</v>
      </c>
      <c r="AI174" s="101" t="s">
        <v>760</v>
      </c>
    </row>
    <row r="175" spans="1:35">
      <c r="A175" s="246" t="s">
        <v>112</v>
      </c>
      <c r="B175" s="246" t="s">
        <v>78</v>
      </c>
      <c r="C175" s="246" t="s">
        <v>126</v>
      </c>
      <c r="D175" s="246" t="s">
        <v>341</v>
      </c>
      <c r="E175" s="246" t="s">
        <v>342</v>
      </c>
      <c r="F175" s="246" t="s">
        <v>278</v>
      </c>
      <c r="G175" s="132" t="s">
        <v>1068</v>
      </c>
      <c r="H175" s="132" t="s">
        <v>1069</v>
      </c>
      <c r="I175" s="132">
        <v>54.769999999999996</v>
      </c>
      <c r="J175" s="101" t="s">
        <v>889</v>
      </c>
      <c r="K175" s="245" t="s">
        <v>390</v>
      </c>
      <c r="L175" s="245">
        <v>43007</v>
      </c>
      <c r="M175" s="245" t="s">
        <v>391</v>
      </c>
      <c r="N175" s="101">
        <v>0</v>
      </c>
      <c r="O175" s="101" t="s">
        <v>392</v>
      </c>
      <c r="P175" s="101">
        <v>0</v>
      </c>
      <c r="Q175" s="101">
        <v>0</v>
      </c>
      <c r="R175" s="101" t="s">
        <v>393</v>
      </c>
      <c r="S175" s="101" t="s">
        <v>818</v>
      </c>
      <c r="T175" s="101" t="s">
        <v>394</v>
      </c>
      <c r="V175" s="245">
        <v>14248</v>
      </c>
      <c r="W175" s="101" t="s">
        <v>395</v>
      </c>
      <c r="X175" s="101" t="s">
        <v>795</v>
      </c>
      <c r="Y175" s="101" t="s">
        <v>396</v>
      </c>
      <c r="Z175" s="101" t="s">
        <v>402</v>
      </c>
      <c r="AA175" s="101" t="s">
        <v>78</v>
      </c>
      <c r="AB175" s="101">
        <v>4101000279</v>
      </c>
      <c r="AC175" s="101" t="s">
        <v>398</v>
      </c>
      <c r="AD175" s="101" t="s">
        <v>403</v>
      </c>
      <c r="AE175" s="101" t="s">
        <v>6</v>
      </c>
      <c r="AF175" s="101" t="s">
        <v>400</v>
      </c>
      <c r="AI175" s="101" t="s">
        <v>760</v>
      </c>
    </row>
    <row r="176" spans="1:35">
      <c r="A176" s="246" t="s">
        <v>112</v>
      </c>
      <c r="B176" s="246" t="s">
        <v>78</v>
      </c>
      <c r="C176" s="246" t="s">
        <v>126</v>
      </c>
      <c r="D176" s="246" t="s">
        <v>341</v>
      </c>
      <c r="E176" s="246" t="s">
        <v>342</v>
      </c>
      <c r="F176" s="246" t="s">
        <v>278</v>
      </c>
      <c r="G176" s="132" t="s">
        <v>1070</v>
      </c>
      <c r="H176" s="132" t="s">
        <v>1071</v>
      </c>
      <c r="I176" s="132">
        <v>56.589999999999996</v>
      </c>
      <c r="J176" s="101" t="s">
        <v>889</v>
      </c>
      <c r="K176" s="245" t="s">
        <v>390</v>
      </c>
      <c r="L176" s="245">
        <v>43039</v>
      </c>
      <c r="M176" s="245" t="s">
        <v>391</v>
      </c>
      <c r="N176" s="101">
        <v>0</v>
      </c>
      <c r="O176" s="101" t="s">
        <v>392</v>
      </c>
      <c r="P176" s="101">
        <v>0</v>
      </c>
      <c r="Q176" s="101">
        <v>0</v>
      </c>
      <c r="R176" s="101" t="s">
        <v>393</v>
      </c>
      <c r="S176" s="101" t="s">
        <v>818</v>
      </c>
      <c r="T176" s="101" t="s">
        <v>394</v>
      </c>
      <c r="V176" s="245">
        <v>14248</v>
      </c>
      <c r="W176" s="101" t="s">
        <v>395</v>
      </c>
      <c r="X176" s="101" t="s">
        <v>795</v>
      </c>
      <c r="Y176" s="101" t="s">
        <v>396</v>
      </c>
      <c r="Z176" s="101" t="s">
        <v>402</v>
      </c>
      <c r="AA176" s="101" t="s">
        <v>78</v>
      </c>
      <c r="AB176" s="101">
        <v>4101000279</v>
      </c>
      <c r="AC176" s="101" t="s">
        <v>398</v>
      </c>
      <c r="AD176" s="101" t="s">
        <v>403</v>
      </c>
      <c r="AE176" s="101" t="s">
        <v>6</v>
      </c>
      <c r="AF176" s="101" t="s">
        <v>400</v>
      </c>
      <c r="AI176" s="101" t="s">
        <v>760</v>
      </c>
    </row>
    <row r="177" spans="1:35">
      <c r="A177" s="246" t="s">
        <v>113</v>
      </c>
      <c r="B177" s="246" t="s">
        <v>78</v>
      </c>
      <c r="C177" s="246" t="s">
        <v>126</v>
      </c>
      <c r="D177" s="246" t="s">
        <v>339</v>
      </c>
      <c r="E177" s="246" t="s">
        <v>340</v>
      </c>
      <c r="F177" s="246" t="s">
        <v>279</v>
      </c>
      <c r="G177" s="132" t="s">
        <v>1068</v>
      </c>
      <c r="H177" s="132" t="s">
        <v>1069</v>
      </c>
      <c r="I177" s="132">
        <v>54.769999999999996</v>
      </c>
      <c r="J177" s="101" t="s">
        <v>889</v>
      </c>
      <c r="K177" s="245" t="s">
        <v>390</v>
      </c>
      <c r="L177" s="245">
        <v>43069</v>
      </c>
      <c r="M177" s="245" t="s">
        <v>391</v>
      </c>
      <c r="N177" s="101">
        <v>0</v>
      </c>
      <c r="O177" s="101" t="s">
        <v>392</v>
      </c>
      <c r="P177" s="101">
        <v>0</v>
      </c>
      <c r="Q177" s="101">
        <v>0</v>
      </c>
      <c r="R177" s="101" t="s">
        <v>393</v>
      </c>
      <c r="S177" s="101" t="s">
        <v>818</v>
      </c>
      <c r="T177" s="101" t="s">
        <v>394</v>
      </c>
      <c r="V177" s="245">
        <v>14248</v>
      </c>
      <c r="W177" s="101" t="s">
        <v>395</v>
      </c>
      <c r="X177" s="101" t="s">
        <v>795</v>
      </c>
      <c r="Y177" s="101" t="s">
        <v>396</v>
      </c>
      <c r="Z177" s="101" t="s">
        <v>402</v>
      </c>
      <c r="AA177" s="101" t="s">
        <v>78</v>
      </c>
      <c r="AB177" s="101">
        <v>4101000279</v>
      </c>
      <c r="AC177" s="101" t="s">
        <v>398</v>
      </c>
      <c r="AD177" s="101" t="s">
        <v>403</v>
      </c>
      <c r="AE177" s="101" t="s">
        <v>6</v>
      </c>
      <c r="AF177" s="101" t="s">
        <v>400</v>
      </c>
      <c r="AI177" s="101" t="s">
        <v>760</v>
      </c>
    </row>
    <row r="178" spans="1:35">
      <c r="A178" s="246" t="s">
        <v>113</v>
      </c>
      <c r="B178" s="246" t="s">
        <v>78</v>
      </c>
      <c r="C178" s="246" t="s">
        <v>126</v>
      </c>
      <c r="D178" s="246" t="s">
        <v>339</v>
      </c>
      <c r="E178" s="246" t="s">
        <v>340</v>
      </c>
      <c r="F178" s="246" t="s">
        <v>279</v>
      </c>
      <c r="G178" s="132" t="s">
        <v>1070</v>
      </c>
      <c r="H178" s="132" t="s">
        <v>1071</v>
      </c>
      <c r="I178" s="132">
        <v>56.589999999999996</v>
      </c>
      <c r="J178" s="101" t="s">
        <v>889</v>
      </c>
      <c r="K178" s="245" t="s">
        <v>390</v>
      </c>
      <c r="L178" s="245">
        <v>43098</v>
      </c>
      <c r="M178" s="245" t="s">
        <v>391</v>
      </c>
      <c r="N178" s="101">
        <v>0</v>
      </c>
      <c r="O178" s="101" t="s">
        <v>392</v>
      </c>
      <c r="P178" s="101">
        <v>0</v>
      </c>
      <c r="Q178" s="101">
        <v>0</v>
      </c>
      <c r="R178" s="101" t="s">
        <v>393</v>
      </c>
      <c r="S178" s="101" t="s">
        <v>818</v>
      </c>
      <c r="T178" s="101" t="s">
        <v>394</v>
      </c>
      <c r="V178" s="245">
        <v>14248</v>
      </c>
      <c r="W178" s="101" t="s">
        <v>395</v>
      </c>
      <c r="X178" s="101" t="s">
        <v>795</v>
      </c>
      <c r="Y178" s="101" t="s">
        <v>396</v>
      </c>
      <c r="Z178" s="101" t="s">
        <v>402</v>
      </c>
      <c r="AA178" s="101" t="s">
        <v>78</v>
      </c>
      <c r="AB178" s="101">
        <v>4101000279</v>
      </c>
      <c r="AC178" s="101" t="s">
        <v>398</v>
      </c>
      <c r="AD178" s="101" t="s">
        <v>403</v>
      </c>
      <c r="AE178" s="101" t="s">
        <v>6</v>
      </c>
      <c r="AF178" s="101" t="s">
        <v>400</v>
      </c>
      <c r="AI178" s="101" t="s">
        <v>760</v>
      </c>
    </row>
    <row r="179" spans="1:35">
      <c r="A179" s="246" t="s">
        <v>113</v>
      </c>
      <c r="B179" s="246" t="s">
        <v>78</v>
      </c>
      <c r="C179" s="246" t="s">
        <v>126</v>
      </c>
      <c r="D179" s="246" t="s">
        <v>339</v>
      </c>
      <c r="E179" s="246" t="s">
        <v>340</v>
      </c>
      <c r="F179" s="246" t="s">
        <v>279</v>
      </c>
      <c r="G179" s="132" t="s">
        <v>1070</v>
      </c>
      <c r="H179" s="132" t="s">
        <v>1071</v>
      </c>
      <c r="I179" s="132">
        <v>56.589999999999996</v>
      </c>
      <c r="J179" s="101" t="s">
        <v>889</v>
      </c>
      <c r="K179" s="245" t="s">
        <v>390</v>
      </c>
      <c r="L179" s="245">
        <v>43131</v>
      </c>
      <c r="M179" s="245" t="s">
        <v>391</v>
      </c>
      <c r="N179" s="101">
        <v>0</v>
      </c>
      <c r="O179" s="101" t="s">
        <v>392</v>
      </c>
      <c r="P179" s="101">
        <v>0</v>
      </c>
      <c r="Q179" s="101">
        <v>0</v>
      </c>
      <c r="R179" s="101" t="s">
        <v>393</v>
      </c>
      <c r="S179" s="101" t="s">
        <v>818</v>
      </c>
      <c r="T179" s="101" t="s">
        <v>394</v>
      </c>
      <c r="V179" s="245">
        <v>14248</v>
      </c>
      <c r="W179" s="101" t="s">
        <v>395</v>
      </c>
      <c r="X179" s="101" t="s">
        <v>795</v>
      </c>
      <c r="Y179" s="101" t="s">
        <v>396</v>
      </c>
      <c r="Z179" s="101" t="s">
        <v>402</v>
      </c>
      <c r="AA179" s="101" t="s">
        <v>78</v>
      </c>
      <c r="AB179" s="101">
        <v>4101000279</v>
      </c>
      <c r="AC179" s="101" t="s">
        <v>398</v>
      </c>
      <c r="AD179" s="101" t="s">
        <v>403</v>
      </c>
      <c r="AE179" s="101" t="s">
        <v>6</v>
      </c>
      <c r="AF179" s="101" t="s">
        <v>400</v>
      </c>
      <c r="AI179" s="101" t="s">
        <v>760</v>
      </c>
    </row>
    <row r="180" spans="1:35">
      <c r="A180" s="246" t="s">
        <v>113</v>
      </c>
      <c r="B180" s="246" t="s">
        <v>78</v>
      </c>
      <c r="C180" s="246" t="s">
        <v>126</v>
      </c>
      <c r="D180" s="246" t="s">
        <v>339</v>
      </c>
      <c r="E180" s="246" t="s">
        <v>340</v>
      </c>
      <c r="F180" s="246" t="s">
        <v>279</v>
      </c>
      <c r="G180" s="132" t="s">
        <v>1072</v>
      </c>
      <c r="H180" s="132" t="s">
        <v>1073</v>
      </c>
      <c r="I180" s="132">
        <v>51.129999999999995</v>
      </c>
      <c r="J180" s="101" t="s">
        <v>889</v>
      </c>
      <c r="K180" s="245" t="s">
        <v>390</v>
      </c>
      <c r="L180" s="245">
        <v>43159</v>
      </c>
      <c r="M180" s="245" t="s">
        <v>391</v>
      </c>
      <c r="N180" s="101">
        <v>0</v>
      </c>
      <c r="O180" s="101" t="s">
        <v>392</v>
      </c>
      <c r="P180" s="101">
        <v>0</v>
      </c>
      <c r="Q180" s="101">
        <v>0</v>
      </c>
      <c r="R180" s="101" t="s">
        <v>393</v>
      </c>
      <c r="S180" s="101" t="s">
        <v>818</v>
      </c>
      <c r="T180" s="101" t="s">
        <v>394</v>
      </c>
      <c r="V180" s="245">
        <v>14248</v>
      </c>
      <c r="W180" s="101" t="s">
        <v>395</v>
      </c>
      <c r="X180" s="101" t="s">
        <v>795</v>
      </c>
      <c r="Y180" s="101" t="s">
        <v>396</v>
      </c>
      <c r="Z180" s="101" t="s">
        <v>402</v>
      </c>
      <c r="AA180" s="101" t="s">
        <v>78</v>
      </c>
      <c r="AB180" s="101">
        <v>4101000279</v>
      </c>
      <c r="AC180" s="101" t="s">
        <v>398</v>
      </c>
      <c r="AD180" s="101" t="s">
        <v>403</v>
      </c>
      <c r="AE180" s="101" t="s">
        <v>6</v>
      </c>
      <c r="AF180" s="101" t="s">
        <v>400</v>
      </c>
      <c r="AI180" s="101" t="s">
        <v>760</v>
      </c>
    </row>
    <row r="181" spans="1:35">
      <c r="A181" s="246" t="s">
        <v>113</v>
      </c>
      <c r="B181" s="246" t="s">
        <v>78</v>
      </c>
      <c r="C181" s="246" t="s">
        <v>126</v>
      </c>
      <c r="D181" s="246" t="s">
        <v>339</v>
      </c>
      <c r="E181" s="246" t="s">
        <v>340</v>
      </c>
      <c r="F181" s="246" t="s">
        <v>279</v>
      </c>
      <c r="G181" s="132" t="s">
        <v>1070</v>
      </c>
      <c r="H181" s="132" t="s">
        <v>1071</v>
      </c>
      <c r="I181" s="132">
        <v>56.589999999999996</v>
      </c>
      <c r="J181" s="101" t="s">
        <v>889</v>
      </c>
      <c r="K181" s="245" t="s">
        <v>390</v>
      </c>
      <c r="L181" s="245">
        <v>43189</v>
      </c>
      <c r="M181" s="245" t="s">
        <v>391</v>
      </c>
      <c r="N181" s="101">
        <v>0</v>
      </c>
      <c r="O181" s="101" t="s">
        <v>392</v>
      </c>
      <c r="P181" s="101">
        <v>0</v>
      </c>
      <c r="Q181" s="101">
        <v>0</v>
      </c>
      <c r="R181" s="101" t="s">
        <v>393</v>
      </c>
      <c r="S181" s="101" t="s">
        <v>818</v>
      </c>
      <c r="T181" s="101" t="s">
        <v>394</v>
      </c>
      <c r="V181" s="245">
        <v>14248</v>
      </c>
      <c r="W181" s="101" t="s">
        <v>395</v>
      </c>
      <c r="X181" s="101" t="s">
        <v>795</v>
      </c>
      <c r="Y181" s="101" t="s">
        <v>396</v>
      </c>
      <c r="Z181" s="101" t="s">
        <v>402</v>
      </c>
      <c r="AA181" s="101" t="s">
        <v>78</v>
      </c>
      <c r="AB181" s="101">
        <v>4101000279</v>
      </c>
      <c r="AC181" s="101" t="s">
        <v>398</v>
      </c>
      <c r="AD181" s="101" t="s">
        <v>403</v>
      </c>
      <c r="AE181" s="101" t="s">
        <v>6</v>
      </c>
      <c r="AF181" s="101" t="s">
        <v>400</v>
      </c>
      <c r="AI181" s="101" t="s">
        <v>760</v>
      </c>
    </row>
    <row r="182" spans="1:35">
      <c r="A182" s="246" t="s">
        <v>113</v>
      </c>
      <c r="B182" s="246" t="s">
        <v>78</v>
      </c>
      <c r="C182" s="246" t="s">
        <v>126</v>
      </c>
      <c r="D182" s="246" t="s">
        <v>339</v>
      </c>
      <c r="E182" s="246" t="s">
        <v>340</v>
      </c>
      <c r="F182" s="246" t="s">
        <v>279</v>
      </c>
      <c r="G182" s="132" t="s">
        <v>1068</v>
      </c>
      <c r="H182" s="132" t="s">
        <v>1069</v>
      </c>
      <c r="I182" s="132">
        <v>54.769999999999996</v>
      </c>
      <c r="J182" s="101" t="s">
        <v>889</v>
      </c>
      <c r="K182" s="245" t="s">
        <v>390</v>
      </c>
      <c r="L182" s="245">
        <v>43220</v>
      </c>
      <c r="M182" s="245" t="s">
        <v>391</v>
      </c>
      <c r="N182" s="101">
        <v>0</v>
      </c>
      <c r="O182" s="101" t="s">
        <v>392</v>
      </c>
      <c r="P182" s="101">
        <v>0</v>
      </c>
      <c r="Q182" s="101">
        <v>0</v>
      </c>
      <c r="R182" s="101" t="s">
        <v>393</v>
      </c>
      <c r="S182" s="101" t="s">
        <v>818</v>
      </c>
      <c r="T182" s="101" t="s">
        <v>394</v>
      </c>
      <c r="V182" s="245">
        <v>14248</v>
      </c>
      <c r="W182" s="101" t="s">
        <v>395</v>
      </c>
      <c r="X182" s="101" t="s">
        <v>795</v>
      </c>
      <c r="Y182" s="101" t="s">
        <v>396</v>
      </c>
      <c r="Z182" s="101" t="s">
        <v>402</v>
      </c>
      <c r="AA182" s="101" t="s">
        <v>78</v>
      </c>
      <c r="AB182" s="101">
        <v>4101000279</v>
      </c>
      <c r="AC182" s="101" t="s">
        <v>398</v>
      </c>
      <c r="AD182" s="101" t="s">
        <v>403</v>
      </c>
      <c r="AE182" s="101" t="s">
        <v>6</v>
      </c>
      <c r="AF182" s="101" t="s">
        <v>400</v>
      </c>
      <c r="AI182" s="101" t="s">
        <v>760</v>
      </c>
    </row>
    <row r="183" spans="1:35">
      <c r="A183" s="246" t="s">
        <v>109</v>
      </c>
      <c r="B183" s="246" t="s">
        <v>66</v>
      </c>
      <c r="C183" s="246" t="s">
        <v>126</v>
      </c>
      <c r="D183" s="246" t="s">
        <v>272</v>
      </c>
      <c r="E183" s="246"/>
      <c r="F183" s="246"/>
      <c r="G183" s="132">
        <v>-96250</v>
      </c>
      <c r="H183" s="132" t="s">
        <v>1074</v>
      </c>
      <c r="I183" s="132">
        <v>-96249.999999999985</v>
      </c>
      <c r="J183" s="101" t="s">
        <v>889</v>
      </c>
      <c r="K183" s="245" t="s">
        <v>390</v>
      </c>
      <c r="L183" s="245">
        <v>42569</v>
      </c>
      <c r="M183" s="245" t="s">
        <v>391</v>
      </c>
      <c r="N183" s="101">
        <v>0</v>
      </c>
      <c r="O183" s="101" t="s">
        <v>392</v>
      </c>
      <c r="P183" s="101">
        <v>0</v>
      </c>
      <c r="Q183" s="101">
        <v>0</v>
      </c>
      <c r="R183" s="101" t="s">
        <v>438</v>
      </c>
      <c r="S183" s="101">
        <v>184300</v>
      </c>
      <c r="T183" s="101" t="s">
        <v>394</v>
      </c>
      <c r="V183" s="245">
        <v>42569</v>
      </c>
      <c r="W183" s="101" t="s">
        <v>441</v>
      </c>
      <c r="X183" s="101" t="s">
        <v>76</v>
      </c>
      <c r="Y183" s="101" t="s">
        <v>392</v>
      </c>
      <c r="Z183" s="101" t="s">
        <v>430</v>
      </c>
      <c r="AA183" s="101" t="s">
        <v>442</v>
      </c>
      <c r="AB183" s="101">
        <v>1101000297</v>
      </c>
      <c r="AC183" s="101" t="s">
        <v>431</v>
      </c>
      <c r="AD183" s="101" t="s">
        <v>431</v>
      </c>
      <c r="AE183" s="101" t="s">
        <v>75</v>
      </c>
      <c r="AF183" s="101" t="s">
        <v>400</v>
      </c>
      <c r="AG183" s="101" t="s">
        <v>443</v>
      </c>
      <c r="AI183" s="101" t="s">
        <v>760</v>
      </c>
    </row>
    <row r="184" spans="1:35">
      <c r="A184" s="246" t="s">
        <v>107</v>
      </c>
      <c r="B184" s="246" t="s">
        <v>66</v>
      </c>
      <c r="C184" s="246" t="s">
        <v>126</v>
      </c>
      <c r="D184" s="246" t="s">
        <v>1769</v>
      </c>
      <c r="E184" s="246"/>
      <c r="F184" s="246"/>
      <c r="G184" s="132">
        <v>0</v>
      </c>
      <c r="H184" s="132">
        <v>0</v>
      </c>
      <c r="I184" s="132">
        <v>0</v>
      </c>
      <c r="J184" s="101" t="s">
        <v>889</v>
      </c>
      <c r="K184" s="245" t="s">
        <v>390</v>
      </c>
      <c r="L184" s="245">
        <v>42522</v>
      </c>
      <c r="M184" s="245" t="s">
        <v>391</v>
      </c>
      <c r="N184" s="101">
        <v>0</v>
      </c>
      <c r="O184" s="101" t="s">
        <v>392</v>
      </c>
      <c r="P184" s="101">
        <v>0</v>
      </c>
      <c r="Q184" s="101">
        <v>0</v>
      </c>
      <c r="R184" s="101" t="s">
        <v>428</v>
      </c>
      <c r="S184" s="101">
        <v>148707</v>
      </c>
      <c r="T184" s="101" t="s">
        <v>394</v>
      </c>
      <c r="V184" s="245">
        <v>42951</v>
      </c>
      <c r="W184" s="101" t="s">
        <v>424</v>
      </c>
      <c r="X184" s="101" t="s">
        <v>429</v>
      </c>
      <c r="Y184" s="101" t="s">
        <v>392</v>
      </c>
      <c r="Z184" s="101" t="s">
        <v>430</v>
      </c>
      <c r="AA184" s="101" t="s">
        <v>397</v>
      </c>
      <c r="AB184" s="101">
        <v>5101000018</v>
      </c>
      <c r="AC184" s="101" t="s">
        <v>431</v>
      </c>
      <c r="AD184" s="101" t="s">
        <v>431</v>
      </c>
      <c r="AE184" s="101" t="s">
        <v>75</v>
      </c>
      <c r="AF184" s="101" t="s">
        <v>400</v>
      </c>
      <c r="AG184" s="101" t="s">
        <v>624</v>
      </c>
      <c r="AI184" s="101" t="s">
        <v>760</v>
      </c>
    </row>
    <row r="185" spans="1:35">
      <c r="A185" s="246" t="s">
        <v>109</v>
      </c>
      <c r="B185" s="246" t="s">
        <v>66</v>
      </c>
      <c r="C185" s="246" t="s">
        <v>126</v>
      </c>
      <c r="D185" s="246" t="s">
        <v>272</v>
      </c>
      <c r="E185" s="246"/>
      <c r="F185" s="246"/>
      <c r="G185" s="132">
        <v>0</v>
      </c>
      <c r="H185" s="132">
        <v>0</v>
      </c>
      <c r="I185" s="132">
        <v>0</v>
      </c>
      <c r="J185" s="101" t="s">
        <v>889</v>
      </c>
      <c r="K185" s="245" t="s">
        <v>390</v>
      </c>
      <c r="L185" s="245">
        <v>42552</v>
      </c>
      <c r="M185" s="245" t="s">
        <v>391</v>
      </c>
      <c r="N185" s="101">
        <v>0</v>
      </c>
      <c r="O185" s="101" t="s">
        <v>392</v>
      </c>
      <c r="P185" s="101">
        <v>0</v>
      </c>
      <c r="Q185" s="101">
        <v>0</v>
      </c>
      <c r="R185" s="101" t="s">
        <v>428</v>
      </c>
      <c r="S185" s="101">
        <v>148707</v>
      </c>
      <c r="T185" s="101" t="s">
        <v>394</v>
      </c>
      <c r="V185" s="245">
        <v>42951</v>
      </c>
      <c r="W185" s="101" t="s">
        <v>424</v>
      </c>
      <c r="X185" s="101" t="s">
        <v>429</v>
      </c>
      <c r="Y185" s="101" t="s">
        <v>392</v>
      </c>
      <c r="Z185" s="101" t="s">
        <v>430</v>
      </c>
      <c r="AA185" s="101" t="s">
        <v>397</v>
      </c>
      <c r="AB185" s="101">
        <v>5101000018</v>
      </c>
      <c r="AC185" s="101" t="s">
        <v>431</v>
      </c>
      <c r="AD185" s="101" t="s">
        <v>431</v>
      </c>
      <c r="AE185" s="101" t="s">
        <v>75</v>
      </c>
      <c r="AF185" s="101" t="s">
        <v>400</v>
      </c>
      <c r="AG185" s="101" t="s">
        <v>624</v>
      </c>
      <c r="AI185" s="101" t="s">
        <v>760</v>
      </c>
    </row>
    <row r="186" spans="1:35">
      <c r="A186" s="246" t="s">
        <v>109</v>
      </c>
      <c r="B186" s="246" t="s">
        <v>66</v>
      </c>
      <c r="C186" s="246" t="s">
        <v>126</v>
      </c>
      <c r="D186" s="246" t="s">
        <v>272</v>
      </c>
      <c r="E186" s="246"/>
      <c r="F186" s="246"/>
      <c r="G186" s="132">
        <v>0</v>
      </c>
      <c r="H186" s="132">
        <v>0</v>
      </c>
      <c r="I186" s="132">
        <v>0</v>
      </c>
      <c r="J186" s="101" t="s">
        <v>889</v>
      </c>
      <c r="K186" s="245" t="s">
        <v>390</v>
      </c>
      <c r="L186" s="245">
        <v>42583</v>
      </c>
      <c r="M186" s="245" t="s">
        <v>391</v>
      </c>
      <c r="N186" s="101">
        <v>0</v>
      </c>
      <c r="O186" s="101" t="s">
        <v>392</v>
      </c>
      <c r="P186" s="101">
        <v>0</v>
      </c>
      <c r="Q186" s="101">
        <v>0</v>
      </c>
      <c r="R186" s="101" t="s">
        <v>428</v>
      </c>
      <c r="S186" s="101">
        <v>148707</v>
      </c>
      <c r="T186" s="101" t="s">
        <v>394</v>
      </c>
      <c r="V186" s="245">
        <v>42951</v>
      </c>
      <c r="W186" s="101" t="s">
        <v>424</v>
      </c>
      <c r="X186" s="101" t="s">
        <v>429</v>
      </c>
      <c r="Y186" s="101" t="s">
        <v>392</v>
      </c>
      <c r="Z186" s="101" t="s">
        <v>430</v>
      </c>
      <c r="AA186" s="101" t="s">
        <v>397</v>
      </c>
      <c r="AB186" s="101">
        <v>5101000018</v>
      </c>
      <c r="AC186" s="101" t="s">
        <v>431</v>
      </c>
      <c r="AD186" s="101" t="s">
        <v>431</v>
      </c>
      <c r="AE186" s="101" t="s">
        <v>75</v>
      </c>
      <c r="AF186" s="101" t="s">
        <v>400</v>
      </c>
      <c r="AG186" s="101" t="s">
        <v>624</v>
      </c>
      <c r="AI186" s="101" t="s">
        <v>760</v>
      </c>
    </row>
    <row r="187" spans="1:35">
      <c r="A187" s="246" t="s">
        <v>110</v>
      </c>
      <c r="B187" s="246" t="s">
        <v>66</v>
      </c>
      <c r="C187" s="246" t="s">
        <v>126</v>
      </c>
      <c r="D187" s="246" t="s">
        <v>281</v>
      </c>
      <c r="E187" s="246"/>
      <c r="F187" s="246"/>
      <c r="G187" s="132">
        <v>0</v>
      </c>
      <c r="H187" s="132">
        <v>0</v>
      </c>
      <c r="I187" s="132">
        <v>0</v>
      </c>
      <c r="J187" s="101" t="s">
        <v>889</v>
      </c>
      <c r="K187" s="245" t="s">
        <v>390</v>
      </c>
      <c r="L187" s="245">
        <v>42614</v>
      </c>
      <c r="M187" s="245" t="s">
        <v>391</v>
      </c>
      <c r="N187" s="101">
        <v>0</v>
      </c>
      <c r="O187" s="101" t="s">
        <v>392</v>
      </c>
      <c r="P187" s="101">
        <v>0</v>
      </c>
      <c r="Q187" s="101">
        <v>0</v>
      </c>
      <c r="R187" s="101" t="s">
        <v>428</v>
      </c>
      <c r="S187" s="101">
        <v>148707</v>
      </c>
      <c r="T187" s="101" t="s">
        <v>394</v>
      </c>
      <c r="V187" s="245">
        <v>42951</v>
      </c>
      <c r="W187" s="101" t="s">
        <v>424</v>
      </c>
      <c r="X187" s="101" t="s">
        <v>429</v>
      </c>
      <c r="Y187" s="101" t="s">
        <v>392</v>
      </c>
      <c r="Z187" s="101" t="s">
        <v>430</v>
      </c>
      <c r="AA187" s="101" t="s">
        <v>397</v>
      </c>
      <c r="AB187" s="101">
        <v>5101000018</v>
      </c>
      <c r="AC187" s="101" t="s">
        <v>431</v>
      </c>
      <c r="AD187" s="101" t="s">
        <v>431</v>
      </c>
      <c r="AE187" s="101" t="s">
        <v>75</v>
      </c>
      <c r="AF187" s="101" t="s">
        <v>400</v>
      </c>
      <c r="AG187" s="101" t="s">
        <v>624</v>
      </c>
      <c r="AI187" s="101" t="s">
        <v>760</v>
      </c>
    </row>
    <row r="188" spans="1:35">
      <c r="A188" s="246" t="s">
        <v>110</v>
      </c>
      <c r="B188" s="246" t="s">
        <v>66</v>
      </c>
      <c r="C188" s="246" t="s">
        <v>126</v>
      </c>
      <c r="D188" s="246" t="s">
        <v>281</v>
      </c>
      <c r="E188" s="246"/>
      <c r="F188" s="246"/>
      <c r="G188" s="132">
        <v>0</v>
      </c>
      <c r="H188" s="132">
        <v>0</v>
      </c>
      <c r="I188" s="132">
        <v>0</v>
      </c>
      <c r="J188" s="101" t="s">
        <v>889</v>
      </c>
      <c r="K188" s="245" t="s">
        <v>390</v>
      </c>
      <c r="L188" s="245">
        <v>42646</v>
      </c>
      <c r="M188" s="245" t="s">
        <v>391</v>
      </c>
      <c r="N188" s="101">
        <v>0</v>
      </c>
      <c r="O188" s="101" t="s">
        <v>392</v>
      </c>
      <c r="P188" s="101">
        <v>0</v>
      </c>
      <c r="Q188" s="101">
        <v>0</v>
      </c>
      <c r="R188" s="101" t="s">
        <v>428</v>
      </c>
      <c r="S188" s="101">
        <v>148707</v>
      </c>
      <c r="T188" s="101" t="s">
        <v>394</v>
      </c>
      <c r="V188" s="245">
        <v>42951</v>
      </c>
      <c r="W188" s="101" t="s">
        <v>424</v>
      </c>
      <c r="X188" s="101" t="s">
        <v>429</v>
      </c>
      <c r="Y188" s="101" t="s">
        <v>392</v>
      </c>
      <c r="Z188" s="101" t="s">
        <v>430</v>
      </c>
      <c r="AA188" s="101" t="s">
        <v>397</v>
      </c>
      <c r="AB188" s="101">
        <v>5101000018</v>
      </c>
      <c r="AC188" s="101" t="s">
        <v>431</v>
      </c>
      <c r="AD188" s="101" t="s">
        <v>431</v>
      </c>
      <c r="AE188" s="101" t="s">
        <v>75</v>
      </c>
      <c r="AF188" s="101" t="s">
        <v>400</v>
      </c>
      <c r="AG188" s="101" t="s">
        <v>624</v>
      </c>
      <c r="AI188" s="101" t="s">
        <v>760</v>
      </c>
    </row>
    <row r="189" spans="1:35">
      <c r="A189" s="246" t="s">
        <v>110</v>
      </c>
      <c r="B189" s="246" t="s">
        <v>66</v>
      </c>
      <c r="C189" s="246" t="s">
        <v>126</v>
      </c>
      <c r="D189" s="246" t="s">
        <v>281</v>
      </c>
      <c r="E189" s="246"/>
      <c r="F189" s="246"/>
      <c r="G189" s="132">
        <v>0</v>
      </c>
      <c r="H189" s="132">
        <v>0</v>
      </c>
      <c r="I189" s="132">
        <v>0</v>
      </c>
      <c r="J189" s="101" t="s">
        <v>889</v>
      </c>
      <c r="K189" s="245" t="s">
        <v>390</v>
      </c>
      <c r="L189" s="245">
        <v>42675</v>
      </c>
      <c r="M189" s="245" t="s">
        <v>391</v>
      </c>
      <c r="N189" s="101">
        <v>0</v>
      </c>
      <c r="O189" s="101" t="s">
        <v>392</v>
      </c>
      <c r="P189" s="101">
        <v>0</v>
      </c>
      <c r="Q189" s="101">
        <v>0</v>
      </c>
      <c r="R189" s="101" t="s">
        <v>428</v>
      </c>
      <c r="S189" s="101">
        <v>148707</v>
      </c>
      <c r="T189" s="101" t="s">
        <v>394</v>
      </c>
      <c r="V189" s="245">
        <v>42951</v>
      </c>
      <c r="W189" s="101" t="s">
        <v>424</v>
      </c>
      <c r="X189" s="101" t="s">
        <v>429</v>
      </c>
      <c r="Y189" s="101" t="s">
        <v>392</v>
      </c>
      <c r="Z189" s="101" t="s">
        <v>430</v>
      </c>
      <c r="AA189" s="101" t="s">
        <v>397</v>
      </c>
      <c r="AB189" s="101">
        <v>5101000018</v>
      </c>
      <c r="AC189" s="101" t="s">
        <v>431</v>
      </c>
      <c r="AD189" s="101" t="s">
        <v>431</v>
      </c>
      <c r="AE189" s="101" t="s">
        <v>75</v>
      </c>
      <c r="AF189" s="101" t="s">
        <v>400</v>
      </c>
      <c r="AG189" s="101" t="s">
        <v>624</v>
      </c>
      <c r="AI189" s="101" t="s">
        <v>760</v>
      </c>
    </row>
    <row r="190" spans="1:35">
      <c r="A190" s="246" t="s">
        <v>111</v>
      </c>
      <c r="B190" s="246" t="s">
        <v>66</v>
      </c>
      <c r="C190" s="246" t="s">
        <v>126</v>
      </c>
      <c r="D190" s="246" t="s">
        <v>273</v>
      </c>
      <c r="E190" s="246"/>
      <c r="F190" s="246"/>
      <c r="G190" s="132">
        <v>0</v>
      </c>
      <c r="H190" s="132">
        <v>0</v>
      </c>
      <c r="I190" s="132">
        <v>0</v>
      </c>
      <c r="J190" s="101" t="s">
        <v>889</v>
      </c>
      <c r="K190" s="245" t="s">
        <v>390</v>
      </c>
      <c r="L190" s="245">
        <v>42705</v>
      </c>
      <c r="M190" s="245" t="s">
        <v>391</v>
      </c>
      <c r="N190" s="101">
        <v>0</v>
      </c>
      <c r="O190" s="101" t="s">
        <v>392</v>
      </c>
      <c r="P190" s="101">
        <v>0</v>
      </c>
      <c r="Q190" s="101">
        <v>0</v>
      </c>
      <c r="R190" s="101" t="s">
        <v>428</v>
      </c>
      <c r="S190" s="101">
        <v>148707</v>
      </c>
      <c r="T190" s="101" t="s">
        <v>394</v>
      </c>
      <c r="V190" s="245">
        <v>42951</v>
      </c>
      <c r="W190" s="101" t="s">
        <v>424</v>
      </c>
      <c r="X190" s="101" t="s">
        <v>429</v>
      </c>
      <c r="Y190" s="101" t="s">
        <v>392</v>
      </c>
      <c r="Z190" s="101" t="s">
        <v>430</v>
      </c>
      <c r="AA190" s="101" t="s">
        <v>397</v>
      </c>
      <c r="AB190" s="101">
        <v>5101000018</v>
      </c>
      <c r="AC190" s="101" t="s">
        <v>431</v>
      </c>
      <c r="AD190" s="101" t="s">
        <v>431</v>
      </c>
      <c r="AE190" s="101" t="s">
        <v>75</v>
      </c>
      <c r="AF190" s="101" t="s">
        <v>400</v>
      </c>
      <c r="AG190" s="101" t="s">
        <v>624</v>
      </c>
      <c r="AI190" s="101" t="s">
        <v>760</v>
      </c>
    </row>
    <row r="191" spans="1:35">
      <c r="A191" s="246" t="s">
        <v>111</v>
      </c>
      <c r="B191" s="246" t="s">
        <v>66</v>
      </c>
      <c r="C191" s="246" t="s">
        <v>126</v>
      </c>
      <c r="D191" s="246" t="s">
        <v>273</v>
      </c>
      <c r="E191" s="246"/>
      <c r="F191" s="246"/>
      <c r="G191" s="132">
        <v>0</v>
      </c>
      <c r="H191" s="132">
        <v>0</v>
      </c>
      <c r="I191" s="132">
        <v>0</v>
      </c>
      <c r="J191" s="101" t="s">
        <v>889</v>
      </c>
      <c r="K191" s="245" t="s">
        <v>390</v>
      </c>
      <c r="L191" s="245">
        <v>42738</v>
      </c>
      <c r="M191" s="245" t="s">
        <v>391</v>
      </c>
      <c r="N191" s="101">
        <v>0</v>
      </c>
      <c r="O191" s="101" t="s">
        <v>392</v>
      </c>
      <c r="P191" s="101">
        <v>0</v>
      </c>
      <c r="Q191" s="101">
        <v>0</v>
      </c>
      <c r="R191" s="101" t="s">
        <v>428</v>
      </c>
      <c r="S191" s="101">
        <v>148707</v>
      </c>
      <c r="T191" s="101" t="s">
        <v>394</v>
      </c>
      <c r="V191" s="245">
        <v>42951</v>
      </c>
      <c r="W191" s="101" t="s">
        <v>424</v>
      </c>
      <c r="X191" s="101" t="s">
        <v>429</v>
      </c>
      <c r="Y191" s="101" t="s">
        <v>392</v>
      </c>
      <c r="Z191" s="101" t="s">
        <v>430</v>
      </c>
      <c r="AA191" s="101" t="s">
        <v>397</v>
      </c>
      <c r="AB191" s="101">
        <v>5101000018</v>
      </c>
      <c r="AC191" s="101" t="s">
        <v>431</v>
      </c>
      <c r="AD191" s="101" t="s">
        <v>431</v>
      </c>
      <c r="AE191" s="101" t="s">
        <v>75</v>
      </c>
      <c r="AF191" s="101" t="s">
        <v>400</v>
      </c>
      <c r="AG191" s="101" t="s">
        <v>624</v>
      </c>
      <c r="AI191" s="101" t="s">
        <v>760</v>
      </c>
    </row>
    <row r="192" spans="1:35">
      <c r="A192" s="246" t="s">
        <v>111</v>
      </c>
      <c r="B192" s="246" t="s">
        <v>66</v>
      </c>
      <c r="C192" s="246" t="s">
        <v>126</v>
      </c>
      <c r="D192" s="246" t="s">
        <v>273</v>
      </c>
      <c r="E192" s="246"/>
      <c r="F192" s="246"/>
      <c r="G192" s="132">
        <v>0</v>
      </c>
      <c r="H192" s="132">
        <v>0</v>
      </c>
      <c r="I192" s="132">
        <v>0</v>
      </c>
      <c r="J192" s="101" t="s">
        <v>889</v>
      </c>
      <c r="K192" s="245" t="s">
        <v>390</v>
      </c>
      <c r="L192" s="245">
        <v>42767</v>
      </c>
      <c r="M192" s="245" t="s">
        <v>391</v>
      </c>
      <c r="N192" s="101">
        <v>0</v>
      </c>
      <c r="O192" s="101" t="s">
        <v>392</v>
      </c>
      <c r="P192" s="101">
        <v>0</v>
      </c>
      <c r="Q192" s="101">
        <v>0</v>
      </c>
      <c r="R192" s="101" t="s">
        <v>428</v>
      </c>
      <c r="S192" s="101">
        <v>148707</v>
      </c>
      <c r="T192" s="101" t="s">
        <v>394</v>
      </c>
      <c r="V192" s="245">
        <v>42951</v>
      </c>
      <c r="W192" s="101" t="s">
        <v>424</v>
      </c>
      <c r="X192" s="101" t="s">
        <v>429</v>
      </c>
      <c r="Y192" s="101" t="s">
        <v>392</v>
      </c>
      <c r="Z192" s="101" t="s">
        <v>430</v>
      </c>
      <c r="AA192" s="101" t="s">
        <v>397</v>
      </c>
      <c r="AB192" s="101">
        <v>5101000018</v>
      </c>
      <c r="AC192" s="101" t="s">
        <v>431</v>
      </c>
      <c r="AD192" s="101" t="s">
        <v>431</v>
      </c>
      <c r="AE192" s="101" t="s">
        <v>75</v>
      </c>
      <c r="AF192" s="101" t="s">
        <v>400</v>
      </c>
      <c r="AG192" s="101" t="s">
        <v>624</v>
      </c>
      <c r="AI192" s="101" t="s">
        <v>760</v>
      </c>
    </row>
    <row r="193" spans="1:35">
      <c r="A193" s="246" t="s">
        <v>111</v>
      </c>
      <c r="B193" s="246" t="s">
        <v>66</v>
      </c>
      <c r="C193" s="246" t="s">
        <v>126</v>
      </c>
      <c r="D193" s="246" t="s">
        <v>273</v>
      </c>
      <c r="E193" s="246"/>
      <c r="F193" s="246"/>
      <c r="G193" s="132">
        <v>0</v>
      </c>
      <c r="H193" s="132">
        <v>0</v>
      </c>
      <c r="I193" s="132">
        <v>0</v>
      </c>
      <c r="J193" s="101" t="s">
        <v>889</v>
      </c>
      <c r="K193" s="245" t="s">
        <v>390</v>
      </c>
      <c r="L193" s="245">
        <v>42795</v>
      </c>
      <c r="M193" s="245" t="s">
        <v>391</v>
      </c>
      <c r="N193" s="101">
        <v>0</v>
      </c>
      <c r="O193" s="101" t="s">
        <v>392</v>
      </c>
      <c r="P193" s="101">
        <v>0</v>
      </c>
      <c r="Q193" s="101">
        <v>0</v>
      </c>
      <c r="R193" s="101" t="s">
        <v>428</v>
      </c>
      <c r="S193" s="101">
        <v>148707</v>
      </c>
      <c r="T193" s="101" t="s">
        <v>394</v>
      </c>
      <c r="V193" s="245">
        <v>42951</v>
      </c>
      <c r="W193" s="101" t="s">
        <v>424</v>
      </c>
      <c r="X193" s="101" t="s">
        <v>429</v>
      </c>
      <c r="Y193" s="101" t="s">
        <v>392</v>
      </c>
      <c r="Z193" s="101" t="s">
        <v>430</v>
      </c>
      <c r="AA193" s="101" t="s">
        <v>397</v>
      </c>
      <c r="AB193" s="101">
        <v>5101000018</v>
      </c>
      <c r="AC193" s="101" t="s">
        <v>431</v>
      </c>
      <c r="AD193" s="101" t="s">
        <v>431</v>
      </c>
      <c r="AE193" s="101" t="s">
        <v>75</v>
      </c>
      <c r="AF193" s="101" t="s">
        <v>400</v>
      </c>
      <c r="AG193" s="101" t="s">
        <v>624</v>
      </c>
      <c r="AI193" s="101" t="s">
        <v>760</v>
      </c>
    </row>
    <row r="194" spans="1:35">
      <c r="A194" s="246" t="s">
        <v>111</v>
      </c>
      <c r="B194" s="246" t="s">
        <v>66</v>
      </c>
      <c r="C194" s="246" t="s">
        <v>126</v>
      </c>
      <c r="D194" s="246" t="s">
        <v>273</v>
      </c>
      <c r="E194" s="246"/>
      <c r="F194" s="246"/>
      <c r="G194" s="132">
        <v>0</v>
      </c>
      <c r="H194" s="132">
        <v>0</v>
      </c>
      <c r="I194" s="132">
        <v>0</v>
      </c>
      <c r="J194" s="101" t="s">
        <v>889</v>
      </c>
      <c r="K194" s="245" t="s">
        <v>390</v>
      </c>
      <c r="L194" s="245">
        <v>42828</v>
      </c>
      <c r="M194" s="245" t="s">
        <v>391</v>
      </c>
      <c r="N194" s="101">
        <v>0</v>
      </c>
      <c r="O194" s="101" t="s">
        <v>392</v>
      </c>
      <c r="P194" s="101">
        <v>0</v>
      </c>
      <c r="Q194" s="101">
        <v>0</v>
      </c>
      <c r="R194" s="101" t="s">
        <v>428</v>
      </c>
      <c r="S194" s="101">
        <v>148707</v>
      </c>
      <c r="T194" s="101" t="s">
        <v>394</v>
      </c>
      <c r="V194" s="245">
        <v>42951</v>
      </c>
      <c r="W194" s="101" t="s">
        <v>424</v>
      </c>
      <c r="X194" s="101" t="s">
        <v>429</v>
      </c>
      <c r="Y194" s="101" t="s">
        <v>392</v>
      </c>
      <c r="Z194" s="101" t="s">
        <v>430</v>
      </c>
      <c r="AA194" s="101" t="s">
        <v>397</v>
      </c>
      <c r="AB194" s="101">
        <v>5101000018</v>
      </c>
      <c r="AC194" s="101" t="s">
        <v>431</v>
      </c>
      <c r="AD194" s="101" t="s">
        <v>431</v>
      </c>
      <c r="AE194" s="101" t="s">
        <v>75</v>
      </c>
      <c r="AF194" s="101" t="s">
        <v>400</v>
      </c>
      <c r="AG194" s="101" t="s">
        <v>624</v>
      </c>
      <c r="AI194" s="101" t="s">
        <v>760</v>
      </c>
    </row>
    <row r="195" spans="1:35">
      <c r="A195" s="246" t="s">
        <v>111</v>
      </c>
      <c r="B195" s="246" t="s">
        <v>66</v>
      </c>
      <c r="C195" s="246" t="s">
        <v>126</v>
      </c>
      <c r="D195" s="246" t="s">
        <v>273</v>
      </c>
      <c r="E195" s="246"/>
      <c r="F195" s="246"/>
      <c r="G195" s="132">
        <v>0</v>
      </c>
      <c r="H195" s="132">
        <v>0</v>
      </c>
      <c r="I195" s="132">
        <v>0</v>
      </c>
      <c r="J195" s="101" t="s">
        <v>889</v>
      </c>
      <c r="K195" s="245" t="s">
        <v>390</v>
      </c>
      <c r="L195" s="245">
        <v>42856</v>
      </c>
      <c r="M195" s="245" t="s">
        <v>391</v>
      </c>
      <c r="N195" s="101">
        <v>0</v>
      </c>
      <c r="O195" s="101" t="s">
        <v>392</v>
      </c>
      <c r="P195" s="101">
        <v>0</v>
      </c>
      <c r="Q195" s="101">
        <v>0</v>
      </c>
      <c r="R195" s="101" t="s">
        <v>428</v>
      </c>
      <c r="S195" s="101">
        <v>148707</v>
      </c>
      <c r="T195" s="101" t="s">
        <v>394</v>
      </c>
      <c r="V195" s="245">
        <v>42951</v>
      </c>
      <c r="W195" s="101" t="s">
        <v>424</v>
      </c>
      <c r="X195" s="101" t="s">
        <v>429</v>
      </c>
      <c r="Y195" s="101" t="s">
        <v>392</v>
      </c>
      <c r="Z195" s="101" t="s">
        <v>430</v>
      </c>
      <c r="AA195" s="101" t="s">
        <v>397</v>
      </c>
      <c r="AB195" s="101">
        <v>5101000018</v>
      </c>
      <c r="AC195" s="101" t="s">
        <v>431</v>
      </c>
      <c r="AD195" s="101" t="s">
        <v>431</v>
      </c>
      <c r="AE195" s="101" t="s">
        <v>75</v>
      </c>
      <c r="AF195" s="101" t="s">
        <v>400</v>
      </c>
      <c r="AG195" s="101" t="s">
        <v>624</v>
      </c>
      <c r="AI195" s="101" t="s">
        <v>760</v>
      </c>
    </row>
    <row r="196" spans="1:35">
      <c r="A196" s="246" t="s">
        <v>112</v>
      </c>
      <c r="B196" s="246" t="s">
        <v>66</v>
      </c>
      <c r="C196" s="246" t="s">
        <v>126</v>
      </c>
      <c r="D196" s="246" t="s">
        <v>270</v>
      </c>
      <c r="E196" s="246"/>
      <c r="F196" s="246"/>
      <c r="G196" s="132">
        <v>0</v>
      </c>
      <c r="H196" s="132">
        <v>0</v>
      </c>
      <c r="I196" s="132">
        <v>0</v>
      </c>
      <c r="J196" s="101" t="s">
        <v>889</v>
      </c>
      <c r="K196" s="245" t="s">
        <v>390</v>
      </c>
      <c r="L196" s="245">
        <v>42887</v>
      </c>
      <c r="M196" s="245" t="s">
        <v>391</v>
      </c>
      <c r="N196" s="101">
        <v>0</v>
      </c>
      <c r="O196" s="101" t="s">
        <v>392</v>
      </c>
      <c r="P196" s="101">
        <v>0</v>
      </c>
      <c r="Q196" s="101">
        <v>0</v>
      </c>
      <c r="R196" s="101" t="s">
        <v>428</v>
      </c>
      <c r="S196" s="101">
        <v>148707</v>
      </c>
      <c r="T196" s="101" t="s">
        <v>394</v>
      </c>
      <c r="V196" s="245">
        <v>42951</v>
      </c>
      <c r="W196" s="101" t="s">
        <v>424</v>
      </c>
      <c r="X196" s="101" t="s">
        <v>429</v>
      </c>
      <c r="Y196" s="101" t="s">
        <v>392</v>
      </c>
      <c r="Z196" s="101" t="s">
        <v>430</v>
      </c>
      <c r="AA196" s="101" t="s">
        <v>397</v>
      </c>
      <c r="AB196" s="101">
        <v>5101000018</v>
      </c>
      <c r="AC196" s="101" t="s">
        <v>431</v>
      </c>
      <c r="AD196" s="101" t="s">
        <v>431</v>
      </c>
      <c r="AE196" s="101" t="s">
        <v>75</v>
      </c>
      <c r="AF196" s="101" t="s">
        <v>400</v>
      </c>
      <c r="AG196" s="101" t="s">
        <v>624</v>
      </c>
      <c r="AI196" s="101" t="s">
        <v>760</v>
      </c>
    </row>
    <row r="197" spans="1:35">
      <c r="A197" s="246" t="s">
        <v>112</v>
      </c>
      <c r="B197" s="246" t="s">
        <v>66</v>
      </c>
      <c r="C197" s="246" t="s">
        <v>126</v>
      </c>
      <c r="D197" s="246" t="s">
        <v>270</v>
      </c>
      <c r="E197" s="246"/>
      <c r="F197" s="246"/>
      <c r="G197" s="132">
        <v>0</v>
      </c>
      <c r="H197" s="132">
        <v>0</v>
      </c>
      <c r="I197" s="132">
        <v>0</v>
      </c>
      <c r="J197" s="101" t="s">
        <v>889</v>
      </c>
      <c r="K197" s="245" t="s">
        <v>390</v>
      </c>
      <c r="L197" s="245">
        <v>42919</v>
      </c>
      <c r="M197" s="245" t="s">
        <v>391</v>
      </c>
      <c r="N197" s="101">
        <v>0</v>
      </c>
      <c r="O197" s="101" t="s">
        <v>392</v>
      </c>
      <c r="P197" s="101">
        <v>0</v>
      </c>
      <c r="Q197" s="101">
        <v>0</v>
      </c>
      <c r="R197" s="101" t="s">
        <v>428</v>
      </c>
      <c r="S197" s="101">
        <v>148707</v>
      </c>
      <c r="T197" s="101" t="s">
        <v>394</v>
      </c>
      <c r="V197" s="245">
        <v>42951</v>
      </c>
      <c r="W197" s="101" t="s">
        <v>424</v>
      </c>
      <c r="X197" s="101" t="s">
        <v>429</v>
      </c>
      <c r="Y197" s="101" t="s">
        <v>392</v>
      </c>
      <c r="Z197" s="101" t="s">
        <v>430</v>
      </c>
      <c r="AA197" s="101" t="s">
        <v>397</v>
      </c>
      <c r="AB197" s="101">
        <v>5101000018</v>
      </c>
      <c r="AC197" s="101" t="s">
        <v>431</v>
      </c>
      <c r="AD197" s="101" t="s">
        <v>431</v>
      </c>
      <c r="AE197" s="101" t="s">
        <v>75</v>
      </c>
      <c r="AF197" s="101" t="s">
        <v>400</v>
      </c>
      <c r="AG197" s="101" t="s">
        <v>624</v>
      </c>
      <c r="AI197" s="101" t="s">
        <v>760</v>
      </c>
    </row>
    <row r="198" spans="1:35">
      <c r="A198" s="246" t="s">
        <v>112</v>
      </c>
      <c r="B198" s="246" t="s">
        <v>66</v>
      </c>
      <c r="C198" s="246" t="s">
        <v>126</v>
      </c>
      <c r="D198" s="246" t="s">
        <v>270</v>
      </c>
      <c r="E198" s="246"/>
      <c r="F198" s="246"/>
      <c r="G198" s="132">
        <v>0</v>
      </c>
      <c r="H198" s="132">
        <v>0</v>
      </c>
      <c r="I198" s="132">
        <v>0</v>
      </c>
      <c r="J198" s="101" t="s">
        <v>889</v>
      </c>
      <c r="K198" s="245" t="s">
        <v>390</v>
      </c>
      <c r="L198" s="245">
        <v>42951</v>
      </c>
      <c r="M198" s="245" t="s">
        <v>391</v>
      </c>
      <c r="N198" s="101">
        <v>0</v>
      </c>
      <c r="O198" s="101" t="s">
        <v>392</v>
      </c>
      <c r="P198" s="101">
        <v>0</v>
      </c>
      <c r="Q198" s="101">
        <v>0</v>
      </c>
      <c r="R198" s="101" t="s">
        <v>428</v>
      </c>
      <c r="S198" s="101">
        <v>148707</v>
      </c>
      <c r="T198" s="101" t="s">
        <v>394</v>
      </c>
      <c r="V198" s="245">
        <v>42951</v>
      </c>
      <c r="W198" s="101" t="s">
        <v>424</v>
      </c>
      <c r="X198" s="101" t="s">
        <v>429</v>
      </c>
      <c r="Y198" s="101" t="s">
        <v>392</v>
      </c>
      <c r="Z198" s="101" t="s">
        <v>430</v>
      </c>
      <c r="AA198" s="101" t="s">
        <v>397</v>
      </c>
      <c r="AB198" s="101">
        <v>5101000018</v>
      </c>
      <c r="AC198" s="101" t="s">
        <v>431</v>
      </c>
      <c r="AD198" s="101" t="s">
        <v>431</v>
      </c>
      <c r="AE198" s="101" t="s">
        <v>75</v>
      </c>
      <c r="AF198" s="101" t="s">
        <v>400</v>
      </c>
      <c r="AG198" s="101" t="s">
        <v>624</v>
      </c>
      <c r="AI198" s="101" t="s">
        <v>760</v>
      </c>
    </row>
    <row r="199" spans="1:35">
      <c r="A199" s="246" t="s">
        <v>112</v>
      </c>
      <c r="B199" s="246" t="s">
        <v>66</v>
      </c>
      <c r="C199" s="246" t="s">
        <v>116</v>
      </c>
      <c r="D199" s="246" t="s">
        <v>330</v>
      </c>
      <c r="E199" s="246"/>
      <c r="F199" s="246"/>
      <c r="G199" s="132">
        <v>0</v>
      </c>
      <c r="H199" s="132">
        <v>0</v>
      </c>
      <c r="I199" s="132">
        <v>0</v>
      </c>
      <c r="J199" s="101" t="s">
        <v>889</v>
      </c>
      <c r="K199" s="245" t="s">
        <v>390</v>
      </c>
      <c r="L199" s="245">
        <v>42951</v>
      </c>
      <c r="M199" s="245" t="s">
        <v>421</v>
      </c>
      <c r="N199" s="101">
        <v>0</v>
      </c>
      <c r="O199" s="101" t="s">
        <v>392</v>
      </c>
      <c r="P199" s="101">
        <v>0</v>
      </c>
      <c r="Q199" s="101">
        <v>0</v>
      </c>
      <c r="R199" s="101" t="s">
        <v>428</v>
      </c>
      <c r="S199" s="101">
        <v>148707</v>
      </c>
      <c r="T199" s="101" t="s">
        <v>394</v>
      </c>
      <c r="V199" s="245">
        <v>42951</v>
      </c>
      <c r="W199" s="101" t="s">
        <v>424</v>
      </c>
      <c r="X199" s="101" t="s">
        <v>429</v>
      </c>
      <c r="Y199" s="101" t="s">
        <v>392</v>
      </c>
      <c r="Z199" s="101" t="s">
        <v>430</v>
      </c>
      <c r="AA199" s="101" t="s">
        <v>397</v>
      </c>
      <c r="AB199" s="101">
        <v>5101000018</v>
      </c>
      <c r="AC199" s="101" t="s">
        <v>431</v>
      </c>
      <c r="AD199" s="101" t="s">
        <v>431</v>
      </c>
      <c r="AE199" s="101" t="s">
        <v>75</v>
      </c>
      <c r="AF199" s="101" t="s">
        <v>400</v>
      </c>
      <c r="AG199" s="101" t="s">
        <v>624</v>
      </c>
      <c r="AI199" s="101" t="s">
        <v>760</v>
      </c>
    </row>
    <row r="200" spans="1:35">
      <c r="A200" s="246" t="s">
        <v>110</v>
      </c>
      <c r="B200" s="246" t="s">
        <v>66</v>
      </c>
      <c r="C200" s="246" t="s">
        <v>126</v>
      </c>
      <c r="D200" s="246" t="s">
        <v>281</v>
      </c>
      <c r="E200" s="246"/>
      <c r="F200" s="246"/>
      <c r="G200" s="132">
        <v>1100000</v>
      </c>
      <c r="H200" s="132" t="s">
        <v>1075</v>
      </c>
      <c r="I200" s="132">
        <v>1100000</v>
      </c>
      <c r="J200" s="101" t="s">
        <v>889</v>
      </c>
      <c r="K200" s="245" t="s">
        <v>390</v>
      </c>
      <c r="L200" s="245">
        <v>42597</v>
      </c>
      <c r="M200" s="245" t="s">
        <v>391</v>
      </c>
      <c r="N200" s="101">
        <v>0</v>
      </c>
      <c r="O200" s="101" t="s">
        <v>392</v>
      </c>
      <c r="P200" s="101">
        <v>0</v>
      </c>
      <c r="Q200" s="101">
        <v>0</v>
      </c>
      <c r="R200" s="101" t="s">
        <v>450</v>
      </c>
      <c r="S200" s="101">
        <v>162333</v>
      </c>
      <c r="T200" s="101" t="s">
        <v>394</v>
      </c>
      <c r="V200" s="245">
        <v>46980</v>
      </c>
      <c r="W200" s="101" t="s">
        <v>411</v>
      </c>
      <c r="X200" s="101" t="s">
        <v>77</v>
      </c>
      <c r="Y200" s="101" t="s">
        <v>392</v>
      </c>
      <c r="Z200" s="101" t="s">
        <v>430</v>
      </c>
      <c r="AA200" s="101" t="s">
        <v>451</v>
      </c>
      <c r="AB200" s="101">
        <v>1101005009</v>
      </c>
      <c r="AC200" s="101" t="s">
        <v>431</v>
      </c>
      <c r="AD200" s="101" t="s">
        <v>431</v>
      </c>
      <c r="AE200" s="101" t="s">
        <v>75</v>
      </c>
      <c r="AF200" s="101" t="s">
        <v>400</v>
      </c>
      <c r="AG200" s="101" t="s">
        <v>452</v>
      </c>
      <c r="AI200" s="101" t="s">
        <v>760</v>
      </c>
    </row>
    <row r="201" spans="1:35">
      <c r="A201" s="246" t="s">
        <v>111</v>
      </c>
      <c r="B201" s="246" t="s">
        <v>66</v>
      </c>
      <c r="C201" s="246" t="s">
        <v>126</v>
      </c>
      <c r="D201" s="246" t="s">
        <v>273</v>
      </c>
      <c r="E201" s="246"/>
      <c r="F201" s="246"/>
      <c r="G201" s="132">
        <v>1100000</v>
      </c>
      <c r="H201" s="132" t="s">
        <v>1075</v>
      </c>
      <c r="I201" s="132">
        <v>1100000</v>
      </c>
      <c r="J201" s="101" t="s">
        <v>889</v>
      </c>
      <c r="K201" s="245" t="s">
        <v>390</v>
      </c>
      <c r="L201" s="245">
        <v>42781</v>
      </c>
      <c r="M201" s="245" t="s">
        <v>391</v>
      </c>
      <c r="N201" s="101">
        <v>0</v>
      </c>
      <c r="O201" s="101" t="s">
        <v>392</v>
      </c>
      <c r="P201" s="101">
        <v>0</v>
      </c>
      <c r="Q201" s="101">
        <v>0</v>
      </c>
      <c r="R201" s="101" t="s">
        <v>450</v>
      </c>
      <c r="S201" s="101">
        <v>162333</v>
      </c>
      <c r="T201" s="101" t="s">
        <v>394</v>
      </c>
      <c r="V201" s="245">
        <v>46980</v>
      </c>
      <c r="W201" s="101" t="s">
        <v>411</v>
      </c>
      <c r="X201" s="101" t="s">
        <v>77</v>
      </c>
      <c r="Y201" s="101" t="s">
        <v>392</v>
      </c>
      <c r="Z201" s="101" t="s">
        <v>430</v>
      </c>
      <c r="AA201" s="101" t="s">
        <v>451</v>
      </c>
      <c r="AB201" s="101">
        <v>1101005009</v>
      </c>
      <c r="AC201" s="101" t="s">
        <v>431</v>
      </c>
      <c r="AD201" s="101" t="s">
        <v>431</v>
      </c>
      <c r="AE201" s="101" t="s">
        <v>75</v>
      </c>
      <c r="AF201" s="101" t="s">
        <v>400</v>
      </c>
      <c r="AG201" s="101" t="s">
        <v>452</v>
      </c>
      <c r="AI201" s="101" t="s">
        <v>760</v>
      </c>
    </row>
    <row r="202" spans="1:35">
      <c r="A202" s="246" t="s">
        <v>112</v>
      </c>
      <c r="B202" s="246" t="s">
        <v>66</v>
      </c>
      <c r="C202" s="246" t="s">
        <v>126</v>
      </c>
      <c r="D202" s="246" t="s">
        <v>270</v>
      </c>
      <c r="E202" s="246"/>
      <c r="F202" s="246"/>
      <c r="G202" s="132">
        <v>1100000</v>
      </c>
      <c r="H202" s="132" t="s">
        <v>1075</v>
      </c>
      <c r="I202" s="132">
        <v>1100000</v>
      </c>
      <c r="J202" s="101" t="s">
        <v>889</v>
      </c>
      <c r="K202" s="245" t="s">
        <v>390</v>
      </c>
      <c r="L202" s="245">
        <v>42962</v>
      </c>
      <c r="M202" s="245" t="s">
        <v>391</v>
      </c>
      <c r="N202" s="101">
        <v>0</v>
      </c>
      <c r="O202" s="101" t="s">
        <v>392</v>
      </c>
      <c r="P202" s="101">
        <v>0</v>
      </c>
      <c r="Q202" s="101">
        <v>0</v>
      </c>
      <c r="R202" s="101" t="s">
        <v>450</v>
      </c>
      <c r="S202" s="101">
        <v>162333</v>
      </c>
      <c r="T202" s="101" t="s">
        <v>394</v>
      </c>
      <c r="V202" s="245">
        <v>46980</v>
      </c>
      <c r="W202" s="101" t="s">
        <v>411</v>
      </c>
      <c r="X202" s="101" t="s">
        <v>77</v>
      </c>
      <c r="Y202" s="101" t="s">
        <v>392</v>
      </c>
      <c r="Z202" s="101" t="s">
        <v>430</v>
      </c>
      <c r="AA202" s="101" t="s">
        <v>451</v>
      </c>
      <c r="AB202" s="101">
        <v>1101005009</v>
      </c>
      <c r="AC202" s="101" t="s">
        <v>431</v>
      </c>
      <c r="AD202" s="101" t="s">
        <v>431</v>
      </c>
      <c r="AE202" s="101" t="s">
        <v>75</v>
      </c>
      <c r="AF202" s="101" t="s">
        <v>400</v>
      </c>
      <c r="AG202" s="101" t="s">
        <v>452</v>
      </c>
      <c r="AI202" s="101" t="s">
        <v>760</v>
      </c>
    </row>
    <row r="203" spans="1:35">
      <c r="A203" s="246" t="s">
        <v>113</v>
      </c>
      <c r="B203" s="246" t="s">
        <v>66</v>
      </c>
      <c r="C203" s="246" t="s">
        <v>126</v>
      </c>
      <c r="D203" s="246" t="s">
        <v>271</v>
      </c>
      <c r="E203" s="246"/>
      <c r="F203" s="246"/>
      <c r="G203" s="132">
        <v>1100000</v>
      </c>
      <c r="H203" s="132" t="s">
        <v>1075</v>
      </c>
      <c r="I203" s="132">
        <v>1100000</v>
      </c>
      <c r="J203" s="101" t="s">
        <v>889</v>
      </c>
      <c r="K203" s="245" t="s">
        <v>390</v>
      </c>
      <c r="L203" s="245">
        <v>43146</v>
      </c>
      <c r="M203" s="245" t="s">
        <v>391</v>
      </c>
      <c r="N203" s="101">
        <v>0</v>
      </c>
      <c r="O203" s="101" t="s">
        <v>392</v>
      </c>
      <c r="P203" s="101">
        <v>0</v>
      </c>
      <c r="Q203" s="101">
        <v>0</v>
      </c>
      <c r="R203" s="101" t="s">
        <v>450</v>
      </c>
      <c r="S203" s="101">
        <v>162333</v>
      </c>
      <c r="T203" s="101" t="s">
        <v>394</v>
      </c>
      <c r="V203" s="245">
        <v>46980</v>
      </c>
      <c r="W203" s="101" t="s">
        <v>411</v>
      </c>
      <c r="X203" s="101" t="s">
        <v>77</v>
      </c>
      <c r="Y203" s="101" t="s">
        <v>392</v>
      </c>
      <c r="Z203" s="101" t="s">
        <v>430</v>
      </c>
      <c r="AA203" s="101" t="s">
        <v>451</v>
      </c>
      <c r="AB203" s="101">
        <v>1101005009</v>
      </c>
      <c r="AC203" s="101" t="s">
        <v>431</v>
      </c>
      <c r="AD203" s="101" t="s">
        <v>431</v>
      </c>
      <c r="AE203" s="101" t="s">
        <v>75</v>
      </c>
      <c r="AF203" s="101" t="s">
        <v>400</v>
      </c>
      <c r="AG203" s="101" t="s">
        <v>452</v>
      </c>
      <c r="AI203" s="101" t="s">
        <v>760</v>
      </c>
    </row>
    <row r="204" spans="1:35">
      <c r="A204" s="246" t="s">
        <v>109</v>
      </c>
      <c r="B204" s="246" t="s">
        <v>78</v>
      </c>
      <c r="C204" s="246" t="s">
        <v>126</v>
      </c>
      <c r="D204" s="246" t="s">
        <v>337</v>
      </c>
      <c r="E204" s="246" t="s">
        <v>336</v>
      </c>
      <c r="F204" s="246" t="s">
        <v>275</v>
      </c>
      <c r="G204" s="132" t="s">
        <v>705</v>
      </c>
      <c r="H204" s="132" t="s">
        <v>1076</v>
      </c>
      <c r="I204" s="132">
        <v>3002.85</v>
      </c>
      <c r="J204" s="101" t="s">
        <v>889</v>
      </c>
      <c r="K204" s="245" t="s">
        <v>390</v>
      </c>
      <c r="L204" s="245">
        <v>42551</v>
      </c>
      <c r="M204" s="245" t="s">
        <v>391</v>
      </c>
      <c r="N204" s="101">
        <v>0</v>
      </c>
      <c r="O204" s="101" t="s">
        <v>392</v>
      </c>
      <c r="P204" s="101">
        <v>0</v>
      </c>
      <c r="Q204" s="101">
        <v>0</v>
      </c>
      <c r="R204" s="101" t="s">
        <v>393</v>
      </c>
      <c r="S204" s="101" t="s">
        <v>818</v>
      </c>
      <c r="T204" s="101" t="s">
        <v>394</v>
      </c>
      <c r="V204" s="245">
        <v>14248</v>
      </c>
      <c r="W204" s="101" t="s">
        <v>395</v>
      </c>
      <c r="X204" s="101" t="s">
        <v>795</v>
      </c>
      <c r="Y204" s="101" t="s">
        <v>396</v>
      </c>
      <c r="Z204" s="101" t="s">
        <v>402</v>
      </c>
      <c r="AA204" s="101" t="s">
        <v>78</v>
      </c>
      <c r="AB204" s="101">
        <v>4101000279</v>
      </c>
      <c r="AC204" s="101" t="s">
        <v>398</v>
      </c>
      <c r="AD204" s="101" t="s">
        <v>403</v>
      </c>
      <c r="AE204" s="101" t="s">
        <v>6</v>
      </c>
      <c r="AF204" s="101" t="s">
        <v>400</v>
      </c>
      <c r="AI204" s="101" t="s">
        <v>760</v>
      </c>
    </row>
    <row r="205" spans="1:35">
      <c r="A205" s="246" t="s">
        <v>109</v>
      </c>
      <c r="B205" s="246" t="s">
        <v>78</v>
      </c>
      <c r="C205" s="246" t="s">
        <v>126</v>
      </c>
      <c r="D205" s="246" t="s">
        <v>337</v>
      </c>
      <c r="E205" s="246" t="s">
        <v>336</v>
      </c>
      <c r="F205" s="246" t="s">
        <v>275</v>
      </c>
      <c r="G205" s="132" t="s">
        <v>827</v>
      </c>
      <c r="H205" s="132" t="s">
        <v>1077</v>
      </c>
      <c r="I205" s="132">
        <v>541.88</v>
      </c>
      <c r="J205" s="101" t="s">
        <v>889</v>
      </c>
      <c r="K205" s="245" t="s">
        <v>390</v>
      </c>
      <c r="L205" s="245">
        <v>42551</v>
      </c>
      <c r="M205" s="245" t="s">
        <v>391</v>
      </c>
      <c r="N205" s="101">
        <v>0</v>
      </c>
      <c r="O205" s="101" t="s">
        <v>392</v>
      </c>
      <c r="P205" s="101">
        <v>0</v>
      </c>
      <c r="Q205" s="101">
        <v>0</v>
      </c>
      <c r="R205" s="101" t="s">
        <v>393</v>
      </c>
      <c r="S205" s="101" t="s">
        <v>818</v>
      </c>
      <c r="T205" s="101" t="s">
        <v>394</v>
      </c>
      <c r="V205" s="245">
        <v>14248</v>
      </c>
      <c r="W205" s="101" t="s">
        <v>395</v>
      </c>
      <c r="X205" s="101" t="s">
        <v>795</v>
      </c>
      <c r="Y205" s="101" t="s">
        <v>396</v>
      </c>
      <c r="Z205" s="101" t="s">
        <v>402</v>
      </c>
      <c r="AA205" s="101" t="s">
        <v>78</v>
      </c>
      <c r="AB205" s="101">
        <v>4101000279</v>
      </c>
      <c r="AC205" s="101" t="s">
        <v>398</v>
      </c>
      <c r="AD205" s="101" t="s">
        <v>403</v>
      </c>
      <c r="AE205" s="101" t="s">
        <v>6</v>
      </c>
      <c r="AF205" s="101" t="s">
        <v>400</v>
      </c>
      <c r="AI205" s="101" t="s">
        <v>760</v>
      </c>
    </row>
    <row r="206" spans="1:35">
      <c r="A206" s="246" t="s">
        <v>109</v>
      </c>
      <c r="B206" s="246" t="s">
        <v>78</v>
      </c>
      <c r="C206" s="246" t="s">
        <v>126</v>
      </c>
      <c r="D206" s="246" t="s">
        <v>337</v>
      </c>
      <c r="E206" s="246" t="s">
        <v>336</v>
      </c>
      <c r="F206" s="246" t="s">
        <v>275</v>
      </c>
      <c r="G206" s="132" t="s">
        <v>817</v>
      </c>
      <c r="H206" s="132" t="s">
        <v>1078</v>
      </c>
      <c r="I206" s="132">
        <v>10110.449999999999</v>
      </c>
      <c r="J206" s="101" t="s">
        <v>889</v>
      </c>
      <c r="K206" s="245" t="s">
        <v>390</v>
      </c>
      <c r="L206" s="245">
        <v>42551</v>
      </c>
      <c r="M206" s="245" t="s">
        <v>391</v>
      </c>
      <c r="N206" s="101">
        <v>0</v>
      </c>
      <c r="O206" s="101" t="s">
        <v>392</v>
      </c>
      <c r="P206" s="101">
        <v>0</v>
      </c>
      <c r="Q206" s="101">
        <v>0</v>
      </c>
      <c r="R206" s="101" t="s">
        <v>393</v>
      </c>
      <c r="S206" s="101" t="s">
        <v>818</v>
      </c>
      <c r="T206" s="101" t="s">
        <v>394</v>
      </c>
      <c r="V206" s="245">
        <v>14248</v>
      </c>
      <c r="W206" s="101" t="s">
        <v>395</v>
      </c>
      <c r="X206" s="101" t="s">
        <v>795</v>
      </c>
      <c r="Y206" s="101" t="s">
        <v>396</v>
      </c>
      <c r="Z206" s="101" t="s">
        <v>402</v>
      </c>
      <c r="AA206" s="101" t="s">
        <v>78</v>
      </c>
      <c r="AB206" s="101">
        <v>4101000279</v>
      </c>
      <c r="AC206" s="101" t="s">
        <v>398</v>
      </c>
      <c r="AD206" s="101" t="s">
        <v>403</v>
      </c>
      <c r="AE206" s="101" t="s">
        <v>6</v>
      </c>
      <c r="AF206" s="101" t="s">
        <v>400</v>
      </c>
      <c r="AI206" s="101" t="s">
        <v>760</v>
      </c>
    </row>
    <row r="207" spans="1:35">
      <c r="A207" s="246" t="s">
        <v>109</v>
      </c>
      <c r="B207" s="246" t="s">
        <v>78</v>
      </c>
      <c r="C207" s="246" t="s">
        <v>126</v>
      </c>
      <c r="D207" s="246" t="s">
        <v>337</v>
      </c>
      <c r="E207" s="246" t="s">
        <v>336</v>
      </c>
      <c r="F207" s="246" t="s">
        <v>275</v>
      </c>
      <c r="G207" s="132" t="s">
        <v>819</v>
      </c>
      <c r="H207" s="132" t="s">
        <v>1079</v>
      </c>
      <c r="I207" s="132">
        <v>5538.579999999999</v>
      </c>
      <c r="J207" s="101" t="s">
        <v>889</v>
      </c>
      <c r="K207" s="245" t="s">
        <v>390</v>
      </c>
      <c r="L207" s="245">
        <v>42551</v>
      </c>
      <c r="M207" s="245" t="s">
        <v>391</v>
      </c>
      <c r="N207" s="101">
        <v>0</v>
      </c>
      <c r="O207" s="101" t="s">
        <v>392</v>
      </c>
      <c r="P207" s="101">
        <v>0</v>
      </c>
      <c r="Q207" s="101">
        <v>0</v>
      </c>
      <c r="R207" s="101" t="s">
        <v>393</v>
      </c>
      <c r="S207" s="101" t="s">
        <v>818</v>
      </c>
      <c r="T207" s="101" t="s">
        <v>394</v>
      </c>
      <c r="V207" s="245">
        <v>14248</v>
      </c>
      <c r="W207" s="101" t="s">
        <v>395</v>
      </c>
      <c r="X207" s="101" t="s">
        <v>795</v>
      </c>
      <c r="Y207" s="101" t="s">
        <v>396</v>
      </c>
      <c r="Z207" s="101" t="s">
        <v>402</v>
      </c>
      <c r="AA207" s="101" t="s">
        <v>78</v>
      </c>
      <c r="AB207" s="101">
        <v>4101000279</v>
      </c>
      <c r="AC207" s="101" t="s">
        <v>398</v>
      </c>
      <c r="AD207" s="101" t="s">
        <v>403</v>
      </c>
      <c r="AE207" s="101" t="s">
        <v>6</v>
      </c>
      <c r="AF207" s="101" t="s">
        <v>400</v>
      </c>
      <c r="AI207" s="101" t="s">
        <v>760</v>
      </c>
    </row>
    <row r="208" spans="1:35">
      <c r="A208" s="246" t="s">
        <v>111</v>
      </c>
      <c r="B208" s="246" t="s">
        <v>78</v>
      </c>
      <c r="C208" s="246" t="s">
        <v>126</v>
      </c>
      <c r="D208" s="246" t="s">
        <v>768</v>
      </c>
      <c r="E208" s="246" t="s">
        <v>769</v>
      </c>
      <c r="F208" s="246" t="s">
        <v>277</v>
      </c>
      <c r="G208" s="132">
        <v>14190</v>
      </c>
      <c r="H208" s="132" t="s">
        <v>1080</v>
      </c>
      <c r="I208" s="132">
        <v>14190</v>
      </c>
      <c r="J208" s="101" t="s">
        <v>889</v>
      </c>
      <c r="K208" s="245" t="s">
        <v>390</v>
      </c>
      <c r="L208" s="245">
        <v>42734</v>
      </c>
      <c r="M208" s="245" t="s">
        <v>391</v>
      </c>
      <c r="N208" s="101">
        <v>0</v>
      </c>
      <c r="O208" s="101" t="s">
        <v>392</v>
      </c>
      <c r="P208" s="101">
        <v>0</v>
      </c>
      <c r="Q208" s="101">
        <v>0</v>
      </c>
      <c r="R208" s="101" t="s">
        <v>393</v>
      </c>
      <c r="S208" s="101" t="s">
        <v>818</v>
      </c>
      <c r="T208" s="101" t="s">
        <v>394</v>
      </c>
      <c r="V208" s="245">
        <v>14248</v>
      </c>
      <c r="W208" s="101" t="s">
        <v>395</v>
      </c>
      <c r="X208" s="101" t="s">
        <v>795</v>
      </c>
      <c r="Y208" s="101" t="s">
        <v>396</v>
      </c>
      <c r="Z208" s="101" t="s">
        <v>402</v>
      </c>
      <c r="AA208" s="101" t="s">
        <v>78</v>
      </c>
      <c r="AB208" s="101">
        <v>4101000279</v>
      </c>
      <c r="AC208" s="101" t="s">
        <v>398</v>
      </c>
      <c r="AD208" s="101" t="s">
        <v>403</v>
      </c>
      <c r="AE208" s="101" t="s">
        <v>6</v>
      </c>
      <c r="AF208" s="101" t="s">
        <v>400</v>
      </c>
      <c r="AI208" s="101" t="s">
        <v>760</v>
      </c>
    </row>
    <row r="209" spans="1:35">
      <c r="A209" s="246" t="s">
        <v>112</v>
      </c>
      <c r="B209" s="246" t="s">
        <v>78</v>
      </c>
      <c r="C209" s="246" t="s">
        <v>126</v>
      </c>
      <c r="D209" s="246" t="s">
        <v>341</v>
      </c>
      <c r="E209" s="246" t="s">
        <v>342</v>
      </c>
      <c r="F209" s="246" t="s">
        <v>278</v>
      </c>
      <c r="G209" s="132">
        <v>14190</v>
      </c>
      <c r="H209" s="132" t="s">
        <v>1080</v>
      </c>
      <c r="I209" s="132">
        <v>14190</v>
      </c>
      <c r="J209" s="101" t="s">
        <v>889</v>
      </c>
      <c r="K209" s="245" t="s">
        <v>390</v>
      </c>
      <c r="L209" s="245">
        <v>42916</v>
      </c>
      <c r="M209" s="245" t="s">
        <v>391</v>
      </c>
      <c r="N209" s="101">
        <v>0</v>
      </c>
      <c r="O209" s="101" t="s">
        <v>392</v>
      </c>
      <c r="P209" s="101">
        <v>0</v>
      </c>
      <c r="Q209" s="101">
        <v>0</v>
      </c>
      <c r="R209" s="101" t="s">
        <v>393</v>
      </c>
      <c r="S209" s="101" t="s">
        <v>818</v>
      </c>
      <c r="T209" s="101" t="s">
        <v>394</v>
      </c>
      <c r="V209" s="245">
        <v>14248</v>
      </c>
      <c r="W209" s="101" t="s">
        <v>395</v>
      </c>
      <c r="X209" s="101" t="s">
        <v>795</v>
      </c>
      <c r="Y209" s="101" t="s">
        <v>396</v>
      </c>
      <c r="Z209" s="101" t="s">
        <v>402</v>
      </c>
      <c r="AA209" s="101" t="s">
        <v>78</v>
      </c>
      <c r="AB209" s="101">
        <v>4101000279</v>
      </c>
      <c r="AC209" s="101" t="s">
        <v>398</v>
      </c>
      <c r="AD209" s="101" t="s">
        <v>403</v>
      </c>
      <c r="AE209" s="101" t="s">
        <v>6</v>
      </c>
      <c r="AF209" s="101" t="s">
        <v>400</v>
      </c>
      <c r="AI209" s="101" t="s">
        <v>760</v>
      </c>
    </row>
    <row r="210" spans="1:35">
      <c r="A210" s="246" t="s">
        <v>113</v>
      </c>
      <c r="B210" s="246" t="s">
        <v>78</v>
      </c>
      <c r="C210" s="246" t="s">
        <v>126</v>
      </c>
      <c r="D210" s="246" t="s">
        <v>339</v>
      </c>
      <c r="E210" s="246" t="s">
        <v>340</v>
      </c>
      <c r="F210" s="246" t="s">
        <v>279</v>
      </c>
      <c r="G210" s="132">
        <v>14190</v>
      </c>
      <c r="H210" s="132" t="s">
        <v>1080</v>
      </c>
      <c r="I210" s="132">
        <v>14190</v>
      </c>
      <c r="J210" s="101" t="s">
        <v>889</v>
      </c>
      <c r="K210" s="245" t="s">
        <v>390</v>
      </c>
      <c r="L210" s="245">
        <v>43098</v>
      </c>
      <c r="M210" s="245" t="s">
        <v>391</v>
      </c>
      <c r="N210" s="101">
        <v>0</v>
      </c>
      <c r="O210" s="101" t="s">
        <v>392</v>
      </c>
      <c r="P210" s="101">
        <v>0</v>
      </c>
      <c r="Q210" s="101">
        <v>0</v>
      </c>
      <c r="R210" s="101" t="s">
        <v>393</v>
      </c>
      <c r="S210" s="101" t="s">
        <v>818</v>
      </c>
      <c r="T210" s="101" t="s">
        <v>394</v>
      </c>
      <c r="V210" s="245">
        <v>14248</v>
      </c>
      <c r="W210" s="101" t="s">
        <v>395</v>
      </c>
      <c r="X210" s="101" t="s">
        <v>795</v>
      </c>
      <c r="Y210" s="101" t="s">
        <v>396</v>
      </c>
      <c r="Z210" s="101" t="s">
        <v>402</v>
      </c>
      <c r="AA210" s="101" t="s">
        <v>78</v>
      </c>
      <c r="AB210" s="101">
        <v>4101000279</v>
      </c>
      <c r="AC210" s="101" t="s">
        <v>398</v>
      </c>
      <c r="AD210" s="101" t="s">
        <v>403</v>
      </c>
      <c r="AE210" s="101" t="s">
        <v>6</v>
      </c>
      <c r="AF210" s="101" t="s">
        <v>400</v>
      </c>
      <c r="AI210" s="101" t="s">
        <v>760</v>
      </c>
    </row>
    <row r="211" spans="1:35">
      <c r="A211" s="246" t="s">
        <v>109</v>
      </c>
      <c r="B211" s="246" t="s">
        <v>66</v>
      </c>
      <c r="C211" s="246" t="s">
        <v>116</v>
      </c>
      <c r="D211" s="246" t="s">
        <v>338</v>
      </c>
      <c r="E211" s="246"/>
      <c r="F211" s="246"/>
      <c r="G211" s="132">
        <v>-3500000</v>
      </c>
      <c r="H211" s="132" t="s">
        <v>1081</v>
      </c>
      <c r="I211" s="132">
        <v>-3500000</v>
      </c>
      <c r="J211" s="101" t="s">
        <v>889</v>
      </c>
      <c r="K211" s="245" t="s">
        <v>390</v>
      </c>
      <c r="L211" s="245">
        <v>42569</v>
      </c>
      <c r="M211" s="245" t="s">
        <v>421</v>
      </c>
      <c r="N211" s="101">
        <v>0</v>
      </c>
      <c r="O211" s="101" t="s">
        <v>392</v>
      </c>
      <c r="P211" s="101">
        <v>0</v>
      </c>
      <c r="Q211" s="101">
        <v>0</v>
      </c>
      <c r="R211" s="101" t="s">
        <v>438</v>
      </c>
      <c r="S211" s="101">
        <v>184300</v>
      </c>
      <c r="T211" s="101" t="s">
        <v>394</v>
      </c>
      <c r="V211" s="245">
        <v>42569</v>
      </c>
      <c r="W211" s="101" t="s">
        <v>441</v>
      </c>
      <c r="X211" s="101" t="s">
        <v>76</v>
      </c>
      <c r="Y211" s="101" t="s">
        <v>392</v>
      </c>
      <c r="Z211" s="101" t="s">
        <v>430</v>
      </c>
      <c r="AA211" s="101" t="s">
        <v>442</v>
      </c>
      <c r="AB211" s="101">
        <v>1101000297</v>
      </c>
      <c r="AC211" s="101" t="s">
        <v>431</v>
      </c>
      <c r="AD211" s="101" t="s">
        <v>431</v>
      </c>
      <c r="AE211" s="101" t="s">
        <v>75</v>
      </c>
      <c r="AF211" s="101" t="s">
        <v>400</v>
      </c>
      <c r="AG211" s="101" t="s">
        <v>443</v>
      </c>
      <c r="AI211" s="101" t="s">
        <v>760</v>
      </c>
    </row>
    <row r="212" spans="1:35">
      <c r="A212" s="246" t="s">
        <v>113</v>
      </c>
      <c r="B212" s="246" t="s">
        <v>78</v>
      </c>
      <c r="C212" s="246" t="s">
        <v>126</v>
      </c>
      <c r="D212" s="246" t="s">
        <v>339</v>
      </c>
      <c r="E212" s="246" t="s">
        <v>340</v>
      </c>
      <c r="F212" s="246" t="s">
        <v>279</v>
      </c>
      <c r="G212" s="132" t="s">
        <v>401</v>
      </c>
      <c r="H212" s="132" t="s">
        <v>1045</v>
      </c>
      <c r="I212" s="132">
        <v>169.53</v>
      </c>
      <c r="J212" s="101" t="s">
        <v>889</v>
      </c>
      <c r="K212" s="245" t="s">
        <v>390</v>
      </c>
      <c r="L212" s="245">
        <v>43098</v>
      </c>
      <c r="M212" s="245" t="s">
        <v>391</v>
      </c>
      <c r="N212" s="101">
        <v>0</v>
      </c>
      <c r="O212" s="101" t="s">
        <v>392</v>
      </c>
      <c r="P212" s="101">
        <v>0</v>
      </c>
      <c r="Q212" s="101">
        <v>0</v>
      </c>
      <c r="R212" s="101" t="s">
        <v>393</v>
      </c>
      <c r="S212" s="101" t="s">
        <v>866</v>
      </c>
      <c r="T212" s="101" t="s">
        <v>394</v>
      </c>
      <c r="V212" s="245">
        <v>46387</v>
      </c>
      <c r="W212" s="101" t="s">
        <v>395</v>
      </c>
      <c r="X212" s="101" t="s">
        <v>795</v>
      </c>
      <c r="Y212" s="101" t="s">
        <v>396</v>
      </c>
      <c r="Z212" s="101" t="s">
        <v>393</v>
      </c>
      <c r="AA212" s="101" t="s">
        <v>78</v>
      </c>
      <c r="AB212" s="101">
        <v>4101000279</v>
      </c>
      <c r="AC212" s="101" t="s">
        <v>398</v>
      </c>
      <c r="AD212" s="101" t="s">
        <v>399</v>
      </c>
      <c r="AE212" s="101" t="s">
        <v>6</v>
      </c>
      <c r="AF212" s="101" t="s">
        <v>400</v>
      </c>
      <c r="AI212" s="101" t="s">
        <v>760</v>
      </c>
    </row>
    <row r="213" spans="1:35">
      <c r="A213" s="246" t="s">
        <v>112</v>
      </c>
      <c r="B213" s="246" t="s">
        <v>66</v>
      </c>
      <c r="C213" s="246" t="s">
        <v>126</v>
      </c>
      <c r="D213" s="246" t="s">
        <v>270</v>
      </c>
      <c r="E213" s="246"/>
      <c r="F213" s="246"/>
      <c r="G213" s="132">
        <v>0</v>
      </c>
      <c r="H213" s="132">
        <v>0</v>
      </c>
      <c r="I213" s="132">
        <v>0</v>
      </c>
      <c r="J213" s="101" t="s">
        <v>889</v>
      </c>
      <c r="K213" s="245" t="s">
        <v>390</v>
      </c>
      <c r="L213" s="245">
        <v>42979</v>
      </c>
      <c r="M213" s="245" t="s">
        <v>391</v>
      </c>
      <c r="N213" s="101">
        <v>0</v>
      </c>
      <c r="O213" s="101" t="s">
        <v>392</v>
      </c>
      <c r="P213" s="101">
        <v>0</v>
      </c>
      <c r="Q213" s="101">
        <v>0</v>
      </c>
      <c r="R213" s="101" t="s">
        <v>428</v>
      </c>
      <c r="S213" s="101">
        <v>148670</v>
      </c>
      <c r="T213" s="101" t="s">
        <v>394</v>
      </c>
      <c r="V213" s="245">
        <v>43433</v>
      </c>
      <c r="W213" s="101" t="s">
        <v>424</v>
      </c>
      <c r="X213" s="101" t="s">
        <v>429</v>
      </c>
      <c r="Y213" s="101" t="s">
        <v>392</v>
      </c>
      <c r="Z213" s="101" t="s">
        <v>430</v>
      </c>
      <c r="AA213" s="101" t="s">
        <v>397</v>
      </c>
      <c r="AB213" s="101">
        <v>5101000018</v>
      </c>
      <c r="AC213" s="101" t="s">
        <v>431</v>
      </c>
      <c r="AD213" s="101" t="s">
        <v>431</v>
      </c>
      <c r="AE213" s="101" t="s">
        <v>75</v>
      </c>
      <c r="AF213" s="101" t="s">
        <v>400</v>
      </c>
      <c r="AG213" s="101" t="s">
        <v>625</v>
      </c>
      <c r="AI213" s="101" t="s">
        <v>760</v>
      </c>
    </row>
    <row r="214" spans="1:35">
      <c r="A214" s="246" t="s">
        <v>112</v>
      </c>
      <c r="B214" s="246" t="s">
        <v>66</v>
      </c>
      <c r="C214" s="246" t="s">
        <v>126</v>
      </c>
      <c r="D214" s="246" t="s">
        <v>270</v>
      </c>
      <c r="E214" s="246"/>
      <c r="F214" s="246"/>
      <c r="G214" s="132">
        <v>0</v>
      </c>
      <c r="H214" s="132">
        <v>0</v>
      </c>
      <c r="I214" s="132">
        <v>0</v>
      </c>
      <c r="J214" s="101" t="s">
        <v>889</v>
      </c>
      <c r="K214" s="245" t="s">
        <v>390</v>
      </c>
      <c r="L214" s="245">
        <v>43010</v>
      </c>
      <c r="M214" s="245" t="s">
        <v>391</v>
      </c>
      <c r="N214" s="101">
        <v>0</v>
      </c>
      <c r="O214" s="101" t="s">
        <v>392</v>
      </c>
      <c r="P214" s="101">
        <v>0</v>
      </c>
      <c r="Q214" s="101">
        <v>0</v>
      </c>
      <c r="R214" s="101" t="s">
        <v>428</v>
      </c>
      <c r="S214" s="101">
        <v>148670</v>
      </c>
      <c r="T214" s="101" t="s">
        <v>394</v>
      </c>
      <c r="V214" s="245">
        <v>43433</v>
      </c>
      <c r="W214" s="101" t="s">
        <v>424</v>
      </c>
      <c r="X214" s="101" t="s">
        <v>429</v>
      </c>
      <c r="Y214" s="101" t="s">
        <v>392</v>
      </c>
      <c r="Z214" s="101" t="s">
        <v>430</v>
      </c>
      <c r="AA214" s="101" t="s">
        <v>397</v>
      </c>
      <c r="AB214" s="101">
        <v>5101000018</v>
      </c>
      <c r="AC214" s="101" t="s">
        <v>431</v>
      </c>
      <c r="AD214" s="101" t="s">
        <v>431</v>
      </c>
      <c r="AE214" s="101" t="s">
        <v>75</v>
      </c>
      <c r="AF214" s="101" t="s">
        <v>400</v>
      </c>
      <c r="AG214" s="101" t="s">
        <v>625</v>
      </c>
      <c r="AI214" s="101" t="s">
        <v>760</v>
      </c>
    </row>
    <row r="215" spans="1:35">
      <c r="A215" s="246" t="s">
        <v>112</v>
      </c>
      <c r="B215" s="246" t="s">
        <v>66</v>
      </c>
      <c r="C215" s="246" t="s">
        <v>126</v>
      </c>
      <c r="D215" s="246" t="s">
        <v>270</v>
      </c>
      <c r="E215" s="246"/>
      <c r="F215" s="246"/>
      <c r="G215" s="132">
        <v>0</v>
      </c>
      <c r="H215" s="132">
        <v>0</v>
      </c>
      <c r="I215" s="132">
        <v>0</v>
      </c>
      <c r="J215" s="101" t="s">
        <v>889</v>
      </c>
      <c r="K215" s="245" t="s">
        <v>390</v>
      </c>
      <c r="L215" s="245">
        <v>43040</v>
      </c>
      <c r="M215" s="245" t="s">
        <v>391</v>
      </c>
      <c r="N215" s="101">
        <v>0</v>
      </c>
      <c r="O215" s="101" t="s">
        <v>392</v>
      </c>
      <c r="P215" s="101">
        <v>0</v>
      </c>
      <c r="Q215" s="101">
        <v>0</v>
      </c>
      <c r="R215" s="101" t="s">
        <v>428</v>
      </c>
      <c r="S215" s="101">
        <v>148670</v>
      </c>
      <c r="T215" s="101" t="s">
        <v>394</v>
      </c>
      <c r="V215" s="245">
        <v>43433</v>
      </c>
      <c r="W215" s="101" t="s">
        <v>424</v>
      </c>
      <c r="X215" s="101" t="s">
        <v>429</v>
      </c>
      <c r="Y215" s="101" t="s">
        <v>392</v>
      </c>
      <c r="Z215" s="101" t="s">
        <v>430</v>
      </c>
      <c r="AA215" s="101" t="s">
        <v>397</v>
      </c>
      <c r="AB215" s="101">
        <v>5101000018</v>
      </c>
      <c r="AC215" s="101" t="s">
        <v>431</v>
      </c>
      <c r="AD215" s="101" t="s">
        <v>431</v>
      </c>
      <c r="AE215" s="101" t="s">
        <v>75</v>
      </c>
      <c r="AF215" s="101" t="s">
        <v>400</v>
      </c>
      <c r="AG215" s="101" t="s">
        <v>625</v>
      </c>
      <c r="AI215" s="101" t="s">
        <v>760</v>
      </c>
    </row>
    <row r="216" spans="1:35">
      <c r="A216" s="246" t="s">
        <v>113</v>
      </c>
      <c r="B216" s="246" t="s">
        <v>66</v>
      </c>
      <c r="C216" s="246" t="s">
        <v>126</v>
      </c>
      <c r="D216" s="246" t="s">
        <v>271</v>
      </c>
      <c r="E216" s="246"/>
      <c r="F216" s="246"/>
      <c r="G216" s="132">
        <v>0</v>
      </c>
      <c r="H216" s="132">
        <v>0</v>
      </c>
      <c r="I216" s="132">
        <v>0</v>
      </c>
      <c r="J216" s="101" t="s">
        <v>889</v>
      </c>
      <c r="K216" s="245" t="s">
        <v>390</v>
      </c>
      <c r="L216" s="245">
        <v>43070</v>
      </c>
      <c r="M216" s="245" t="s">
        <v>391</v>
      </c>
      <c r="N216" s="101">
        <v>0</v>
      </c>
      <c r="O216" s="101" t="s">
        <v>392</v>
      </c>
      <c r="P216" s="101">
        <v>0</v>
      </c>
      <c r="Q216" s="101">
        <v>0</v>
      </c>
      <c r="R216" s="101" t="s">
        <v>428</v>
      </c>
      <c r="S216" s="101">
        <v>148670</v>
      </c>
      <c r="T216" s="101" t="s">
        <v>394</v>
      </c>
      <c r="V216" s="245">
        <v>43433</v>
      </c>
      <c r="W216" s="101" t="s">
        <v>424</v>
      </c>
      <c r="X216" s="101" t="s">
        <v>429</v>
      </c>
      <c r="Y216" s="101" t="s">
        <v>392</v>
      </c>
      <c r="Z216" s="101" t="s">
        <v>430</v>
      </c>
      <c r="AA216" s="101" t="s">
        <v>397</v>
      </c>
      <c r="AB216" s="101">
        <v>5101000018</v>
      </c>
      <c r="AC216" s="101" t="s">
        <v>431</v>
      </c>
      <c r="AD216" s="101" t="s">
        <v>431</v>
      </c>
      <c r="AE216" s="101" t="s">
        <v>75</v>
      </c>
      <c r="AF216" s="101" t="s">
        <v>400</v>
      </c>
      <c r="AG216" s="101" t="s">
        <v>625</v>
      </c>
      <c r="AI216" s="101" t="s">
        <v>760</v>
      </c>
    </row>
    <row r="217" spans="1:35">
      <c r="A217" s="246" t="s">
        <v>113</v>
      </c>
      <c r="B217" s="246" t="s">
        <v>66</v>
      </c>
      <c r="C217" s="246" t="s">
        <v>126</v>
      </c>
      <c r="D217" s="246" t="s">
        <v>271</v>
      </c>
      <c r="E217" s="246"/>
      <c r="F217" s="246"/>
      <c r="G217" s="132">
        <v>0</v>
      </c>
      <c r="H217" s="132">
        <v>0</v>
      </c>
      <c r="I217" s="132">
        <v>0</v>
      </c>
      <c r="J217" s="101" t="s">
        <v>889</v>
      </c>
      <c r="K217" s="245" t="s">
        <v>390</v>
      </c>
      <c r="L217" s="245">
        <v>43102</v>
      </c>
      <c r="M217" s="245" t="s">
        <v>391</v>
      </c>
      <c r="N217" s="101">
        <v>0</v>
      </c>
      <c r="O217" s="101" t="s">
        <v>392</v>
      </c>
      <c r="P217" s="101">
        <v>0</v>
      </c>
      <c r="Q217" s="101">
        <v>0</v>
      </c>
      <c r="R217" s="101" t="s">
        <v>428</v>
      </c>
      <c r="S217" s="101">
        <v>148670</v>
      </c>
      <c r="T217" s="101" t="s">
        <v>394</v>
      </c>
      <c r="V217" s="245">
        <v>43433</v>
      </c>
      <c r="W217" s="101" t="s">
        <v>424</v>
      </c>
      <c r="X217" s="101" t="s">
        <v>429</v>
      </c>
      <c r="Y217" s="101" t="s">
        <v>392</v>
      </c>
      <c r="Z217" s="101" t="s">
        <v>430</v>
      </c>
      <c r="AA217" s="101" t="s">
        <v>397</v>
      </c>
      <c r="AB217" s="101">
        <v>5101000018</v>
      </c>
      <c r="AC217" s="101" t="s">
        <v>431</v>
      </c>
      <c r="AD217" s="101" t="s">
        <v>431</v>
      </c>
      <c r="AE217" s="101" t="s">
        <v>75</v>
      </c>
      <c r="AF217" s="101" t="s">
        <v>400</v>
      </c>
      <c r="AG217" s="101" t="s">
        <v>625</v>
      </c>
      <c r="AI217" s="101" t="s">
        <v>760</v>
      </c>
    </row>
    <row r="218" spans="1:35">
      <c r="A218" s="246" t="s">
        <v>113</v>
      </c>
      <c r="B218" s="246" t="s">
        <v>66</v>
      </c>
      <c r="C218" s="246" t="s">
        <v>126</v>
      </c>
      <c r="D218" s="246" t="s">
        <v>271</v>
      </c>
      <c r="E218" s="246"/>
      <c r="F218" s="246"/>
      <c r="G218" s="132">
        <v>0</v>
      </c>
      <c r="H218" s="132">
        <v>0</v>
      </c>
      <c r="I218" s="132">
        <v>0</v>
      </c>
      <c r="J218" s="101" t="s">
        <v>889</v>
      </c>
      <c r="K218" s="245" t="s">
        <v>390</v>
      </c>
      <c r="L218" s="245">
        <v>43132</v>
      </c>
      <c r="M218" s="245" t="s">
        <v>391</v>
      </c>
      <c r="N218" s="101">
        <v>0</v>
      </c>
      <c r="O218" s="101" t="s">
        <v>392</v>
      </c>
      <c r="P218" s="101">
        <v>0</v>
      </c>
      <c r="Q218" s="101">
        <v>0</v>
      </c>
      <c r="R218" s="101" t="s">
        <v>428</v>
      </c>
      <c r="S218" s="101">
        <v>148670</v>
      </c>
      <c r="T218" s="101" t="s">
        <v>394</v>
      </c>
      <c r="V218" s="245">
        <v>43433</v>
      </c>
      <c r="W218" s="101" t="s">
        <v>424</v>
      </c>
      <c r="X218" s="101" t="s">
        <v>429</v>
      </c>
      <c r="Y218" s="101" t="s">
        <v>392</v>
      </c>
      <c r="Z218" s="101" t="s">
        <v>430</v>
      </c>
      <c r="AA218" s="101" t="s">
        <v>397</v>
      </c>
      <c r="AB218" s="101">
        <v>5101000018</v>
      </c>
      <c r="AC218" s="101" t="s">
        <v>431</v>
      </c>
      <c r="AD218" s="101" t="s">
        <v>431</v>
      </c>
      <c r="AE218" s="101" t="s">
        <v>75</v>
      </c>
      <c r="AF218" s="101" t="s">
        <v>400</v>
      </c>
      <c r="AG218" s="101" t="s">
        <v>625</v>
      </c>
      <c r="AI218" s="101" t="s">
        <v>760</v>
      </c>
    </row>
    <row r="219" spans="1:35">
      <c r="A219" s="246" t="s">
        <v>113</v>
      </c>
      <c r="B219" s="246" t="s">
        <v>66</v>
      </c>
      <c r="C219" s="246" t="s">
        <v>126</v>
      </c>
      <c r="D219" s="246" t="s">
        <v>271</v>
      </c>
      <c r="E219" s="246"/>
      <c r="F219" s="246"/>
      <c r="G219" s="132">
        <v>0</v>
      </c>
      <c r="H219" s="132">
        <v>0</v>
      </c>
      <c r="I219" s="132">
        <v>0</v>
      </c>
      <c r="J219" s="101" t="s">
        <v>889</v>
      </c>
      <c r="K219" s="245" t="s">
        <v>390</v>
      </c>
      <c r="L219" s="245">
        <v>43160</v>
      </c>
      <c r="M219" s="245" t="s">
        <v>391</v>
      </c>
      <c r="N219" s="101">
        <v>0</v>
      </c>
      <c r="O219" s="101" t="s">
        <v>392</v>
      </c>
      <c r="P219" s="101">
        <v>0</v>
      </c>
      <c r="Q219" s="101">
        <v>0</v>
      </c>
      <c r="R219" s="101" t="s">
        <v>428</v>
      </c>
      <c r="S219" s="101">
        <v>148670</v>
      </c>
      <c r="T219" s="101" t="s">
        <v>394</v>
      </c>
      <c r="V219" s="245">
        <v>43433</v>
      </c>
      <c r="W219" s="101" t="s">
        <v>424</v>
      </c>
      <c r="X219" s="101" t="s">
        <v>429</v>
      </c>
      <c r="Y219" s="101" t="s">
        <v>392</v>
      </c>
      <c r="Z219" s="101" t="s">
        <v>430</v>
      </c>
      <c r="AA219" s="101" t="s">
        <v>397</v>
      </c>
      <c r="AB219" s="101">
        <v>5101000018</v>
      </c>
      <c r="AC219" s="101" t="s">
        <v>431</v>
      </c>
      <c r="AD219" s="101" t="s">
        <v>431</v>
      </c>
      <c r="AE219" s="101" t="s">
        <v>75</v>
      </c>
      <c r="AF219" s="101" t="s">
        <v>400</v>
      </c>
      <c r="AG219" s="101" t="s">
        <v>625</v>
      </c>
      <c r="AI219" s="101" t="s">
        <v>760</v>
      </c>
    </row>
    <row r="220" spans="1:35">
      <c r="A220" s="246" t="s">
        <v>113</v>
      </c>
      <c r="B220" s="246" t="s">
        <v>66</v>
      </c>
      <c r="C220" s="246" t="s">
        <v>126</v>
      </c>
      <c r="D220" s="246" t="s">
        <v>271</v>
      </c>
      <c r="E220" s="246"/>
      <c r="F220" s="246"/>
      <c r="G220" s="132">
        <v>0</v>
      </c>
      <c r="H220" s="132">
        <v>0</v>
      </c>
      <c r="I220" s="132">
        <v>0</v>
      </c>
      <c r="J220" s="101" t="s">
        <v>889</v>
      </c>
      <c r="K220" s="245" t="s">
        <v>390</v>
      </c>
      <c r="L220" s="245">
        <v>43193</v>
      </c>
      <c r="M220" s="245" t="s">
        <v>391</v>
      </c>
      <c r="N220" s="101">
        <v>0</v>
      </c>
      <c r="O220" s="101" t="s">
        <v>392</v>
      </c>
      <c r="P220" s="101">
        <v>0</v>
      </c>
      <c r="Q220" s="101">
        <v>0</v>
      </c>
      <c r="R220" s="101" t="s">
        <v>428</v>
      </c>
      <c r="S220" s="101">
        <v>148670</v>
      </c>
      <c r="T220" s="101" t="s">
        <v>394</v>
      </c>
      <c r="V220" s="245">
        <v>43433</v>
      </c>
      <c r="W220" s="101" t="s">
        <v>424</v>
      </c>
      <c r="X220" s="101" t="s">
        <v>429</v>
      </c>
      <c r="Y220" s="101" t="s">
        <v>392</v>
      </c>
      <c r="Z220" s="101" t="s">
        <v>430</v>
      </c>
      <c r="AA220" s="101" t="s">
        <v>397</v>
      </c>
      <c r="AB220" s="101">
        <v>5101000018</v>
      </c>
      <c r="AC220" s="101" t="s">
        <v>431</v>
      </c>
      <c r="AD220" s="101" t="s">
        <v>431</v>
      </c>
      <c r="AE220" s="101" t="s">
        <v>75</v>
      </c>
      <c r="AF220" s="101" t="s">
        <v>400</v>
      </c>
      <c r="AG220" s="101" t="s">
        <v>625</v>
      </c>
      <c r="AI220" s="101" t="s">
        <v>760</v>
      </c>
    </row>
    <row r="221" spans="1:35">
      <c r="A221" s="246" t="s">
        <v>113</v>
      </c>
      <c r="B221" s="246" t="s">
        <v>66</v>
      </c>
      <c r="C221" s="246" t="s">
        <v>126</v>
      </c>
      <c r="D221" s="246" t="s">
        <v>271</v>
      </c>
      <c r="E221" s="246"/>
      <c r="F221" s="246"/>
      <c r="G221" s="132">
        <v>0</v>
      </c>
      <c r="H221" s="132">
        <v>0</v>
      </c>
      <c r="I221" s="132">
        <v>0</v>
      </c>
      <c r="J221" s="101" t="s">
        <v>889</v>
      </c>
      <c r="K221" s="245" t="s">
        <v>390</v>
      </c>
      <c r="L221" s="245">
        <v>43221</v>
      </c>
      <c r="M221" s="245" t="s">
        <v>391</v>
      </c>
      <c r="N221" s="101">
        <v>0</v>
      </c>
      <c r="O221" s="101" t="s">
        <v>392</v>
      </c>
      <c r="P221" s="101">
        <v>0</v>
      </c>
      <c r="Q221" s="101">
        <v>0</v>
      </c>
      <c r="R221" s="101" t="s">
        <v>428</v>
      </c>
      <c r="S221" s="101">
        <v>148670</v>
      </c>
      <c r="T221" s="101" t="s">
        <v>394</v>
      </c>
      <c r="V221" s="245">
        <v>43433</v>
      </c>
      <c r="W221" s="101" t="s">
        <v>424</v>
      </c>
      <c r="X221" s="101" t="s">
        <v>429</v>
      </c>
      <c r="Y221" s="101" t="s">
        <v>392</v>
      </c>
      <c r="Z221" s="101" t="s">
        <v>430</v>
      </c>
      <c r="AA221" s="101" t="s">
        <v>397</v>
      </c>
      <c r="AB221" s="101">
        <v>5101000018</v>
      </c>
      <c r="AC221" s="101" t="s">
        <v>431</v>
      </c>
      <c r="AD221" s="101" t="s">
        <v>431</v>
      </c>
      <c r="AE221" s="101" t="s">
        <v>75</v>
      </c>
      <c r="AF221" s="101" t="s">
        <v>400</v>
      </c>
      <c r="AG221" s="101" t="s">
        <v>625</v>
      </c>
      <c r="AI221" s="101" t="s">
        <v>760</v>
      </c>
    </row>
    <row r="222" spans="1:35">
      <c r="A222" s="246" t="s">
        <v>109</v>
      </c>
      <c r="B222" s="246" t="s">
        <v>66</v>
      </c>
      <c r="C222" s="246" t="s">
        <v>126</v>
      </c>
      <c r="D222" s="246" t="s">
        <v>272</v>
      </c>
      <c r="E222" s="246"/>
      <c r="F222" s="246"/>
      <c r="G222" s="132">
        <v>62500</v>
      </c>
      <c r="H222" s="132" t="s">
        <v>1082</v>
      </c>
      <c r="I222" s="132">
        <v>62500</v>
      </c>
      <c r="J222" s="101" t="s">
        <v>889</v>
      </c>
      <c r="K222" s="245" t="s">
        <v>390</v>
      </c>
      <c r="L222" s="245">
        <v>42536</v>
      </c>
      <c r="M222" s="245" t="s">
        <v>391</v>
      </c>
      <c r="N222" s="101">
        <v>0</v>
      </c>
      <c r="O222" s="101" t="s">
        <v>392</v>
      </c>
      <c r="P222" s="101">
        <v>0</v>
      </c>
      <c r="Q222" s="101">
        <v>0</v>
      </c>
      <c r="R222" s="101" t="s">
        <v>450</v>
      </c>
      <c r="S222" s="101">
        <v>193109</v>
      </c>
      <c r="T222" s="101" t="s">
        <v>394</v>
      </c>
      <c r="V222" s="245">
        <v>42536</v>
      </c>
      <c r="W222" s="101" t="s">
        <v>441</v>
      </c>
      <c r="X222" s="101" t="s">
        <v>76</v>
      </c>
      <c r="Y222" s="101" t="s">
        <v>392</v>
      </c>
      <c r="Z222" s="101" t="s">
        <v>430</v>
      </c>
      <c r="AA222" s="101" t="s">
        <v>531</v>
      </c>
      <c r="AB222" s="101">
        <v>3101053435</v>
      </c>
      <c r="AC222" s="101" t="s">
        <v>431</v>
      </c>
      <c r="AD222" s="101" t="s">
        <v>431</v>
      </c>
      <c r="AE222" s="101" t="s">
        <v>75</v>
      </c>
      <c r="AF222" s="101" t="s">
        <v>400</v>
      </c>
      <c r="AG222" s="101" t="s">
        <v>532</v>
      </c>
      <c r="AI222" s="101" t="s">
        <v>760</v>
      </c>
    </row>
    <row r="223" spans="1:35">
      <c r="A223" s="246" t="s">
        <v>109</v>
      </c>
      <c r="B223" s="246" t="s">
        <v>66</v>
      </c>
      <c r="C223" s="246" t="s">
        <v>116</v>
      </c>
      <c r="D223" s="246" t="s">
        <v>338</v>
      </c>
      <c r="E223" s="246"/>
      <c r="F223" s="246"/>
      <c r="G223" s="132">
        <v>25000000</v>
      </c>
      <c r="H223" s="132" t="s">
        <v>1083</v>
      </c>
      <c r="I223" s="132">
        <v>25000000</v>
      </c>
      <c r="J223" s="101" t="s">
        <v>889</v>
      </c>
      <c r="K223" s="245" t="s">
        <v>390</v>
      </c>
      <c r="L223" s="245">
        <v>42536</v>
      </c>
      <c r="M223" s="245" t="s">
        <v>421</v>
      </c>
      <c r="N223" s="101">
        <v>0</v>
      </c>
      <c r="O223" s="101" t="s">
        <v>392</v>
      </c>
      <c r="P223" s="101">
        <v>0</v>
      </c>
      <c r="Q223" s="101">
        <v>0</v>
      </c>
      <c r="R223" s="101" t="s">
        <v>450</v>
      </c>
      <c r="S223" s="101">
        <v>193109</v>
      </c>
      <c r="T223" s="101" t="s">
        <v>394</v>
      </c>
      <c r="V223" s="245">
        <v>42536</v>
      </c>
      <c r="W223" s="101" t="s">
        <v>441</v>
      </c>
      <c r="X223" s="101" t="s">
        <v>76</v>
      </c>
      <c r="Y223" s="101" t="s">
        <v>392</v>
      </c>
      <c r="Z223" s="101" t="s">
        <v>430</v>
      </c>
      <c r="AA223" s="101" t="s">
        <v>531</v>
      </c>
      <c r="AB223" s="101">
        <v>3101053435</v>
      </c>
      <c r="AC223" s="101" t="s">
        <v>431</v>
      </c>
      <c r="AD223" s="101" t="s">
        <v>431</v>
      </c>
      <c r="AE223" s="101" t="s">
        <v>75</v>
      </c>
      <c r="AF223" s="101" t="s">
        <v>400</v>
      </c>
      <c r="AG223" s="101" t="s">
        <v>532</v>
      </c>
      <c r="AI223" s="101" t="s">
        <v>760</v>
      </c>
    </row>
    <row r="224" spans="1:35">
      <c r="A224" s="246" t="s">
        <v>109</v>
      </c>
      <c r="B224" s="246" t="s">
        <v>66</v>
      </c>
      <c r="C224" s="246" t="s">
        <v>126</v>
      </c>
      <c r="D224" s="246" t="s">
        <v>272</v>
      </c>
      <c r="E224" s="246"/>
      <c r="F224" s="246" t="s">
        <v>275</v>
      </c>
      <c r="G224" s="132" t="s">
        <v>859</v>
      </c>
      <c r="H224" s="132" t="s">
        <v>1084</v>
      </c>
      <c r="I224" s="132">
        <v>-22099.25</v>
      </c>
      <c r="J224" s="101" t="s">
        <v>889</v>
      </c>
      <c r="K224" s="245" t="s">
        <v>390</v>
      </c>
      <c r="L224" s="245">
        <v>42552</v>
      </c>
      <c r="M224" s="245" t="s">
        <v>391</v>
      </c>
      <c r="N224" s="101">
        <v>0</v>
      </c>
      <c r="O224" s="101" t="s">
        <v>392</v>
      </c>
      <c r="P224" s="101">
        <v>0</v>
      </c>
      <c r="Q224" s="101">
        <v>0</v>
      </c>
      <c r="R224" s="101" t="s">
        <v>444</v>
      </c>
      <c r="S224" s="101" t="s">
        <v>632</v>
      </c>
      <c r="T224" s="101" t="s">
        <v>394</v>
      </c>
      <c r="U224" s="101" t="s">
        <v>31</v>
      </c>
      <c r="V224" s="245">
        <v>13971</v>
      </c>
      <c r="W224" s="101" t="s">
        <v>411</v>
      </c>
      <c r="X224" s="101" t="s">
        <v>77</v>
      </c>
      <c r="Y224" s="101" t="s">
        <v>392</v>
      </c>
      <c r="Z224" s="101" t="s">
        <v>412</v>
      </c>
      <c r="AA224" s="101" t="s">
        <v>633</v>
      </c>
      <c r="AB224" s="101">
        <v>101000527</v>
      </c>
      <c r="AC224" s="101" t="s">
        <v>414</v>
      </c>
      <c r="AD224" s="101" t="s">
        <v>79</v>
      </c>
      <c r="AE224" s="101" t="s">
        <v>6</v>
      </c>
      <c r="AF224" s="101" t="s">
        <v>400</v>
      </c>
      <c r="AI224" s="101" t="s">
        <v>190</v>
      </c>
    </row>
    <row r="225" spans="1:35">
      <c r="A225" s="246" t="s">
        <v>109</v>
      </c>
      <c r="B225" s="246" t="s">
        <v>66</v>
      </c>
      <c r="C225" s="246" t="s">
        <v>265</v>
      </c>
      <c r="D225" s="246" t="s">
        <v>291</v>
      </c>
      <c r="E225" s="246"/>
      <c r="F225" s="246" t="s">
        <v>275</v>
      </c>
      <c r="G225" s="132" t="s">
        <v>860</v>
      </c>
      <c r="H225" s="132" t="s">
        <v>1085</v>
      </c>
      <c r="I225" s="132">
        <v>-569802.14999999991</v>
      </c>
      <c r="J225" s="101" t="s">
        <v>889</v>
      </c>
      <c r="K225" s="245" t="s">
        <v>390</v>
      </c>
      <c r="L225" s="245">
        <v>42552</v>
      </c>
      <c r="M225" s="245" t="s">
        <v>421</v>
      </c>
      <c r="N225" s="101">
        <v>0</v>
      </c>
      <c r="O225" s="101" t="s">
        <v>392</v>
      </c>
      <c r="P225" s="101">
        <v>0</v>
      </c>
      <c r="Q225" s="101">
        <v>0</v>
      </c>
      <c r="R225" s="101" t="s">
        <v>444</v>
      </c>
      <c r="S225" s="101" t="s">
        <v>632</v>
      </c>
      <c r="T225" s="101" t="s">
        <v>394</v>
      </c>
      <c r="U225" s="101" t="s">
        <v>31</v>
      </c>
      <c r="V225" s="245">
        <v>13971</v>
      </c>
      <c r="W225" s="101" t="s">
        <v>411</v>
      </c>
      <c r="X225" s="101" t="s">
        <v>77</v>
      </c>
      <c r="Y225" s="101" t="s">
        <v>392</v>
      </c>
      <c r="Z225" s="101" t="s">
        <v>412</v>
      </c>
      <c r="AA225" s="101" t="s">
        <v>633</v>
      </c>
      <c r="AB225" s="101">
        <v>101000527</v>
      </c>
      <c r="AC225" s="101" t="s">
        <v>414</v>
      </c>
      <c r="AD225" s="101" t="s">
        <v>79</v>
      </c>
      <c r="AE225" s="101" t="s">
        <v>6</v>
      </c>
      <c r="AF225" s="101" t="s">
        <v>400</v>
      </c>
      <c r="AI225" s="101" t="s">
        <v>190</v>
      </c>
    </row>
    <row r="226" spans="1:35">
      <c r="A226" s="246" t="s">
        <v>111</v>
      </c>
      <c r="B226" s="246" t="s">
        <v>66</v>
      </c>
      <c r="C226" s="246" t="s">
        <v>126</v>
      </c>
      <c r="D226" s="246" t="s">
        <v>273</v>
      </c>
      <c r="E226" s="246"/>
      <c r="F226" s="246" t="s">
        <v>277</v>
      </c>
      <c r="G226" s="132" t="s">
        <v>634</v>
      </c>
      <c r="H226" s="132" t="s">
        <v>1086</v>
      </c>
      <c r="I226" s="132">
        <v>-14618.329999999998</v>
      </c>
      <c r="J226" s="101" t="s">
        <v>889</v>
      </c>
      <c r="K226" s="245" t="s">
        <v>390</v>
      </c>
      <c r="L226" s="245">
        <v>42734</v>
      </c>
      <c r="M226" s="245" t="s">
        <v>391</v>
      </c>
      <c r="N226" s="101">
        <v>0</v>
      </c>
      <c r="O226" s="101" t="s">
        <v>392</v>
      </c>
      <c r="P226" s="101">
        <v>0</v>
      </c>
      <c r="Q226" s="101">
        <v>0</v>
      </c>
      <c r="R226" s="101" t="s">
        <v>444</v>
      </c>
      <c r="S226" s="101" t="s">
        <v>632</v>
      </c>
      <c r="T226" s="101" t="s">
        <v>394</v>
      </c>
      <c r="U226" s="101" t="s">
        <v>31</v>
      </c>
      <c r="V226" s="245">
        <v>13971</v>
      </c>
      <c r="W226" s="101" t="s">
        <v>411</v>
      </c>
      <c r="X226" s="101" t="s">
        <v>77</v>
      </c>
      <c r="Y226" s="101" t="s">
        <v>392</v>
      </c>
      <c r="Z226" s="101" t="s">
        <v>412</v>
      </c>
      <c r="AA226" s="101" t="s">
        <v>633</v>
      </c>
      <c r="AB226" s="101">
        <v>101000527</v>
      </c>
      <c r="AC226" s="101" t="s">
        <v>414</v>
      </c>
      <c r="AD226" s="101" t="s">
        <v>79</v>
      </c>
      <c r="AE226" s="101" t="s">
        <v>6</v>
      </c>
      <c r="AF226" s="101" t="s">
        <v>400</v>
      </c>
      <c r="AI226" s="101" t="s">
        <v>190</v>
      </c>
    </row>
    <row r="227" spans="1:35">
      <c r="A227" s="246" t="s">
        <v>112</v>
      </c>
      <c r="B227" s="246" t="s">
        <v>66</v>
      </c>
      <c r="C227" s="246" t="s">
        <v>126</v>
      </c>
      <c r="D227" s="246" t="s">
        <v>270</v>
      </c>
      <c r="E227" s="246"/>
      <c r="F227" s="246" t="s">
        <v>278</v>
      </c>
      <c r="G227" s="132">
        <v>-14700</v>
      </c>
      <c r="H227" s="132" t="s">
        <v>1087</v>
      </c>
      <c r="I227" s="132">
        <v>-14700</v>
      </c>
      <c r="J227" s="101" t="s">
        <v>889</v>
      </c>
      <c r="K227" s="245" t="s">
        <v>390</v>
      </c>
      <c r="L227" s="245">
        <v>42916</v>
      </c>
      <c r="M227" s="245" t="s">
        <v>391</v>
      </c>
      <c r="N227" s="101">
        <v>0</v>
      </c>
      <c r="O227" s="101" t="s">
        <v>392</v>
      </c>
      <c r="P227" s="101">
        <v>0</v>
      </c>
      <c r="Q227" s="101">
        <v>0</v>
      </c>
      <c r="R227" s="101" t="s">
        <v>444</v>
      </c>
      <c r="S227" s="101" t="s">
        <v>632</v>
      </c>
      <c r="T227" s="101" t="s">
        <v>394</v>
      </c>
      <c r="U227" s="101" t="s">
        <v>31</v>
      </c>
      <c r="V227" s="245">
        <v>13971</v>
      </c>
      <c r="W227" s="101" t="s">
        <v>411</v>
      </c>
      <c r="X227" s="101" t="s">
        <v>77</v>
      </c>
      <c r="Y227" s="101" t="s">
        <v>392</v>
      </c>
      <c r="Z227" s="101" t="s">
        <v>412</v>
      </c>
      <c r="AA227" s="101" t="s">
        <v>633</v>
      </c>
      <c r="AB227" s="101">
        <v>101000527</v>
      </c>
      <c r="AC227" s="101" t="s">
        <v>414</v>
      </c>
      <c r="AD227" s="101" t="s">
        <v>79</v>
      </c>
      <c r="AE227" s="101" t="s">
        <v>6</v>
      </c>
      <c r="AF227" s="101" t="s">
        <v>400</v>
      </c>
      <c r="AI227" s="101" t="s">
        <v>190</v>
      </c>
    </row>
    <row r="228" spans="1:35">
      <c r="A228" s="246" t="s">
        <v>113</v>
      </c>
      <c r="B228" s="246" t="s">
        <v>66</v>
      </c>
      <c r="C228" s="246" t="s">
        <v>126</v>
      </c>
      <c r="D228" s="246" t="s">
        <v>271</v>
      </c>
      <c r="E228" s="246"/>
      <c r="F228" s="246" t="s">
        <v>279</v>
      </c>
      <c r="G228" s="132" t="s">
        <v>634</v>
      </c>
      <c r="H228" s="132" t="s">
        <v>1086</v>
      </c>
      <c r="I228" s="132">
        <v>-14618.329999999998</v>
      </c>
      <c r="J228" s="101" t="s">
        <v>889</v>
      </c>
      <c r="K228" s="245" t="s">
        <v>390</v>
      </c>
      <c r="L228" s="245">
        <v>43098</v>
      </c>
      <c r="M228" s="245" t="s">
        <v>391</v>
      </c>
      <c r="N228" s="101">
        <v>0</v>
      </c>
      <c r="O228" s="101" t="s">
        <v>392</v>
      </c>
      <c r="P228" s="101">
        <v>0</v>
      </c>
      <c r="Q228" s="101">
        <v>0</v>
      </c>
      <c r="R228" s="101" t="s">
        <v>444</v>
      </c>
      <c r="S228" s="101" t="s">
        <v>632</v>
      </c>
      <c r="T228" s="101" t="s">
        <v>394</v>
      </c>
      <c r="U228" s="101" t="s">
        <v>31</v>
      </c>
      <c r="V228" s="245">
        <v>13971</v>
      </c>
      <c r="W228" s="101" t="s">
        <v>411</v>
      </c>
      <c r="X228" s="101" t="s">
        <v>77</v>
      </c>
      <c r="Y228" s="101" t="s">
        <v>392</v>
      </c>
      <c r="Z228" s="101" t="s">
        <v>412</v>
      </c>
      <c r="AA228" s="101" t="s">
        <v>633</v>
      </c>
      <c r="AB228" s="101">
        <v>101000527</v>
      </c>
      <c r="AC228" s="101" t="s">
        <v>414</v>
      </c>
      <c r="AD228" s="101" t="s">
        <v>79</v>
      </c>
      <c r="AE228" s="101" t="s">
        <v>6</v>
      </c>
      <c r="AF228" s="101" t="s">
        <v>400</v>
      </c>
      <c r="AI228" s="101" t="s">
        <v>190</v>
      </c>
    </row>
    <row r="229" spans="1:35">
      <c r="A229" s="246" t="s">
        <v>107</v>
      </c>
      <c r="B229" s="246" t="s">
        <v>78</v>
      </c>
      <c r="C229" s="246" t="s">
        <v>126</v>
      </c>
      <c r="D229" s="246" t="s">
        <v>772</v>
      </c>
      <c r="E229" s="246" t="s">
        <v>773</v>
      </c>
      <c r="F229" s="246" t="s">
        <v>334</v>
      </c>
      <c r="G229" s="132" t="s">
        <v>797</v>
      </c>
      <c r="H229" s="132" t="s">
        <v>1088</v>
      </c>
      <c r="I229" s="132">
        <v>108.39</v>
      </c>
      <c r="J229" s="101" t="s">
        <v>889</v>
      </c>
      <c r="K229" s="245" t="s">
        <v>390</v>
      </c>
      <c r="L229" s="245">
        <v>42521</v>
      </c>
      <c r="M229" s="245" t="s">
        <v>391</v>
      </c>
      <c r="N229" s="101">
        <v>0</v>
      </c>
      <c r="O229" s="101" t="s">
        <v>392</v>
      </c>
      <c r="P229" s="101">
        <v>0</v>
      </c>
      <c r="Q229" s="101">
        <v>0</v>
      </c>
      <c r="R229" s="101" t="s">
        <v>393</v>
      </c>
      <c r="S229" s="101" t="s">
        <v>796</v>
      </c>
      <c r="T229" s="101" t="s">
        <v>394</v>
      </c>
      <c r="V229" s="245">
        <v>14426</v>
      </c>
      <c r="W229" s="101" t="s">
        <v>395</v>
      </c>
      <c r="X229" s="101" t="s">
        <v>795</v>
      </c>
      <c r="Y229" s="101" t="s">
        <v>396</v>
      </c>
      <c r="Z229" s="101" t="s">
        <v>402</v>
      </c>
      <c r="AA229" s="101" t="s">
        <v>78</v>
      </c>
      <c r="AB229" s="101">
        <v>4101000279</v>
      </c>
      <c r="AC229" s="101" t="s">
        <v>398</v>
      </c>
      <c r="AD229" s="101" t="s">
        <v>403</v>
      </c>
      <c r="AE229" s="101" t="s">
        <v>6</v>
      </c>
      <c r="AF229" s="101" t="s">
        <v>400</v>
      </c>
      <c r="AI229" s="101" t="s">
        <v>760</v>
      </c>
    </row>
    <row r="230" spans="1:35">
      <c r="A230" s="246" t="s">
        <v>109</v>
      </c>
      <c r="B230" s="246" t="s">
        <v>78</v>
      </c>
      <c r="C230" s="246" t="s">
        <v>126</v>
      </c>
      <c r="D230" s="246" t="s">
        <v>337</v>
      </c>
      <c r="E230" s="246" t="s">
        <v>336</v>
      </c>
      <c r="F230" s="246" t="s">
        <v>275</v>
      </c>
      <c r="G230" s="132" t="s">
        <v>1089</v>
      </c>
      <c r="H230" s="132" t="s">
        <v>1090</v>
      </c>
      <c r="I230" s="132">
        <v>95.78</v>
      </c>
      <c r="J230" s="101" t="s">
        <v>889</v>
      </c>
      <c r="K230" s="245" t="s">
        <v>390</v>
      </c>
      <c r="L230" s="245">
        <v>42551</v>
      </c>
      <c r="M230" s="245" t="s">
        <v>391</v>
      </c>
      <c r="N230" s="101">
        <v>0</v>
      </c>
      <c r="O230" s="101" t="s">
        <v>392</v>
      </c>
      <c r="P230" s="101">
        <v>0</v>
      </c>
      <c r="Q230" s="101">
        <v>0</v>
      </c>
      <c r="R230" s="101" t="s">
        <v>393</v>
      </c>
      <c r="S230" s="101" t="s">
        <v>796</v>
      </c>
      <c r="T230" s="101" t="s">
        <v>394</v>
      </c>
      <c r="V230" s="245">
        <v>14426</v>
      </c>
      <c r="W230" s="101" t="s">
        <v>395</v>
      </c>
      <c r="X230" s="101" t="s">
        <v>795</v>
      </c>
      <c r="Y230" s="101" t="s">
        <v>396</v>
      </c>
      <c r="Z230" s="101" t="s">
        <v>402</v>
      </c>
      <c r="AA230" s="101" t="s">
        <v>78</v>
      </c>
      <c r="AB230" s="101">
        <v>4101000279</v>
      </c>
      <c r="AC230" s="101" t="s">
        <v>398</v>
      </c>
      <c r="AD230" s="101" t="s">
        <v>403</v>
      </c>
      <c r="AE230" s="101" t="s">
        <v>6</v>
      </c>
      <c r="AF230" s="101" t="s">
        <v>400</v>
      </c>
      <c r="AI230" s="101" t="s">
        <v>760</v>
      </c>
    </row>
    <row r="231" spans="1:35">
      <c r="A231" s="246" t="s">
        <v>109</v>
      </c>
      <c r="B231" s="246" t="s">
        <v>78</v>
      </c>
      <c r="C231" s="246" t="s">
        <v>126</v>
      </c>
      <c r="D231" s="246" t="s">
        <v>337</v>
      </c>
      <c r="E231" s="246" t="s">
        <v>336</v>
      </c>
      <c r="F231" s="246" t="s">
        <v>275</v>
      </c>
      <c r="G231" s="132" t="s">
        <v>1091</v>
      </c>
      <c r="H231" s="132" t="s">
        <v>1092</v>
      </c>
      <c r="I231" s="132">
        <v>241.45</v>
      </c>
      <c r="J231" s="101" t="s">
        <v>889</v>
      </c>
      <c r="K231" s="245" t="s">
        <v>390</v>
      </c>
      <c r="L231" s="245">
        <v>42580</v>
      </c>
      <c r="M231" s="245" t="s">
        <v>391</v>
      </c>
      <c r="N231" s="101">
        <v>0</v>
      </c>
      <c r="O231" s="101" t="s">
        <v>392</v>
      </c>
      <c r="P231" s="101">
        <v>0</v>
      </c>
      <c r="Q231" s="101">
        <v>0</v>
      </c>
      <c r="R231" s="101" t="s">
        <v>393</v>
      </c>
      <c r="S231" s="101" t="s">
        <v>796</v>
      </c>
      <c r="T231" s="101" t="s">
        <v>394</v>
      </c>
      <c r="V231" s="245">
        <v>14426</v>
      </c>
      <c r="W231" s="101" t="s">
        <v>395</v>
      </c>
      <c r="X231" s="101" t="s">
        <v>795</v>
      </c>
      <c r="Y231" s="101" t="s">
        <v>396</v>
      </c>
      <c r="Z231" s="101" t="s">
        <v>402</v>
      </c>
      <c r="AA231" s="101" t="s">
        <v>78</v>
      </c>
      <c r="AB231" s="101">
        <v>4101000279</v>
      </c>
      <c r="AC231" s="101" t="s">
        <v>398</v>
      </c>
      <c r="AD231" s="101" t="s">
        <v>403</v>
      </c>
      <c r="AE231" s="101" t="s">
        <v>6</v>
      </c>
      <c r="AF231" s="101" t="s">
        <v>400</v>
      </c>
      <c r="AI231" s="101" t="s">
        <v>760</v>
      </c>
    </row>
    <row r="232" spans="1:35">
      <c r="A232" s="246" t="s">
        <v>110</v>
      </c>
      <c r="B232" s="246" t="s">
        <v>78</v>
      </c>
      <c r="C232" s="246" t="s">
        <v>126</v>
      </c>
      <c r="D232" s="246" t="s">
        <v>770</v>
      </c>
      <c r="E232" s="246" t="s">
        <v>771</v>
      </c>
      <c r="F232" s="246" t="s">
        <v>276</v>
      </c>
      <c r="G232" s="132" t="s">
        <v>1093</v>
      </c>
      <c r="H232" s="132" t="s">
        <v>1094</v>
      </c>
      <c r="I232" s="132">
        <v>200.35999999999999</v>
      </c>
      <c r="J232" s="101" t="s">
        <v>889</v>
      </c>
      <c r="K232" s="245" t="s">
        <v>390</v>
      </c>
      <c r="L232" s="245">
        <v>42613</v>
      </c>
      <c r="M232" s="245" t="s">
        <v>391</v>
      </c>
      <c r="N232" s="101">
        <v>0</v>
      </c>
      <c r="O232" s="101" t="s">
        <v>392</v>
      </c>
      <c r="P232" s="101">
        <v>0</v>
      </c>
      <c r="Q232" s="101">
        <v>0</v>
      </c>
      <c r="R232" s="101" t="s">
        <v>393</v>
      </c>
      <c r="S232" s="101" t="s">
        <v>796</v>
      </c>
      <c r="T232" s="101" t="s">
        <v>394</v>
      </c>
      <c r="V232" s="245">
        <v>14426</v>
      </c>
      <c r="W232" s="101" t="s">
        <v>395</v>
      </c>
      <c r="X232" s="101" t="s">
        <v>795</v>
      </c>
      <c r="Y232" s="101" t="s">
        <v>396</v>
      </c>
      <c r="Z232" s="101" t="s">
        <v>402</v>
      </c>
      <c r="AA232" s="101" t="s">
        <v>78</v>
      </c>
      <c r="AB232" s="101">
        <v>4101000279</v>
      </c>
      <c r="AC232" s="101" t="s">
        <v>398</v>
      </c>
      <c r="AD232" s="101" t="s">
        <v>403</v>
      </c>
      <c r="AE232" s="101" t="s">
        <v>6</v>
      </c>
      <c r="AF232" s="101" t="s">
        <v>400</v>
      </c>
      <c r="AI232" s="101" t="s">
        <v>760</v>
      </c>
    </row>
    <row r="233" spans="1:35">
      <c r="A233" s="246" t="s">
        <v>110</v>
      </c>
      <c r="B233" s="246" t="s">
        <v>78</v>
      </c>
      <c r="C233" s="246" t="s">
        <v>126</v>
      </c>
      <c r="D233" s="246" t="s">
        <v>770</v>
      </c>
      <c r="E233" s="246" t="s">
        <v>771</v>
      </c>
      <c r="F233" s="246" t="s">
        <v>276</v>
      </c>
      <c r="G233" s="132" t="s">
        <v>1095</v>
      </c>
      <c r="H233" s="132" t="s">
        <v>1096</v>
      </c>
      <c r="I233" s="132">
        <v>133.34</v>
      </c>
      <c r="J233" s="101" t="s">
        <v>889</v>
      </c>
      <c r="K233" s="245" t="s">
        <v>390</v>
      </c>
      <c r="L233" s="245">
        <v>42643</v>
      </c>
      <c r="M233" s="245" t="s">
        <v>391</v>
      </c>
      <c r="N233" s="101">
        <v>0</v>
      </c>
      <c r="O233" s="101" t="s">
        <v>392</v>
      </c>
      <c r="P233" s="101">
        <v>0</v>
      </c>
      <c r="Q233" s="101">
        <v>0</v>
      </c>
      <c r="R233" s="101" t="s">
        <v>393</v>
      </c>
      <c r="S233" s="101" t="s">
        <v>796</v>
      </c>
      <c r="T233" s="101" t="s">
        <v>394</v>
      </c>
      <c r="V233" s="245">
        <v>14426</v>
      </c>
      <c r="W233" s="101" t="s">
        <v>395</v>
      </c>
      <c r="X233" s="101" t="s">
        <v>795</v>
      </c>
      <c r="Y233" s="101" t="s">
        <v>396</v>
      </c>
      <c r="Z233" s="101" t="s">
        <v>402</v>
      </c>
      <c r="AA233" s="101" t="s">
        <v>78</v>
      </c>
      <c r="AB233" s="101">
        <v>4101000279</v>
      </c>
      <c r="AC233" s="101" t="s">
        <v>398</v>
      </c>
      <c r="AD233" s="101" t="s">
        <v>403</v>
      </c>
      <c r="AE233" s="101" t="s">
        <v>6</v>
      </c>
      <c r="AF233" s="101" t="s">
        <v>400</v>
      </c>
      <c r="AI233" s="101" t="s">
        <v>760</v>
      </c>
    </row>
    <row r="234" spans="1:35">
      <c r="A234" s="246" t="s">
        <v>110</v>
      </c>
      <c r="B234" s="246" t="s">
        <v>78</v>
      </c>
      <c r="C234" s="246" t="s">
        <v>126</v>
      </c>
      <c r="D234" s="246" t="s">
        <v>770</v>
      </c>
      <c r="E234" s="246" t="s">
        <v>771</v>
      </c>
      <c r="F234" s="246" t="s">
        <v>276</v>
      </c>
      <c r="G234" s="132" t="s">
        <v>1097</v>
      </c>
      <c r="H234" s="132" t="s">
        <v>1098</v>
      </c>
      <c r="I234" s="132">
        <v>137.78</v>
      </c>
      <c r="J234" s="101" t="s">
        <v>889</v>
      </c>
      <c r="K234" s="245" t="s">
        <v>390</v>
      </c>
      <c r="L234" s="245">
        <v>42674</v>
      </c>
      <c r="M234" s="245" t="s">
        <v>391</v>
      </c>
      <c r="N234" s="101">
        <v>0</v>
      </c>
      <c r="O234" s="101" t="s">
        <v>392</v>
      </c>
      <c r="P234" s="101">
        <v>0</v>
      </c>
      <c r="Q234" s="101">
        <v>0</v>
      </c>
      <c r="R234" s="101" t="s">
        <v>393</v>
      </c>
      <c r="S234" s="101" t="s">
        <v>796</v>
      </c>
      <c r="T234" s="101" t="s">
        <v>394</v>
      </c>
      <c r="V234" s="245">
        <v>14426</v>
      </c>
      <c r="W234" s="101" t="s">
        <v>395</v>
      </c>
      <c r="X234" s="101" t="s">
        <v>795</v>
      </c>
      <c r="Y234" s="101" t="s">
        <v>396</v>
      </c>
      <c r="Z234" s="101" t="s">
        <v>402</v>
      </c>
      <c r="AA234" s="101" t="s">
        <v>78</v>
      </c>
      <c r="AB234" s="101">
        <v>4101000279</v>
      </c>
      <c r="AC234" s="101" t="s">
        <v>398</v>
      </c>
      <c r="AD234" s="101" t="s">
        <v>403</v>
      </c>
      <c r="AE234" s="101" t="s">
        <v>6</v>
      </c>
      <c r="AF234" s="101" t="s">
        <v>400</v>
      </c>
      <c r="AI234" s="101" t="s">
        <v>760</v>
      </c>
    </row>
    <row r="235" spans="1:35">
      <c r="A235" s="246" t="s">
        <v>111</v>
      </c>
      <c r="B235" s="246" t="s">
        <v>78</v>
      </c>
      <c r="C235" s="246" t="s">
        <v>126</v>
      </c>
      <c r="D235" s="246" t="s">
        <v>768</v>
      </c>
      <c r="E235" s="246" t="s">
        <v>769</v>
      </c>
      <c r="F235" s="246" t="s">
        <v>277</v>
      </c>
      <c r="G235" s="132" t="s">
        <v>1099</v>
      </c>
      <c r="H235" s="132" t="s">
        <v>1100</v>
      </c>
      <c r="I235" s="132">
        <v>58.1</v>
      </c>
      <c r="J235" s="101" t="s">
        <v>889</v>
      </c>
      <c r="K235" s="245" t="s">
        <v>390</v>
      </c>
      <c r="L235" s="245">
        <v>42704</v>
      </c>
      <c r="M235" s="245" t="s">
        <v>391</v>
      </c>
      <c r="N235" s="101">
        <v>0</v>
      </c>
      <c r="O235" s="101" t="s">
        <v>392</v>
      </c>
      <c r="P235" s="101">
        <v>0</v>
      </c>
      <c r="Q235" s="101">
        <v>0</v>
      </c>
      <c r="R235" s="101" t="s">
        <v>393</v>
      </c>
      <c r="S235" s="101" t="s">
        <v>796</v>
      </c>
      <c r="T235" s="101" t="s">
        <v>394</v>
      </c>
      <c r="V235" s="245">
        <v>14426</v>
      </c>
      <c r="W235" s="101" t="s">
        <v>395</v>
      </c>
      <c r="X235" s="101" t="s">
        <v>795</v>
      </c>
      <c r="Y235" s="101" t="s">
        <v>396</v>
      </c>
      <c r="Z235" s="101" t="s">
        <v>402</v>
      </c>
      <c r="AA235" s="101" t="s">
        <v>78</v>
      </c>
      <c r="AB235" s="101">
        <v>4101000279</v>
      </c>
      <c r="AC235" s="101" t="s">
        <v>398</v>
      </c>
      <c r="AD235" s="101" t="s">
        <v>403</v>
      </c>
      <c r="AE235" s="101" t="s">
        <v>6</v>
      </c>
      <c r="AF235" s="101" t="s">
        <v>400</v>
      </c>
      <c r="AI235" s="101" t="s">
        <v>760</v>
      </c>
    </row>
    <row r="236" spans="1:35">
      <c r="A236" s="246" t="s">
        <v>111</v>
      </c>
      <c r="B236" s="246" t="s">
        <v>78</v>
      </c>
      <c r="C236" s="246" t="s">
        <v>126</v>
      </c>
      <c r="D236" s="246" t="s">
        <v>768</v>
      </c>
      <c r="E236" s="246" t="s">
        <v>769</v>
      </c>
      <c r="F236" s="246" t="s">
        <v>277</v>
      </c>
      <c r="G236" s="132" t="s">
        <v>1101</v>
      </c>
      <c r="H236" s="132" t="s">
        <v>1102</v>
      </c>
      <c r="I236" s="132">
        <v>-7.7399999999999993</v>
      </c>
      <c r="J236" s="101" t="s">
        <v>889</v>
      </c>
      <c r="K236" s="245" t="s">
        <v>390</v>
      </c>
      <c r="L236" s="245">
        <v>42734</v>
      </c>
      <c r="M236" s="245" t="s">
        <v>391</v>
      </c>
      <c r="N236" s="101">
        <v>0</v>
      </c>
      <c r="O236" s="101" t="s">
        <v>392</v>
      </c>
      <c r="P236" s="101">
        <v>0</v>
      </c>
      <c r="Q236" s="101">
        <v>0</v>
      </c>
      <c r="R236" s="101" t="s">
        <v>393</v>
      </c>
      <c r="S236" s="101" t="s">
        <v>796</v>
      </c>
      <c r="T236" s="101" t="s">
        <v>394</v>
      </c>
      <c r="V236" s="245">
        <v>14426</v>
      </c>
      <c r="W236" s="101" t="s">
        <v>395</v>
      </c>
      <c r="X236" s="101" t="s">
        <v>795</v>
      </c>
      <c r="Y236" s="101" t="s">
        <v>396</v>
      </c>
      <c r="Z236" s="101" t="s">
        <v>402</v>
      </c>
      <c r="AA236" s="101" t="s">
        <v>78</v>
      </c>
      <c r="AB236" s="101">
        <v>4101000279</v>
      </c>
      <c r="AC236" s="101" t="s">
        <v>398</v>
      </c>
      <c r="AD236" s="101" t="s">
        <v>403</v>
      </c>
      <c r="AE236" s="101" t="s">
        <v>6</v>
      </c>
      <c r="AF236" s="101" t="s">
        <v>400</v>
      </c>
      <c r="AI236" s="101" t="s">
        <v>760</v>
      </c>
    </row>
    <row r="237" spans="1:35">
      <c r="A237" s="246" t="s">
        <v>111</v>
      </c>
      <c r="B237" s="246" t="s">
        <v>78</v>
      </c>
      <c r="C237" s="246" t="s">
        <v>126</v>
      </c>
      <c r="D237" s="246" t="s">
        <v>768</v>
      </c>
      <c r="E237" s="246" t="s">
        <v>769</v>
      </c>
      <c r="F237" s="246" t="s">
        <v>277</v>
      </c>
      <c r="G237" s="132" t="s">
        <v>1103</v>
      </c>
      <c r="H237" s="132" t="s">
        <v>1104</v>
      </c>
      <c r="I237" s="132">
        <v>-1.66</v>
      </c>
      <c r="J237" s="101" t="s">
        <v>889</v>
      </c>
      <c r="K237" s="245" t="s">
        <v>390</v>
      </c>
      <c r="L237" s="245">
        <v>42766</v>
      </c>
      <c r="M237" s="245" t="s">
        <v>391</v>
      </c>
      <c r="N237" s="101">
        <v>0</v>
      </c>
      <c r="O237" s="101" t="s">
        <v>392</v>
      </c>
      <c r="P237" s="101">
        <v>0</v>
      </c>
      <c r="Q237" s="101">
        <v>0</v>
      </c>
      <c r="R237" s="101" t="s">
        <v>393</v>
      </c>
      <c r="S237" s="101" t="s">
        <v>796</v>
      </c>
      <c r="T237" s="101" t="s">
        <v>394</v>
      </c>
      <c r="V237" s="245">
        <v>14426</v>
      </c>
      <c r="W237" s="101" t="s">
        <v>395</v>
      </c>
      <c r="X237" s="101" t="s">
        <v>795</v>
      </c>
      <c r="Y237" s="101" t="s">
        <v>396</v>
      </c>
      <c r="Z237" s="101" t="s">
        <v>402</v>
      </c>
      <c r="AA237" s="101" t="s">
        <v>78</v>
      </c>
      <c r="AB237" s="101">
        <v>4101000279</v>
      </c>
      <c r="AC237" s="101" t="s">
        <v>398</v>
      </c>
      <c r="AD237" s="101" t="s">
        <v>403</v>
      </c>
      <c r="AE237" s="101" t="s">
        <v>6</v>
      </c>
      <c r="AF237" s="101" t="s">
        <v>400</v>
      </c>
      <c r="AI237" s="101" t="s">
        <v>760</v>
      </c>
    </row>
    <row r="238" spans="1:35">
      <c r="A238" s="246" t="s">
        <v>111</v>
      </c>
      <c r="B238" s="246" t="s">
        <v>78</v>
      </c>
      <c r="C238" s="246" t="s">
        <v>126</v>
      </c>
      <c r="D238" s="246" t="s">
        <v>768</v>
      </c>
      <c r="E238" s="246" t="s">
        <v>769</v>
      </c>
      <c r="F238" s="246" t="s">
        <v>277</v>
      </c>
      <c r="G238" s="132" t="s">
        <v>1105</v>
      </c>
      <c r="H238" s="132" t="s">
        <v>1106</v>
      </c>
      <c r="I238" s="132">
        <v>-17.899999999999999</v>
      </c>
      <c r="J238" s="101" t="s">
        <v>889</v>
      </c>
      <c r="K238" s="245" t="s">
        <v>390</v>
      </c>
      <c r="L238" s="245">
        <v>42794</v>
      </c>
      <c r="M238" s="245" t="s">
        <v>391</v>
      </c>
      <c r="N238" s="101">
        <v>0</v>
      </c>
      <c r="O238" s="101" t="s">
        <v>392</v>
      </c>
      <c r="P238" s="101">
        <v>0</v>
      </c>
      <c r="Q238" s="101">
        <v>0</v>
      </c>
      <c r="R238" s="101" t="s">
        <v>393</v>
      </c>
      <c r="S238" s="101" t="s">
        <v>796</v>
      </c>
      <c r="T238" s="101" t="s">
        <v>394</v>
      </c>
      <c r="V238" s="245">
        <v>14426</v>
      </c>
      <c r="W238" s="101" t="s">
        <v>395</v>
      </c>
      <c r="X238" s="101" t="s">
        <v>795</v>
      </c>
      <c r="Y238" s="101" t="s">
        <v>396</v>
      </c>
      <c r="Z238" s="101" t="s">
        <v>402</v>
      </c>
      <c r="AA238" s="101" t="s">
        <v>78</v>
      </c>
      <c r="AB238" s="101">
        <v>4101000279</v>
      </c>
      <c r="AC238" s="101" t="s">
        <v>398</v>
      </c>
      <c r="AD238" s="101" t="s">
        <v>403</v>
      </c>
      <c r="AE238" s="101" t="s">
        <v>6</v>
      </c>
      <c r="AF238" s="101" t="s">
        <v>400</v>
      </c>
      <c r="AI238" s="101" t="s">
        <v>760</v>
      </c>
    </row>
    <row r="239" spans="1:35">
      <c r="A239" s="246" t="s">
        <v>111</v>
      </c>
      <c r="B239" s="246" t="s">
        <v>78</v>
      </c>
      <c r="C239" s="246" t="s">
        <v>126</v>
      </c>
      <c r="D239" s="246" t="s">
        <v>768</v>
      </c>
      <c r="E239" s="246" t="s">
        <v>769</v>
      </c>
      <c r="F239" s="246" t="s">
        <v>277</v>
      </c>
      <c r="G239" s="132" t="s">
        <v>1107</v>
      </c>
      <c r="H239" s="132" t="s">
        <v>1108</v>
      </c>
      <c r="I239" s="132">
        <v>-35.619999999999997</v>
      </c>
      <c r="J239" s="101" t="s">
        <v>889</v>
      </c>
      <c r="K239" s="245" t="s">
        <v>390</v>
      </c>
      <c r="L239" s="245">
        <v>42825</v>
      </c>
      <c r="M239" s="245" t="s">
        <v>391</v>
      </c>
      <c r="N239" s="101">
        <v>0</v>
      </c>
      <c r="O239" s="101" t="s">
        <v>392</v>
      </c>
      <c r="P239" s="101">
        <v>0</v>
      </c>
      <c r="Q239" s="101">
        <v>0</v>
      </c>
      <c r="R239" s="101" t="s">
        <v>393</v>
      </c>
      <c r="S239" s="101" t="s">
        <v>796</v>
      </c>
      <c r="T239" s="101" t="s">
        <v>394</v>
      </c>
      <c r="V239" s="245">
        <v>14426</v>
      </c>
      <c r="W239" s="101" t="s">
        <v>395</v>
      </c>
      <c r="X239" s="101" t="s">
        <v>795</v>
      </c>
      <c r="Y239" s="101" t="s">
        <v>396</v>
      </c>
      <c r="Z239" s="101" t="s">
        <v>402</v>
      </c>
      <c r="AA239" s="101" t="s">
        <v>78</v>
      </c>
      <c r="AB239" s="101">
        <v>4101000279</v>
      </c>
      <c r="AC239" s="101" t="s">
        <v>398</v>
      </c>
      <c r="AD239" s="101" t="s">
        <v>403</v>
      </c>
      <c r="AE239" s="101" t="s">
        <v>6</v>
      </c>
      <c r="AF239" s="101" t="s">
        <v>400</v>
      </c>
      <c r="AI239" s="101" t="s">
        <v>760</v>
      </c>
    </row>
    <row r="240" spans="1:35">
      <c r="A240" s="246" t="s">
        <v>111</v>
      </c>
      <c r="B240" s="246" t="s">
        <v>78</v>
      </c>
      <c r="C240" s="246" t="s">
        <v>126</v>
      </c>
      <c r="D240" s="246" t="s">
        <v>768</v>
      </c>
      <c r="E240" s="246" t="s">
        <v>769</v>
      </c>
      <c r="F240" s="246" t="s">
        <v>277</v>
      </c>
      <c r="G240" s="132" t="s">
        <v>1109</v>
      </c>
      <c r="H240" s="132" t="s">
        <v>1110</v>
      </c>
      <c r="I240" s="132">
        <v>-32.169999999999995</v>
      </c>
      <c r="J240" s="101" t="s">
        <v>889</v>
      </c>
      <c r="K240" s="245" t="s">
        <v>390</v>
      </c>
      <c r="L240" s="245">
        <v>42853</v>
      </c>
      <c r="M240" s="245" t="s">
        <v>391</v>
      </c>
      <c r="N240" s="101">
        <v>0</v>
      </c>
      <c r="O240" s="101" t="s">
        <v>392</v>
      </c>
      <c r="P240" s="101">
        <v>0</v>
      </c>
      <c r="Q240" s="101">
        <v>0</v>
      </c>
      <c r="R240" s="101" t="s">
        <v>393</v>
      </c>
      <c r="S240" s="101" t="s">
        <v>796</v>
      </c>
      <c r="T240" s="101" t="s">
        <v>394</v>
      </c>
      <c r="V240" s="245">
        <v>14426</v>
      </c>
      <c r="W240" s="101" t="s">
        <v>395</v>
      </c>
      <c r="X240" s="101" t="s">
        <v>795</v>
      </c>
      <c r="Y240" s="101" t="s">
        <v>396</v>
      </c>
      <c r="Z240" s="101" t="s">
        <v>402</v>
      </c>
      <c r="AA240" s="101" t="s">
        <v>78</v>
      </c>
      <c r="AB240" s="101">
        <v>4101000279</v>
      </c>
      <c r="AC240" s="101" t="s">
        <v>398</v>
      </c>
      <c r="AD240" s="101" t="s">
        <v>403</v>
      </c>
      <c r="AE240" s="101" t="s">
        <v>6</v>
      </c>
      <c r="AF240" s="101" t="s">
        <v>400</v>
      </c>
      <c r="AI240" s="101" t="s">
        <v>760</v>
      </c>
    </row>
    <row r="241" spans="1:35">
      <c r="A241" s="246" t="s">
        <v>112</v>
      </c>
      <c r="B241" s="246" t="s">
        <v>78</v>
      </c>
      <c r="C241" s="246" t="s">
        <v>126</v>
      </c>
      <c r="D241" s="246" t="s">
        <v>341</v>
      </c>
      <c r="E241" s="246" t="s">
        <v>342</v>
      </c>
      <c r="F241" s="246" t="s">
        <v>278</v>
      </c>
      <c r="G241" s="132" t="s">
        <v>1111</v>
      </c>
      <c r="H241" s="132" t="s">
        <v>1112</v>
      </c>
      <c r="I241" s="132">
        <v>-58.410000000000004</v>
      </c>
      <c r="J241" s="101" t="s">
        <v>889</v>
      </c>
      <c r="K241" s="245" t="s">
        <v>390</v>
      </c>
      <c r="L241" s="245">
        <v>42886</v>
      </c>
      <c r="M241" s="245" t="s">
        <v>391</v>
      </c>
      <c r="N241" s="101">
        <v>0</v>
      </c>
      <c r="O241" s="101" t="s">
        <v>392</v>
      </c>
      <c r="P241" s="101">
        <v>0</v>
      </c>
      <c r="Q241" s="101">
        <v>0</v>
      </c>
      <c r="R241" s="101" t="s">
        <v>393</v>
      </c>
      <c r="S241" s="101" t="s">
        <v>796</v>
      </c>
      <c r="T241" s="101" t="s">
        <v>394</v>
      </c>
      <c r="V241" s="245">
        <v>14426</v>
      </c>
      <c r="W241" s="101" t="s">
        <v>395</v>
      </c>
      <c r="X241" s="101" t="s">
        <v>795</v>
      </c>
      <c r="Y241" s="101" t="s">
        <v>396</v>
      </c>
      <c r="Z241" s="101" t="s">
        <v>402</v>
      </c>
      <c r="AA241" s="101" t="s">
        <v>78</v>
      </c>
      <c r="AB241" s="101">
        <v>4101000279</v>
      </c>
      <c r="AC241" s="101" t="s">
        <v>398</v>
      </c>
      <c r="AD241" s="101" t="s">
        <v>403</v>
      </c>
      <c r="AE241" s="101" t="s">
        <v>6</v>
      </c>
      <c r="AF241" s="101" t="s">
        <v>400</v>
      </c>
      <c r="AI241" s="101" t="s">
        <v>760</v>
      </c>
    </row>
    <row r="242" spans="1:35">
      <c r="A242" s="246" t="s">
        <v>112</v>
      </c>
      <c r="B242" s="246" t="s">
        <v>78</v>
      </c>
      <c r="C242" s="246" t="s">
        <v>126</v>
      </c>
      <c r="D242" s="246" t="s">
        <v>341</v>
      </c>
      <c r="E242" s="246" t="s">
        <v>342</v>
      </c>
      <c r="F242" s="246" t="s">
        <v>278</v>
      </c>
      <c r="G242" s="132" t="s">
        <v>1113</v>
      </c>
      <c r="H242" s="132" t="s">
        <v>1114</v>
      </c>
      <c r="I242" s="132">
        <v>-66.819999999999993</v>
      </c>
      <c r="J242" s="101" t="s">
        <v>889</v>
      </c>
      <c r="K242" s="245" t="s">
        <v>390</v>
      </c>
      <c r="L242" s="245">
        <v>42916</v>
      </c>
      <c r="M242" s="245" t="s">
        <v>391</v>
      </c>
      <c r="N242" s="101">
        <v>0</v>
      </c>
      <c r="O242" s="101" t="s">
        <v>392</v>
      </c>
      <c r="P242" s="101">
        <v>0</v>
      </c>
      <c r="Q242" s="101">
        <v>0</v>
      </c>
      <c r="R242" s="101" t="s">
        <v>393</v>
      </c>
      <c r="S242" s="101" t="s">
        <v>796</v>
      </c>
      <c r="T242" s="101" t="s">
        <v>394</v>
      </c>
      <c r="V242" s="245">
        <v>14426</v>
      </c>
      <c r="W242" s="101" t="s">
        <v>395</v>
      </c>
      <c r="X242" s="101" t="s">
        <v>795</v>
      </c>
      <c r="Y242" s="101" t="s">
        <v>396</v>
      </c>
      <c r="Z242" s="101" t="s">
        <v>402</v>
      </c>
      <c r="AA242" s="101" t="s">
        <v>78</v>
      </c>
      <c r="AB242" s="101">
        <v>4101000279</v>
      </c>
      <c r="AC242" s="101" t="s">
        <v>398</v>
      </c>
      <c r="AD242" s="101" t="s">
        <v>403</v>
      </c>
      <c r="AE242" s="101" t="s">
        <v>6</v>
      </c>
      <c r="AF242" s="101" t="s">
        <v>400</v>
      </c>
      <c r="AI242" s="101" t="s">
        <v>760</v>
      </c>
    </row>
    <row r="243" spans="1:35">
      <c r="A243" s="246" t="s">
        <v>112</v>
      </c>
      <c r="B243" s="246" t="s">
        <v>78</v>
      </c>
      <c r="C243" s="246" t="s">
        <v>126</v>
      </c>
      <c r="D243" s="246" t="s">
        <v>341</v>
      </c>
      <c r="E243" s="246" t="s">
        <v>342</v>
      </c>
      <c r="F243" s="246" t="s">
        <v>278</v>
      </c>
      <c r="G243" s="132" t="s">
        <v>1115</v>
      </c>
      <c r="H243" s="132" t="s">
        <v>1116</v>
      </c>
      <c r="I243" s="132">
        <v>-69.05</v>
      </c>
      <c r="J243" s="101" t="s">
        <v>889</v>
      </c>
      <c r="K243" s="245" t="s">
        <v>390</v>
      </c>
      <c r="L243" s="245">
        <v>42947</v>
      </c>
      <c r="M243" s="245" t="s">
        <v>391</v>
      </c>
      <c r="N243" s="101">
        <v>0</v>
      </c>
      <c r="O243" s="101" t="s">
        <v>392</v>
      </c>
      <c r="P243" s="101">
        <v>0</v>
      </c>
      <c r="Q243" s="101">
        <v>0</v>
      </c>
      <c r="R243" s="101" t="s">
        <v>393</v>
      </c>
      <c r="S243" s="101" t="s">
        <v>796</v>
      </c>
      <c r="T243" s="101" t="s">
        <v>394</v>
      </c>
      <c r="V243" s="245">
        <v>14426</v>
      </c>
      <c r="W243" s="101" t="s">
        <v>395</v>
      </c>
      <c r="X243" s="101" t="s">
        <v>795</v>
      </c>
      <c r="Y243" s="101" t="s">
        <v>396</v>
      </c>
      <c r="Z243" s="101" t="s">
        <v>402</v>
      </c>
      <c r="AA243" s="101" t="s">
        <v>78</v>
      </c>
      <c r="AB243" s="101">
        <v>4101000279</v>
      </c>
      <c r="AC243" s="101" t="s">
        <v>398</v>
      </c>
      <c r="AD243" s="101" t="s">
        <v>403</v>
      </c>
      <c r="AE243" s="101" t="s">
        <v>6</v>
      </c>
      <c r="AF243" s="101" t="s">
        <v>400</v>
      </c>
      <c r="AI243" s="101" t="s">
        <v>760</v>
      </c>
    </row>
    <row r="244" spans="1:35">
      <c r="A244" s="246" t="s">
        <v>112</v>
      </c>
      <c r="B244" s="246" t="s">
        <v>78</v>
      </c>
      <c r="C244" s="246" t="s">
        <v>126</v>
      </c>
      <c r="D244" s="246" t="s">
        <v>341</v>
      </c>
      <c r="E244" s="246" t="s">
        <v>342</v>
      </c>
      <c r="F244" s="246" t="s">
        <v>278</v>
      </c>
      <c r="G244" s="132" t="s">
        <v>1115</v>
      </c>
      <c r="H244" s="132" t="s">
        <v>1116</v>
      </c>
      <c r="I244" s="132">
        <v>-69.05</v>
      </c>
      <c r="J244" s="101" t="s">
        <v>889</v>
      </c>
      <c r="K244" s="245" t="s">
        <v>390</v>
      </c>
      <c r="L244" s="245">
        <v>42978</v>
      </c>
      <c r="M244" s="245" t="s">
        <v>391</v>
      </c>
      <c r="N244" s="101">
        <v>0</v>
      </c>
      <c r="O244" s="101" t="s">
        <v>392</v>
      </c>
      <c r="P244" s="101">
        <v>0</v>
      </c>
      <c r="Q244" s="101">
        <v>0</v>
      </c>
      <c r="R244" s="101" t="s">
        <v>393</v>
      </c>
      <c r="S244" s="101" t="s">
        <v>796</v>
      </c>
      <c r="T244" s="101" t="s">
        <v>394</v>
      </c>
      <c r="V244" s="245">
        <v>14426</v>
      </c>
      <c r="W244" s="101" t="s">
        <v>395</v>
      </c>
      <c r="X244" s="101" t="s">
        <v>795</v>
      </c>
      <c r="Y244" s="101" t="s">
        <v>396</v>
      </c>
      <c r="Z244" s="101" t="s">
        <v>402</v>
      </c>
      <c r="AA244" s="101" t="s">
        <v>78</v>
      </c>
      <c r="AB244" s="101">
        <v>4101000279</v>
      </c>
      <c r="AC244" s="101" t="s">
        <v>398</v>
      </c>
      <c r="AD244" s="101" t="s">
        <v>403</v>
      </c>
      <c r="AE244" s="101" t="s">
        <v>6</v>
      </c>
      <c r="AF244" s="101" t="s">
        <v>400</v>
      </c>
      <c r="AI244" s="101" t="s">
        <v>760</v>
      </c>
    </row>
    <row r="245" spans="1:35">
      <c r="A245" s="246" t="s">
        <v>112</v>
      </c>
      <c r="B245" s="246" t="s">
        <v>78</v>
      </c>
      <c r="C245" s="246" t="s">
        <v>126</v>
      </c>
      <c r="D245" s="246" t="s">
        <v>341</v>
      </c>
      <c r="E245" s="246" t="s">
        <v>342</v>
      </c>
      <c r="F245" s="246" t="s">
        <v>278</v>
      </c>
      <c r="G245" s="132" t="s">
        <v>1117</v>
      </c>
      <c r="H245" s="132" t="s">
        <v>1118</v>
      </c>
      <c r="I245" s="132">
        <v>-64.589999999999989</v>
      </c>
      <c r="J245" s="101" t="s">
        <v>889</v>
      </c>
      <c r="K245" s="245" t="s">
        <v>390</v>
      </c>
      <c r="L245" s="245">
        <v>43007</v>
      </c>
      <c r="M245" s="245" t="s">
        <v>391</v>
      </c>
      <c r="N245" s="101">
        <v>0</v>
      </c>
      <c r="O245" s="101" t="s">
        <v>392</v>
      </c>
      <c r="P245" s="101">
        <v>0</v>
      </c>
      <c r="Q245" s="101">
        <v>0</v>
      </c>
      <c r="R245" s="101" t="s">
        <v>393</v>
      </c>
      <c r="S245" s="101" t="s">
        <v>796</v>
      </c>
      <c r="T245" s="101" t="s">
        <v>394</v>
      </c>
      <c r="V245" s="245">
        <v>14426</v>
      </c>
      <c r="W245" s="101" t="s">
        <v>395</v>
      </c>
      <c r="X245" s="101" t="s">
        <v>795</v>
      </c>
      <c r="Y245" s="101" t="s">
        <v>396</v>
      </c>
      <c r="Z245" s="101" t="s">
        <v>402</v>
      </c>
      <c r="AA245" s="101" t="s">
        <v>78</v>
      </c>
      <c r="AB245" s="101">
        <v>4101000279</v>
      </c>
      <c r="AC245" s="101" t="s">
        <v>398</v>
      </c>
      <c r="AD245" s="101" t="s">
        <v>403</v>
      </c>
      <c r="AE245" s="101" t="s">
        <v>6</v>
      </c>
      <c r="AF245" s="101" t="s">
        <v>400</v>
      </c>
      <c r="AI245" s="101" t="s">
        <v>760</v>
      </c>
    </row>
    <row r="246" spans="1:35">
      <c r="A246" s="246" t="s">
        <v>112</v>
      </c>
      <c r="B246" s="246" t="s">
        <v>78</v>
      </c>
      <c r="C246" s="246" t="s">
        <v>126</v>
      </c>
      <c r="D246" s="246" t="s">
        <v>341</v>
      </c>
      <c r="E246" s="246" t="s">
        <v>342</v>
      </c>
      <c r="F246" s="246" t="s">
        <v>278</v>
      </c>
      <c r="G246" s="132" t="s">
        <v>1119</v>
      </c>
      <c r="H246" s="132" t="s">
        <v>1120</v>
      </c>
      <c r="I246" s="132">
        <v>-71.28</v>
      </c>
      <c r="J246" s="101" t="s">
        <v>889</v>
      </c>
      <c r="K246" s="245" t="s">
        <v>390</v>
      </c>
      <c r="L246" s="245">
        <v>43039</v>
      </c>
      <c r="M246" s="245" t="s">
        <v>391</v>
      </c>
      <c r="N246" s="101">
        <v>0</v>
      </c>
      <c r="O246" s="101" t="s">
        <v>392</v>
      </c>
      <c r="P246" s="101">
        <v>0</v>
      </c>
      <c r="Q246" s="101">
        <v>0</v>
      </c>
      <c r="R246" s="101" t="s">
        <v>393</v>
      </c>
      <c r="S246" s="101" t="s">
        <v>796</v>
      </c>
      <c r="T246" s="101" t="s">
        <v>394</v>
      </c>
      <c r="V246" s="245">
        <v>14426</v>
      </c>
      <c r="W246" s="101" t="s">
        <v>395</v>
      </c>
      <c r="X246" s="101" t="s">
        <v>795</v>
      </c>
      <c r="Y246" s="101" t="s">
        <v>396</v>
      </c>
      <c r="Z246" s="101" t="s">
        <v>402</v>
      </c>
      <c r="AA246" s="101" t="s">
        <v>78</v>
      </c>
      <c r="AB246" s="101">
        <v>4101000279</v>
      </c>
      <c r="AC246" s="101" t="s">
        <v>398</v>
      </c>
      <c r="AD246" s="101" t="s">
        <v>403</v>
      </c>
      <c r="AE246" s="101" t="s">
        <v>6</v>
      </c>
      <c r="AF246" s="101" t="s">
        <v>400</v>
      </c>
      <c r="AI246" s="101" t="s">
        <v>760</v>
      </c>
    </row>
    <row r="247" spans="1:35">
      <c r="A247" s="246" t="s">
        <v>113</v>
      </c>
      <c r="B247" s="246" t="s">
        <v>78</v>
      </c>
      <c r="C247" s="246" t="s">
        <v>126</v>
      </c>
      <c r="D247" s="246" t="s">
        <v>339</v>
      </c>
      <c r="E247" s="246" t="s">
        <v>340</v>
      </c>
      <c r="F247" s="246" t="s">
        <v>279</v>
      </c>
      <c r="G247" s="132" t="s">
        <v>1113</v>
      </c>
      <c r="H247" s="132" t="s">
        <v>1114</v>
      </c>
      <c r="I247" s="132">
        <v>-66.819999999999993</v>
      </c>
      <c r="J247" s="101" t="s">
        <v>889</v>
      </c>
      <c r="K247" s="245" t="s">
        <v>390</v>
      </c>
      <c r="L247" s="245">
        <v>43069</v>
      </c>
      <c r="M247" s="245" t="s">
        <v>391</v>
      </c>
      <c r="N247" s="101">
        <v>0</v>
      </c>
      <c r="O247" s="101" t="s">
        <v>392</v>
      </c>
      <c r="P247" s="101">
        <v>0</v>
      </c>
      <c r="Q247" s="101">
        <v>0</v>
      </c>
      <c r="R247" s="101" t="s">
        <v>393</v>
      </c>
      <c r="S247" s="101" t="s">
        <v>796</v>
      </c>
      <c r="T247" s="101" t="s">
        <v>394</v>
      </c>
      <c r="V247" s="245">
        <v>14426</v>
      </c>
      <c r="W247" s="101" t="s">
        <v>395</v>
      </c>
      <c r="X247" s="101" t="s">
        <v>795</v>
      </c>
      <c r="Y247" s="101" t="s">
        <v>396</v>
      </c>
      <c r="Z247" s="101" t="s">
        <v>402</v>
      </c>
      <c r="AA247" s="101" t="s">
        <v>78</v>
      </c>
      <c r="AB247" s="101">
        <v>4101000279</v>
      </c>
      <c r="AC247" s="101" t="s">
        <v>398</v>
      </c>
      <c r="AD247" s="101" t="s">
        <v>403</v>
      </c>
      <c r="AE247" s="101" t="s">
        <v>6</v>
      </c>
      <c r="AF247" s="101" t="s">
        <v>400</v>
      </c>
      <c r="AI247" s="101" t="s">
        <v>760</v>
      </c>
    </row>
    <row r="248" spans="1:35">
      <c r="A248" s="246" t="s">
        <v>113</v>
      </c>
      <c r="B248" s="246" t="s">
        <v>78</v>
      </c>
      <c r="C248" s="246" t="s">
        <v>126</v>
      </c>
      <c r="D248" s="246" t="s">
        <v>339</v>
      </c>
      <c r="E248" s="246" t="s">
        <v>340</v>
      </c>
      <c r="F248" s="246" t="s">
        <v>279</v>
      </c>
      <c r="G248" s="132" t="s">
        <v>1117</v>
      </c>
      <c r="H248" s="132" t="s">
        <v>1118</v>
      </c>
      <c r="I248" s="132">
        <v>-64.589999999999989</v>
      </c>
      <c r="J248" s="101" t="s">
        <v>889</v>
      </c>
      <c r="K248" s="245" t="s">
        <v>390</v>
      </c>
      <c r="L248" s="245">
        <v>43098</v>
      </c>
      <c r="M248" s="245" t="s">
        <v>391</v>
      </c>
      <c r="N248" s="101">
        <v>0</v>
      </c>
      <c r="O248" s="101" t="s">
        <v>392</v>
      </c>
      <c r="P248" s="101">
        <v>0</v>
      </c>
      <c r="Q248" s="101">
        <v>0</v>
      </c>
      <c r="R248" s="101" t="s">
        <v>393</v>
      </c>
      <c r="S248" s="101" t="s">
        <v>796</v>
      </c>
      <c r="T248" s="101" t="s">
        <v>394</v>
      </c>
      <c r="V248" s="245">
        <v>14426</v>
      </c>
      <c r="W248" s="101" t="s">
        <v>395</v>
      </c>
      <c r="X248" s="101" t="s">
        <v>795</v>
      </c>
      <c r="Y248" s="101" t="s">
        <v>396</v>
      </c>
      <c r="Z248" s="101" t="s">
        <v>402</v>
      </c>
      <c r="AA248" s="101" t="s">
        <v>78</v>
      </c>
      <c r="AB248" s="101">
        <v>4101000279</v>
      </c>
      <c r="AC248" s="101" t="s">
        <v>398</v>
      </c>
      <c r="AD248" s="101" t="s">
        <v>403</v>
      </c>
      <c r="AE248" s="101" t="s">
        <v>6</v>
      </c>
      <c r="AF248" s="101" t="s">
        <v>400</v>
      </c>
      <c r="AI248" s="101" t="s">
        <v>760</v>
      </c>
    </row>
    <row r="249" spans="1:35">
      <c r="A249" s="246" t="s">
        <v>113</v>
      </c>
      <c r="B249" s="246" t="s">
        <v>78</v>
      </c>
      <c r="C249" s="246" t="s">
        <v>126</v>
      </c>
      <c r="D249" s="246" t="s">
        <v>339</v>
      </c>
      <c r="E249" s="246" t="s">
        <v>340</v>
      </c>
      <c r="F249" s="246" t="s">
        <v>279</v>
      </c>
      <c r="G249" s="132" t="s">
        <v>1121</v>
      </c>
      <c r="H249" s="132" t="s">
        <v>1122</v>
      </c>
      <c r="I249" s="132">
        <v>-73.509999999999991</v>
      </c>
      <c r="J249" s="101" t="s">
        <v>889</v>
      </c>
      <c r="K249" s="245" t="s">
        <v>390</v>
      </c>
      <c r="L249" s="245">
        <v>43131</v>
      </c>
      <c r="M249" s="245" t="s">
        <v>391</v>
      </c>
      <c r="N249" s="101">
        <v>0</v>
      </c>
      <c r="O249" s="101" t="s">
        <v>392</v>
      </c>
      <c r="P249" s="101">
        <v>0</v>
      </c>
      <c r="Q249" s="101">
        <v>0</v>
      </c>
      <c r="R249" s="101" t="s">
        <v>393</v>
      </c>
      <c r="S249" s="101" t="s">
        <v>796</v>
      </c>
      <c r="T249" s="101" t="s">
        <v>394</v>
      </c>
      <c r="V249" s="245">
        <v>14426</v>
      </c>
      <c r="W249" s="101" t="s">
        <v>395</v>
      </c>
      <c r="X249" s="101" t="s">
        <v>795</v>
      </c>
      <c r="Y249" s="101" t="s">
        <v>396</v>
      </c>
      <c r="Z249" s="101" t="s">
        <v>402</v>
      </c>
      <c r="AA249" s="101" t="s">
        <v>78</v>
      </c>
      <c r="AB249" s="101">
        <v>4101000279</v>
      </c>
      <c r="AC249" s="101" t="s">
        <v>398</v>
      </c>
      <c r="AD249" s="101" t="s">
        <v>403</v>
      </c>
      <c r="AE249" s="101" t="s">
        <v>6</v>
      </c>
      <c r="AF249" s="101" t="s">
        <v>400</v>
      </c>
      <c r="AI249" s="101" t="s">
        <v>760</v>
      </c>
    </row>
    <row r="250" spans="1:35">
      <c r="A250" s="246" t="s">
        <v>113</v>
      </c>
      <c r="B250" s="246" t="s">
        <v>78</v>
      </c>
      <c r="C250" s="246" t="s">
        <v>126</v>
      </c>
      <c r="D250" s="246" t="s">
        <v>339</v>
      </c>
      <c r="E250" s="246" t="s">
        <v>340</v>
      </c>
      <c r="F250" s="246" t="s">
        <v>279</v>
      </c>
      <c r="G250" s="132" t="s">
        <v>1123</v>
      </c>
      <c r="H250" s="132" t="s">
        <v>1124</v>
      </c>
      <c r="I250" s="132">
        <v>-62.359999999999992</v>
      </c>
      <c r="J250" s="101" t="s">
        <v>889</v>
      </c>
      <c r="K250" s="245" t="s">
        <v>390</v>
      </c>
      <c r="L250" s="245">
        <v>43159</v>
      </c>
      <c r="M250" s="245" t="s">
        <v>391</v>
      </c>
      <c r="N250" s="101">
        <v>0</v>
      </c>
      <c r="O250" s="101" t="s">
        <v>392</v>
      </c>
      <c r="P250" s="101">
        <v>0</v>
      </c>
      <c r="Q250" s="101">
        <v>0</v>
      </c>
      <c r="R250" s="101" t="s">
        <v>393</v>
      </c>
      <c r="S250" s="101" t="s">
        <v>796</v>
      </c>
      <c r="T250" s="101" t="s">
        <v>394</v>
      </c>
      <c r="V250" s="245">
        <v>14426</v>
      </c>
      <c r="W250" s="101" t="s">
        <v>395</v>
      </c>
      <c r="X250" s="101" t="s">
        <v>795</v>
      </c>
      <c r="Y250" s="101" t="s">
        <v>396</v>
      </c>
      <c r="Z250" s="101" t="s">
        <v>402</v>
      </c>
      <c r="AA250" s="101" t="s">
        <v>78</v>
      </c>
      <c r="AB250" s="101">
        <v>4101000279</v>
      </c>
      <c r="AC250" s="101" t="s">
        <v>398</v>
      </c>
      <c r="AD250" s="101" t="s">
        <v>403</v>
      </c>
      <c r="AE250" s="101" t="s">
        <v>6</v>
      </c>
      <c r="AF250" s="101" t="s">
        <v>400</v>
      </c>
      <c r="AI250" s="101" t="s">
        <v>760</v>
      </c>
    </row>
    <row r="251" spans="1:35">
      <c r="A251" s="246" t="s">
        <v>113</v>
      </c>
      <c r="B251" s="246" t="s">
        <v>78</v>
      </c>
      <c r="C251" s="246" t="s">
        <v>126</v>
      </c>
      <c r="D251" s="246" t="s">
        <v>339</v>
      </c>
      <c r="E251" s="246" t="s">
        <v>340</v>
      </c>
      <c r="F251" s="246" t="s">
        <v>279</v>
      </c>
      <c r="G251" s="132" t="s">
        <v>1113</v>
      </c>
      <c r="H251" s="132" t="s">
        <v>1114</v>
      </c>
      <c r="I251" s="132">
        <v>-66.819999999999993</v>
      </c>
      <c r="J251" s="101" t="s">
        <v>889</v>
      </c>
      <c r="K251" s="245" t="s">
        <v>390</v>
      </c>
      <c r="L251" s="245">
        <v>43189</v>
      </c>
      <c r="M251" s="245" t="s">
        <v>391</v>
      </c>
      <c r="N251" s="101">
        <v>0</v>
      </c>
      <c r="O251" s="101" t="s">
        <v>392</v>
      </c>
      <c r="P251" s="101">
        <v>0</v>
      </c>
      <c r="Q251" s="101">
        <v>0</v>
      </c>
      <c r="R251" s="101" t="s">
        <v>393</v>
      </c>
      <c r="S251" s="101" t="s">
        <v>796</v>
      </c>
      <c r="T251" s="101" t="s">
        <v>394</v>
      </c>
      <c r="V251" s="245">
        <v>14426</v>
      </c>
      <c r="W251" s="101" t="s">
        <v>395</v>
      </c>
      <c r="X251" s="101" t="s">
        <v>795</v>
      </c>
      <c r="Y251" s="101" t="s">
        <v>396</v>
      </c>
      <c r="Z251" s="101" t="s">
        <v>402</v>
      </c>
      <c r="AA251" s="101" t="s">
        <v>78</v>
      </c>
      <c r="AB251" s="101">
        <v>4101000279</v>
      </c>
      <c r="AC251" s="101" t="s">
        <v>398</v>
      </c>
      <c r="AD251" s="101" t="s">
        <v>403</v>
      </c>
      <c r="AE251" s="101" t="s">
        <v>6</v>
      </c>
      <c r="AF251" s="101" t="s">
        <v>400</v>
      </c>
      <c r="AI251" s="101" t="s">
        <v>760</v>
      </c>
    </row>
    <row r="252" spans="1:35">
      <c r="A252" s="246" t="s">
        <v>113</v>
      </c>
      <c r="B252" s="246" t="s">
        <v>78</v>
      </c>
      <c r="C252" s="246" t="s">
        <v>126</v>
      </c>
      <c r="D252" s="246" t="s">
        <v>339</v>
      </c>
      <c r="E252" s="246" t="s">
        <v>340</v>
      </c>
      <c r="F252" s="246" t="s">
        <v>279</v>
      </c>
      <c r="G252" s="132" t="s">
        <v>1115</v>
      </c>
      <c r="H252" s="132" t="s">
        <v>1116</v>
      </c>
      <c r="I252" s="132">
        <v>-69.05</v>
      </c>
      <c r="J252" s="101" t="s">
        <v>889</v>
      </c>
      <c r="K252" s="245" t="s">
        <v>390</v>
      </c>
      <c r="L252" s="245">
        <v>43220</v>
      </c>
      <c r="M252" s="245" t="s">
        <v>391</v>
      </c>
      <c r="N252" s="101">
        <v>0</v>
      </c>
      <c r="O252" s="101" t="s">
        <v>392</v>
      </c>
      <c r="P252" s="101">
        <v>0</v>
      </c>
      <c r="Q252" s="101">
        <v>0</v>
      </c>
      <c r="R252" s="101" t="s">
        <v>393</v>
      </c>
      <c r="S252" s="101" t="s">
        <v>796</v>
      </c>
      <c r="T252" s="101" t="s">
        <v>394</v>
      </c>
      <c r="V252" s="245">
        <v>14426</v>
      </c>
      <c r="W252" s="101" t="s">
        <v>395</v>
      </c>
      <c r="X252" s="101" t="s">
        <v>795</v>
      </c>
      <c r="Y252" s="101" t="s">
        <v>396</v>
      </c>
      <c r="Z252" s="101" t="s">
        <v>402</v>
      </c>
      <c r="AA252" s="101" t="s">
        <v>78</v>
      </c>
      <c r="AB252" s="101">
        <v>4101000279</v>
      </c>
      <c r="AC252" s="101" t="s">
        <v>398</v>
      </c>
      <c r="AD252" s="101" t="s">
        <v>403</v>
      </c>
      <c r="AE252" s="101" t="s">
        <v>6</v>
      </c>
      <c r="AF252" s="101" t="s">
        <v>400</v>
      </c>
      <c r="AI252" s="101" t="s">
        <v>760</v>
      </c>
    </row>
    <row r="253" spans="1:35">
      <c r="A253" s="246" t="s">
        <v>109</v>
      </c>
      <c r="B253" s="246" t="s">
        <v>78</v>
      </c>
      <c r="C253" s="246" t="s">
        <v>126</v>
      </c>
      <c r="D253" s="246" t="s">
        <v>337</v>
      </c>
      <c r="E253" s="246" t="s">
        <v>336</v>
      </c>
      <c r="F253" s="246" t="s">
        <v>275</v>
      </c>
      <c r="G253" s="132" t="s">
        <v>558</v>
      </c>
      <c r="H253" s="132" t="s">
        <v>1125</v>
      </c>
      <c r="I253" s="132">
        <v>1323.1599999999999</v>
      </c>
      <c r="J253" s="101" t="s">
        <v>889</v>
      </c>
      <c r="K253" s="245" t="s">
        <v>390</v>
      </c>
      <c r="L253" s="245">
        <v>42551</v>
      </c>
      <c r="M253" s="245" t="s">
        <v>391</v>
      </c>
      <c r="N253" s="101">
        <v>0</v>
      </c>
      <c r="O253" s="101" t="s">
        <v>392</v>
      </c>
      <c r="P253" s="101">
        <v>0</v>
      </c>
      <c r="Q253" s="101">
        <v>0</v>
      </c>
      <c r="R253" s="101" t="s">
        <v>393</v>
      </c>
      <c r="S253" s="101" t="s">
        <v>796</v>
      </c>
      <c r="T253" s="101" t="s">
        <v>394</v>
      </c>
      <c r="V253" s="245">
        <v>14426</v>
      </c>
      <c r="W253" s="101" t="s">
        <v>395</v>
      </c>
      <c r="X253" s="101" t="s">
        <v>795</v>
      </c>
      <c r="Y253" s="101" t="s">
        <v>396</v>
      </c>
      <c r="Z253" s="101" t="s">
        <v>402</v>
      </c>
      <c r="AA253" s="101" t="s">
        <v>78</v>
      </c>
      <c r="AB253" s="101">
        <v>4101000279</v>
      </c>
      <c r="AC253" s="101" t="s">
        <v>398</v>
      </c>
      <c r="AD253" s="101" t="s">
        <v>403</v>
      </c>
      <c r="AE253" s="101" t="s">
        <v>6</v>
      </c>
      <c r="AF253" s="101" t="s">
        <v>400</v>
      </c>
      <c r="AI253" s="101" t="s">
        <v>760</v>
      </c>
    </row>
    <row r="254" spans="1:35">
      <c r="A254" s="246" t="s">
        <v>109</v>
      </c>
      <c r="B254" s="246" t="s">
        <v>78</v>
      </c>
      <c r="C254" s="246" t="s">
        <v>126</v>
      </c>
      <c r="D254" s="246" t="s">
        <v>337</v>
      </c>
      <c r="E254" s="246" t="s">
        <v>336</v>
      </c>
      <c r="F254" s="246" t="s">
        <v>275</v>
      </c>
      <c r="G254" s="132" t="s">
        <v>798</v>
      </c>
      <c r="H254" s="132" t="s">
        <v>1126</v>
      </c>
      <c r="I254" s="132">
        <v>277.94</v>
      </c>
      <c r="J254" s="101" t="s">
        <v>889</v>
      </c>
      <c r="K254" s="245" t="s">
        <v>390</v>
      </c>
      <c r="L254" s="245">
        <v>42551</v>
      </c>
      <c r="M254" s="245" t="s">
        <v>391</v>
      </c>
      <c r="N254" s="101">
        <v>0</v>
      </c>
      <c r="O254" s="101" t="s">
        <v>392</v>
      </c>
      <c r="P254" s="101">
        <v>0</v>
      </c>
      <c r="Q254" s="101">
        <v>0</v>
      </c>
      <c r="R254" s="101" t="s">
        <v>393</v>
      </c>
      <c r="S254" s="101" t="s">
        <v>796</v>
      </c>
      <c r="T254" s="101" t="s">
        <v>394</v>
      </c>
      <c r="V254" s="245">
        <v>14426</v>
      </c>
      <c r="W254" s="101" t="s">
        <v>395</v>
      </c>
      <c r="X254" s="101" t="s">
        <v>795</v>
      </c>
      <c r="Y254" s="101" t="s">
        <v>396</v>
      </c>
      <c r="Z254" s="101" t="s">
        <v>402</v>
      </c>
      <c r="AA254" s="101" t="s">
        <v>78</v>
      </c>
      <c r="AB254" s="101">
        <v>4101000279</v>
      </c>
      <c r="AC254" s="101" t="s">
        <v>398</v>
      </c>
      <c r="AD254" s="101" t="s">
        <v>403</v>
      </c>
      <c r="AE254" s="101" t="s">
        <v>6</v>
      </c>
      <c r="AF254" s="101" t="s">
        <v>400</v>
      </c>
      <c r="AI254" s="101" t="s">
        <v>760</v>
      </c>
    </row>
    <row r="255" spans="1:35">
      <c r="A255" s="246" t="s">
        <v>109</v>
      </c>
      <c r="B255" s="246" t="s">
        <v>78</v>
      </c>
      <c r="C255" s="246" t="s">
        <v>126</v>
      </c>
      <c r="D255" s="246" t="s">
        <v>337</v>
      </c>
      <c r="E255" s="246" t="s">
        <v>336</v>
      </c>
      <c r="F255" s="246" t="s">
        <v>275</v>
      </c>
      <c r="G255" s="132" t="s">
        <v>799</v>
      </c>
      <c r="H255" s="132" t="s">
        <v>1127</v>
      </c>
      <c r="I255" s="132">
        <v>5190.57</v>
      </c>
      <c r="J255" s="101" t="s">
        <v>889</v>
      </c>
      <c r="K255" s="245" t="s">
        <v>390</v>
      </c>
      <c r="L255" s="245">
        <v>42551</v>
      </c>
      <c r="M255" s="245" t="s">
        <v>391</v>
      </c>
      <c r="N255" s="101">
        <v>0</v>
      </c>
      <c r="O255" s="101" t="s">
        <v>392</v>
      </c>
      <c r="P255" s="101">
        <v>0</v>
      </c>
      <c r="Q255" s="101">
        <v>0</v>
      </c>
      <c r="R255" s="101" t="s">
        <v>393</v>
      </c>
      <c r="S255" s="101" t="s">
        <v>796</v>
      </c>
      <c r="T255" s="101" t="s">
        <v>394</v>
      </c>
      <c r="V255" s="245">
        <v>14426</v>
      </c>
      <c r="W255" s="101" t="s">
        <v>395</v>
      </c>
      <c r="X255" s="101" t="s">
        <v>795</v>
      </c>
      <c r="Y255" s="101" t="s">
        <v>396</v>
      </c>
      <c r="Z255" s="101" t="s">
        <v>402</v>
      </c>
      <c r="AA255" s="101" t="s">
        <v>78</v>
      </c>
      <c r="AB255" s="101">
        <v>4101000279</v>
      </c>
      <c r="AC255" s="101" t="s">
        <v>398</v>
      </c>
      <c r="AD255" s="101" t="s">
        <v>403</v>
      </c>
      <c r="AE255" s="101" t="s">
        <v>6</v>
      </c>
      <c r="AF255" s="101" t="s">
        <v>400</v>
      </c>
      <c r="AI255" s="101" t="s">
        <v>760</v>
      </c>
    </row>
    <row r="256" spans="1:35">
      <c r="A256" s="246" t="s">
        <v>109</v>
      </c>
      <c r="B256" s="246" t="s">
        <v>78</v>
      </c>
      <c r="C256" s="246" t="s">
        <v>126</v>
      </c>
      <c r="D256" s="246" t="s">
        <v>337</v>
      </c>
      <c r="E256" s="246" t="s">
        <v>336</v>
      </c>
      <c r="F256" s="246" t="s">
        <v>275</v>
      </c>
      <c r="G256" s="132" t="s">
        <v>800</v>
      </c>
      <c r="H256" s="132" t="s">
        <v>1128</v>
      </c>
      <c r="I256" s="132">
        <v>2441.56</v>
      </c>
      <c r="J256" s="101" t="s">
        <v>889</v>
      </c>
      <c r="K256" s="245" t="s">
        <v>390</v>
      </c>
      <c r="L256" s="245">
        <v>42551</v>
      </c>
      <c r="M256" s="245" t="s">
        <v>391</v>
      </c>
      <c r="N256" s="101">
        <v>0</v>
      </c>
      <c r="O256" s="101" t="s">
        <v>392</v>
      </c>
      <c r="P256" s="101">
        <v>0</v>
      </c>
      <c r="Q256" s="101">
        <v>0</v>
      </c>
      <c r="R256" s="101" t="s">
        <v>393</v>
      </c>
      <c r="S256" s="101" t="s">
        <v>796</v>
      </c>
      <c r="T256" s="101" t="s">
        <v>394</v>
      </c>
      <c r="V256" s="245">
        <v>14426</v>
      </c>
      <c r="W256" s="101" t="s">
        <v>395</v>
      </c>
      <c r="X256" s="101" t="s">
        <v>795</v>
      </c>
      <c r="Y256" s="101" t="s">
        <v>396</v>
      </c>
      <c r="Z256" s="101" t="s">
        <v>402</v>
      </c>
      <c r="AA256" s="101" t="s">
        <v>78</v>
      </c>
      <c r="AB256" s="101">
        <v>4101000279</v>
      </c>
      <c r="AC256" s="101" t="s">
        <v>398</v>
      </c>
      <c r="AD256" s="101" t="s">
        <v>403</v>
      </c>
      <c r="AE256" s="101" t="s">
        <v>6</v>
      </c>
      <c r="AF256" s="101" t="s">
        <v>400</v>
      </c>
      <c r="AI256" s="101" t="s">
        <v>760</v>
      </c>
    </row>
    <row r="257" spans="1:35">
      <c r="A257" s="246" t="s">
        <v>111</v>
      </c>
      <c r="B257" s="246" t="s">
        <v>78</v>
      </c>
      <c r="C257" s="246" t="s">
        <v>126</v>
      </c>
      <c r="D257" s="246" t="s">
        <v>768</v>
      </c>
      <c r="E257" s="246" t="s">
        <v>769</v>
      </c>
      <c r="F257" s="246" t="s">
        <v>277</v>
      </c>
      <c r="G257" s="132">
        <v>41400</v>
      </c>
      <c r="H257" s="132" t="s">
        <v>1129</v>
      </c>
      <c r="I257" s="132">
        <v>41400</v>
      </c>
      <c r="J257" s="101" t="s">
        <v>889</v>
      </c>
      <c r="K257" s="245" t="s">
        <v>390</v>
      </c>
      <c r="L257" s="245">
        <v>42734</v>
      </c>
      <c r="M257" s="245" t="s">
        <v>391</v>
      </c>
      <c r="N257" s="101">
        <v>0</v>
      </c>
      <c r="O257" s="101" t="s">
        <v>392</v>
      </c>
      <c r="P257" s="101">
        <v>0</v>
      </c>
      <c r="Q257" s="101">
        <v>0</v>
      </c>
      <c r="R257" s="101" t="s">
        <v>393</v>
      </c>
      <c r="S257" s="101" t="s">
        <v>796</v>
      </c>
      <c r="T257" s="101" t="s">
        <v>394</v>
      </c>
      <c r="V257" s="245">
        <v>14426</v>
      </c>
      <c r="W257" s="101" t="s">
        <v>395</v>
      </c>
      <c r="X257" s="101" t="s">
        <v>795</v>
      </c>
      <c r="Y257" s="101" t="s">
        <v>396</v>
      </c>
      <c r="Z257" s="101" t="s">
        <v>402</v>
      </c>
      <c r="AA257" s="101" t="s">
        <v>78</v>
      </c>
      <c r="AB257" s="101">
        <v>4101000279</v>
      </c>
      <c r="AC257" s="101" t="s">
        <v>398</v>
      </c>
      <c r="AD257" s="101" t="s">
        <v>403</v>
      </c>
      <c r="AE257" s="101" t="s">
        <v>6</v>
      </c>
      <c r="AF257" s="101" t="s">
        <v>400</v>
      </c>
      <c r="AI257" s="101" t="s">
        <v>760</v>
      </c>
    </row>
    <row r="258" spans="1:35">
      <c r="A258" s="246" t="s">
        <v>112</v>
      </c>
      <c r="B258" s="246" t="s">
        <v>78</v>
      </c>
      <c r="C258" s="246" t="s">
        <v>126</v>
      </c>
      <c r="D258" s="246" t="s">
        <v>341</v>
      </c>
      <c r="E258" s="246" t="s">
        <v>342</v>
      </c>
      <c r="F258" s="246" t="s">
        <v>278</v>
      </c>
      <c r="G258" s="132">
        <v>8280</v>
      </c>
      <c r="H258" s="132" t="s">
        <v>1130</v>
      </c>
      <c r="I258" s="132">
        <v>8280</v>
      </c>
      <c r="J258" s="101" t="s">
        <v>889</v>
      </c>
      <c r="K258" s="245" t="s">
        <v>390</v>
      </c>
      <c r="L258" s="245">
        <v>42916</v>
      </c>
      <c r="M258" s="245" t="s">
        <v>391</v>
      </c>
      <c r="N258" s="101">
        <v>0</v>
      </c>
      <c r="O258" s="101" t="s">
        <v>392</v>
      </c>
      <c r="P258" s="101">
        <v>0</v>
      </c>
      <c r="Q258" s="101">
        <v>0</v>
      </c>
      <c r="R258" s="101" t="s">
        <v>393</v>
      </c>
      <c r="S258" s="101" t="s">
        <v>796</v>
      </c>
      <c r="T258" s="101" t="s">
        <v>394</v>
      </c>
      <c r="V258" s="245">
        <v>14426</v>
      </c>
      <c r="W258" s="101" t="s">
        <v>395</v>
      </c>
      <c r="X258" s="101" t="s">
        <v>795</v>
      </c>
      <c r="Y258" s="101" t="s">
        <v>396</v>
      </c>
      <c r="Z258" s="101" t="s">
        <v>402</v>
      </c>
      <c r="AA258" s="101" t="s">
        <v>78</v>
      </c>
      <c r="AB258" s="101">
        <v>4101000279</v>
      </c>
      <c r="AC258" s="101" t="s">
        <v>398</v>
      </c>
      <c r="AD258" s="101" t="s">
        <v>403</v>
      </c>
      <c r="AE258" s="101" t="s">
        <v>6</v>
      </c>
      <c r="AF258" s="101" t="s">
        <v>400</v>
      </c>
      <c r="AI258" s="101" t="s">
        <v>760</v>
      </c>
    </row>
    <row r="259" spans="1:35">
      <c r="A259" s="246" t="s">
        <v>113</v>
      </c>
      <c r="B259" s="246" t="s">
        <v>78</v>
      </c>
      <c r="C259" s="246" t="s">
        <v>126</v>
      </c>
      <c r="D259" s="246" t="s">
        <v>339</v>
      </c>
      <c r="E259" s="246" t="s">
        <v>340</v>
      </c>
      <c r="F259" s="246" t="s">
        <v>279</v>
      </c>
      <c r="G259" s="132">
        <v>8234</v>
      </c>
      <c r="H259" s="132" t="s">
        <v>1131</v>
      </c>
      <c r="I259" s="132">
        <v>8234</v>
      </c>
      <c r="J259" s="101" t="s">
        <v>889</v>
      </c>
      <c r="K259" s="245" t="s">
        <v>390</v>
      </c>
      <c r="L259" s="245">
        <v>43098</v>
      </c>
      <c r="M259" s="245" t="s">
        <v>391</v>
      </c>
      <c r="N259" s="101">
        <v>0</v>
      </c>
      <c r="O259" s="101" t="s">
        <v>392</v>
      </c>
      <c r="P259" s="101">
        <v>0</v>
      </c>
      <c r="Q259" s="101">
        <v>0</v>
      </c>
      <c r="R259" s="101" t="s">
        <v>393</v>
      </c>
      <c r="S259" s="101" t="s">
        <v>796</v>
      </c>
      <c r="T259" s="101" t="s">
        <v>394</v>
      </c>
      <c r="V259" s="245">
        <v>14426</v>
      </c>
      <c r="W259" s="101" t="s">
        <v>395</v>
      </c>
      <c r="X259" s="101" t="s">
        <v>795</v>
      </c>
      <c r="Y259" s="101" t="s">
        <v>396</v>
      </c>
      <c r="Z259" s="101" t="s">
        <v>402</v>
      </c>
      <c r="AA259" s="101" t="s">
        <v>78</v>
      </c>
      <c r="AB259" s="101">
        <v>4101000279</v>
      </c>
      <c r="AC259" s="101" t="s">
        <v>398</v>
      </c>
      <c r="AD259" s="101" t="s">
        <v>403</v>
      </c>
      <c r="AE259" s="101" t="s">
        <v>6</v>
      </c>
      <c r="AF259" s="101" t="s">
        <v>400</v>
      </c>
      <c r="AI259" s="101" t="s">
        <v>760</v>
      </c>
    </row>
    <row r="260" spans="1:35">
      <c r="A260" s="246" t="s">
        <v>107</v>
      </c>
      <c r="B260" s="246" t="s">
        <v>66</v>
      </c>
      <c r="C260" s="246" t="s">
        <v>126</v>
      </c>
      <c r="D260" s="246" t="s">
        <v>1769</v>
      </c>
      <c r="E260" s="246"/>
      <c r="F260" s="246"/>
      <c r="G260" s="132">
        <v>0</v>
      </c>
      <c r="H260" s="132">
        <v>0</v>
      </c>
      <c r="I260" s="132">
        <v>0</v>
      </c>
      <c r="J260" s="101" t="s">
        <v>889</v>
      </c>
      <c r="K260" s="245" t="s">
        <v>390</v>
      </c>
      <c r="L260" s="245">
        <v>42522</v>
      </c>
      <c r="M260" s="245" t="s">
        <v>391</v>
      </c>
      <c r="N260" s="101">
        <v>0</v>
      </c>
      <c r="O260" s="101" t="s">
        <v>392</v>
      </c>
      <c r="P260" s="101">
        <v>0</v>
      </c>
      <c r="Q260" s="101">
        <v>0</v>
      </c>
      <c r="R260" s="101" t="s">
        <v>428</v>
      </c>
      <c r="S260" s="101">
        <v>148706</v>
      </c>
      <c r="T260" s="101" t="s">
        <v>394</v>
      </c>
      <c r="V260" s="245">
        <v>42932</v>
      </c>
      <c r="W260" s="101" t="s">
        <v>424</v>
      </c>
      <c r="X260" s="101" t="s">
        <v>429</v>
      </c>
      <c r="Y260" s="101" t="s">
        <v>392</v>
      </c>
      <c r="Z260" s="101" t="s">
        <v>430</v>
      </c>
      <c r="AA260" s="101" t="s">
        <v>397</v>
      </c>
      <c r="AB260" s="101">
        <v>5101000018</v>
      </c>
      <c r="AC260" s="101" t="s">
        <v>431</v>
      </c>
      <c r="AD260" s="101" t="s">
        <v>431</v>
      </c>
      <c r="AE260" s="101" t="s">
        <v>75</v>
      </c>
      <c r="AF260" s="101" t="s">
        <v>400</v>
      </c>
      <c r="AG260" s="101" t="s">
        <v>432</v>
      </c>
      <c r="AI260" s="101" t="s">
        <v>760</v>
      </c>
    </row>
    <row r="261" spans="1:35">
      <c r="A261" s="246" t="s">
        <v>109</v>
      </c>
      <c r="B261" s="246" t="s">
        <v>66</v>
      </c>
      <c r="C261" s="246" t="s">
        <v>126</v>
      </c>
      <c r="D261" s="246" t="s">
        <v>272</v>
      </c>
      <c r="E261" s="246"/>
      <c r="F261" s="246"/>
      <c r="G261" s="132">
        <v>0</v>
      </c>
      <c r="H261" s="132">
        <v>0</v>
      </c>
      <c r="I261" s="132">
        <v>0</v>
      </c>
      <c r="J261" s="101" t="s">
        <v>889</v>
      </c>
      <c r="K261" s="245" t="s">
        <v>390</v>
      </c>
      <c r="L261" s="245">
        <v>42552</v>
      </c>
      <c r="M261" s="245" t="s">
        <v>391</v>
      </c>
      <c r="N261" s="101">
        <v>0</v>
      </c>
      <c r="O261" s="101" t="s">
        <v>392</v>
      </c>
      <c r="P261" s="101">
        <v>0</v>
      </c>
      <c r="Q261" s="101">
        <v>0</v>
      </c>
      <c r="R261" s="101" t="s">
        <v>428</v>
      </c>
      <c r="S261" s="101">
        <v>148706</v>
      </c>
      <c r="T261" s="101" t="s">
        <v>394</v>
      </c>
      <c r="V261" s="245">
        <v>42932</v>
      </c>
      <c r="W261" s="101" t="s">
        <v>424</v>
      </c>
      <c r="X261" s="101" t="s">
        <v>429</v>
      </c>
      <c r="Y261" s="101" t="s">
        <v>392</v>
      </c>
      <c r="Z261" s="101" t="s">
        <v>430</v>
      </c>
      <c r="AA261" s="101" t="s">
        <v>397</v>
      </c>
      <c r="AB261" s="101">
        <v>5101000018</v>
      </c>
      <c r="AC261" s="101" t="s">
        <v>431</v>
      </c>
      <c r="AD261" s="101" t="s">
        <v>431</v>
      </c>
      <c r="AE261" s="101" t="s">
        <v>75</v>
      </c>
      <c r="AF261" s="101" t="s">
        <v>400</v>
      </c>
      <c r="AG261" s="101" t="s">
        <v>432</v>
      </c>
      <c r="AI261" s="101" t="s">
        <v>760</v>
      </c>
    </row>
    <row r="262" spans="1:35">
      <c r="A262" s="246" t="s">
        <v>109</v>
      </c>
      <c r="B262" s="246" t="s">
        <v>66</v>
      </c>
      <c r="C262" s="246" t="s">
        <v>126</v>
      </c>
      <c r="D262" s="246" t="s">
        <v>272</v>
      </c>
      <c r="E262" s="246"/>
      <c r="F262" s="246"/>
      <c r="G262" s="132">
        <v>0</v>
      </c>
      <c r="H262" s="132">
        <v>0</v>
      </c>
      <c r="I262" s="132">
        <v>0</v>
      </c>
      <c r="J262" s="101" t="s">
        <v>889</v>
      </c>
      <c r="K262" s="245" t="s">
        <v>390</v>
      </c>
      <c r="L262" s="245">
        <v>42583</v>
      </c>
      <c r="M262" s="245" t="s">
        <v>391</v>
      </c>
      <c r="N262" s="101">
        <v>0</v>
      </c>
      <c r="O262" s="101" t="s">
        <v>392</v>
      </c>
      <c r="P262" s="101">
        <v>0</v>
      </c>
      <c r="Q262" s="101">
        <v>0</v>
      </c>
      <c r="R262" s="101" t="s">
        <v>428</v>
      </c>
      <c r="S262" s="101">
        <v>148706</v>
      </c>
      <c r="T262" s="101" t="s">
        <v>394</v>
      </c>
      <c r="V262" s="245">
        <v>42932</v>
      </c>
      <c r="W262" s="101" t="s">
        <v>424</v>
      </c>
      <c r="X262" s="101" t="s">
        <v>429</v>
      </c>
      <c r="Y262" s="101" t="s">
        <v>392</v>
      </c>
      <c r="Z262" s="101" t="s">
        <v>430</v>
      </c>
      <c r="AA262" s="101" t="s">
        <v>397</v>
      </c>
      <c r="AB262" s="101">
        <v>5101000018</v>
      </c>
      <c r="AC262" s="101" t="s">
        <v>431</v>
      </c>
      <c r="AD262" s="101" t="s">
        <v>431</v>
      </c>
      <c r="AE262" s="101" t="s">
        <v>75</v>
      </c>
      <c r="AF262" s="101" t="s">
        <v>400</v>
      </c>
      <c r="AG262" s="101" t="s">
        <v>432</v>
      </c>
      <c r="AI262" s="101" t="s">
        <v>760</v>
      </c>
    </row>
    <row r="263" spans="1:35">
      <c r="A263" s="246" t="s">
        <v>110</v>
      </c>
      <c r="B263" s="246" t="s">
        <v>66</v>
      </c>
      <c r="C263" s="246" t="s">
        <v>126</v>
      </c>
      <c r="D263" s="246" t="s">
        <v>281</v>
      </c>
      <c r="E263" s="246"/>
      <c r="F263" s="246"/>
      <c r="G263" s="132">
        <v>0</v>
      </c>
      <c r="H263" s="132">
        <v>0</v>
      </c>
      <c r="I263" s="132">
        <v>0</v>
      </c>
      <c r="J263" s="101" t="s">
        <v>889</v>
      </c>
      <c r="K263" s="245" t="s">
        <v>390</v>
      </c>
      <c r="L263" s="245">
        <v>42614</v>
      </c>
      <c r="M263" s="245" t="s">
        <v>391</v>
      </c>
      <c r="N263" s="101">
        <v>0</v>
      </c>
      <c r="O263" s="101" t="s">
        <v>392</v>
      </c>
      <c r="P263" s="101">
        <v>0</v>
      </c>
      <c r="Q263" s="101">
        <v>0</v>
      </c>
      <c r="R263" s="101" t="s">
        <v>428</v>
      </c>
      <c r="S263" s="101">
        <v>148706</v>
      </c>
      <c r="T263" s="101" t="s">
        <v>394</v>
      </c>
      <c r="V263" s="245">
        <v>42932</v>
      </c>
      <c r="W263" s="101" t="s">
        <v>424</v>
      </c>
      <c r="X263" s="101" t="s">
        <v>429</v>
      </c>
      <c r="Y263" s="101" t="s">
        <v>392</v>
      </c>
      <c r="Z263" s="101" t="s">
        <v>430</v>
      </c>
      <c r="AA263" s="101" t="s">
        <v>397</v>
      </c>
      <c r="AB263" s="101">
        <v>5101000018</v>
      </c>
      <c r="AC263" s="101" t="s">
        <v>431</v>
      </c>
      <c r="AD263" s="101" t="s">
        <v>431</v>
      </c>
      <c r="AE263" s="101" t="s">
        <v>75</v>
      </c>
      <c r="AF263" s="101" t="s">
        <v>400</v>
      </c>
      <c r="AG263" s="101" t="s">
        <v>432</v>
      </c>
      <c r="AI263" s="101" t="s">
        <v>760</v>
      </c>
    </row>
    <row r="264" spans="1:35">
      <c r="A264" s="246" t="s">
        <v>110</v>
      </c>
      <c r="B264" s="246" t="s">
        <v>66</v>
      </c>
      <c r="C264" s="246" t="s">
        <v>126</v>
      </c>
      <c r="D264" s="246" t="s">
        <v>281</v>
      </c>
      <c r="E264" s="246"/>
      <c r="F264" s="246"/>
      <c r="G264" s="132">
        <v>0</v>
      </c>
      <c r="H264" s="132">
        <v>0</v>
      </c>
      <c r="I264" s="132">
        <v>0</v>
      </c>
      <c r="J264" s="101" t="s">
        <v>889</v>
      </c>
      <c r="K264" s="245" t="s">
        <v>390</v>
      </c>
      <c r="L264" s="245">
        <v>42646</v>
      </c>
      <c r="M264" s="245" t="s">
        <v>391</v>
      </c>
      <c r="N264" s="101">
        <v>0</v>
      </c>
      <c r="O264" s="101" t="s">
        <v>392</v>
      </c>
      <c r="P264" s="101">
        <v>0</v>
      </c>
      <c r="Q264" s="101">
        <v>0</v>
      </c>
      <c r="R264" s="101" t="s">
        <v>428</v>
      </c>
      <c r="S264" s="101">
        <v>148706</v>
      </c>
      <c r="T264" s="101" t="s">
        <v>394</v>
      </c>
      <c r="V264" s="245">
        <v>42932</v>
      </c>
      <c r="W264" s="101" t="s">
        <v>424</v>
      </c>
      <c r="X264" s="101" t="s">
        <v>429</v>
      </c>
      <c r="Y264" s="101" t="s">
        <v>392</v>
      </c>
      <c r="Z264" s="101" t="s">
        <v>430</v>
      </c>
      <c r="AA264" s="101" t="s">
        <v>397</v>
      </c>
      <c r="AB264" s="101">
        <v>5101000018</v>
      </c>
      <c r="AC264" s="101" t="s">
        <v>431</v>
      </c>
      <c r="AD264" s="101" t="s">
        <v>431</v>
      </c>
      <c r="AE264" s="101" t="s">
        <v>75</v>
      </c>
      <c r="AF264" s="101" t="s">
        <v>400</v>
      </c>
      <c r="AG264" s="101" t="s">
        <v>432</v>
      </c>
      <c r="AI264" s="101" t="s">
        <v>760</v>
      </c>
    </row>
    <row r="265" spans="1:35">
      <c r="A265" s="246" t="s">
        <v>110</v>
      </c>
      <c r="B265" s="246" t="s">
        <v>66</v>
      </c>
      <c r="C265" s="246" t="s">
        <v>126</v>
      </c>
      <c r="D265" s="246" t="s">
        <v>281</v>
      </c>
      <c r="E265" s="246"/>
      <c r="F265" s="246"/>
      <c r="G265" s="132">
        <v>0</v>
      </c>
      <c r="H265" s="132">
        <v>0</v>
      </c>
      <c r="I265" s="132">
        <v>0</v>
      </c>
      <c r="J265" s="101" t="s">
        <v>889</v>
      </c>
      <c r="K265" s="245" t="s">
        <v>390</v>
      </c>
      <c r="L265" s="245">
        <v>42675</v>
      </c>
      <c r="M265" s="245" t="s">
        <v>391</v>
      </c>
      <c r="N265" s="101">
        <v>0</v>
      </c>
      <c r="O265" s="101" t="s">
        <v>392</v>
      </c>
      <c r="P265" s="101">
        <v>0</v>
      </c>
      <c r="Q265" s="101">
        <v>0</v>
      </c>
      <c r="R265" s="101" t="s">
        <v>428</v>
      </c>
      <c r="S265" s="101">
        <v>148706</v>
      </c>
      <c r="T265" s="101" t="s">
        <v>394</v>
      </c>
      <c r="V265" s="245">
        <v>42932</v>
      </c>
      <c r="W265" s="101" t="s">
        <v>424</v>
      </c>
      <c r="X265" s="101" t="s">
        <v>429</v>
      </c>
      <c r="Y265" s="101" t="s">
        <v>392</v>
      </c>
      <c r="Z265" s="101" t="s">
        <v>430</v>
      </c>
      <c r="AA265" s="101" t="s">
        <v>397</v>
      </c>
      <c r="AB265" s="101">
        <v>5101000018</v>
      </c>
      <c r="AC265" s="101" t="s">
        <v>431</v>
      </c>
      <c r="AD265" s="101" t="s">
        <v>431</v>
      </c>
      <c r="AE265" s="101" t="s">
        <v>75</v>
      </c>
      <c r="AF265" s="101" t="s">
        <v>400</v>
      </c>
      <c r="AG265" s="101" t="s">
        <v>432</v>
      </c>
      <c r="AI265" s="101" t="s">
        <v>760</v>
      </c>
    </row>
    <row r="266" spans="1:35">
      <c r="A266" s="246" t="s">
        <v>111</v>
      </c>
      <c r="B266" s="246" t="s">
        <v>66</v>
      </c>
      <c r="C266" s="246" t="s">
        <v>126</v>
      </c>
      <c r="D266" s="246" t="s">
        <v>273</v>
      </c>
      <c r="E266" s="246"/>
      <c r="F266" s="246"/>
      <c r="G266" s="132">
        <v>0</v>
      </c>
      <c r="H266" s="132">
        <v>0</v>
      </c>
      <c r="I266" s="132">
        <v>0</v>
      </c>
      <c r="J266" s="101" t="s">
        <v>889</v>
      </c>
      <c r="K266" s="245" t="s">
        <v>390</v>
      </c>
      <c r="L266" s="245">
        <v>42705</v>
      </c>
      <c r="M266" s="245" t="s">
        <v>391</v>
      </c>
      <c r="N266" s="101">
        <v>0</v>
      </c>
      <c r="O266" s="101" t="s">
        <v>392</v>
      </c>
      <c r="P266" s="101">
        <v>0</v>
      </c>
      <c r="Q266" s="101">
        <v>0</v>
      </c>
      <c r="R266" s="101" t="s">
        <v>428</v>
      </c>
      <c r="S266" s="101">
        <v>148706</v>
      </c>
      <c r="T266" s="101" t="s">
        <v>394</v>
      </c>
      <c r="V266" s="245">
        <v>42932</v>
      </c>
      <c r="W266" s="101" t="s">
        <v>424</v>
      </c>
      <c r="X266" s="101" t="s">
        <v>429</v>
      </c>
      <c r="Y266" s="101" t="s">
        <v>392</v>
      </c>
      <c r="Z266" s="101" t="s">
        <v>430</v>
      </c>
      <c r="AA266" s="101" t="s">
        <v>397</v>
      </c>
      <c r="AB266" s="101">
        <v>5101000018</v>
      </c>
      <c r="AC266" s="101" t="s">
        <v>431</v>
      </c>
      <c r="AD266" s="101" t="s">
        <v>431</v>
      </c>
      <c r="AE266" s="101" t="s">
        <v>75</v>
      </c>
      <c r="AF266" s="101" t="s">
        <v>400</v>
      </c>
      <c r="AG266" s="101" t="s">
        <v>432</v>
      </c>
      <c r="AI266" s="101" t="s">
        <v>760</v>
      </c>
    </row>
    <row r="267" spans="1:35">
      <c r="A267" s="246" t="s">
        <v>111</v>
      </c>
      <c r="B267" s="246" t="s">
        <v>66</v>
      </c>
      <c r="C267" s="246" t="s">
        <v>126</v>
      </c>
      <c r="D267" s="246" t="s">
        <v>273</v>
      </c>
      <c r="E267" s="246"/>
      <c r="F267" s="246"/>
      <c r="G267" s="132">
        <v>0</v>
      </c>
      <c r="H267" s="132">
        <v>0</v>
      </c>
      <c r="I267" s="132">
        <v>0</v>
      </c>
      <c r="J267" s="101" t="s">
        <v>889</v>
      </c>
      <c r="K267" s="245" t="s">
        <v>390</v>
      </c>
      <c r="L267" s="245">
        <v>42738</v>
      </c>
      <c r="M267" s="245" t="s">
        <v>391</v>
      </c>
      <c r="N267" s="101">
        <v>0</v>
      </c>
      <c r="O267" s="101" t="s">
        <v>392</v>
      </c>
      <c r="P267" s="101">
        <v>0</v>
      </c>
      <c r="Q267" s="101">
        <v>0</v>
      </c>
      <c r="R267" s="101" t="s">
        <v>428</v>
      </c>
      <c r="S267" s="101">
        <v>148706</v>
      </c>
      <c r="T267" s="101" t="s">
        <v>394</v>
      </c>
      <c r="V267" s="245">
        <v>42932</v>
      </c>
      <c r="W267" s="101" t="s">
        <v>424</v>
      </c>
      <c r="X267" s="101" t="s">
        <v>429</v>
      </c>
      <c r="Y267" s="101" t="s">
        <v>392</v>
      </c>
      <c r="Z267" s="101" t="s">
        <v>430</v>
      </c>
      <c r="AA267" s="101" t="s">
        <v>397</v>
      </c>
      <c r="AB267" s="101">
        <v>5101000018</v>
      </c>
      <c r="AC267" s="101" t="s">
        <v>431</v>
      </c>
      <c r="AD267" s="101" t="s">
        <v>431</v>
      </c>
      <c r="AE267" s="101" t="s">
        <v>75</v>
      </c>
      <c r="AF267" s="101" t="s">
        <v>400</v>
      </c>
      <c r="AG267" s="101" t="s">
        <v>432</v>
      </c>
      <c r="AI267" s="101" t="s">
        <v>760</v>
      </c>
    </row>
    <row r="268" spans="1:35">
      <c r="A268" s="246" t="s">
        <v>111</v>
      </c>
      <c r="B268" s="246" t="s">
        <v>66</v>
      </c>
      <c r="C268" s="246" t="s">
        <v>126</v>
      </c>
      <c r="D268" s="246" t="s">
        <v>273</v>
      </c>
      <c r="E268" s="246"/>
      <c r="F268" s="246"/>
      <c r="G268" s="132">
        <v>0</v>
      </c>
      <c r="H268" s="132">
        <v>0</v>
      </c>
      <c r="I268" s="132">
        <v>0</v>
      </c>
      <c r="J268" s="101" t="s">
        <v>889</v>
      </c>
      <c r="K268" s="245" t="s">
        <v>390</v>
      </c>
      <c r="L268" s="245">
        <v>42767</v>
      </c>
      <c r="M268" s="245" t="s">
        <v>391</v>
      </c>
      <c r="N268" s="101">
        <v>0</v>
      </c>
      <c r="O268" s="101" t="s">
        <v>392</v>
      </c>
      <c r="P268" s="101">
        <v>0</v>
      </c>
      <c r="Q268" s="101">
        <v>0</v>
      </c>
      <c r="R268" s="101" t="s">
        <v>428</v>
      </c>
      <c r="S268" s="101">
        <v>148706</v>
      </c>
      <c r="T268" s="101" t="s">
        <v>394</v>
      </c>
      <c r="V268" s="245">
        <v>42932</v>
      </c>
      <c r="W268" s="101" t="s">
        <v>424</v>
      </c>
      <c r="X268" s="101" t="s">
        <v>429</v>
      </c>
      <c r="Y268" s="101" t="s">
        <v>392</v>
      </c>
      <c r="Z268" s="101" t="s">
        <v>430</v>
      </c>
      <c r="AA268" s="101" t="s">
        <v>397</v>
      </c>
      <c r="AB268" s="101">
        <v>5101000018</v>
      </c>
      <c r="AC268" s="101" t="s">
        <v>431</v>
      </c>
      <c r="AD268" s="101" t="s">
        <v>431</v>
      </c>
      <c r="AE268" s="101" t="s">
        <v>75</v>
      </c>
      <c r="AF268" s="101" t="s">
        <v>400</v>
      </c>
      <c r="AG268" s="101" t="s">
        <v>432</v>
      </c>
      <c r="AI268" s="101" t="s">
        <v>760</v>
      </c>
    </row>
    <row r="269" spans="1:35">
      <c r="A269" s="246" t="s">
        <v>111</v>
      </c>
      <c r="B269" s="246" t="s">
        <v>66</v>
      </c>
      <c r="C269" s="246" t="s">
        <v>126</v>
      </c>
      <c r="D269" s="246" t="s">
        <v>273</v>
      </c>
      <c r="E269" s="246"/>
      <c r="F269" s="246"/>
      <c r="G269" s="132">
        <v>0</v>
      </c>
      <c r="H269" s="132">
        <v>0</v>
      </c>
      <c r="I269" s="132">
        <v>0</v>
      </c>
      <c r="J269" s="101" t="s">
        <v>889</v>
      </c>
      <c r="K269" s="245" t="s">
        <v>390</v>
      </c>
      <c r="L269" s="245">
        <v>42795</v>
      </c>
      <c r="M269" s="245" t="s">
        <v>391</v>
      </c>
      <c r="N269" s="101">
        <v>0</v>
      </c>
      <c r="O269" s="101" t="s">
        <v>392</v>
      </c>
      <c r="P269" s="101">
        <v>0</v>
      </c>
      <c r="Q269" s="101">
        <v>0</v>
      </c>
      <c r="R269" s="101" t="s">
        <v>428</v>
      </c>
      <c r="S269" s="101">
        <v>148706</v>
      </c>
      <c r="T269" s="101" t="s">
        <v>394</v>
      </c>
      <c r="V269" s="245">
        <v>42932</v>
      </c>
      <c r="W269" s="101" t="s">
        <v>424</v>
      </c>
      <c r="X269" s="101" t="s">
        <v>429</v>
      </c>
      <c r="Y269" s="101" t="s">
        <v>392</v>
      </c>
      <c r="Z269" s="101" t="s">
        <v>430</v>
      </c>
      <c r="AA269" s="101" t="s">
        <v>397</v>
      </c>
      <c r="AB269" s="101">
        <v>5101000018</v>
      </c>
      <c r="AC269" s="101" t="s">
        <v>431</v>
      </c>
      <c r="AD269" s="101" t="s">
        <v>431</v>
      </c>
      <c r="AE269" s="101" t="s">
        <v>75</v>
      </c>
      <c r="AF269" s="101" t="s">
        <v>400</v>
      </c>
      <c r="AG269" s="101" t="s">
        <v>432</v>
      </c>
      <c r="AI269" s="101" t="s">
        <v>760</v>
      </c>
    </row>
    <row r="270" spans="1:35">
      <c r="A270" s="246" t="s">
        <v>111</v>
      </c>
      <c r="B270" s="246" t="s">
        <v>66</v>
      </c>
      <c r="C270" s="246" t="s">
        <v>126</v>
      </c>
      <c r="D270" s="246" t="s">
        <v>273</v>
      </c>
      <c r="E270" s="246"/>
      <c r="F270" s="246"/>
      <c r="G270" s="132">
        <v>0</v>
      </c>
      <c r="H270" s="132">
        <v>0</v>
      </c>
      <c r="I270" s="132">
        <v>0</v>
      </c>
      <c r="J270" s="101" t="s">
        <v>889</v>
      </c>
      <c r="K270" s="245" t="s">
        <v>390</v>
      </c>
      <c r="L270" s="245">
        <v>42828</v>
      </c>
      <c r="M270" s="245" t="s">
        <v>391</v>
      </c>
      <c r="N270" s="101">
        <v>0</v>
      </c>
      <c r="O270" s="101" t="s">
        <v>392</v>
      </c>
      <c r="P270" s="101">
        <v>0</v>
      </c>
      <c r="Q270" s="101">
        <v>0</v>
      </c>
      <c r="R270" s="101" t="s">
        <v>428</v>
      </c>
      <c r="S270" s="101">
        <v>148706</v>
      </c>
      <c r="T270" s="101" t="s">
        <v>394</v>
      </c>
      <c r="V270" s="245">
        <v>42932</v>
      </c>
      <c r="W270" s="101" t="s">
        <v>424</v>
      </c>
      <c r="X270" s="101" t="s">
        <v>429</v>
      </c>
      <c r="Y270" s="101" t="s">
        <v>392</v>
      </c>
      <c r="Z270" s="101" t="s">
        <v>430</v>
      </c>
      <c r="AA270" s="101" t="s">
        <v>397</v>
      </c>
      <c r="AB270" s="101">
        <v>5101000018</v>
      </c>
      <c r="AC270" s="101" t="s">
        <v>431</v>
      </c>
      <c r="AD270" s="101" t="s">
        <v>431</v>
      </c>
      <c r="AE270" s="101" t="s">
        <v>75</v>
      </c>
      <c r="AF270" s="101" t="s">
        <v>400</v>
      </c>
      <c r="AG270" s="101" t="s">
        <v>432</v>
      </c>
      <c r="AI270" s="101" t="s">
        <v>760</v>
      </c>
    </row>
    <row r="271" spans="1:35">
      <c r="A271" s="246" t="s">
        <v>111</v>
      </c>
      <c r="B271" s="246" t="s">
        <v>66</v>
      </c>
      <c r="C271" s="246" t="s">
        <v>126</v>
      </c>
      <c r="D271" s="246" t="s">
        <v>273</v>
      </c>
      <c r="E271" s="246"/>
      <c r="F271" s="246"/>
      <c r="G271" s="132">
        <v>0</v>
      </c>
      <c r="H271" s="132">
        <v>0</v>
      </c>
      <c r="I271" s="132">
        <v>0</v>
      </c>
      <c r="J271" s="101" t="s">
        <v>889</v>
      </c>
      <c r="K271" s="245" t="s">
        <v>390</v>
      </c>
      <c r="L271" s="245">
        <v>42856</v>
      </c>
      <c r="M271" s="245" t="s">
        <v>391</v>
      </c>
      <c r="N271" s="101">
        <v>0</v>
      </c>
      <c r="O271" s="101" t="s">
        <v>392</v>
      </c>
      <c r="P271" s="101">
        <v>0</v>
      </c>
      <c r="Q271" s="101">
        <v>0</v>
      </c>
      <c r="R271" s="101" t="s">
        <v>428</v>
      </c>
      <c r="S271" s="101">
        <v>148706</v>
      </c>
      <c r="T271" s="101" t="s">
        <v>394</v>
      </c>
      <c r="V271" s="245">
        <v>42932</v>
      </c>
      <c r="W271" s="101" t="s">
        <v>424</v>
      </c>
      <c r="X271" s="101" t="s">
        <v>429</v>
      </c>
      <c r="Y271" s="101" t="s">
        <v>392</v>
      </c>
      <c r="Z271" s="101" t="s">
        <v>430</v>
      </c>
      <c r="AA271" s="101" t="s">
        <v>397</v>
      </c>
      <c r="AB271" s="101">
        <v>5101000018</v>
      </c>
      <c r="AC271" s="101" t="s">
        <v>431</v>
      </c>
      <c r="AD271" s="101" t="s">
        <v>431</v>
      </c>
      <c r="AE271" s="101" t="s">
        <v>75</v>
      </c>
      <c r="AF271" s="101" t="s">
        <v>400</v>
      </c>
      <c r="AG271" s="101" t="s">
        <v>432</v>
      </c>
      <c r="AI271" s="101" t="s">
        <v>760</v>
      </c>
    </row>
    <row r="272" spans="1:35">
      <c r="A272" s="246" t="s">
        <v>112</v>
      </c>
      <c r="B272" s="246" t="s">
        <v>66</v>
      </c>
      <c r="C272" s="246" t="s">
        <v>126</v>
      </c>
      <c r="D272" s="246" t="s">
        <v>270</v>
      </c>
      <c r="E272" s="246"/>
      <c r="F272" s="246"/>
      <c r="G272" s="132">
        <v>0</v>
      </c>
      <c r="H272" s="132">
        <v>0</v>
      </c>
      <c r="I272" s="132">
        <v>0</v>
      </c>
      <c r="J272" s="101" t="s">
        <v>889</v>
      </c>
      <c r="K272" s="245" t="s">
        <v>390</v>
      </c>
      <c r="L272" s="245">
        <v>42887</v>
      </c>
      <c r="M272" s="245" t="s">
        <v>391</v>
      </c>
      <c r="N272" s="101">
        <v>0</v>
      </c>
      <c r="O272" s="101" t="s">
        <v>392</v>
      </c>
      <c r="P272" s="101">
        <v>0</v>
      </c>
      <c r="Q272" s="101">
        <v>0</v>
      </c>
      <c r="R272" s="101" t="s">
        <v>428</v>
      </c>
      <c r="S272" s="101">
        <v>148706</v>
      </c>
      <c r="T272" s="101" t="s">
        <v>394</v>
      </c>
      <c r="V272" s="245">
        <v>42932</v>
      </c>
      <c r="W272" s="101" t="s">
        <v>424</v>
      </c>
      <c r="X272" s="101" t="s">
        <v>429</v>
      </c>
      <c r="Y272" s="101" t="s">
        <v>392</v>
      </c>
      <c r="Z272" s="101" t="s">
        <v>430</v>
      </c>
      <c r="AA272" s="101" t="s">
        <v>397</v>
      </c>
      <c r="AB272" s="101">
        <v>5101000018</v>
      </c>
      <c r="AC272" s="101" t="s">
        <v>431</v>
      </c>
      <c r="AD272" s="101" t="s">
        <v>431</v>
      </c>
      <c r="AE272" s="101" t="s">
        <v>75</v>
      </c>
      <c r="AF272" s="101" t="s">
        <v>400</v>
      </c>
      <c r="AG272" s="101" t="s">
        <v>432</v>
      </c>
      <c r="AI272" s="101" t="s">
        <v>760</v>
      </c>
    </row>
    <row r="273" spans="1:35">
      <c r="A273" s="246" t="s">
        <v>112</v>
      </c>
      <c r="B273" s="246" t="s">
        <v>66</v>
      </c>
      <c r="C273" s="246" t="s">
        <v>126</v>
      </c>
      <c r="D273" s="246" t="s">
        <v>270</v>
      </c>
      <c r="E273" s="246"/>
      <c r="F273" s="246"/>
      <c r="G273" s="132">
        <v>0</v>
      </c>
      <c r="H273" s="132">
        <v>0</v>
      </c>
      <c r="I273" s="132">
        <v>0</v>
      </c>
      <c r="J273" s="101" t="s">
        <v>889</v>
      </c>
      <c r="K273" s="245" t="s">
        <v>390</v>
      </c>
      <c r="L273" s="245">
        <v>42933</v>
      </c>
      <c r="M273" s="245" t="s">
        <v>391</v>
      </c>
      <c r="N273" s="101">
        <v>0</v>
      </c>
      <c r="O273" s="101" t="s">
        <v>392</v>
      </c>
      <c r="P273" s="101">
        <v>0</v>
      </c>
      <c r="Q273" s="101">
        <v>0</v>
      </c>
      <c r="R273" s="101" t="s">
        <v>428</v>
      </c>
      <c r="S273" s="101">
        <v>148706</v>
      </c>
      <c r="T273" s="101" t="s">
        <v>394</v>
      </c>
      <c r="V273" s="245">
        <v>42932</v>
      </c>
      <c r="W273" s="101" t="s">
        <v>424</v>
      </c>
      <c r="X273" s="101" t="s">
        <v>429</v>
      </c>
      <c r="Y273" s="101" t="s">
        <v>392</v>
      </c>
      <c r="Z273" s="101" t="s">
        <v>430</v>
      </c>
      <c r="AA273" s="101" t="s">
        <v>397</v>
      </c>
      <c r="AB273" s="101">
        <v>5101000018</v>
      </c>
      <c r="AC273" s="101" t="s">
        <v>431</v>
      </c>
      <c r="AD273" s="101" t="s">
        <v>431</v>
      </c>
      <c r="AE273" s="101" t="s">
        <v>75</v>
      </c>
      <c r="AF273" s="101" t="s">
        <v>400</v>
      </c>
      <c r="AG273" s="101" t="s">
        <v>432</v>
      </c>
      <c r="AI273" s="101" t="s">
        <v>760</v>
      </c>
    </row>
    <row r="274" spans="1:35">
      <c r="A274" s="246" t="s">
        <v>112</v>
      </c>
      <c r="B274" s="246" t="s">
        <v>66</v>
      </c>
      <c r="C274" s="246" t="s">
        <v>116</v>
      </c>
      <c r="D274" s="246" t="s">
        <v>330</v>
      </c>
      <c r="E274" s="246"/>
      <c r="F274" s="246"/>
      <c r="G274" s="132">
        <v>0</v>
      </c>
      <c r="H274" s="132">
        <v>0</v>
      </c>
      <c r="I274" s="132">
        <v>0</v>
      </c>
      <c r="J274" s="101" t="s">
        <v>889</v>
      </c>
      <c r="K274" s="245" t="s">
        <v>390</v>
      </c>
      <c r="L274" s="245">
        <v>42933</v>
      </c>
      <c r="M274" s="245" t="s">
        <v>421</v>
      </c>
      <c r="N274" s="101">
        <v>0</v>
      </c>
      <c r="O274" s="101" t="s">
        <v>392</v>
      </c>
      <c r="P274" s="101">
        <v>0</v>
      </c>
      <c r="Q274" s="101">
        <v>0</v>
      </c>
      <c r="R274" s="101" t="s">
        <v>428</v>
      </c>
      <c r="S274" s="101">
        <v>148706</v>
      </c>
      <c r="T274" s="101" t="s">
        <v>394</v>
      </c>
      <c r="V274" s="245">
        <v>42932</v>
      </c>
      <c r="W274" s="101" t="s">
        <v>424</v>
      </c>
      <c r="X274" s="101" t="s">
        <v>429</v>
      </c>
      <c r="Y274" s="101" t="s">
        <v>392</v>
      </c>
      <c r="Z274" s="101" t="s">
        <v>430</v>
      </c>
      <c r="AA274" s="101" t="s">
        <v>397</v>
      </c>
      <c r="AB274" s="101">
        <v>5101000018</v>
      </c>
      <c r="AC274" s="101" t="s">
        <v>431</v>
      </c>
      <c r="AD274" s="101" t="s">
        <v>431</v>
      </c>
      <c r="AE274" s="101" t="s">
        <v>75</v>
      </c>
      <c r="AF274" s="101" t="s">
        <v>400</v>
      </c>
      <c r="AG274" s="101" t="s">
        <v>432</v>
      </c>
      <c r="AI274" s="101" t="s">
        <v>760</v>
      </c>
    </row>
    <row r="275" spans="1:35">
      <c r="A275" s="246" t="s">
        <v>109</v>
      </c>
      <c r="B275" s="246" t="s">
        <v>66</v>
      </c>
      <c r="C275" s="246" t="s">
        <v>126</v>
      </c>
      <c r="D275" s="246" t="s">
        <v>272</v>
      </c>
      <c r="E275" s="246"/>
      <c r="F275" s="246"/>
      <c r="G275" s="132">
        <v>25000</v>
      </c>
      <c r="H275" s="132" t="s">
        <v>1132</v>
      </c>
      <c r="I275" s="132">
        <v>25000</v>
      </c>
      <c r="J275" s="101" t="s">
        <v>889</v>
      </c>
      <c r="K275" s="245" t="s">
        <v>390</v>
      </c>
      <c r="L275" s="245">
        <v>42536</v>
      </c>
      <c r="M275" s="245" t="s">
        <v>391</v>
      </c>
      <c r="N275" s="101">
        <v>0</v>
      </c>
      <c r="O275" s="101" t="s">
        <v>392</v>
      </c>
      <c r="P275" s="101">
        <v>0</v>
      </c>
      <c r="Q275" s="101">
        <v>0</v>
      </c>
      <c r="R275" s="101" t="s">
        <v>450</v>
      </c>
      <c r="S275" s="101">
        <v>193068</v>
      </c>
      <c r="T275" s="101" t="s">
        <v>394</v>
      </c>
      <c r="V275" s="245">
        <v>42536</v>
      </c>
      <c r="W275" s="101" t="s">
        <v>441</v>
      </c>
      <c r="X275" s="101" t="s">
        <v>76</v>
      </c>
      <c r="Y275" s="101" t="s">
        <v>392</v>
      </c>
      <c r="Z275" s="101" t="s">
        <v>430</v>
      </c>
      <c r="AA275" s="101" t="s">
        <v>531</v>
      </c>
      <c r="AB275" s="101">
        <v>3101053435</v>
      </c>
      <c r="AC275" s="101" t="s">
        <v>431</v>
      </c>
      <c r="AD275" s="101" t="s">
        <v>431</v>
      </c>
      <c r="AE275" s="101" t="s">
        <v>75</v>
      </c>
      <c r="AF275" s="101" t="s">
        <v>400</v>
      </c>
      <c r="AG275" s="101" t="s">
        <v>532</v>
      </c>
      <c r="AI275" s="101" t="s">
        <v>760</v>
      </c>
    </row>
    <row r="276" spans="1:35">
      <c r="A276" s="246" t="s">
        <v>109</v>
      </c>
      <c r="B276" s="246" t="s">
        <v>66</v>
      </c>
      <c r="C276" s="246" t="s">
        <v>116</v>
      </c>
      <c r="D276" s="246" t="s">
        <v>338</v>
      </c>
      <c r="E276" s="246"/>
      <c r="F276" s="246"/>
      <c r="G276" s="132">
        <v>10000000</v>
      </c>
      <c r="H276" s="132" t="s">
        <v>1133</v>
      </c>
      <c r="I276" s="132">
        <v>9999999.9999999981</v>
      </c>
      <c r="J276" s="101" t="s">
        <v>889</v>
      </c>
      <c r="K276" s="245" t="s">
        <v>390</v>
      </c>
      <c r="L276" s="245">
        <v>42536</v>
      </c>
      <c r="M276" s="245" t="s">
        <v>421</v>
      </c>
      <c r="N276" s="101">
        <v>0</v>
      </c>
      <c r="O276" s="101" t="s">
        <v>392</v>
      </c>
      <c r="P276" s="101">
        <v>0</v>
      </c>
      <c r="Q276" s="101">
        <v>0</v>
      </c>
      <c r="R276" s="101" t="s">
        <v>450</v>
      </c>
      <c r="S276" s="101">
        <v>193068</v>
      </c>
      <c r="T276" s="101" t="s">
        <v>394</v>
      </c>
      <c r="V276" s="245">
        <v>42536</v>
      </c>
      <c r="W276" s="101" t="s">
        <v>441</v>
      </c>
      <c r="X276" s="101" t="s">
        <v>76</v>
      </c>
      <c r="Y276" s="101" t="s">
        <v>392</v>
      </c>
      <c r="Z276" s="101" t="s">
        <v>430</v>
      </c>
      <c r="AA276" s="101" t="s">
        <v>531</v>
      </c>
      <c r="AB276" s="101">
        <v>3101053435</v>
      </c>
      <c r="AC276" s="101" t="s">
        <v>431</v>
      </c>
      <c r="AD276" s="101" t="s">
        <v>431</v>
      </c>
      <c r="AE276" s="101" t="s">
        <v>75</v>
      </c>
      <c r="AF276" s="101" t="s">
        <v>400</v>
      </c>
      <c r="AG276" s="101" t="s">
        <v>532</v>
      </c>
      <c r="AI276" s="101" t="s">
        <v>760</v>
      </c>
    </row>
    <row r="277" spans="1:35">
      <c r="A277" s="246" t="s">
        <v>107</v>
      </c>
      <c r="B277" s="246" t="s">
        <v>66</v>
      </c>
      <c r="C277" s="246" t="s">
        <v>126</v>
      </c>
      <c r="D277" s="246" t="s">
        <v>1769</v>
      </c>
      <c r="E277" s="246"/>
      <c r="F277" s="246"/>
      <c r="G277" s="132" t="s">
        <v>601</v>
      </c>
      <c r="H277" s="132" t="s">
        <v>1134</v>
      </c>
      <c r="I277" s="132">
        <v>-54233.88</v>
      </c>
      <c r="J277" s="101" t="s">
        <v>889</v>
      </c>
      <c r="K277" s="245" t="s">
        <v>390</v>
      </c>
      <c r="L277" s="245">
        <v>42521</v>
      </c>
      <c r="M277" s="245" t="s">
        <v>391</v>
      </c>
      <c r="N277" s="101">
        <v>0</v>
      </c>
      <c r="O277" s="101" t="s">
        <v>392</v>
      </c>
      <c r="P277" s="101">
        <v>0</v>
      </c>
      <c r="Q277" s="101">
        <v>0</v>
      </c>
      <c r="R277" s="101" t="s">
        <v>422</v>
      </c>
      <c r="S277" s="101" t="s">
        <v>600</v>
      </c>
      <c r="T277" s="101" t="s">
        <v>394</v>
      </c>
      <c r="U277" s="101" t="s">
        <v>88</v>
      </c>
      <c r="V277" s="245">
        <v>46371</v>
      </c>
      <c r="W277" s="101" t="s">
        <v>445</v>
      </c>
      <c r="X277" s="101" t="s">
        <v>76</v>
      </c>
      <c r="Y277" s="101" t="s">
        <v>392</v>
      </c>
      <c r="Z277" s="101" t="s">
        <v>412</v>
      </c>
      <c r="AA277" s="101" t="s">
        <v>478</v>
      </c>
      <c r="AB277" s="101">
        <v>3101053970</v>
      </c>
      <c r="AC277" s="101" t="s">
        <v>414</v>
      </c>
      <c r="AD277" s="101" t="s">
        <v>79</v>
      </c>
      <c r="AE277" s="101" t="s">
        <v>75</v>
      </c>
      <c r="AF277" s="101" t="s">
        <v>400</v>
      </c>
      <c r="AI277" s="101" t="s">
        <v>172</v>
      </c>
    </row>
    <row r="278" spans="1:35">
      <c r="A278" s="246" t="s">
        <v>107</v>
      </c>
      <c r="B278" s="246" t="s">
        <v>66</v>
      </c>
      <c r="C278" s="246" t="s">
        <v>264</v>
      </c>
      <c r="D278" s="246" t="s">
        <v>1775</v>
      </c>
      <c r="E278" s="246"/>
      <c r="F278" s="246"/>
      <c r="G278" s="132" t="s">
        <v>602</v>
      </c>
      <c r="H278" s="132" t="s">
        <v>1135</v>
      </c>
      <c r="I278" s="132">
        <v>1736494.11</v>
      </c>
      <c r="J278" s="101" t="s">
        <v>889</v>
      </c>
      <c r="K278" s="245" t="s">
        <v>390</v>
      </c>
      <c r="L278" s="245">
        <v>42521</v>
      </c>
      <c r="M278" s="245" t="s">
        <v>421</v>
      </c>
      <c r="N278" s="101">
        <v>0</v>
      </c>
      <c r="O278" s="101" t="s">
        <v>392</v>
      </c>
      <c r="P278" s="101">
        <v>0</v>
      </c>
      <c r="Q278" s="101">
        <v>0</v>
      </c>
      <c r="R278" s="101" t="s">
        <v>410</v>
      </c>
      <c r="S278" s="101" t="s">
        <v>600</v>
      </c>
      <c r="T278" s="101" t="s">
        <v>394</v>
      </c>
      <c r="U278" s="101" t="s">
        <v>88</v>
      </c>
      <c r="V278" s="245">
        <v>46371</v>
      </c>
      <c r="W278" s="101" t="s">
        <v>445</v>
      </c>
      <c r="X278" s="101" t="s">
        <v>76</v>
      </c>
      <c r="Y278" s="101" t="s">
        <v>392</v>
      </c>
      <c r="Z278" s="101" t="s">
        <v>412</v>
      </c>
      <c r="AA278" s="101" t="s">
        <v>478</v>
      </c>
      <c r="AB278" s="101">
        <v>3101053970</v>
      </c>
      <c r="AC278" s="101" t="s">
        <v>414</v>
      </c>
      <c r="AD278" s="101" t="s">
        <v>79</v>
      </c>
      <c r="AE278" s="101" t="s">
        <v>75</v>
      </c>
      <c r="AF278" s="101" t="s">
        <v>400</v>
      </c>
      <c r="AI278" s="101" t="s">
        <v>172</v>
      </c>
    </row>
    <row r="279" spans="1:35">
      <c r="A279" s="246" t="s">
        <v>109</v>
      </c>
      <c r="B279" s="246" t="s">
        <v>66</v>
      </c>
      <c r="C279" s="246" t="s">
        <v>126</v>
      </c>
      <c r="D279" s="246" t="s">
        <v>272</v>
      </c>
      <c r="E279" s="246"/>
      <c r="F279" s="246"/>
      <c r="G279" s="132" t="s">
        <v>603</v>
      </c>
      <c r="H279" s="132" t="s">
        <v>1136</v>
      </c>
      <c r="I279" s="132">
        <v>-59218.299999999996</v>
      </c>
      <c r="J279" s="101" t="s">
        <v>889</v>
      </c>
      <c r="K279" s="245" t="s">
        <v>390</v>
      </c>
      <c r="L279" s="245">
        <v>42551</v>
      </c>
      <c r="M279" s="245" t="s">
        <v>391</v>
      </c>
      <c r="N279" s="101">
        <v>0</v>
      </c>
      <c r="O279" s="101" t="s">
        <v>392</v>
      </c>
      <c r="P279" s="101">
        <v>0</v>
      </c>
      <c r="Q279" s="101">
        <v>0</v>
      </c>
      <c r="R279" s="101" t="s">
        <v>422</v>
      </c>
      <c r="S279" s="101" t="s">
        <v>600</v>
      </c>
      <c r="T279" s="101" t="s">
        <v>394</v>
      </c>
      <c r="U279" s="101" t="s">
        <v>88</v>
      </c>
      <c r="V279" s="245">
        <v>46371</v>
      </c>
      <c r="W279" s="101" t="s">
        <v>445</v>
      </c>
      <c r="X279" s="101" t="s">
        <v>76</v>
      </c>
      <c r="Y279" s="101" t="s">
        <v>392</v>
      </c>
      <c r="Z279" s="101" t="s">
        <v>412</v>
      </c>
      <c r="AA279" s="101" t="s">
        <v>478</v>
      </c>
      <c r="AB279" s="101">
        <v>3101053970</v>
      </c>
      <c r="AC279" s="101" t="s">
        <v>414</v>
      </c>
      <c r="AD279" s="101" t="s">
        <v>79</v>
      </c>
      <c r="AE279" s="101" t="s">
        <v>75</v>
      </c>
      <c r="AF279" s="101" t="s">
        <v>400</v>
      </c>
      <c r="AI279" s="101" t="s">
        <v>172</v>
      </c>
    </row>
    <row r="280" spans="1:35">
      <c r="A280" s="246" t="s">
        <v>109</v>
      </c>
      <c r="B280" s="246" t="s">
        <v>66</v>
      </c>
      <c r="C280" s="246" t="s">
        <v>264</v>
      </c>
      <c r="D280" s="246" t="s">
        <v>288</v>
      </c>
      <c r="E280" s="246"/>
      <c r="F280" s="246"/>
      <c r="G280" s="132" t="s">
        <v>604</v>
      </c>
      <c r="H280" s="132" t="s">
        <v>1137</v>
      </c>
      <c r="I280" s="132">
        <v>1478225.86</v>
      </c>
      <c r="J280" s="101" t="s">
        <v>889</v>
      </c>
      <c r="K280" s="245" t="s">
        <v>390</v>
      </c>
      <c r="L280" s="245">
        <v>42551</v>
      </c>
      <c r="M280" s="245" t="s">
        <v>421</v>
      </c>
      <c r="N280" s="101">
        <v>0</v>
      </c>
      <c r="O280" s="101" t="s">
        <v>392</v>
      </c>
      <c r="P280" s="101">
        <v>0</v>
      </c>
      <c r="Q280" s="101">
        <v>0</v>
      </c>
      <c r="R280" s="101" t="s">
        <v>410</v>
      </c>
      <c r="S280" s="101" t="s">
        <v>600</v>
      </c>
      <c r="T280" s="101" t="s">
        <v>394</v>
      </c>
      <c r="U280" s="101" t="s">
        <v>88</v>
      </c>
      <c r="V280" s="245">
        <v>46371</v>
      </c>
      <c r="W280" s="101" t="s">
        <v>445</v>
      </c>
      <c r="X280" s="101" t="s">
        <v>76</v>
      </c>
      <c r="Y280" s="101" t="s">
        <v>392</v>
      </c>
      <c r="Z280" s="101" t="s">
        <v>412</v>
      </c>
      <c r="AA280" s="101" t="s">
        <v>478</v>
      </c>
      <c r="AB280" s="101">
        <v>3101053970</v>
      </c>
      <c r="AC280" s="101" t="s">
        <v>414</v>
      </c>
      <c r="AD280" s="101" t="s">
        <v>79</v>
      </c>
      <c r="AE280" s="101" t="s">
        <v>75</v>
      </c>
      <c r="AF280" s="101" t="s">
        <v>400</v>
      </c>
      <c r="AI280" s="101" t="s">
        <v>172</v>
      </c>
    </row>
    <row r="281" spans="1:35">
      <c r="A281" s="246" t="s">
        <v>109</v>
      </c>
      <c r="B281" s="246" t="s">
        <v>66</v>
      </c>
      <c r="C281" s="246" t="s">
        <v>264</v>
      </c>
      <c r="D281" s="246" t="s">
        <v>288</v>
      </c>
      <c r="E281" s="246"/>
      <c r="F281" s="246"/>
      <c r="G281" s="132" t="s">
        <v>605</v>
      </c>
      <c r="H281" s="132" t="s">
        <v>1138</v>
      </c>
      <c r="I281" s="132">
        <v>1468053.51</v>
      </c>
      <c r="J281" s="101" t="s">
        <v>889</v>
      </c>
      <c r="K281" s="245" t="s">
        <v>390</v>
      </c>
      <c r="L281" s="245">
        <v>42580</v>
      </c>
      <c r="M281" s="245" t="s">
        <v>421</v>
      </c>
      <c r="N281" s="101">
        <v>0</v>
      </c>
      <c r="O281" s="101" t="s">
        <v>392</v>
      </c>
      <c r="P281" s="101">
        <v>0</v>
      </c>
      <c r="Q281" s="101">
        <v>0</v>
      </c>
      <c r="R281" s="101" t="s">
        <v>410</v>
      </c>
      <c r="S281" s="101" t="s">
        <v>600</v>
      </c>
      <c r="T281" s="101" t="s">
        <v>394</v>
      </c>
      <c r="U281" s="101" t="s">
        <v>88</v>
      </c>
      <c r="V281" s="245">
        <v>46371</v>
      </c>
      <c r="W281" s="101" t="s">
        <v>445</v>
      </c>
      <c r="X281" s="101" t="s">
        <v>76</v>
      </c>
      <c r="Y281" s="101" t="s">
        <v>392</v>
      </c>
      <c r="Z281" s="101" t="s">
        <v>412</v>
      </c>
      <c r="AA281" s="101" t="s">
        <v>478</v>
      </c>
      <c r="AB281" s="101">
        <v>3101053970</v>
      </c>
      <c r="AC281" s="101" t="s">
        <v>414</v>
      </c>
      <c r="AD281" s="101" t="s">
        <v>79</v>
      </c>
      <c r="AE281" s="101" t="s">
        <v>75</v>
      </c>
      <c r="AF281" s="101" t="s">
        <v>400</v>
      </c>
      <c r="AI281" s="101" t="s">
        <v>172</v>
      </c>
    </row>
    <row r="282" spans="1:35">
      <c r="A282" s="246" t="s">
        <v>109</v>
      </c>
      <c r="B282" s="246" t="s">
        <v>66</v>
      </c>
      <c r="C282" s="246" t="s">
        <v>126</v>
      </c>
      <c r="D282" s="246" t="s">
        <v>272</v>
      </c>
      <c r="E282" s="246"/>
      <c r="F282" s="246"/>
      <c r="G282" s="132" t="s">
        <v>606</v>
      </c>
      <c r="H282" s="132" t="s">
        <v>1139</v>
      </c>
      <c r="I282" s="132">
        <v>-67495.209999999992</v>
      </c>
      <c r="J282" s="101" t="s">
        <v>889</v>
      </c>
      <c r="K282" s="245" t="s">
        <v>390</v>
      </c>
      <c r="L282" s="245">
        <v>42580</v>
      </c>
      <c r="M282" s="245" t="s">
        <v>391</v>
      </c>
      <c r="N282" s="101">
        <v>0</v>
      </c>
      <c r="O282" s="101" t="s">
        <v>392</v>
      </c>
      <c r="P282" s="101">
        <v>0</v>
      </c>
      <c r="Q282" s="101">
        <v>0</v>
      </c>
      <c r="R282" s="101" t="s">
        <v>422</v>
      </c>
      <c r="S282" s="101" t="s">
        <v>600</v>
      </c>
      <c r="T282" s="101" t="s">
        <v>394</v>
      </c>
      <c r="U282" s="101" t="s">
        <v>88</v>
      </c>
      <c r="V282" s="245">
        <v>46371</v>
      </c>
      <c r="W282" s="101" t="s">
        <v>445</v>
      </c>
      <c r="X282" s="101" t="s">
        <v>76</v>
      </c>
      <c r="Y282" s="101" t="s">
        <v>392</v>
      </c>
      <c r="Z282" s="101" t="s">
        <v>412</v>
      </c>
      <c r="AA282" s="101" t="s">
        <v>478</v>
      </c>
      <c r="AB282" s="101">
        <v>3101053970</v>
      </c>
      <c r="AC282" s="101" t="s">
        <v>414</v>
      </c>
      <c r="AD282" s="101" t="s">
        <v>79</v>
      </c>
      <c r="AE282" s="101" t="s">
        <v>75</v>
      </c>
      <c r="AF282" s="101" t="s">
        <v>400</v>
      </c>
      <c r="AI282" s="101" t="s">
        <v>172</v>
      </c>
    </row>
    <row r="283" spans="1:35">
      <c r="A283" s="246" t="s">
        <v>110</v>
      </c>
      <c r="B283" s="246" t="s">
        <v>66</v>
      </c>
      <c r="C283" s="246" t="s">
        <v>126</v>
      </c>
      <c r="D283" s="246" t="s">
        <v>281</v>
      </c>
      <c r="E283" s="246"/>
      <c r="F283" s="246"/>
      <c r="G283" s="132" t="s">
        <v>607</v>
      </c>
      <c r="H283" s="132" t="s">
        <v>1140</v>
      </c>
      <c r="I283" s="132">
        <v>-72998.37</v>
      </c>
      <c r="J283" s="101" t="s">
        <v>889</v>
      </c>
      <c r="K283" s="245" t="s">
        <v>390</v>
      </c>
      <c r="L283" s="245">
        <v>42613</v>
      </c>
      <c r="M283" s="245" t="s">
        <v>391</v>
      </c>
      <c r="N283" s="101">
        <v>0</v>
      </c>
      <c r="O283" s="101" t="s">
        <v>392</v>
      </c>
      <c r="P283" s="101">
        <v>0</v>
      </c>
      <c r="Q283" s="101">
        <v>0</v>
      </c>
      <c r="R283" s="101" t="s">
        <v>422</v>
      </c>
      <c r="S283" s="101" t="s">
        <v>600</v>
      </c>
      <c r="T283" s="101" t="s">
        <v>394</v>
      </c>
      <c r="U283" s="101" t="s">
        <v>88</v>
      </c>
      <c r="V283" s="245">
        <v>46371</v>
      </c>
      <c r="W283" s="101" t="s">
        <v>445</v>
      </c>
      <c r="X283" s="101" t="s">
        <v>76</v>
      </c>
      <c r="Y283" s="101" t="s">
        <v>392</v>
      </c>
      <c r="Z283" s="101" t="s">
        <v>412</v>
      </c>
      <c r="AA283" s="101" t="s">
        <v>478</v>
      </c>
      <c r="AB283" s="101">
        <v>3101053970</v>
      </c>
      <c r="AC283" s="101" t="s">
        <v>414</v>
      </c>
      <c r="AD283" s="101" t="s">
        <v>79</v>
      </c>
      <c r="AE283" s="101" t="s">
        <v>75</v>
      </c>
      <c r="AF283" s="101" t="s">
        <v>400</v>
      </c>
      <c r="AI283" s="101" t="s">
        <v>172</v>
      </c>
    </row>
    <row r="284" spans="1:35">
      <c r="A284" s="246" t="s">
        <v>110</v>
      </c>
      <c r="B284" s="246" t="s">
        <v>66</v>
      </c>
      <c r="C284" s="246" t="s">
        <v>264</v>
      </c>
      <c r="D284" s="246" t="s">
        <v>289</v>
      </c>
      <c r="E284" s="246"/>
      <c r="F284" s="246"/>
      <c r="G284" s="132" t="s">
        <v>608</v>
      </c>
      <c r="H284" s="132" t="s">
        <v>1141</v>
      </c>
      <c r="I284" s="132">
        <v>1578406.68</v>
      </c>
      <c r="J284" s="101" t="s">
        <v>889</v>
      </c>
      <c r="K284" s="245" t="s">
        <v>390</v>
      </c>
      <c r="L284" s="245">
        <v>42613</v>
      </c>
      <c r="M284" s="245" t="s">
        <v>421</v>
      </c>
      <c r="N284" s="101">
        <v>0</v>
      </c>
      <c r="O284" s="101" t="s">
        <v>392</v>
      </c>
      <c r="P284" s="101">
        <v>0</v>
      </c>
      <c r="Q284" s="101">
        <v>0</v>
      </c>
      <c r="R284" s="101" t="s">
        <v>410</v>
      </c>
      <c r="S284" s="101" t="s">
        <v>600</v>
      </c>
      <c r="T284" s="101" t="s">
        <v>394</v>
      </c>
      <c r="U284" s="101" t="s">
        <v>88</v>
      </c>
      <c r="V284" s="245">
        <v>46371</v>
      </c>
      <c r="W284" s="101" t="s">
        <v>445</v>
      </c>
      <c r="X284" s="101" t="s">
        <v>76</v>
      </c>
      <c r="Y284" s="101" t="s">
        <v>392</v>
      </c>
      <c r="Z284" s="101" t="s">
        <v>412</v>
      </c>
      <c r="AA284" s="101" t="s">
        <v>478</v>
      </c>
      <c r="AB284" s="101">
        <v>3101053970</v>
      </c>
      <c r="AC284" s="101" t="s">
        <v>414</v>
      </c>
      <c r="AD284" s="101" t="s">
        <v>79</v>
      </c>
      <c r="AE284" s="101" t="s">
        <v>75</v>
      </c>
      <c r="AF284" s="101" t="s">
        <v>400</v>
      </c>
      <c r="AI284" s="101" t="s">
        <v>172</v>
      </c>
    </row>
    <row r="285" spans="1:35">
      <c r="A285" s="246" t="s">
        <v>110</v>
      </c>
      <c r="B285" s="246" t="s">
        <v>66</v>
      </c>
      <c r="C285" s="246" t="s">
        <v>126</v>
      </c>
      <c r="D285" s="246" t="s">
        <v>281</v>
      </c>
      <c r="E285" s="246"/>
      <c r="F285" s="246"/>
      <c r="G285" s="132" t="s">
        <v>609</v>
      </c>
      <c r="H285" s="132" t="s">
        <v>1142</v>
      </c>
      <c r="I285" s="132">
        <v>-76764.439999999988</v>
      </c>
      <c r="J285" s="101" t="s">
        <v>889</v>
      </c>
      <c r="K285" s="245" t="s">
        <v>390</v>
      </c>
      <c r="L285" s="245">
        <v>42643</v>
      </c>
      <c r="M285" s="245" t="s">
        <v>391</v>
      </c>
      <c r="N285" s="101">
        <v>0</v>
      </c>
      <c r="O285" s="101" t="s">
        <v>392</v>
      </c>
      <c r="P285" s="101">
        <v>0</v>
      </c>
      <c r="Q285" s="101">
        <v>0</v>
      </c>
      <c r="R285" s="101" t="s">
        <v>422</v>
      </c>
      <c r="S285" s="101" t="s">
        <v>600</v>
      </c>
      <c r="T285" s="101" t="s">
        <v>394</v>
      </c>
      <c r="U285" s="101" t="s">
        <v>88</v>
      </c>
      <c r="V285" s="245">
        <v>46371</v>
      </c>
      <c r="W285" s="101" t="s">
        <v>445</v>
      </c>
      <c r="X285" s="101" t="s">
        <v>76</v>
      </c>
      <c r="Y285" s="101" t="s">
        <v>392</v>
      </c>
      <c r="Z285" s="101" t="s">
        <v>412</v>
      </c>
      <c r="AA285" s="101" t="s">
        <v>478</v>
      </c>
      <c r="AB285" s="101">
        <v>3101053970</v>
      </c>
      <c r="AC285" s="101" t="s">
        <v>414</v>
      </c>
      <c r="AD285" s="101" t="s">
        <v>79</v>
      </c>
      <c r="AE285" s="101" t="s">
        <v>75</v>
      </c>
      <c r="AF285" s="101" t="s">
        <v>400</v>
      </c>
      <c r="AI285" s="101" t="s">
        <v>172</v>
      </c>
    </row>
    <row r="286" spans="1:35">
      <c r="A286" s="246" t="s">
        <v>110</v>
      </c>
      <c r="B286" s="246" t="s">
        <v>66</v>
      </c>
      <c r="C286" s="246" t="s">
        <v>264</v>
      </c>
      <c r="D286" s="246" t="s">
        <v>289</v>
      </c>
      <c r="E286" s="246"/>
      <c r="F286" s="246"/>
      <c r="G286" s="132" t="s">
        <v>610</v>
      </c>
      <c r="H286" s="132" t="s">
        <v>1143</v>
      </c>
      <c r="I286" s="132">
        <v>1713544.35</v>
      </c>
      <c r="J286" s="101" t="s">
        <v>889</v>
      </c>
      <c r="K286" s="245" t="s">
        <v>390</v>
      </c>
      <c r="L286" s="245">
        <v>42643</v>
      </c>
      <c r="M286" s="245" t="s">
        <v>421</v>
      </c>
      <c r="N286" s="101">
        <v>0</v>
      </c>
      <c r="O286" s="101" t="s">
        <v>392</v>
      </c>
      <c r="P286" s="101">
        <v>0</v>
      </c>
      <c r="Q286" s="101">
        <v>0</v>
      </c>
      <c r="R286" s="101" t="s">
        <v>410</v>
      </c>
      <c r="S286" s="101" t="s">
        <v>600</v>
      </c>
      <c r="T286" s="101" t="s">
        <v>394</v>
      </c>
      <c r="U286" s="101" t="s">
        <v>88</v>
      </c>
      <c r="V286" s="245">
        <v>46371</v>
      </c>
      <c r="W286" s="101" t="s">
        <v>445</v>
      </c>
      <c r="X286" s="101" t="s">
        <v>76</v>
      </c>
      <c r="Y286" s="101" t="s">
        <v>392</v>
      </c>
      <c r="Z286" s="101" t="s">
        <v>412</v>
      </c>
      <c r="AA286" s="101" t="s">
        <v>478</v>
      </c>
      <c r="AB286" s="101">
        <v>3101053970</v>
      </c>
      <c r="AC286" s="101" t="s">
        <v>414</v>
      </c>
      <c r="AD286" s="101" t="s">
        <v>79</v>
      </c>
      <c r="AE286" s="101" t="s">
        <v>75</v>
      </c>
      <c r="AF286" s="101" t="s">
        <v>400</v>
      </c>
      <c r="AI286" s="101" t="s">
        <v>172</v>
      </c>
    </row>
    <row r="287" spans="1:35">
      <c r="A287" s="246" t="s">
        <v>110</v>
      </c>
      <c r="B287" s="246" t="s">
        <v>66</v>
      </c>
      <c r="C287" s="246" t="s">
        <v>126</v>
      </c>
      <c r="D287" s="246" t="s">
        <v>281</v>
      </c>
      <c r="E287" s="246"/>
      <c r="F287" s="246"/>
      <c r="G287" s="132" t="s">
        <v>649</v>
      </c>
      <c r="H287" s="132" t="s">
        <v>1144</v>
      </c>
      <c r="I287" s="132">
        <v>-86189.65</v>
      </c>
      <c r="J287" s="101" t="s">
        <v>889</v>
      </c>
      <c r="K287" s="245" t="s">
        <v>390</v>
      </c>
      <c r="L287" s="245">
        <v>42674</v>
      </c>
      <c r="M287" s="245" t="s">
        <v>391</v>
      </c>
      <c r="N287" s="101">
        <v>0</v>
      </c>
      <c r="O287" s="101" t="s">
        <v>392</v>
      </c>
      <c r="P287" s="101">
        <v>0</v>
      </c>
      <c r="Q287" s="101">
        <v>0</v>
      </c>
      <c r="R287" s="101" t="s">
        <v>422</v>
      </c>
      <c r="S287" s="101" t="s">
        <v>600</v>
      </c>
      <c r="T287" s="101" t="s">
        <v>394</v>
      </c>
      <c r="U287" s="101" t="s">
        <v>88</v>
      </c>
      <c r="V287" s="245">
        <v>46371</v>
      </c>
      <c r="W287" s="101" t="s">
        <v>445</v>
      </c>
      <c r="X287" s="101" t="s">
        <v>76</v>
      </c>
      <c r="Y287" s="101" t="s">
        <v>392</v>
      </c>
      <c r="Z287" s="101" t="s">
        <v>412</v>
      </c>
      <c r="AA287" s="101" t="s">
        <v>478</v>
      </c>
      <c r="AB287" s="101">
        <v>3101053970</v>
      </c>
      <c r="AC287" s="101" t="s">
        <v>414</v>
      </c>
      <c r="AD287" s="101" t="s">
        <v>79</v>
      </c>
      <c r="AE287" s="101" t="s">
        <v>75</v>
      </c>
      <c r="AF287" s="101" t="s">
        <v>400</v>
      </c>
      <c r="AI287" s="101" t="s">
        <v>172</v>
      </c>
    </row>
    <row r="288" spans="1:35">
      <c r="A288" s="246" t="s">
        <v>110</v>
      </c>
      <c r="B288" s="246" t="s">
        <v>66</v>
      </c>
      <c r="C288" s="246" t="s">
        <v>264</v>
      </c>
      <c r="D288" s="246" t="s">
        <v>289</v>
      </c>
      <c r="E288" s="246"/>
      <c r="F288" s="246"/>
      <c r="G288" s="132" t="s">
        <v>650</v>
      </c>
      <c r="H288" s="132" t="s">
        <v>1145</v>
      </c>
      <c r="I288" s="132">
        <v>1694771.8399999999</v>
      </c>
      <c r="J288" s="101" t="s">
        <v>889</v>
      </c>
      <c r="K288" s="245" t="s">
        <v>390</v>
      </c>
      <c r="L288" s="245">
        <v>42674</v>
      </c>
      <c r="M288" s="245" t="s">
        <v>421</v>
      </c>
      <c r="N288" s="101">
        <v>0</v>
      </c>
      <c r="O288" s="101" t="s">
        <v>392</v>
      </c>
      <c r="P288" s="101">
        <v>0</v>
      </c>
      <c r="Q288" s="101">
        <v>0</v>
      </c>
      <c r="R288" s="101" t="s">
        <v>410</v>
      </c>
      <c r="S288" s="101" t="s">
        <v>600</v>
      </c>
      <c r="T288" s="101" t="s">
        <v>394</v>
      </c>
      <c r="U288" s="101" t="s">
        <v>88</v>
      </c>
      <c r="V288" s="245">
        <v>46371</v>
      </c>
      <c r="W288" s="101" t="s">
        <v>445</v>
      </c>
      <c r="X288" s="101" t="s">
        <v>76</v>
      </c>
      <c r="Y288" s="101" t="s">
        <v>392</v>
      </c>
      <c r="Z288" s="101" t="s">
        <v>412</v>
      </c>
      <c r="AA288" s="101" t="s">
        <v>478</v>
      </c>
      <c r="AB288" s="101">
        <v>3101053970</v>
      </c>
      <c r="AC288" s="101" t="s">
        <v>414</v>
      </c>
      <c r="AD288" s="101" t="s">
        <v>79</v>
      </c>
      <c r="AE288" s="101" t="s">
        <v>75</v>
      </c>
      <c r="AF288" s="101" t="s">
        <v>400</v>
      </c>
      <c r="AI288" s="101" t="s">
        <v>172</v>
      </c>
    </row>
    <row r="289" spans="1:35">
      <c r="A289" s="246" t="s">
        <v>111</v>
      </c>
      <c r="B289" s="246" t="s">
        <v>66</v>
      </c>
      <c r="C289" s="246" t="s">
        <v>126</v>
      </c>
      <c r="D289" s="246" t="s">
        <v>273</v>
      </c>
      <c r="E289" s="246"/>
      <c r="F289" s="246"/>
      <c r="G289" s="132" t="s">
        <v>651</v>
      </c>
      <c r="H289" s="132" t="s">
        <v>1146</v>
      </c>
      <c r="I289" s="132">
        <v>-89981.440000000002</v>
      </c>
      <c r="J289" s="101" t="s">
        <v>889</v>
      </c>
      <c r="K289" s="245" t="s">
        <v>390</v>
      </c>
      <c r="L289" s="245">
        <v>42704</v>
      </c>
      <c r="M289" s="245" t="s">
        <v>391</v>
      </c>
      <c r="N289" s="101">
        <v>0</v>
      </c>
      <c r="O289" s="101" t="s">
        <v>392</v>
      </c>
      <c r="P289" s="101">
        <v>0</v>
      </c>
      <c r="Q289" s="101">
        <v>0</v>
      </c>
      <c r="R289" s="101" t="s">
        <v>422</v>
      </c>
      <c r="S289" s="101" t="s">
        <v>600</v>
      </c>
      <c r="T289" s="101" t="s">
        <v>394</v>
      </c>
      <c r="U289" s="101" t="s">
        <v>88</v>
      </c>
      <c r="V289" s="245">
        <v>46371</v>
      </c>
      <c r="W289" s="101" t="s">
        <v>445</v>
      </c>
      <c r="X289" s="101" t="s">
        <v>76</v>
      </c>
      <c r="Y289" s="101" t="s">
        <v>392</v>
      </c>
      <c r="Z289" s="101" t="s">
        <v>412</v>
      </c>
      <c r="AA289" s="101" t="s">
        <v>478</v>
      </c>
      <c r="AB289" s="101">
        <v>3101053970</v>
      </c>
      <c r="AC289" s="101" t="s">
        <v>414</v>
      </c>
      <c r="AD289" s="101" t="s">
        <v>79</v>
      </c>
      <c r="AE289" s="101" t="s">
        <v>75</v>
      </c>
      <c r="AF289" s="101" t="s">
        <v>400</v>
      </c>
      <c r="AI289" s="101" t="s">
        <v>172</v>
      </c>
    </row>
    <row r="290" spans="1:35">
      <c r="A290" s="246" t="s">
        <v>111</v>
      </c>
      <c r="B290" s="246" t="s">
        <v>66</v>
      </c>
      <c r="C290" s="246" t="s">
        <v>264</v>
      </c>
      <c r="D290" s="246" t="s">
        <v>284</v>
      </c>
      <c r="E290" s="246"/>
      <c r="F290" s="246"/>
      <c r="G290" s="132" t="s">
        <v>652</v>
      </c>
      <c r="H290" s="132" t="s">
        <v>1147</v>
      </c>
      <c r="I290" s="132">
        <v>1796160.89</v>
      </c>
      <c r="J290" s="101" t="s">
        <v>889</v>
      </c>
      <c r="K290" s="245" t="s">
        <v>390</v>
      </c>
      <c r="L290" s="245">
        <v>42704</v>
      </c>
      <c r="M290" s="245" t="s">
        <v>421</v>
      </c>
      <c r="N290" s="101">
        <v>0</v>
      </c>
      <c r="O290" s="101" t="s">
        <v>392</v>
      </c>
      <c r="P290" s="101">
        <v>0</v>
      </c>
      <c r="Q290" s="101">
        <v>0</v>
      </c>
      <c r="R290" s="101" t="s">
        <v>410</v>
      </c>
      <c r="S290" s="101" t="s">
        <v>600</v>
      </c>
      <c r="T290" s="101" t="s">
        <v>394</v>
      </c>
      <c r="U290" s="101" t="s">
        <v>88</v>
      </c>
      <c r="V290" s="245">
        <v>46371</v>
      </c>
      <c r="W290" s="101" t="s">
        <v>445</v>
      </c>
      <c r="X290" s="101" t="s">
        <v>76</v>
      </c>
      <c r="Y290" s="101" t="s">
        <v>392</v>
      </c>
      <c r="Z290" s="101" t="s">
        <v>412</v>
      </c>
      <c r="AA290" s="101" t="s">
        <v>478</v>
      </c>
      <c r="AB290" s="101">
        <v>3101053970</v>
      </c>
      <c r="AC290" s="101" t="s">
        <v>414</v>
      </c>
      <c r="AD290" s="101" t="s">
        <v>79</v>
      </c>
      <c r="AE290" s="101" t="s">
        <v>75</v>
      </c>
      <c r="AF290" s="101" t="s">
        <v>400</v>
      </c>
      <c r="AI290" s="101" t="s">
        <v>172</v>
      </c>
    </row>
    <row r="291" spans="1:35">
      <c r="A291" s="246" t="s">
        <v>111</v>
      </c>
      <c r="B291" s="246" t="s">
        <v>66</v>
      </c>
      <c r="C291" s="246" t="s">
        <v>264</v>
      </c>
      <c r="D291" s="246" t="s">
        <v>284</v>
      </c>
      <c r="E291" s="246"/>
      <c r="F291" s="246"/>
      <c r="G291" s="132">
        <v>-25000000</v>
      </c>
      <c r="H291" s="132" t="s">
        <v>1148</v>
      </c>
      <c r="I291" s="132">
        <v>-25000000</v>
      </c>
      <c r="J291" s="101" t="s">
        <v>889</v>
      </c>
      <c r="K291" s="245" t="s">
        <v>390</v>
      </c>
      <c r="L291" s="245">
        <v>42718</v>
      </c>
      <c r="M291" s="245" t="s">
        <v>421</v>
      </c>
      <c r="N291" s="101">
        <v>0</v>
      </c>
      <c r="O291" s="101" t="s">
        <v>392</v>
      </c>
      <c r="P291" s="101">
        <v>0</v>
      </c>
      <c r="Q291" s="101">
        <v>0</v>
      </c>
      <c r="R291" s="101" t="s">
        <v>422</v>
      </c>
      <c r="S291" s="101" t="s">
        <v>600</v>
      </c>
      <c r="T291" s="101" t="s">
        <v>394</v>
      </c>
      <c r="U291" s="101" t="s">
        <v>88</v>
      </c>
      <c r="V291" s="245">
        <v>46371</v>
      </c>
      <c r="W291" s="101" t="s">
        <v>445</v>
      </c>
      <c r="X291" s="101" t="s">
        <v>76</v>
      </c>
      <c r="Y291" s="101" t="s">
        <v>392</v>
      </c>
      <c r="Z291" s="101" t="s">
        <v>412</v>
      </c>
      <c r="AA291" s="101" t="s">
        <v>478</v>
      </c>
      <c r="AB291" s="101">
        <v>3101053970</v>
      </c>
      <c r="AC291" s="101" t="s">
        <v>414</v>
      </c>
      <c r="AD291" s="101" t="s">
        <v>79</v>
      </c>
      <c r="AE291" s="101" t="s">
        <v>75</v>
      </c>
      <c r="AF291" s="101" t="s">
        <v>400</v>
      </c>
      <c r="AI291" s="101" t="s">
        <v>172</v>
      </c>
    </row>
    <row r="292" spans="1:35">
      <c r="A292" s="246" t="s">
        <v>111</v>
      </c>
      <c r="B292" s="246" t="s">
        <v>66</v>
      </c>
      <c r="C292" s="246" t="s">
        <v>264</v>
      </c>
      <c r="D292" s="246" t="s">
        <v>284</v>
      </c>
      <c r="E292" s="246"/>
      <c r="F292" s="246"/>
      <c r="G292" s="132" t="s">
        <v>653</v>
      </c>
      <c r="H292" s="132" t="s">
        <v>1149</v>
      </c>
      <c r="I292" s="132">
        <v>2765156.81</v>
      </c>
      <c r="J292" s="101" t="s">
        <v>889</v>
      </c>
      <c r="K292" s="245" t="s">
        <v>390</v>
      </c>
      <c r="L292" s="245">
        <v>42734</v>
      </c>
      <c r="M292" s="245" t="s">
        <v>421</v>
      </c>
      <c r="N292" s="101">
        <v>0</v>
      </c>
      <c r="O292" s="101" t="s">
        <v>392</v>
      </c>
      <c r="P292" s="101">
        <v>0</v>
      </c>
      <c r="Q292" s="101">
        <v>0</v>
      </c>
      <c r="R292" s="101" t="s">
        <v>410</v>
      </c>
      <c r="S292" s="101" t="s">
        <v>600</v>
      </c>
      <c r="T292" s="101" t="s">
        <v>394</v>
      </c>
      <c r="U292" s="101" t="s">
        <v>88</v>
      </c>
      <c r="V292" s="245">
        <v>46371</v>
      </c>
      <c r="W292" s="101" t="s">
        <v>445</v>
      </c>
      <c r="X292" s="101" t="s">
        <v>76</v>
      </c>
      <c r="Y292" s="101" t="s">
        <v>392</v>
      </c>
      <c r="Z292" s="101" t="s">
        <v>412</v>
      </c>
      <c r="AA292" s="101" t="s">
        <v>478</v>
      </c>
      <c r="AB292" s="101">
        <v>3101053970</v>
      </c>
      <c r="AC292" s="101" t="s">
        <v>414</v>
      </c>
      <c r="AD292" s="101" t="s">
        <v>79</v>
      </c>
      <c r="AE292" s="101" t="s">
        <v>75</v>
      </c>
      <c r="AF292" s="101" t="s">
        <v>400</v>
      </c>
      <c r="AI292" s="101" t="s">
        <v>172</v>
      </c>
    </row>
    <row r="293" spans="1:35">
      <c r="A293" s="246" t="s">
        <v>111</v>
      </c>
      <c r="B293" s="246" t="s">
        <v>66</v>
      </c>
      <c r="C293" s="246" t="s">
        <v>126</v>
      </c>
      <c r="D293" s="246" t="s">
        <v>273</v>
      </c>
      <c r="E293" s="246"/>
      <c r="F293" s="246"/>
      <c r="G293" s="132" t="s">
        <v>654</v>
      </c>
      <c r="H293" s="132" t="s">
        <v>1150</v>
      </c>
      <c r="I293" s="132">
        <v>-45599.229999999996</v>
      </c>
      <c r="J293" s="101" t="s">
        <v>889</v>
      </c>
      <c r="K293" s="245" t="s">
        <v>390</v>
      </c>
      <c r="L293" s="245">
        <v>42734</v>
      </c>
      <c r="M293" s="245" t="s">
        <v>391</v>
      </c>
      <c r="N293" s="101">
        <v>0</v>
      </c>
      <c r="O293" s="101" t="s">
        <v>392</v>
      </c>
      <c r="P293" s="101">
        <v>0</v>
      </c>
      <c r="Q293" s="101">
        <v>0</v>
      </c>
      <c r="R293" s="101" t="s">
        <v>422</v>
      </c>
      <c r="S293" s="101" t="s">
        <v>600</v>
      </c>
      <c r="T293" s="101" t="s">
        <v>394</v>
      </c>
      <c r="U293" s="101" t="s">
        <v>88</v>
      </c>
      <c r="V293" s="245">
        <v>46371</v>
      </c>
      <c r="W293" s="101" t="s">
        <v>445</v>
      </c>
      <c r="X293" s="101" t="s">
        <v>76</v>
      </c>
      <c r="Y293" s="101" t="s">
        <v>392</v>
      </c>
      <c r="Z293" s="101" t="s">
        <v>412</v>
      </c>
      <c r="AA293" s="101" t="s">
        <v>478</v>
      </c>
      <c r="AB293" s="101">
        <v>3101053970</v>
      </c>
      <c r="AC293" s="101" t="s">
        <v>414</v>
      </c>
      <c r="AD293" s="101" t="s">
        <v>79</v>
      </c>
      <c r="AE293" s="101" t="s">
        <v>75</v>
      </c>
      <c r="AF293" s="101" t="s">
        <v>400</v>
      </c>
      <c r="AI293" s="101" t="s">
        <v>172</v>
      </c>
    </row>
    <row r="294" spans="1:35">
      <c r="A294" s="246" t="s">
        <v>111</v>
      </c>
      <c r="B294" s="246" t="s">
        <v>66</v>
      </c>
      <c r="C294" s="246" t="s">
        <v>126</v>
      </c>
      <c r="D294" s="246" t="s">
        <v>273</v>
      </c>
      <c r="E294" s="246"/>
      <c r="F294" s="246"/>
      <c r="G294" s="132" t="s">
        <v>655</v>
      </c>
      <c r="H294" s="132" t="s">
        <v>1151</v>
      </c>
      <c r="I294" s="132">
        <v>-11109.73</v>
      </c>
      <c r="J294" s="101" t="s">
        <v>889</v>
      </c>
      <c r="K294" s="245" t="s">
        <v>390</v>
      </c>
      <c r="L294" s="245">
        <v>42766</v>
      </c>
      <c r="M294" s="245" t="s">
        <v>391</v>
      </c>
      <c r="N294" s="101">
        <v>0</v>
      </c>
      <c r="O294" s="101" t="s">
        <v>392</v>
      </c>
      <c r="P294" s="101">
        <v>0</v>
      </c>
      <c r="Q294" s="101">
        <v>0</v>
      </c>
      <c r="R294" s="101" t="s">
        <v>422</v>
      </c>
      <c r="S294" s="101" t="s">
        <v>600</v>
      </c>
      <c r="T294" s="101" t="s">
        <v>394</v>
      </c>
      <c r="U294" s="101" t="s">
        <v>88</v>
      </c>
      <c r="V294" s="245">
        <v>46371</v>
      </c>
      <c r="W294" s="101" t="s">
        <v>445</v>
      </c>
      <c r="X294" s="101" t="s">
        <v>76</v>
      </c>
      <c r="Y294" s="101" t="s">
        <v>392</v>
      </c>
      <c r="Z294" s="101" t="s">
        <v>412</v>
      </c>
      <c r="AA294" s="101" t="s">
        <v>478</v>
      </c>
      <c r="AB294" s="101">
        <v>3101053970</v>
      </c>
      <c r="AC294" s="101" t="s">
        <v>414</v>
      </c>
      <c r="AD294" s="101" t="s">
        <v>79</v>
      </c>
      <c r="AE294" s="101" t="s">
        <v>75</v>
      </c>
      <c r="AF294" s="101" t="s">
        <v>400</v>
      </c>
      <c r="AI294" s="101" t="s">
        <v>172</v>
      </c>
    </row>
    <row r="295" spans="1:35">
      <c r="A295" s="246" t="s">
        <v>111</v>
      </c>
      <c r="B295" s="246" t="s">
        <v>66</v>
      </c>
      <c r="C295" s="246" t="s">
        <v>264</v>
      </c>
      <c r="D295" s="246" t="s">
        <v>284</v>
      </c>
      <c r="E295" s="246"/>
      <c r="F295" s="246"/>
      <c r="G295" s="132" t="s">
        <v>656</v>
      </c>
      <c r="H295" s="132" t="s">
        <v>1152</v>
      </c>
      <c r="I295" s="132">
        <v>3370203.3699999996</v>
      </c>
      <c r="J295" s="101" t="s">
        <v>889</v>
      </c>
      <c r="K295" s="245" t="s">
        <v>390</v>
      </c>
      <c r="L295" s="245">
        <v>42766</v>
      </c>
      <c r="M295" s="245" t="s">
        <v>421</v>
      </c>
      <c r="N295" s="101">
        <v>0</v>
      </c>
      <c r="O295" s="101" t="s">
        <v>392</v>
      </c>
      <c r="P295" s="101">
        <v>0</v>
      </c>
      <c r="Q295" s="101">
        <v>0</v>
      </c>
      <c r="R295" s="101" t="s">
        <v>410</v>
      </c>
      <c r="S295" s="101" t="s">
        <v>600</v>
      </c>
      <c r="T295" s="101" t="s">
        <v>394</v>
      </c>
      <c r="U295" s="101" t="s">
        <v>88</v>
      </c>
      <c r="V295" s="245">
        <v>46371</v>
      </c>
      <c r="W295" s="101" t="s">
        <v>445</v>
      </c>
      <c r="X295" s="101" t="s">
        <v>76</v>
      </c>
      <c r="Y295" s="101" t="s">
        <v>392</v>
      </c>
      <c r="Z295" s="101" t="s">
        <v>412</v>
      </c>
      <c r="AA295" s="101" t="s">
        <v>478</v>
      </c>
      <c r="AB295" s="101">
        <v>3101053970</v>
      </c>
      <c r="AC295" s="101" t="s">
        <v>414</v>
      </c>
      <c r="AD295" s="101" t="s">
        <v>79</v>
      </c>
      <c r="AE295" s="101" t="s">
        <v>75</v>
      </c>
      <c r="AF295" s="101" t="s">
        <v>400</v>
      </c>
      <c r="AI295" s="101" t="s">
        <v>172</v>
      </c>
    </row>
    <row r="296" spans="1:35">
      <c r="A296" s="246" t="s">
        <v>111</v>
      </c>
      <c r="B296" s="246" t="s">
        <v>66</v>
      </c>
      <c r="C296" s="246" t="s">
        <v>126</v>
      </c>
      <c r="D296" s="246" t="s">
        <v>273</v>
      </c>
      <c r="E296" s="246"/>
      <c r="F296" s="246"/>
      <c r="G296" s="132" t="s">
        <v>657</v>
      </c>
      <c r="H296" s="132" t="s">
        <v>1153</v>
      </c>
      <c r="I296" s="132">
        <v>-22266.82</v>
      </c>
      <c r="J296" s="101" t="s">
        <v>889</v>
      </c>
      <c r="K296" s="245" t="s">
        <v>390</v>
      </c>
      <c r="L296" s="245">
        <v>42794</v>
      </c>
      <c r="M296" s="245" t="s">
        <v>391</v>
      </c>
      <c r="N296" s="101">
        <v>0</v>
      </c>
      <c r="O296" s="101" t="s">
        <v>392</v>
      </c>
      <c r="P296" s="101">
        <v>0</v>
      </c>
      <c r="Q296" s="101">
        <v>0</v>
      </c>
      <c r="R296" s="101" t="s">
        <v>422</v>
      </c>
      <c r="S296" s="101" t="s">
        <v>600</v>
      </c>
      <c r="T296" s="101" t="s">
        <v>394</v>
      </c>
      <c r="U296" s="101" t="s">
        <v>88</v>
      </c>
      <c r="V296" s="245">
        <v>46371</v>
      </c>
      <c r="W296" s="101" t="s">
        <v>445</v>
      </c>
      <c r="X296" s="101" t="s">
        <v>76</v>
      </c>
      <c r="Y296" s="101" t="s">
        <v>392</v>
      </c>
      <c r="Z296" s="101" t="s">
        <v>412</v>
      </c>
      <c r="AA296" s="101" t="s">
        <v>478</v>
      </c>
      <c r="AB296" s="101">
        <v>3101053970</v>
      </c>
      <c r="AC296" s="101" t="s">
        <v>414</v>
      </c>
      <c r="AD296" s="101" t="s">
        <v>79</v>
      </c>
      <c r="AE296" s="101" t="s">
        <v>75</v>
      </c>
      <c r="AF296" s="101" t="s">
        <v>400</v>
      </c>
      <c r="AI296" s="101" t="s">
        <v>172</v>
      </c>
    </row>
    <row r="297" spans="1:35">
      <c r="A297" s="246" t="s">
        <v>111</v>
      </c>
      <c r="B297" s="246" t="s">
        <v>66</v>
      </c>
      <c r="C297" s="246" t="s">
        <v>264</v>
      </c>
      <c r="D297" s="246" t="s">
        <v>284</v>
      </c>
      <c r="E297" s="246"/>
      <c r="F297" s="246"/>
      <c r="G297" s="132" t="s">
        <v>658</v>
      </c>
      <c r="H297" s="132" t="s">
        <v>1154</v>
      </c>
      <c r="I297" s="132">
        <v>3577744.0599999996</v>
      </c>
      <c r="J297" s="101" t="s">
        <v>889</v>
      </c>
      <c r="K297" s="245" t="s">
        <v>390</v>
      </c>
      <c r="L297" s="245">
        <v>42794</v>
      </c>
      <c r="M297" s="245" t="s">
        <v>421</v>
      </c>
      <c r="N297" s="101">
        <v>0</v>
      </c>
      <c r="O297" s="101" t="s">
        <v>392</v>
      </c>
      <c r="P297" s="101">
        <v>0</v>
      </c>
      <c r="Q297" s="101">
        <v>0</v>
      </c>
      <c r="R297" s="101" t="s">
        <v>410</v>
      </c>
      <c r="S297" s="101" t="s">
        <v>600</v>
      </c>
      <c r="T297" s="101" t="s">
        <v>394</v>
      </c>
      <c r="U297" s="101" t="s">
        <v>88</v>
      </c>
      <c r="V297" s="245">
        <v>46371</v>
      </c>
      <c r="W297" s="101" t="s">
        <v>445</v>
      </c>
      <c r="X297" s="101" t="s">
        <v>76</v>
      </c>
      <c r="Y297" s="101" t="s">
        <v>392</v>
      </c>
      <c r="Z297" s="101" t="s">
        <v>412</v>
      </c>
      <c r="AA297" s="101" t="s">
        <v>478</v>
      </c>
      <c r="AB297" s="101">
        <v>3101053970</v>
      </c>
      <c r="AC297" s="101" t="s">
        <v>414</v>
      </c>
      <c r="AD297" s="101" t="s">
        <v>79</v>
      </c>
      <c r="AE297" s="101" t="s">
        <v>75</v>
      </c>
      <c r="AF297" s="101" t="s">
        <v>400</v>
      </c>
      <c r="AI297" s="101" t="s">
        <v>172</v>
      </c>
    </row>
    <row r="298" spans="1:35">
      <c r="A298" s="246" t="s">
        <v>111</v>
      </c>
      <c r="B298" s="246" t="s">
        <v>66</v>
      </c>
      <c r="C298" s="246" t="s">
        <v>126</v>
      </c>
      <c r="D298" s="246" t="s">
        <v>273</v>
      </c>
      <c r="E298" s="246"/>
      <c r="F298" s="246"/>
      <c r="G298" s="132" t="s">
        <v>659</v>
      </c>
      <c r="H298" s="132" t="s">
        <v>1155</v>
      </c>
      <c r="I298" s="132">
        <v>-39028.32</v>
      </c>
      <c r="J298" s="101" t="s">
        <v>889</v>
      </c>
      <c r="K298" s="245" t="s">
        <v>390</v>
      </c>
      <c r="L298" s="245">
        <v>42825</v>
      </c>
      <c r="M298" s="245" t="s">
        <v>391</v>
      </c>
      <c r="N298" s="101">
        <v>0</v>
      </c>
      <c r="O298" s="101" t="s">
        <v>392</v>
      </c>
      <c r="P298" s="101">
        <v>0</v>
      </c>
      <c r="Q298" s="101">
        <v>0</v>
      </c>
      <c r="R298" s="101" t="s">
        <v>422</v>
      </c>
      <c r="S298" s="101" t="s">
        <v>600</v>
      </c>
      <c r="T298" s="101" t="s">
        <v>394</v>
      </c>
      <c r="U298" s="101" t="s">
        <v>88</v>
      </c>
      <c r="V298" s="245">
        <v>46371</v>
      </c>
      <c r="W298" s="101" t="s">
        <v>445</v>
      </c>
      <c r="X298" s="101" t="s">
        <v>76</v>
      </c>
      <c r="Y298" s="101" t="s">
        <v>392</v>
      </c>
      <c r="Z298" s="101" t="s">
        <v>412</v>
      </c>
      <c r="AA298" s="101" t="s">
        <v>478</v>
      </c>
      <c r="AB298" s="101">
        <v>3101053970</v>
      </c>
      <c r="AC298" s="101" t="s">
        <v>414</v>
      </c>
      <c r="AD298" s="101" t="s">
        <v>79</v>
      </c>
      <c r="AE298" s="101" t="s">
        <v>75</v>
      </c>
      <c r="AF298" s="101" t="s">
        <v>400</v>
      </c>
      <c r="AI298" s="101" t="s">
        <v>172</v>
      </c>
    </row>
    <row r="299" spans="1:35">
      <c r="A299" s="246" t="s">
        <v>111</v>
      </c>
      <c r="B299" s="246" t="s">
        <v>66</v>
      </c>
      <c r="C299" s="246" t="s">
        <v>264</v>
      </c>
      <c r="D299" s="246" t="s">
        <v>284</v>
      </c>
      <c r="E299" s="246"/>
      <c r="F299" s="246"/>
      <c r="G299" s="132" t="s">
        <v>660</v>
      </c>
      <c r="H299" s="132" t="s">
        <v>1156</v>
      </c>
      <c r="I299" s="132">
        <v>3048014.81</v>
      </c>
      <c r="J299" s="101" t="s">
        <v>889</v>
      </c>
      <c r="K299" s="245" t="s">
        <v>390</v>
      </c>
      <c r="L299" s="245">
        <v>42825</v>
      </c>
      <c r="M299" s="245" t="s">
        <v>421</v>
      </c>
      <c r="N299" s="101">
        <v>0</v>
      </c>
      <c r="O299" s="101" t="s">
        <v>392</v>
      </c>
      <c r="P299" s="101">
        <v>0</v>
      </c>
      <c r="Q299" s="101">
        <v>0</v>
      </c>
      <c r="R299" s="101" t="s">
        <v>410</v>
      </c>
      <c r="S299" s="101" t="s">
        <v>600</v>
      </c>
      <c r="T299" s="101" t="s">
        <v>394</v>
      </c>
      <c r="U299" s="101" t="s">
        <v>88</v>
      </c>
      <c r="V299" s="245">
        <v>46371</v>
      </c>
      <c r="W299" s="101" t="s">
        <v>445</v>
      </c>
      <c r="X299" s="101" t="s">
        <v>76</v>
      </c>
      <c r="Y299" s="101" t="s">
        <v>392</v>
      </c>
      <c r="Z299" s="101" t="s">
        <v>412</v>
      </c>
      <c r="AA299" s="101" t="s">
        <v>478</v>
      </c>
      <c r="AB299" s="101">
        <v>3101053970</v>
      </c>
      <c r="AC299" s="101" t="s">
        <v>414</v>
      </c>
      <c r="AD299" s="101" t="s">
        <v>79</v>
      </c>
      <c r="AE299" s="101" t="s">
        <v>75</v>
      </c>
      <c r="AF299" s="101" t="s">
        <v>400</v>
      </c>
      <c r="AI299" s="101" t="s">
        <v>172</v>
      </c>
    </row>
    <row r="300" spans="1:35">
      <c r="A300" s="246" t="s">
        <v>111</v>
      </c>
      <c r="B300" s="246" t="s">
        <v>66</v>
      </c>
      <c r="C300" s="246" t="s">
        <v>264</v>
      </c>
      <c r="D300" s="246" t="s">
        <v>284</v>
      </c>
      <c r="E300" s="246"/>
      <c r="F300" s="246"/>
      <c r="G300" s="132" t="s">
        <v>661</v>
      </c>
      <c r="H300" s="132" t="s">
        <v>1157</v>
      </c>
      <c r="I300" s="132">
        <v>3174993.9299999997</v>
      </c>
      <c r="J300" s="101" t="s">
        <v>889</v>
      </c>
      <c r="K300" s="245" t="s">
        <v>390</v>
      </c>
      <c r="L300" s="245">
        <v>42853</v>
      </c>
      <c r="M300" s="245" t="s">
        <v>421</v>
      </c>
      <c r="N300" s="101">
        <v>0</v>
      </c>
      <c r="O300" s="101" t="s">
        <v>392</v>
      </c>
      <c r="P300" s="101">
        <v>0</v>
      </c>
      <c r="Q300" s="101">
        <v>0</v>
      </c>
      <c r="R300" s="101" t="s">
        <v>410</v>
      </c>
      <c r="S300" s="101" t="s">
        <v>600</v>
      </c>
      <c r="T300" s="101" t="s">
        <v>394</v>
      </c>
      <c r="U300" s="101" t="s">
        <v>88</v>
      </c>
      <c r="V300" s="245">
        <v>46371</v>
      </c>
      <c r="W300" s="101" t="s">
        <v>445</v>
      </c>
      <c r="X300" s="101" t="s">
        <v>76</v>
      </c>
      <c r="Y300" s="101" t="s">
        <v>392</v>
      </c>
      <c r="Z300" s="101" t="s">
        <v>412</v>
      </c>
      <c r="AA300" s="101" t="s">
        <v>478</v>
      </c>
      <c r="AB300" s="101">
        <v>3101053970</v>
      </c>
      <c r="AC300" s="101" t="s">
        <v>414</v>
      </c>
      <c r="AD300" s="101" t="s">
        <v>79</v>
      </c>
      <c r="AE300" s="101" t="s">
        <v>75</v>
      </c>
      <c r="AF300" s="101" t="s">
        <v>400</v>
      </c>
      <c r="AI300" s="101" t="s">
        <v>172</v>
      </c>
    </row>
    <row r="301" spans="1:35">
      <c r="A301" s="246" t="s">
        <v>107</v>
      </c>
      <c r="B301" s="246" t="s">
        <v>66</v>
      </c>
      <c r="C301" s="246" t="s">
        <v>126</v>
      </c>
      <c r="D301" s="246" t="s">
        <v>1769</v>
      </c>
      <c r="E301" s="246"/>
      <c r="F301" s="246"/>
      <c r="G301" s="132">
        <v>0</v>
      </c>
      <c r="H301" s="132">
        <v>0</v>
      </c>
      <c r="I301" s="132">
        <v>0</v>
      </c>
      <c r="J301" s="101" t="s">
        <v>889</v>
      </c>
      <c r="K301" s="245" t="s">
        <v>390</v>
      </c>
      <c r="L301" s="245">
        <v>42522</v>
      </c>
      <c r="M301" s="245" t="s">
        <v>391</v>
      </c>
      <c r="N301" s="101">
        <v>0</v>
      </c>
      <c r="O301" s="101" t="s">
        <v>392</v>
      </c>
      <c r="P301" s="101">
        <v>0</v>
      </c>
      <c r="Q301" s="101">
        <v>0</v>
      </c>
      <c r="R301" s="101" t="s">
        <v>428</v>
      </c>
      <c r="S301" s="101">
        <v>148670</v>
      </c>
      <c r="T301" s="101" t="s">
        <v>394</v>
      </c>
      <c r="V301" s="245">
        <v>43433</v>
      </c>
      <c r="W301" s="101" t="s">
        <v>424</v>
      </c>
      <c r="X301" s="101" t="s">
        <v>429</v>
      </c>
      <c r="Y301" s="101" t="s">
        <v>392</v>
      </c>
      <c r="Z301" s="101" t="s">
        <v>430</v>
      </c>
      <c r="AA301" s="101" t="s">
        <v>397</v>
      </c>
      <c r="AB301" s="101">
        <v>5101000018</v>
      </c>
      <c r="AC301" s="101" t="s">
        <v>431</v>
      </c>
      <c r="AD301" s="101" t="s">
        <v>431</v>
      </c>
      <c r="AE301" s="101" t="s">
        <v>75</v>
      </c>
      <c r="AF301" s="101" t="s">
        <v>400</v>
      </c>
      <c r="AG301" s="101" t="s">
        <v>625</v>
      </c>
      <c r="AI301" s="101" t="s">
        <v>760</v>
      </c>
    </row>
    <row r="302" spans="1:35">
      <c r="A302" s="246" t="s">
        <v>109</v>
      </c>
      <c r="B302" s="246" t="s">
        <v>66</v>
      </c>
      <c r="C302" s="246" t="s">
        <v>126</v>
      </c>
      <c r="D302" s="246" t="s">
        <v>272</v>
      </c>
      <c r="E302" s="246"/>
      <c r="F302" s="246"/>
      <c r="G302" s="132">
        <v>0</v>
      </c>
      <c r="H302" s="132">
        <v>0</v>
      </c>
      <c r="I302" s="132">
        <v>0</v>
      </c>
      <c r="J302" s="101" t="s">
        <v>889</v>
      </c>
      <c r="K302" s="245" t="s">
        <v>390</v>
      </c>
      <c r="L302" s="245">
        <v>42552</v>
      </c>
      <c r="M302" s="245" t="s">
        <v>391</v>
      </c>
      <c r="N302" s="101">
        <v>0</v>
      </c>
      <c r="O302" s="101" t="s">
        <v>392</v>
      </c>
      <c r="P302" s="101">
        <v>0</v>
      </c>
      <c r="Q302" s="101">
        <v>0</v>
      </c>
      <c r="R302" s="101" t="s">
        <v>428</v>
      </c>
      <c r="S302" s="101">
        <v>148670</v>
      </c>
      <c r="T302" s="101" t="s">
        <v>394</v>
      </c>
      <c r="V302" s="245">
        <v>43433</v>
      </c>
      <c r="W302" s="101" t="s">
        <v>424</v>
      </c>
      <c r="X302" s="101" t="s">
        <v>429</v>
      </c>
      <c r="Y302" s="101" t="s">
        <v>392</v>
      </c>
      <c r="Z302" s="101" t="s">
        <v>430</v>
      </c>
      <c r="AA302" s="101" t="s">
        <v>397</v>
      </c>
      <c r="AB302" s="101">
        <v>5101000018</v>
      </c>
      <c r="AC302" s="101" t="s">
        <v>431</v>
      </c>
      <c r="AD302" s="101" t="s">
        <v>431</v>
      </c>
      <c r="AE302" s="101" t="s">
        <v>75</v>
      </c>
      <c r="AF302" s="101" t="s">
        <v>400</v>
      </c>
      <c r="AG302" s="101" t="s">
        <v>625</v>
      </c>
      <c r="AI302" s="101" t="s">
        <v>760</v>
      </c>
    </row>
    <row r="303" spans="1:35">
      <c r="A303" s="246" t="s">
        <v>109</v>
      </c>
      <c r="B303" s="246" t="s">
        <v>66</v>
      </c>
      <c r="C303" s="246" t="s">
        <v>126</v>
      </c>
      <c r="D303" s="246" t="s">
        <v>272</v>
      </c>
      <c r="E303" s="246"/>
      <c r="F303" s="246"/>
      <c r="G303" s="132">
        <v>0</v>
      </c>
      <c r="H303" s="132">
        <v>0</v>
      </c>
      <c r="I303" s="132">
        <v>0</v>
      </c>
      <c r="J303" s="101" t="s">
        <v>889</v>
      </c>
      <c r="K303" s="245" t="s">
        <v>390</v>
      </c>
      <c r="L303" s="245">
        <v>42583</v>
      </c>
      <c r="M303" s="245" t="s">
        <v>391</v>
      </c>
      <c r="N303" s="101">
        <v>0</v>
      </c>
      <c r="O303" s="101" t="s">
        <v>392</v>
      </c>
      <c r="P303" s="101">
        <v>0</v>
      </c>
      <c r="Q303" s="101">
        <v>0</v>
      </c>
      <c r="R303" s="101" t="s">
        <v>428</v>
      </c>
      <c r="S303" s="101">
        <v>148670</v>
      </c>
      <c r="T303" s="101" t="s">
        <v>394</v>
      </c>
      <c r="V303" s="245">
        <v>43433</v>
      </c>
      <c r="W303" s="101" t="s">
        <v>424</v>
      </c>
      <c r="X303" s="101" t="s">
        <v>429</v>
      </c>
      <c r="Y303" s="101" t="s">
        <v>392</v>
      </c>
      <c r="Z303" s="101" t="s">
        <v>430</v>
      </c>
      <c r="AA303" s="101" t="s">
        <v>397</v>
      </c>
      <c r="AB303" s="101">
        <v>5101000018</v>
      </c>
      <c r="AC303" s="101" t="s">
        <v>431</v>
      </c>
      <c r="AD303" s="101" t="s">
        <v>431</v>
      </c>
      <c r="AE303" s="101" t="s">
        <v>75</v>
      </c>
      <c r="AF303" s="101" t="s">
        <v>400</v>
      </c>
      <c r="AG303" s="101" t="s">
        <v>625</v>
      </c>
      <c r="AI303" s="101" t="s">
        <v>760</v>
      </c>
    </row>
    <row r="304" spans="1:35">
      <c r="A304" s="246" t="s">
        <v>110</v>
      </c>
      <c r="B304" s="246" t="s">
        <v>66</v>
      </c>
      <c r="C304" s="246" t="s">
        <v>126</v>
      </c>
      <c r="D304" s="246" t="s">
        <v>281</v>
      </c>
      <c r="E304" s="246"/>
      <c r="F304" s="246"/>
      <c r="G304" s="132">
        <v>0</v>
      </c>
      <c r="H304" s="132">
        <v>0</v>
      </c>
      <c r="I304" s="132">
        <v>0</v>
      </c>
      <c r="J304" s="101" t="s">
        <v>889</v>
      </c>
      <c r="K304" s="245" t="s">
        <v>390</v>
      </c>
      <c r="L304" s="245">
        <v>42614</v>
      </c>
      <c r="M304" s="245" t="s">
        <v>391</v>
      </c>
      <c r="N304" s="101">
        <v>0</v>
      </c>
      <c r="O304" s="101" t="s">
        <v>392</v>
      </c>
      <c r="P304" s="101">
        <v>0</v>
      </c>
      <c r="Q304" s="101">
        <v>0</v>
      </c>
      <c r="R304" s="101" t="s">
        <v>428</v>
      </c>
      <c r="S304" s="101">
        <v>148670</v>
      </c>
      <c r="T304" s="101" t="s">
        <v>394</v>
      </c>
      <c r="V304" s="245">
        <v>43433</v>
      </c>
      <c r="W304" s="101" t="s">
        <v>424</v>
      </c>
      <c r="X304" s="101" t="s">
        <v>429</v>
      </c>
      <c r="Y304" s="101" t="s">
        <v>392</v>
      </c>
      <c r="Z304" s="101" t="s">
        <v>430</v>
      </c>
      <c r="AA304" s="101" t="s">
        <v>397</v>
      </c>
      <c r="AB304" s="101">
        <v>5101000018</v>
      </c>
      <c r="AC304" s="101" t="s">
        <v>431</v>
      </c>
      <c r="AD304" s="101" t="s">
        <v>431</v>
      </c>
      <c r="AE304" s="101" t="s">
        <v>75</v>
      </c>
      <c r="AF304" s="101" t="s">
        <v>400</v>
      </c>
      <c r="AG304" s="101" t="s">
        <v>625</v>
      </c>
      <c r="AI304" s="101" t="s">
        <v>760</v>
      </c>
    </row>
    <row r="305" spans="1:35">
      <c r="A305" s="246" t="s">
        <v>110</v>
      </c>
      <c r="B305" s="246" t="s">
        <v>66</v>
      </c>
      <c r="C305" s="246" t="s">
        <v>126</v>
      </c>
      <c r="D305" s="246" t="s">
        <v>281</v>
      </c>
      <c r="E305" s="246"/>
      <c r="F305" s="246"/>
      <c r="G305" s="132">
        <v>0</v>
      </c>
      <c r="H305" s="132">
        <v>0</v>
      </c>
      <c r="I305" s="132">
        <v>0</v>
      </c>
      <c r="J305" s="101" t="s">
        <v>889</v>
      </c>
      <c r="K305" s="245" t="s">
        <v>390</v>
      </c>
      <c r="L305" s="245">
        <v>42646</v>
      </c>
      <c r="M305" s="245" t="s">
        <v>391</v>
      </c>
      <c r="N305" s="101">
        <v>0</v>
      </c>
      <c r="O305" s="101" t="s">
        <v>392</v>
      </c>
      <c r="P305" s="101">
        <v>0</v>
      </c>
      <c r="Q305" s="101">
        <v>0</v>
      </c>
      <c r="R305" s="101" t="s">
        <v>428</v>
      </c>
      <c r="S305" s="101">
        <v>148670</v>
      </c>
      <c r="T305" s="101" t="s">
        <v>394</v>
      </c>
      <c r="V305" s="245">
        <v>43433</v>
      </c>
      <c r="W305" s="101" t="s">
        <v>424</v>
      </c>
      <c r="X305" s="101" t="s">
        <v>429</v>
      </c>
      <c r="Y305" s="101" t="s">
        <v>392</v>
      </c>
      <c r="Z305" s="101" t="s">
        <v>430</v>
      </c>
      <c r="AA305" s="101" t="s">
        <v>397</v>
      </c>
      <c r="AB305" s="101">
        <v>5101000018</v>
      </c>
      <c r="AC305" s="101" t="s">
        <v>431</v>
      </c>
      <c r="AD305" s="101" t="s">
        <v>431</v>
      </c>
      <c r="AE305" s="101" t="s">
        <v>75</v>
      </c>
      <c r="AF305" s="101" t="s">
        <v>400</v>
      </c>
      <c r="AG305" s="101" t="s">
        <v>625</v>
      </c>
      <c r="AI305" s="101" t="s">
        <v>760</v>
      </c>
    </row>
    <row r="306" spans="1:35">
      <c r="A306" s="246" t="s">
        <v>110</v>
      </c>
      <c r="B306" s="246" t="s">
        <v>66</v>
      </c>
      <c r="C306" s="246" t="s">
        <v>126</v>
      </c>
      <c r="D306" s="246" t="s">
        <v>281</v>
      </c>
      <c r="E306" s="246"/>
      <c r="F306" s="246"/>
      <c r="G306" s="132">
        <v>0</v>
      </c>
      <c r="H306" s="132">
        <v>0</v>
      </c>
      <c r="I306" s="132">
        <v>0</v>
      </c>
      <c r="J306" s="101" t="s">
        <v>889</v>
      </c>
      <c r="K306" s="245" t="s">
        <v>390</v>
      </c>
      <c r="L306" s="245">
        <v>42675</v>
      </c>
      <c r="M306" s="245" t="s">
        <v>391</v>
      </c>
      <c r="N306" s="101">
        <v>0</v>
      </c>
      <c r="O306" s="101" t="s">
        <v>392</v>
      </c>
      <c r="P306" s="101">
        <v>0</v>
      </c>
      <c r="Q306" s="101">
        <v>0</v>
      </c>
      <c r="R306" s="101" t="s">
        <v>428</v>
      </c>
      <c r="S306" s="101">
        <v>148670</v>
      </c>
      <c r="T306" s="101" t="s">
        <v>394</v>
      </c>
      <c r="V306" s="245">
        <v>43433</v>
      </c>
      <c r="W306" s="101" t="s">
        <v>424</v>
      </c>
      <c r="X306" s="101" t="s">
        <v>429</v>
      </c>
      <c r="Y306" s="101" t="s">
        <v>392</v>
      </c>
      <c r="Z306" s="101" t="s">
        <v>430</v>
      </c>
      <c r="AA306" s="101" t="s">
        <v>397</v>
      </c>
      <c r="AB306" s="101">
        <v>5101000018</v>
      </c>
      <c r="AC306" s="101" t="s">
        <v>431</v>
      </c>
      <c r="AD306" s="101" t="s">
        <v>431</v>
      </c>
      <c r="AE306" s="101" t="s">
        <v>75</v>
      </c>
      <c r="AF306" s="101" t="s">
        <v>400</v>
      </c>
      <c r="AG306" s="101" t="s">
        <v>625</v>
      </c>
      <c r="AI306" s="101" t="s">
        <v>760</v>
      </c>
    </row>
    <row r="307" spans="1:35">
      <c r="A307" s="246" t="s">
        <v>111</v>
      </c>
      <c r="B307" s="246" t="s">
        <v>66</v>
      </c>
      <c r="C307" s="246" t="s">
        <v>126</v>
      </c>
      <c r="D307" s="246" t="s">
        <v>273</v>
      </c>
      <c r="E307" s="246"/>
      <c r="F307" s="246"/>
      <c r="G307" s="132">
        <v>0</v>
      </c>
      <c r="H307" s="132">
        <v>0</v>
      </c>
      <c r="I307" s="132">
        <v>0</v>
      </c>
      <c r="J307" s="101" t="s">
        <v>889</v>
      </c>
      <c r="K307" s="245" t="s">
        <v>390</v>
      </c>
      <c r="L307" s="245">
        <v>42705</v>
      </c>
      <c r="M307" s="245" t="s">
        <v>391</v>
      </c>
      <c r="N307" s="101">
        <v>0</v>
      </c>
      <c r="O307" s="101" t="s">
        <v>392</v>
      </c>
      <c r="P307" s="101">
        <v>0</v>
      </c>
      <c r="Q307" s="101">
        <v>0</v>
      </c>
      <c r="R307" s="101" t="s">
        <v>428</v>
      </c>
      <c r="S307" s="101">
        <v>148670</v>
      </c>
      <c r="T307" s="101" t="s">
        <v>394</v>
      </c>
      <c r="V307" s="245">
        <v>43433</v>
      </c>
      <c r="W307" s="101" t="s">
        <v>424</v>
      </c>
      <c r="X307" s="101" t="s">
        <v>429</v>
      </c>
      <c r="Y307" s="101" t="s">
        <v>392</v>
      </c>
      <c r="Z307" s="101" t="s">
        <v>430</v>
      </c>
      <c r="AA307" s="101" t="s">
        <v>397</v>
      </c>
      <c r="AB307" s="101">
        <v>5101000018</v>
      </c>
      <c r="AC307" s="101" t="s">
        <v>431</v>
      </c>
      <c r="AD307" s="101" t="s">
        <v>431</v>
      </c>
      <c r="AE307" s="101" t="s">
        <v>75</v>
      </c>
      <c r="AF307" s="101" t="s">
        <v>400</v>
      </c>
      <c r="AG307" s="101" t="s">
        <v>625</v>
      </c>
      <c r="AI307" s="101" t="s">
        <v>760</v>
      </c>
    </row>
    <row r="308" spans="1:35">
      <c r="A308" s="246" t="s">
        <v>111</v>
      </c>
      <c r="B308" s="246" t="s">
        <v>66</v>
      </c>
      <c r="C308" s="246" t="s">
        <v>126</v>
      </c>
      <c r="D308" s="246" t="s">
        <v>273</v>
      </c>
      <c r="E308" s="246"/>
      <c r="F308" s="246"/>
      <c r="G308" s="132">
        <v>0</v>
      </c>
      <c r="H308" s="132">
        <v>0</v>
      </c>
      <c r="I308" s="132">
        <v>0</v>
      </c>
      <c r="J308" s="101" t="s">
        <v>889</v>
      </c>
      <c r="K308" s="245" t="s">
        <v>390</v>
      </c>
      <c r="L308" s="245">
        <v>42738</v>
      </c>
      <c r="M308" s="245" t="s">
        <v>391</v>
      </c>
      <c r="N308" s="101">
        <v>0</v>
      </c>
      <c r="O308" s="101" t="s">
        <v>392</v>
      </c>
      <c r="P308" s="101">
        <v>0</v>
      </c>
      <c r="Q308" s="101">
        <v>0</v>
      </c>
      <c r="R308" s="101" t="s">
        <v>428</v>
      </c>
      <c r="S308" s="101">
        <v>148670</v>
      </c>
      <c r="T308" s="101" t="s">
        <v>394</v>
      </c>
      <c r="V308" s="245">
        <v>43433</v>
      </c>
      <c r="W308" s="101" t="s">
        <v>424</v>
      </c>
      <c r="X308" s="101" t="s">
        <v>429</v>
      </c>
      <c r="Y308" s="101" t="s">
        <v>392</v>
      </c>
      <c r="Z308" s="101" t="s">
        <v>430</v>
      </c>
      <c r="AA308" s="101" t="s">
        <v>397</v>
      </c>
      <c r="AB308" s="101">
        <v>5101000018</v>
      </c>
      <c r="AC308" s="101" t="s">
        <v>431</v>
      </c>
      <c r="AD308" s="101" t="s">
        <v>431</v>
      </c>
      <c r="AE308" s="101" t="s">
        <v>75</v>
      </c>
      <c r="AF308" s="101" t="s">
        <v>400</v>
      </c>
      <c r="AG308" s="101" t="s">
        <v>625</v>
      </c>
      <c r="AI308" s="101" t="s">
        <v>760</v>
      </c>
    </row>
    <row r="309" spans="1:35">
      <c r="A309" s="246" t="s">
        <v>111</v>
      </c>
      <c r="B309" s="246" t="s">
        <v>66</v>
      </c>
      <c r="C309" s="246" t="s">
        <v>126</v>
      </c>
      <c r="D309" s="246" t="s">
        <v>273</v>
      </c>
      <c r="E309" s="246"/>
      <c r="F309" s="246"/>
      <c r="G309" s="132">
        <v>0</v>
      </c>
      <c r="H309" s="132">
        <v>0</v>
      </c>
      <c r="I309" s="132">
        <v>0</v>
      </c>
      <c r="J309" s="101" t="s">
        <v>889</v>
      </c>
      <c r="K309" s="245" t="s">
        <v>390</v>
      </c>
      <c r="L309" s="245">
        <v>42767</v>
      </c>
      <c r="M309" s="245" t="s">
        <v>391</v>
      </c>
      <c r="N309" s="101">
        <v>0</v>
      </c>
      <c r="O309" s="101" t="s">
        <v>392</v>
      </c>
      <c r="P309" s="101">
        <v>0</v>
      </c>
      <c r="Q309" s="101">
        <v>0</v>
      </c>
      <c r="R309" s="101" t="s">
        <v>428</v>
      </c>
      <c r="S309" s="101">
        <v>148670</v>
      </c>
      <c r="T309" s="101" t="s">
        <v>394</v>
      </c>
      <c r="V309" s="245">
        <v>43433</v>
      </c>
      <c r="W309" s="101" t="s">
        <v>424</v>
      </c>
      <c r="X309" s="101" t="s">
        <v>429</v>
      </c>
      <c r="Y309" s="101" t="s">
        <v>392</v>
      </c>
      <c r="Z309" s="101" t="s">
        <v>430</v>
      </c>
      <c r="AA309" s="101" t="s">
        <v>397</v>
      </c>
      <c r="AB309" s="101">
        <v>5101000018</v>
      </c>
      <c r="AC309" s="101" t="s">
        <v>431</v>
      </c>
      <c r="AD309" s="101" t="s">
        <v>431</v>
      </c>
      <c r="AE309" s="101" t="s">
        <v>75</v>
      </c>
      <c r="AF309" s="101" t="s">
        <v>400</v>
      </c>
      <c r="AG309" s="101" t="s">
        <v>625</v>
      </c>
      <c r="AI309" s="101" t="s">
        <v>760</v>
      </c>
    </row>
    <row r="310" spans="1:35">
      <c r="A310" s="246" t="s">
        <v>111</v>
      </c>
      <c r="B310" s="246" t="s">
        <v>66</v>
      </c>
      <c r="C310" s="246" t="s">
        <v>126</v>
      </c>
      <c r="D310" s="246" t="s">
        <v>273</v>
      </c>
      <c r="E310" s="246"/>
      <c r="F310" s="246"/>
      <c r="G310" s="132">
        <v>0</v>
      </c>
      <c r="H310" s="132">
        <v>0</v>
      </c>
      <c r="I310" s="132">
        <v>0</v>
      </c>
      <c r="J310" s="101" t="s">
        <v>889</v>
      </c>
      <c r="K310" s="245" t="s">
        <v>390</v>
      </c>
      <c r="L310" s="245">
        <v>42795</v>
      </c>
      <c r="M310" s="245" t="s">
        <v>391</v>
      </c>
      <c r="N310" s="101">
        <v>0</v>
      </c>
      <c r="O310" s="101" t="s">
        <v>392</v>
      </c>
      <c r="P310" s="101">
        <v>0</v>
      </c>
      <c r="Q310" s="101">
        <v>0</v>
      </c>
      <c r="R310" s="101" t="s">
        <v>428</v>
      </c>
      <c r="S310" s="101">
        <v>148670</v>
      </c>
      <c r="T310" s="101" t="s">
        <v>394</v>
      </c>
      <c r="V310" s="245">
        <v>43433</v>
      </c>
      <c r="W310" s="101" t="s">
        <v>424</v>
      </c>
      <c r="X310" s="101" t="s">
        <v>429</v>
      </c>
      <c r="Y310" s="101" t="s">
        <v>392</v>
      </c>
      <c r="Z310" s="101" t="s">
        <v>430</v>
      </c>
      <c r="AA310" s="101" t="s">
        <v>397</v>
      </c>
      <c r="AB310" s="101">
        <v>5101000018</v>
      </c>
      <c r="AC310" s="101" t="s">
        <v>431</v>
      </c>
      <c r="AD310" s="101" t="s">
        <v>431</v>
      </c>
      <c r="AE310" s="101" t="s">
        <v>75</v>
      </c>
      <c r="AF310" s="101" t="s">
        <v>400</v>
      </c>
      <c r="AG310" s="101" t="s">
        <v>625</v>
      </c>
      <c r="AI310" s="101" t="s">
        <v>760</v>
      </c>
    </row>
    <row r="311" spans="1:35">
      <c r="A311" s="246" t="s">
        <v>111</v>
      </c>
      <c r="B311" s="246" t="s">
        <v>66</v>
      </c>
      <c r="C311" s="246" t="s">
        <v>126</v>
      </c>
      <c r="D311" s="246" t="s">
        <v>273</v>
      </c>
      <c r="E311" s="246"/>
      <c r="F311" s="246"/>
      <c r="G311" s="132">
        <v>0</v>
      </c>
      <c r="H311" s="132">
        <v>0</v>
      </c>
      <c r="I311" s="132">
        <v>0</v>
      </c>
      <c r="J311" s="101" t="s">
        <v>889</v>
      </c>
      <c r="K311" s="245" t="s">
        <v>390</v>
      </c>
      <c r="L311" s="245">
        <v>42828</v>
      </c>
      <c r="M311" s="245" t="s">
        <v>391</v>
      </c>
      <c r="N311" s="101">
        <v>0</v>
      </c>
      <c r="O311" s="101" t="s">
        <v>392</v>
      </c>
      <c r="P311" s="101">
        <v>0</v>
      </c>
      <c r="Q311" s="101">
        <v>0</v>
      </c>
      <c r="R311" s="101" t="s">
        <v>428</v>
      </c>
      <c r="S311" s="101">
        <v>148670</v>
      </c>
      <c r="T311" s="101" t="s">
        <v>394</v>
      </c>
      <c r="V311" s="245">
        <v>43433</v>
      </c>
      <c r="W311" s="101" t="s">
        <v>424</v>
      </c>
      <c r="X311" s="101" t="s">
        <v>429</v>
      </c>
      <c r="Y311" s="101" t="s">
        <v>392</v>
      </c>
      <c r="Z311" s="101" t="s">
        <v>430</v>
      </c>
      <c r="AA311" s="101" t="s">
        <v>397</v>
      </c>
      <c r="AB311" s="101">
        <v>5101000018</v>
      </c>
      <c r="AC311" s="101" t="s">
        <v>431</v>
      </c>
      <c r="AD311" s="101" t="s">
        <v>431</v>
      </c>
      <c r="AE311" s="101" t="s">
        <v>75</v>
      </c>
      <c r="AF311" s="101" t="s">
        <v>400</v>
      </c>
      <c r="AG311" s="101" t="s">
        <v>625</v>
      </c>
      <c r="AI311" s="101" t="s">
        <v>760</v>
      </c>
    </row>
    <row r="312" spans="1:35">
      <c r="A312" s="246" t="s">
        <v>111</v>
      </c>
      <c r="B312" s="246" t="s">
        <v>66</v>
      </c>
      <c r="C312" s="246" t="s">
        <v>126</v>
      </c>
      <c r="D312" s="246" t="s">
        <v>273</v>
      </c>
      <c r="E312" s="246"/>
      <c r="F312" s="246"/>
      <c r="G312" s="132">
        <v>0</v>
      </c>
      <c r="H312" s="132">
        <v>0</v>
      </c>
      <c r="I312" s="132">
        <v>0</v>
      </c>
      <c r="J312" s="101" t="s">
        <v>889</v>
      </c>
      <c r="K312" s="245" t="s">
        <v>390</v>
      </c>
      <c r="L312" s="245">
        <v>42857</v>
      </c>
      <c r="M312" s="245" t="s">
        <v>391</v>
      </c>
      <c r="N312" s="101">
        <v>0</v>
      </c>
      <c r="O312" s="101" t="s">
        <v>392</v>
      </c>
      <c r="P312" s="101">
        <v>0</v>
      </c>
      <c r="Q312" s="101">
        <v>0</v>
      </c>
      <c r="R312" s="101" t="s">
        <v>428</v>
      </c>
      <c r="S312" s="101">
        <v>148670</v>
      </c>
      <c r="T312" s="101" t="s">
        <v>394</v>
      </c>
      <c r="V312" s="245">
        <v>43433</v>
      </c>
      <c r="W312" s="101" t="s">
        <v>424</v>
      </c>
      <c r="X312" s="101" t="s">
        <v>429</v>
      </c>
      <c r="Y312" s="101" t="s">
        <v>392</v>
      </c>
      <c r="Z312" s="101" t="s">
        <v>430</v>
      </c>
      <c r="AA312" s="101" t="s">
        <v>397</v>
      </c>
      <c r="AB312" s="101">
        <v>5101000018</v>
      </c>
      <c r="AC312" s="101" t="s">
        <v>431</v>
      </c>
      <c r="AD312" s="101" t="s">
        <v>431</v>
      </c>
      <c r="AE312" s="101" t="s">
        <v>75</v>
      </c>
      <c r="AF312" s="101" t="s">
        <v>400</v>
      </c>
      <c r="AG312" s="101" t="s">
        <v>625</v>
      </c>
      <c r="AI312" s="101" t="s">
        <v>760</v>
      </c>
    </row>
    <row r="313" spans="1:35">
      <c r="A313" s="246" t="s">
        <v>112</v>
      </c>
      <c r="B313" s="246" t="s">
        <v>66</v>
      </c>
      <c r="C313" s="246" t="s">
        <v>126</v>
      </c>
      <c r="D313" s="246" t="s">
        <v>270</v>
      </c>
      <c r="E313" s="246"/>
      <c r="F313" s="246"/>
      <c r="G313" s="132">
        <v>0</v>
      </c>
      <c r="H313" s="132">
        <v>0</v>
      </c>
      <c r="I313" s="132">
        <v>0</v>
      </c>
      <c r="J313" s="101" t="s">
        <v>889</v>
      </c>
      <c r="K313" s="245" t="s">
        <v>390</v>
      </c>
      <c r="L313" s="245">
        <v>42887</v>
      </c>
      <c r="M313" s="245" t="s">
        <v>391</v>
      </c>
      <c r="N313" s="101">
        <v>0</v>
      </c>
      <c r="O313" s="101" t="s">
        <v>392</v>
      </c>
      <c r="P313" s="101">
        <v>0</v>
      </c>
      <c r="Q313" s="101">
        <v>0</v>
      </c>
      <c r="R313" s="101" t="s">
        <v>428</v>
      </c>
      <c r="S313" s="101">
        <v>148670</v>
      </c>
      <c r="T313" s="101" t="s">
        <v>394</v>
      </c>
      <c r="V313" s="245">
        <v>43433</v>
      </c>
      <c r="W313" s="101" t="s">
        <v>424</v>
      </c>
      <c r="X313" s="101" t="s">
        <v>429</v>
      </c>
      <c r="Y313" s="101" t="s">
        <v>392</v>
      </c>
      <c r="Z313" s="101" t="s">
        <v>430</v>
      </c>
      <c r="AA313" s="101" t="s">
        <v>397</v>
      </c>
      <c r="AB313" s="101">
        <v>5101000018</v>
      </c>
      <c r="AC313" s="101" t="s">
        <v>431</v>
      </c>
      <c r="AD313" s="101" t="s">
        <v>431</v>
      </c>
      <c r="AE313" s="101" t="s">
        <v>75</v>
      </c>
      <c r="AF313" s="101" t="s">
        <v>400</v>
      </c>
      <c r="AG313" s="101" t="s">
        <v>625</v>
      </c>
      <c r="AI313" s="101" t="s">
        <v>760</v>
      </c>
    </row>
    <row r="314" spans="1:35">
      <c r="A314" s="246" t="s">
        <v>112</v>
      </c>
      <c r="B314" s="246" t="s">
        <v>66</v>
      </c>
      <c r="C314" s="246" t="s">
        <v>126</v>
      </c>
      <c r="D314" s="246" t="s">
        <v>270</v>
      </c>
      <c r="E314" s="246"/>
      <c r="F314" s="246"/>
      <c r="G314" s="132">
        <v>0</v>
      </c>
      <c r="H314" s="132">
        <v>0</v>
      </c>
      <c r="I314" s="132">
        <v>0</v>
      </c>
      <c r="J314" s="101" t="s">
        <v>889</v>
      </c>
      <c r="K314" s="245" t="s">
        <v>390</v>
      </c>
      <c r="L314" s="245">
        <v>42919</v>
      </c>
      <c r="M314" s="245" t="s">
        <v>391</v>
      </c>
      <c r="N314" s="101">
        <v>0</v>
      </c>
      <c r="O314" s="101" t="s">
        <v>392</v>
      </c>
      <c r="P314" s="101">
        <v>0</v>
      </c>
      <c r="Q314" s="101">
        <v>0</v>
      </c>
      <c r="R314" s="101" t="s">
        <v>428</v>
      </c>
      <c r="S314" s="101">
        <v>148670</v>
      </c>
      <c r="T314" s="101" t="s">
        <v>394</v>
      </c>
      <c r="V314" s="245">
        <v>43433</v>
      </c>
      <c r="W314" s="101" t="s">
        <v>424</v>
      </c>
      <c r="X314" s="101" t="s">
        <v>429</v>
      </c>
      <c r="Y314" s="101" t="s">
        <v>392</v>
      </c>
      <c r="Z314" s="101" t="s">
        <v>430</v>
      </c>
      <c r="AA314" s="101" t="s">
        <v>397</v>
      </c>
      <c r="AB314" s="101">
        <v>5101000018</v>
      </c>
      <c r="AC314" s="101" t="s">
        <v>431</v>
      </c>
      <c r="AD314" s="101" t="s">
        <v>431</v>
      </c>
      <c r="AE314" s="101" t="s">
        <v>75</v>
      </c>
      <c r="AF314" s="101" t="s">
        <v>400</v>
      </c>
      <c r="AG314" s="101" t="s">
        <v>625</v>
      </c>
      <c r="AI314" s="101" t="s">
        <v>760</v>
      </c>
    </row>
    <row r="315" spans="1:35">
      <c r="A315" s="246" t="s">
        <v>112</v>
      </c>
      <c r="B315" s="246" t="s">
        <v>66</v>
      </c>
      <c r="C315" s="246" t="s">
        <v>126</v>
      </c>
      <c r="D315" s="246" t="s">
        <v>270</v>
      </c>
      <c r="E315" s="246"/>
      <c r="F315" s="246"/>
      <c r="G315" s="132">
        <v>0</v>
      </c>
      <c r="H315" s="132">
        <v>0</v>
      </c>
      <c r="I315" s="132">
        <v>0</v>
      </c>
      <c r="J315" s="101" t="s">
        <v>889</v>
      </c>
      <c r="K315" s="245" t="s">
        <v>390</v>
      </c>
      <c r="L315" s="245">
        <v>42948</v>
      </c>
      <c r="M315" s="245" t="s">
        <v>391</v>
      </c>
      <c r="N315" s="101">
        <v>0</v>
      </c>
      <c r="O315" s="101" t="s">
        <v>392</v>
      </c>
      <c r="P315" s="101">
        <v>0</v>
      </c>
      <c r="Q315" s="101">
        <v>0</v>
      </c>
      <c r="R315" s="101" t="s">
        <v>428</v>
      </c>
      <c r="S315" s="101">
        <v>148670</v>
      </c>
      <c r="T315" s="101" t="s">
        <v>394</v>
      </c>
      <c r="V315" s="245">
        <v>43433</v>
      </c>
      <c r="W315" s="101" t="s">
        <v>424</v>
      </c>
      <c r="X315" s="101" t="s">
        <v>429</v>
      </c>
      <c r="Y315" s="101" t="s">
        <v>392</v>
      </c>
      <c r="Z315" s="101" t="s">
        <v>430</v>
      </c>
      <c r="AA315" s="101" t="s">
        <v>397</v>
      </c>
      <c r="AB315" s="101">
        <v>5101000018</v>
      </c>
      <c r="AC315" s="101" t="s">
        <v>431</v>
      </c>
      <c r="AD315" s="101" t="s">
        <v>431</v>
      </c>
      <c r="AE315" s="101" t="s">
        <v>75</v>
      </c>
      <c r="AF315" s="101" t="s">
        <v>400</v>
      </c>
      <c r="AG315" s="101" t="s">
        <v>625</v>
      </c>
      <c r="AI315" s="101" t="s">
        <v>760</v>
      </c>
    </row>
    <row r="316" spans="1:35">
      <c r="A316" s="246" t="s">
        <v>109</v>
      </c>
      <c r="B316" s="246" t="s">
        <v>78</v>
      </c>
      <c r="C316" s="246" t="s">
        <v>126</v>
      </c>
      <c r="D316" s="246" t="s">
        <v>337</v>
      </c>
      <c r="E316" s="246" t="s">
        <v>336</v>
      </c>
      <c r="F316" s="246"/>
      <c r="G316" s="132" t="s">
        <v>533</v>
      </c>
      <c r="H316" s="132" t="s">
        <v>1158</v>
      </c>
      <c r="I316" s="132">
        <v>-4805.1699999999992</v>
      </c>
      <c r="J316" s="101" t="s">
        <v>889</v>
      </c>
      <c r="K316" s="245" t="s">
        <v>390</v>
      </c>
      <c r="L316" s="245">
        <v>42552</v>
      </c>
      <c r="M316" s="245" t="s">
        <v>391</v>
      </c>
      <c r="N316" s="101">
        <v>0</v>
      </c>
      <c r="O316" s="101" t="s">
        <v>392</v>
      </c>
      <c r="P316" s="101">
        <v>0</v>
      </c>
      <c r="Q316" s="101">
        <v>0</v>
      </c>
      <c r="R316" s="101" t="s">
        <v>393</v>
      </c>
      <c r="S316" s="101" t="s">
        <v>534</v>
      </c>
      <c r="T316" s="101" t="s">
        <v>394</v>
      </c>
      <c r="V316" s="245">
        <v>13697</v>
      </c>
      <c r="W316" s="101" t="s">
        <v>535</v>
      </c>
      <c r="X316" s="101" t="s">
        <v>362</v>
      </c>
      <c r="Y316" s="101" t="s">
        <v>471</v>
      </c>
      <c r="Z316" s="101" t="s">
        <v>402</v>
      </c>
      <c r="AA316" s="101" t="s">
        <v>78</v>
      </c>
      <c r="AB316" s="101">
        <v>4101000279</v>
      </c>
      <c r="AC316" s="101" t="s">
        <v>398</v>
      </c>
      <c r="AD316" s="101" t="s">
        <v>403</v>
      </c>
      <c r="AE316" s="101" t="s">
        <v>75</v>
      </c>
      <c r="AF316" s="101" t="s">
        <v>400</v>
      </c>
      <c r="AI316" s="101" t="s">
        <v>760</v>
      </c>
    </row>
    <row r="317" spans="1:35">
      <c r="A317" s="246" t="s">
        <v>110</v>
      </c>
      <c r="B317" s="246" t="s">
        <v>78</v>
      </c>
      <c r="C317" s="246" t="s">
        <v>126</v>
      </c>
      <c r="D317" s="246" t="s">
        <v>770</v>
      </c>
      <c r="E317" s="246" t="s">
        <v>771</v>
      </c>
      <c r="F317" s="246"/>
      <c r="G317" s="132" t="s">
        <v>1159</v>
      </c>
      <c r="H317" s="132" t="s">
        <v>1160</v>
      </c>
      <c r="I317" s="132">
        <v>-6481.54</v>
      </c>
      <c r="J317" s="101" t="s">
        <v>889</v>
      </c>
      <c r="K317" s="245" t="s">
        <v>390</v>
      </c>
      <c r="L317" s="245">
        <v>42646</v>
      </c>
      <c r="M317" s="245" t="s">
        <v>391</v>
      </c>
      <c r="N317" s="101">
        <v>0</v>
      </c>
      <c r="O317" s="101" t="s">
        <v>392</v>
      </c>
      <c r="P317" s="101">
        <v>0</v>
      </c>
      <c r="Q317" s="101">
        <v>0</v>
      </c>
      <c r="R317" s="101" t="s">
        <v>393</v>
      </c>
      <c r="S317" s="101" t="s">
        <v>534</v>
      </c>
      <c r="T317" s="101" t="s">
        <v>394</v>
      </c>
      <c r="V317" s="245">
        <v>13697</v>
      </c>
      <c r="W317" s="101" t="s">
        <v>535</v>
      </c>
      <c r="X317" s="101" t="s">
        <v>362</v>
      </c>
      <c r="Y317" s="101" t="s">
        <v>471</v>
      </c>
      <c r="Z317" s="101" t="s">
        <v>402</v>
      </c>
      <c r="AA317" s="101" t="s">
        <v>78</v>
      </c>
      <c r="AB317" s="101">
        <v>4101000279</v>
      </c>
      <c r="AC317" s="101" t="s">
        <v>398</v>
      </c>
      <c r="AD317" s="101" t="s">
        <v>403</v>
      </c>
      <c r="AE317" s="101" t="s">
        <v>75</v>
      </c>
      <c r="AF317" s="101" t="s">
        <v>400</v>
      </c>
      <c r="AI317" s="101" t="s">
        <v>760</v>
      </c>
    </row>
    <row r="318" spans="1:35">
      <c r="A318" s="246" t="s">
        <v>111</v>
      </c>
      <c r="B318" s="246" t="s">
        <v>78</v>
      </c>
      <c r="C318" s="246" t="s">
        <v>126</v>
      </c>
      <c r="D318" s="246" t="s">
        <v>768</v>
      </c>
      <c r="E318" s="246" t="s">
        <v>769</v>
      </c>
      <c r="F318" s="246"/>
      <c r="G318" s="132" t="s">
        <v>1161</v>
      </c>
      <c r="H318" s="132" t="s">
        <v>1162</v>
      </c>
      <c r="I318" s="132">
        <v>-6375.39</v>
      </c>
      <c r="J318" s="101" t="s">
        <v>889</v>
      </c>
      <c r="K318" s="245" t="s">
        <v>390</v>
      </c>
      <c r="L318" s="245">
        <v>42738</v>
      </c>
      <c r="M318" s="245" t="s">
        <v>391</v>
      </c>
      <c r="N318" s="101">
        <v>0</v>
      </c>
      <c r="O318" s="101" t="s">
        <v>392</v>
      </c>
      <c r="P318" s="101">
        <v>0</v>
      </c>
      <c r="Q318" s="101">
        <v>0</v>
      </c>
      <c r="R318" s="101" t="s">
        <v>393</v>
      </c>
      <c r="S318" s="101" t="s">
        <v>534</v>
      </c>
      <c r="T318" s="101" t="s">
        <v>394</v>
      </c>
      <c r="V318" s="245">
        <v>13697</v>
      </c>
      <c r="W318" s="101" t="s">
        <v>535</v>
      </c>
      <c r="X318" s="101" t="s">
        <v>362</v>
      </c>
      <c r="Y318" s="101" t="s">
        <v>471</v>
      </c>
      <c r="Z318" s="101" t="s">
        <v>402</v>
      </c>
      <c r="AA318" s="101" t="s">
        <v>78</v>
      </c>
      <c r="AB318" s="101">
        <v>4101000279</v>
      </c>
      <c r="AC318" s="101" t="s">
        <v>398</v>
      </c>
      <c r="AD318" s="101" t="s">
        <v>403</v>
      </c>
      <c r="AE318" s="101" t="s">
        <v>75</v>
      </c>
      <c r="AF318" s="101" t="s">
        <v>400</v>
      </c>
      <c r="AI318" s="101" t="s">
        <v>760</v>
      </c>
    </row>
    <row r="319" spans="1:35">
      <c r="A319" s="246" t="s">
        <v>111</v>
      </c>
      <c r="B319" s="246" t="s">
        <v>78</v>
      </c>
      <c r="C319" s="246" t="s">
        <v>126</v>
      </c>
      <c r="D319" s="246" t="s">
        <v>768</v>
      </c>
      <c r="E319" s="246" t="s">
        <v>769</v>
      </c>
      <c r="F319" s="246"/>
      <c r="G319" s="132" t="s">
        <v>1163</v>
      </c>
      <c r="H319" s="132" t="s">
        <v>1164</v>
      </c>
      <c r="I319" s="132">
        <v>-6730.2599999999993</v>
      </c>
      <c r="J319" s="101" t="s">
        <v>889</v>
      </c>
      <c r="K319" s="245" t="s">
        <v>390</v>
      </c>
      <c r="L319" s="245">
        <v>42828</v>
      </c>
      <c r="M319" s="245" t="s">
        <v>391</v>
      </c>
      <c r="N319" s="101">
        <v>0</v>
      </c>
      <c r="O319" s="101" t="s">
        <v>392</v>
      </c>
      <c r="P319" s="101">
        <v>0</v>
      </c>
      <c r="Q319" s="101">
        <v>0</v>
      </c>
      <c r="R319" s="101" t="s">
        <v>393</v>
      </c>
      <c r="S319" s="101" t="s">
        <v>534</v>
      </c>
      <c r="T319" s="101" t="s">
        <v>394</v>
      </c>
      <c r="V319" s="245">
        <v>13697</v>
      </c>
      <c r="W319" s="101" t="s">
        <v>535</v>
      </c>
      <c r="X319" s="101" t="s">
        <v>362</v>
      </c>
      <c r="Y319" s="101" t="s">
        <v>471</v>
      </c>
      <c r="Z319" s="101" t="s">
        <v>402</v>
      </c>
      <c r="AA319" s="101" t="s">
        <v>78</v>
      </c>
      <c r="AB319" s="101">
        <v>4101000279</v>
      </c>
      <c r="AC319" s="101" t="s">
        <v>398</v>
      </c>
      <c r="AD319" s="101" t="s">
        <v>403</v>
      </c>
      <c r="AE319" s="101" t="s">
        <v>75</v>
      </c>
      <c r="AF319" s="101" t="s">
        <v>400</v>
      </c>
      <c r="AI319" s="101" t="s">
        <v>760</v>
      </c>
    </row>
    <row r="320" spans="1:35">
      <c r="A320" s="246" t="s">
        <v>112</v>
      </c>
      <c r="B320" s="246" t="s">
        <v>78</v>
      </c>
      <c r="C320" s="246" t="s">
        <v>126</v>
      </c>
      <c r="D320" s="246" t="s">
        <v>341</v>
      </c>
      <c r="E320" s="246" t="s">
        <v>342</v>
      </c>
      <c r="F320" s="246"/>
      <c r="G320" s="132" t="s">
        <v>1165</v>
      </c>
      <c r="H320" s="132" t="s">
        <v>1166</v>
      </c>
      <c r="I320" s="132">
        <v>-7943.66</v>
      </c>
      <c r="J320" s="101" t="s">
        <v>889</v>
      </c>
      <c r="K320" s="245" t="s">
        <v>390</v>
      </c>
      <c r="L320" s="245">
        <v>42919</v>
      </c>
      <c r="M320" s="245" t="s">
        <v>391</v>
      </c>
      <c r="N320" s="101">
        <v>0</v>
      </c>
      <c r="O320" s="101" t="s">
        <v>392</v>
      </c>
      <c r="P320" s="101">
        <v>0</v>
      </c>
      <c r="Q320" s="101">
        <v>0</v>
      </c>
      <c r="R320" s="101" t="s">
        <v>393</v>
      </c>
      <c r="S320" s="101" t="s">
        <v>534</v>
      </c>
      <c r="T320" s="101" t="s">
        <v>394</v>
      </c>
      <c r="V320" s="245">
        <v>13697</v>
      </c>
      <c r="W320" s="101" t="s">
        <v>535</v>
      </c>
      <c r="X320" s="101" t="s">
        <v>362</v>
      </c>
      <c r="Y320" s="101" t="s">
        <v>471</v>
      </c>
      <c r="Z320" s="101" t="s">
        <v>402</v>
      </c>
      <c r="AA320" s="101" t="s">
        <v>78</v>
      </c>
      <c r="AB320" s="101">
        <v>4101000279</v>
      </c>
      <c r="AC320" s="101" t="s">
        <v>398</v>
      </c>
      <c r="AD320" s="101" t="s">
        <v>403</v>
      </c>
      <c r="AE320" s="101" t="s">
        <v>75</v>
      </c>
      <c r="AF320" s="101" t="s">
        <v>400</v>
      </c>
      <c r="AI320" s="101" t="s">
        <v>760</v>
      </c>
    </row>
    <row r="321" spans="1:35">
      <c r="A321" s="246" t="s">
        <v>112</v>
      </c>
      <c r="B321" s="246" t="s">
        <v>78</v>
      </c>
      <c r="C321" s="246" t="s">
        <v>126</v>
      </c>
      <c r="D321" s="246" t="s">
        <v>341</v>
      </c>
      <c r="E321" s="246" t="s">
        <v>342</v>
      </c>
      <c r="F321" s="246"/>
      <c r="G321" s="132" t="s">
        <v>1167</v>
      </c>
      <c r="H321" s="132" t="s">
        <v>1168</v>
      </c>
      <c r="I321" s="132">
        <v>-8739.32</v>
      </c>
      <c r="J321" s="101" t="s">
        <v>889</v>
      </c>
      <c r="K321" s="245" t="s">
        <v>390</v>
      </c>
      <c r="L321" s="245">
        <v>43010</v>
      </c>
      <c r="M321" s="245" t="s">
        <v>391</v>
      </c>
      <c r="N321" s="101">
        <v>0</v>
      </c>
      <c r="O321" s="101" t="s">
        <v>392</v>
      </c>
      <c r="P321" s="101">
        <v>0</v>
      </c>
      <c r="Q321" s="101">
        <v>0</v>
      </c>
      <c r="R321" s="101" t="s">
        <v>393</v>
      </c>
      <c r="S321" s="101" t="s">
        <v>534</v>
      </c>
      <c r="T321" s="101" t="s">
        <v>394</v>
      </c>
      <c r="V321" s="245">
        <v>13697</v>
      </c>
      <c r="W321" s="101" t="s">
        <v>535</v>
      </c>
      <c r="X321" s="101" t="s">
        <v>362</v>
      </c>
      <c r="Y321" s="101" t="s">
        <v>471</v>
      </c>
      <c r="Z321" s="101" t="s">
        <v>402</v>
      </c>
      <c r="AA321" s="101" t="s">
        <v>78</v>
      </c>
      <c r="AB321" s="101">
        <v>4101000279</v>
      </c>
      <c r="AC321" s="101" t="s">
        <v>398</v>
      </c>
      <c r="AD321" s="101" t="s">
        <v>403</v>
      </c>
      <c r="AE321" s="101" t="s">
        <v>75</v>
      </c>
      <c r="AF321" s="101" t="s">
        <v>400</v>
      </c>
      <c r="AI321" s="101" t="s">
        <v>760</v>
      </c>
    </row>
    <row r="322" spans="1:35">
      <c r="A322" s="246" t="s">
        <v>113</v>
      </c>
      <c r="B322" s="246" t="s">
        <v>78</v>
      </c>
      <c r="C322" s="246" t="s">
        <v>126</v>
      </c>
      <c r="D322" s="246" t="s">
        <v>339</v>
      </c>
      <c r="E322" s="246" t="s">
        <v>340</v>
      </c>
      <c r="F322" s="246"/>
      <c r="G322" s="132" t="s">
        <v>1169</v>
      </c>
      <c r="H322" s="132" t="s">
        <v>1170</v>
      </c>
      <c r="I322" s="132">
        <v>-8835.51</v>
      </c>
      <c r="J322" s="101" t="s">
        <v>889</v>
      </c>
      <c r="K322" s="245" t="s">
        <v>390</v>
      </c>
      <c r="L322" s="245">
        <v>43102</v>
      </c>
      <c r="M322" s="245" t="s">
        <v>391</v>
      </c>
      <c r="N322" s="101">
        <v>0</v>
      </c>
      <c r="O322" s="101" t="s">
        <v>392</v>
      </c>
      <c r="P322" s="101">
        <v>0</v>
      </c>
      <c r="Q322" s="101">
        <v>0</v>
      </c>
      <c r="R322" s="101" t="s">
        <v>393</v>
      </c>
      <c r="S322" s="101" t="s">
        <v>534</v>
      </c>
      <c r="T322" s="101" t="s">
        <v>394</v>
      </c>
      <c r="V322" s="245">
        <v>13697</v>
      </c>
      <c r="W322" s="101" t="s">
        <v>535</v>
      </c>
      <c r="X322" s="101" t="s">
        <v>362</v>
      </c>
      <c r="Y322" s="101" t="s">
        <v>471</v>
      </c>
      <c r="Z322" s="101" t="s">
        <v>402</v>
      </c>
      <c r="AA322" s="101" t="s">
        <v>78</v>
      </c>
      <c r="AB322" s="101">
        <v>4101000279</v>
      </c>
      <c r="AC322" s="101" t="s">
        <v>398</v>
      </c>
      <c r="AD322" s="101" t="s">
        <v>403</v>
      </c>
      <c r="AE322" s="101" t="s">
        <v>75</v>
      </c>
      <c r="AF322" s="101" t="s">
        <v>400</v>
      </c>
      <c r="AI322" s="101" t="s">
        <v>760</v>
      </c>
    </row>
    <row r="323" spans="1:35">
      <c r="A323" s="246" t="s">
        <v>113</v>
      </c>
      <c r="B323" s="246" t="s">
        <v>78</v>
      </c>
      <c r="C323" s="246" t="s">
        <v>126</v>
      </c>
      <c r="D323" s="246" t="s">
        <v>339</v>
      </c>
      <c r="E323" s="246" t="s">
        <v>340</v>
      </c>
      <c r="F323" s="246"/>
      <c r="G323" s="132" t="s">
        <v>1171</v>
      </c>
      <c r="H323" s="132" t="s">
        <v>1172</v>
      </c>
      <c r="I323" s="132">
        <v>-8643.1299999999992</v>
      </c>
      <c r="J323" s="101" t="s">
        <v>889</v>
      </c>
      <c r="K323" s="245" t="s">
        <v>390</v>
      </c>
      <c r="L323" s="245">
        <v>43192</v>
      </c>
      <c r="M323" s="245" t="s">
        <v>391</v>
      </c>
      <c r="N323" s="101">
        <v>0</v>
      </c>
      <c r="O323" s="101" t="s">
        <v>392</v>
      </c>
      <c r="P323" s="101">
        <v>0</v>
      </c>
      <c r="Q323" s="101">
        <v>0</v>
      </c>
      <c r="R323" s="101" t="s">
        <v>393</v>
      </c>
      <c r="S323" s="101" t="s">
        <v>534</v>
      </c>
      <c r="T323" s="101" t="s">
        <v>394</v>
      </c>
      <c r="V323" s="245">
        <v>13697</v>
      </c>
      <c r="W323" s="101" t="s">
        <v>535</v>
      </c>
      <c r="X323" s="101" t="s">
        <v>362</v>
      </c>
      <c r="Y323" s="101" t="s">
        <v>471</v>
      </c>
      <c r="Z323" s="101" t="s">
        <v>402</v>
      </c>
      <c r="AA323" s="101" t="s">
        <v>78</v>
      </c>
      <c r="AB323" s="101">
        <v>4101000279</v>
      </c>
      <c r="AC323" s="101" t="s">
        <v>398</v>
      </c>
      <c r="AD323" s="101" t="s">
        <v>403</v>
      </c>
      <c r="AE323" s="101" t="s">
        <v>75</v>
      </c>
      <c r="AF323" s="101" t="s">
        <v>400</v>
      </c>
      <c r="AI323" s="101" t="s">
        <v>760</v>
      </c>
    </row>
    <row r="324" spans="1:35">
      <c r="A324" s="246" t="s">
        <v>109</v>
      </c>
      <c r="B324" s="246" t="s">
        <v>78</v>
      </c>
      <c r="C324" s="246" t="s">
        <v>126</v>
      </c>
      <c r="D324" s="246" t="s">
        <v>337</v>
      </c>
      <c r="E324" s="246" t="s">
        <v>336</v>
      </c>
      <c r="F324" s="246"/>
      <c r="G324" s="132" t="s">
        <v>536</v>
      </c>
      <c r="H324" s="132" t="s">
        <v>1173</v>
      </c>
      <c r="I324" s="132">
        <v>114313.98</v>
      </c>
      <c r="J324" s="101" t="s">
        <v>889</v>
      </c>
      <c r="K324" s="245" t="s">
        <v>390</v>
      </c>
      <c r="L324" s="245">
        <v>42552</v>
      </c>
      <c r="M324" s="245" t="s">
        <v>391</v>
      </c>
      <c r="N324" s="101">
        <v>0</v>
      </c>
      <c r="O324" s="101" t="s">
        <v>392</v>
      </c>
      <c r="P324" s="101">
        <v>0</v>
      </c>
      <c r="Q324" s="101">
        <v>0</v>
      </c>
      <c r="R324" s="101" t="s">
        <v>393</v>
      </c>
      <c r="S324" s="101" t="s">
        <v>534</v>
      </c>
      <c r="T324" s="101" t="s">
        <v>394</v>
      </c>
      <c r="V324" s="245">
        <v>13697</v>
      </c>
      <c r="W324" s="101" t="s">
        <v>535</v>
      </c>
      <c r="X324" s="101" t="s">
        <v>362</v>
      </c>
      <c r="Y324" s="101" t="s">
        <v>471</v>
      </c>
      <c r="Z324" s="101" t="s">
        <v>402</v>
      </c>
      <c r="AA324" s="101" t="s">
        <v>78</v>
      </c>
      <c r="AB324" s="101">
        <v>4101000279</v>
      </c>
      <c r="AC324" s="101" t="s">
        <v>398</v>
      </c>
      <c r="AD324" s="101" t="s">
        <v>403</v>
      </c>
      <c r="AE324" s="101" t="s">
        <v>75</v>
      </c>
      <c r="AF324" s="101" t="s">
        <v>400</v>
      </c>
      <c r="AI324" s="101" t="s">
        <v>760</v>
      </c>
    </row>
    <row r="325" spans="1:35">
      <c r="A325" s="246" t="s">
        <v>111</v>
      </c>
      <c r="B325" s="246" t="s">
        <v>78</v>
      </c>
      <c r="C325" s="246" t="s">
        <v>126</v>
      </c>
      <c r="D325" s="246" t="s">
        <v>768</v>
      </c>
      <c r="E325" s="246" t="s">
        <v>769</v>
      </c>
      <c r="F325" s="246"/>
      <c r="G325" s="132" t="s">
        <v>536</v>
      </c>
      <c r="H325" s="132" t="s">
        <v>1173</v>
      </c>
      <c r="I325" s="132">
        <v>114313.98</v>
      </c>
      <c r="J325" s="101" t="s">
        <v>889</v>
      </c>
      <c r="K325" s="245" t="s">
        <v>390</v>
      </c>
      <c r="L325" s="245">
        <v>42738</v>
      </c>
      <c r="M325" s="245" t="s">
        <v>391</v>
      </c>
      <c r="N325" s="101">
        <v>0</v>
      </c>
      <c r="O325" s="101" t="s">
        <v>392</v>
      </c>
      <c r="P325" s="101">
        <v>0</v>
      </c>
      <c r="Q325" s="101">
        <v>0</v>
      </c>
      <c r="R325" s="101" t="s">
        <v>393</v>
      </c>
      <c r="S325" s="101" t="s">
        <v>534</v>
      </c>
      <c r="T325" s="101" t="s">
        <v>394</v>
      </c>
      <c r="V325" s="245">
        <v>13697</v>
      </c>
      <c r="W325" s="101" t="s">
        <v>535</v>
      </c>
      <c r="X325" s="101" t="s">
        <v>362</v>
      </c>
      <c r="Y325" s="101" t="s">
        <v>471</v>
      </c>
      <c r="Z325" s="101" t="s">
        <v>402</v>
      </c>
      <c r="AA325" s="101" t="s">
        <v>78</v>
      </c>
      <c r="AB325" s="101">
        <v>4101000279</v>
      </c>
      <c r="AC325" s="101" t="s">
        <v>398</v>
      </c>
      <c r="AD325" s="101" t="s">
        <v>403</v>
      </c>
      <c r="AE325" s="101" t="s">
        <v>75</v>
      </c>
      <c r="AF325" s="101" t="s">
        <v>400</v>
      </c>
      <c r="AI325" s="101" t="s">
        <v>760</v>
      </c>
    </row>
    <row r="326" spans="1:35">
      <c r="A326" s="246" t="s">
        <v>112</v>
      </c>
      <c r="B326" s="246" t="s">
        <v>78</v>
      </c>
      <c r="C326" s="246" t="s">
        <v>126</v>
      </c>
      <c r="D326" s="246" t="s">
        <v>341</v>
      </c>
      <c r="E326" s="246" t="s">
        <v>342</v>
      </c>
      <c r="F326" s="246"/>
      <c r="G326" s="132" t="s">
        <v>536</v>
      </c>
      <c r="H326" s="132" t="s">
        <v>1173</v>
      </c>
      <c r="I326" s="132">
        <v>114313.98</v>
      </c>
      <c r="J326" s="101" t="s">
        <v>889</v>
      </c>
      <c r="K326" s="245" t="s">
        <v>390</v>
      </c>
      <c r="L326" s="245">
        <v>42919</v>
      </c>
      <c r="M326" s="245" t="s">
        <v>391</v>
      </c>
      <c r="N326" s="101">
        <v>0</v>
      </c>
      <c r="O326" s="101" t="s">
        <v>392</v>
      </c>
      <c r="P326" s="101">
        <v>0</v>
      </c>
      <c r="Q326" s="101">
        <v>0</v>
      </c>
      <c r="R326" s="101" t="s">
        <v>393</v>
      </c>
      <c r="S326" s="101" t="s">
        <v>534</v>
      </c>
      <c r="T326" s="101" t="s">
        <v>394</v>
      </c>
      <c r="V326" s="245">
        <v>13697</v>
      </c>
      <c r="W326" s="101" t="s">
        <v>535</v>
      </c>
      <c r="X326" s="101" t="s">
        <v>362</v>
      </c>
      <c r="Y326" s="101" t="s">
        <v>471</v>
      </c>
      <c r="Z326" s="101" t="s">
        <v>402</v>
      </c>
      <c r="AA326" s="101" t="s">
        <v>78</v>
      </c>
      <c r="AB326" s="101">
        <v>4101000279</v>
      </c>
      <c r="AC326" s="101" t="s">
        <v>398</v>
      </c>
      <c r="AD326" s="101" t="s">
        <v>403</v>
      </c>
      <c r="AE326" s="101" t="s">
        <v>75</v>
      </c>
      <c r="AF326" s="101" t="s">
        <v>400</v>
      </c>
      <c r="AI326" s="101" t="s">
        <v>760</v>
      </c>
    </row>
    <row r="327" spans="1:35">
      <c r="A327" s="246" t="s">
        <v>113</v>
      </c>
      <c r="B327" s="246" t="s">
        <v>78</v>
      </c>
      <c r="C327" s="246" t="s">
        <v>126</v>
      </c>
      <c r="D327" s="246" t="s">
        <v>339</v>
      </c>
      <c r="E327" s="246" t="s">
        <v>340</v>
      </c>
      <c r="F327" s="246"/>
      <c r="G327" s="132" t="s">
        <v>536</v>
      </c>
      <c r="H327" s="132" t="s">
        <v>1173</v>
      </c>
      <c r="I327" s="132">
        <v>114313.98</v>
      </c>
      <c r="J327" s="101" t="s">
        <v>889</v>
      </c>
      <c r="K327" s="245" t="s">
        <v>390</v>
      </c>
      <c r="L327" s="245">
        <v>43102</v>
      </c>
      <c r="M327" s="245" t="s">
        <v>391</v>
      </c>
      <c r="N327" s="101">
        <v>0</v>
      </c>
      <c r="O327" s="101" t="s">
        <v>392</v>
      </c>
      <c r="P327" s="101">
        <v>0</v>
      </c>
      <c r="Q327" s="101">
        <v>0</v>
      </c>
      <c r="R327" s="101" t="s">
        <v>393</v>
      </c>
      <c r="S327" s="101" t="s">
        <v>534</v>
      </c>
      <c r="T327" s="101" t="s">
        <v>394</v>
      </c>
      <c r="V327" s="245">
        <v>13697</v>
      </c>
      <c r="W327" s="101" t="s">
        <v>535</v>
      </c>
      <c r="X327" s="101" t="s">
        <v>362</v>
      </c>
      <c r="Y327" s="101" t="s">
        <v>471</v>
      </c>
      <c r="Z327" s="101" t="s">
        <v>402</v>
      </c>
      <c r="AA327" s="101" t="s">
        <v>78</v>
      </c>
      <c r="AB327" s="101">
        <v>4101000279</v>
      </c>
      <c r="AC327" s="101" t="s">
        <v>398</v>
      </c>
      <c r="AD327" s="101" t="s">
        <v>403</v>
      </c>
      <c r="AE327" s="101" t="s">
        <v>75</v>
      </c>
      <c r="AF327" s="101" t="s">
        <v>400</v>
      </c>
      <c r="AI327" s="101" t="s">
        <v>760</v>
      </c>
    </row>
    <row r="328" spans="1:35">
      <c r="A328" s="246" t="s">
        <v>113</v>
      </c>
      <c r="B328" s="246" t="s">
        <v>78</v>
      </c>
      <c r="C328" s="246" t="s">
        <v>126</v>
      </c>
      <c r="D328" s="246" t="s">
        <v>339</v>
      </c>
      <c r="E328" s="246" t="s">
        <v>340</v>
      </c>
      <c r="F328" s="246" t="s">
        <v>279</v>
      </c>
      <c r="G328" s="132" t="s">
        <v>1041</v>
      </c>
      <c r="H328" s="132" t="s">
        <v>1042</v>
      </c>
      <c r="I328" s="132">
        <v>-25.71</v>
      </c>
      <c r="J328" s="101" t="s">
        <v>889</v>
      </c>
      <c r="K328" s="245" t="s">
        <v>390</v>
      </c>
      <c r="L328" s="245">
        <v>43098</v>
      </c>
      <c r="M328" s="245" t="s">
        <v>391</v>
      </c>
      <c r="N328" s="101">
        <v>0</v>
      </c>
      <c r="O328" s="101" t="s">
        <v>392</v>
      </c>
      <c r="P328" s="101">
        <v>0</v>
      </c>
      <c r="Q328" s="101">
        <v>0</v>
      </c>
      <c r="R328" s="101" t="s">
        <v>393</v>
      </c>
      <c r="S328" s="101" t="s">
        <v>866</v>
      </c>
      <c r="T328" s="101" t="s">
        <v>394</v>
      </c>
      <c r="V328" s="245">
        <v>46387</v>
      </c>
      <c r="W328" s="101" t="s">
        <v>395</v>
      </c>
      <c r="X328" s="101" t="s">
        <v>795</v>
      </c>
      <c r="Y328" s="101" t="s">
        <v>396</v>
      </c>
      <c r="Z328" s="101" t="s">
        <v>393</v>
      </c>
      <c r="AA328" s="101" t="s">
        <v>78</v>
      </c>
      <c r="AB328" s="101">
        <v>4101000279</v>
      </c>
      <c r="AC328" s="101" t="s">
        <v>398</v>
      </c>
      <c r="AD328" s="101" t="s">
        <v>399</v>
      </c>
      <c r="AE328" s="101" t="s">
        <v>6</v>
      </c>
      <c r="AF328" s="101" t="s">
        <v>400</v>
      </c>
      <c r="AI328" s="101" t="s">
        <v>760</v>
      </c>
    </row>
    <row r="329" spans="1:35">
      <c r="A329" s="246" t="s">
        <v>113</v>
      </c>
      <c r="B329" s="246" t="s">
        <v>78</v>
      </c>
      <c r="C329" s="246" t="s">
        <v>126</v>
      </c>
      <c r="D329" s="246" t="s">
        <v>339</v>
      </c>
      <c r="E329" s="246" t="s">
        <v>340</v>
      </c>
      <c r="F329" s="246" t="s">
        <v>279</v>
      </c>
      <c r="G329" s="132" t="s">
        <v>1043</v>
      </c>
      <c r="H329" s="132" t="s">
        <v>1044</v>
      </c>
      <c r="I329" s="132">
        <v>-2317.27</v>
      </c>
      <c r="J329" s="101" t="s">
        <v>889</v>
      </c>
      <c r="K329" s="245" t="s">
        <v>390</v>
      </c>
      <c r="L329" s="245">
        <v>43188</v>
      </c>
      <c r="M329" s="245" t="s">
        <v>391</v>
      </c>
      <c r="N329" s="101">
        <v>0</v>
      </c>
      <c r="O329" s="101" t="s">
        <v>392</v>
      </c>
      <c r="P329" s="101">
        <v>0</v>
      </c>
      <c r="Q329" s="101">
        <v>0</v>
      </c>
      <c r="R329" s="101" t="s">
        <v>393</v>
      </c>
      <c r="S329" s="101" t="s">
        <v>866</v>
      </c>
      <c r="T329" s="101" t="s">
        <v>394</v>
      </c>
      <c r="V329" s="245">
        <v>46387</v>
      </c>
      <c r="W329" s="101" t="s">
        <v>395</v>
      </c>
      <c r="X329" s="101" t="s">
        <v>795</v>
      </c>
      <c r="Y329" s="101" t="s">
        <v>396</v>
      </c>
      <c r="Z329" s="101" t="s">
        <v>393</v>
      </c>
      <c r="AA329" s="101" t="s">
        <v>78</v>
      </c>
      <c r="AB329" s="101">
        <v>4101000279</v>
      </c>
      <c r="AC329" s="101" t="s">
        <v>398</v>
      </c>
      <c r="AD329" s="101" t="s">
        <v>399</v>
      </c>
      <c r="AE329" s="101" t="s">
        <v>6</v>
      </c>
      <c r="AF329" s="101" t="s">
        <v>400</v>
      </c>
      <c r="AI329" s="101" t="s">
        <v>760</v>
      </c>
    </row>
    <row r="330" spans="1:35">
      <c r="A330" s="246" t="s">
        <v>107</v>
      </c>
      <c r="B330" s="246" t="s">
        <v>66</v>
      </c>
      <c r="C330" s="246" t="s">
        <v>126</v>
      </c>
      <c r="D330" s="246" t="s">
        <v>1769</v>
      </c>
      <c r="E330" s="246"/>
      <c r="F330" s="246"/>
      <c r="G330" s="132" t="s">
        <v>721</v>
      </c>
      <c r="H330" s="132" t="s">
        <v>1174</v>
      </c>
      <c r="I330" s="132">
        <v>-63631.040000000001</v>
      </c>
      <c r="J330" s="101" t="s">
        <v>889</v>
      </c>
      <c r="K330" s="245" t="s">
        <v>390</v>
      </c>
      <c r="L330" s="245">
        <v>42522</v>
      </c>
      <c r="M330" s="245" t="s">
        <v>391</v>
      </c>
      <c r="N330" s="101">
        <v>0</v>
      </c>
      <c r="O330" s="101" t="s">
        <v>392</v>
      </c>
      <c r="P330" s="101">
        <v>0</v>
      </c>
      <c r="Q330" s="101">
        <v>0</v>
      </c>
      <c r="R330" s="101" t="s">
        <v>444</v>
      </c>
      <c r="S330" s="101" t="s">
        <v>722</v>
      </c>
      <c r="T330" s="101" t="s">
        <v>394</v>
      </c>
      <c r="U330" s="101" t="s">
        <v>86</v>
      </c>
      <c r="V330" s="245">
        <v>17319</v>
      </c>
      <c r="W330" s="101" t="s">
        <v>445</v>
      </c>
      <c r="X330" s="101" t="s">
        <v>76</v>
      </c>
      <c r="Y330" s="101" t="s">
        <v>392</v>
      </c>
      <c r="Z330" s="101" t="s">
        <v>412</v>
      </c>
      <c r="AA330" s="101" t="s">
        <v>723</v>
      </c>
      <c r="AB330" s="101">
        <v>101002516</v>
      </c>
      <c r="AC330" s="101" t="s">
        <v>414</v>
      </c>
      <c r="AD330" s="101" t="s">
        <v>79</v>
      </c>
      <c r="AE330" s="101" t="s">
        <v>75</v>
      </c>
      <c r="AF330" s="101" t="s">
        <v>400</v>
      </c>
      <c r="AI330" s="101" t="s">
        <v>172</v>
      </c>
    </row>
    <row r="331" spans="1:35">
      <c r="A331" s="246" t="s">
        <v>111</v>
      </c>
      <c r="B331" s="246" t="s">
        <v>66</v>
      </c>
      <c r="C331" s="246" t="s">
        <v>126</v>
      </c>
      <c r="D331" s="246" t="s">
        <v>273</v>
      </c>
      <c r="E331" s="246"/>
      <c r="F331" s="246"/>
      <c r="G331" s="132" t="s">
        <v>721</v>
      </c>
      <c r="H331" s="132" t="s">
        <v>1174</v>
      </c>
      <c r="I331" s="132">
        <v>-63631.040000000001</v>
      </c>
      <c r="J331" s="101" t="s">
        <v>889</v>
      </c>
      <c r="K331" s="245" t="s">
        <v>390</v>
      </c>
      <c r="L331" s="245">
        <v>42705</v>
      </c>
      <c r="M331" s="245" t="s">
        <v>391</v>
      </c>
      <c r="N331" s="101">
        <v>0</v>
      </c>
      <c r="O331" s="101" t="s">
        <v>392</v>
      </c>
      <c r="P331" s="101">
        <v>0</v>
      </c>
      <c r="Q331" s="101">
        <v>0</v>
      </c>
      <c r="R331" s="101" t="s">
        <v>444</v>
      </c>
      <c r="S331" s="101" t="s">
        <v>722</v>
      </c>
      <c r="T331" s="101" t="s">
        <v>394</v>
      </c>
      <c r="U331" s="101" t="s">
        <v>86</v>
      </c>
      <c r="V331" s="245">
        <v>17319</v>
      </c>
      <c r="W331" s="101" t="s">
        <v>445</v>
      </c>
      <c r="X331" s="101" t="s">
        <v>76</v>
      </c>
      <c r="Y331" s="101" t="s">
        <v>392</v>
      </c>
      <c r="Z331" s="101" t="s">
        <v>412</v>
      </c>
      <c r="AA331" s="101" t="s">
        <v>723</v>
      </c>
      <c r="AB331" s="101">
        <v>101002516</v>
      </c>
      <c r="AC331" s="101" t="s">
        <v>414</v>
      </c>
      <c r="AD331" s="101" t="s">
        <v>79</v>
      </c>
      <c r="AE331" s="101" t="s">
        <v>75</v>
      </c>
      <c r="AF331" s="101" t="s">
        <v>400</v>
      </c>
      <c r="AI331" s="101" t="s">
        <v>172</v>
      </c>
    </row>
    <row r="332" spans="1:35">
      <c r="A332" s="246" t="s">
        <v>112</v>
      </c>
      <c r="B332" s="246" t="s">
        <v>66</v>
      </c>
      <c r="C332" s="246" t="s">
        <v>126</v>
      </c>
      <c r="D332" s="246" t="s">
        <v>270</v>
      </c>
      <c r="E332" s="246"/>
      <c r="F332" s="246"/>
      <c r="G332" s="132" t="s">
        <v>721</v>
      </c>
      <c r="H332" s="132" t="s">
        <v>1174</v>
      </c>
      <c r="I332" s="132">
        <v>-63631.040000000001</v>
      </c>
      <c r="J332" s="101" t="s">
        <v>889</v>
      </c>
      <c r="K332" s="245" t="s">
        <v>390</v>
      </c>
      <c r="L332" s="245">
        <v>42887</v>
      </c>
      <c r="M332" s="245" t="s">
        <v>391</v>
      </c>
      <c r="N332" s="101">
        <v>0</v>
      </c>
      <c r="O332" s="101" t="s">
        <v>392</v>
      </c>
      <c r="P332" s="101">
        <v>0</v>
      </c>
      <c r="Q332" s="101">
        <v>0</v>
      </c>
      <c r="R332" s="101" t="s">
        <v>444</v>
      </c>
      <c r="S332" s="101" t="s">
        <v>722</v>
      </c>
      <c r="T332" s="101" t="s">
        <v>394</v>
      </c>
      <c r="U332" s="101" t="s">
        <v>86</v>
      </c>
      <c r="V332" s="245">
        <v>17319</v>
      </c>
      <c r="W332" s="101" t="s">
        <v>445</v>
      </c>
      <c r="X332" s="101" t="s">
        <v>76</v>
      </c>
      <c r="Y332" s="101" t="s">
        <v>392</v>
      </c>
      <c r="Z332" s="101" t="s">
        <v>412</v>
      </c>
      <c r="AA332" s="101" t="s">
        <v>723</v>
      </c>
      <c r="AB332" s="101">
        <v>101002516</v>
      </c>
      <c r="AC332" s="101" t="s">
        <v>414</v>
      </c>
      <c r="AD332" s="101" t="s">
        <v>79</v>
      </c>
      <c r="AE332" s="101" t="s">
        <v>75</v>
      </c>
      <c r="AF332" s="101" t="s">
        <v>400</v>
      </c>
      <c r="AI332" s="101" t="s">
        <v>172</v>
      </c>
    </row>
    <row r="333" spans="1:35">
      <c r="A333" s="246" t="s">
        <v>113</v>
      </c>
      <c r="B333" s="246" t="s">
        <v>66</v>
      </c>
      <c r="C333" s="246" t="s">
        <v>126</v>
      </c>
      <c r="D333" s="246" t="s">
        <v>271</v>
      </c>
      <c r="E333" s="246"/>
      <c r="F333" s="246"/>
      <c r="G333" s="132" t="s">
        <v>721</v>
      </c>
      <c r="H333" s="132" t="s">
        <v>1174</v>
      </c>
      <c r="I333" s="132">
        <v>-63631.040000000001</v>
      </c>
      <c r="J333" s="101" t="s">
        <v>889</v>
      </c>
      <c r="K333" s="245" t="s">
        <v>390</v>
      </c>
      <c r="L333" s="245">
        <v>43070</v>
      </c>
      <c r="M333" s="245" t="s">
        <v>391</v>
      </c>
      <c r="N333" s="101">
        <v>0</v>
      </c>
      <c r="O333" s="101" t="s">
        <v>392</v>
      </c>
      <c r="P333" s="101">
        <v>0</v>
      </c>
      <c r="Q333" s="101">
        <v>0</v>
      </c>
      <c r="R333" s="101" t="s">
        <v>444</v>
      </c>
      <c r="S333" s="101" t="s">
        <v>722</v>
      </c>
      <c r="T333" s="101" t="s">
        <v>394</v>
      </c>
      <c r="U333" s="101" t="s">
        <v>86</v>
      </c>
      <c r="V333" s="245">
        <v>17319</v>
      </c>
      <c r="W333" s="101" t="s">
        <v>445</v>
      </c>
      <c r="X333" s="101" t="s">
        <v>76</v>
      </c>
      <c r="Y333" s="101" t="s">
        <v>392</v>
      </c>
      <c r="Z333" s="101" t="s">
        <v>412</v>
      </c>
      <c r="AA333" s="101" t="s">
        <v>723</v>
      </c>
      <c r="AB333" s="101">
        <v>101002516</v>
      </c>
      <c r="AC333" s="101" t="s">
        <v>414</v>
      </c>
      <c r="AD333" s="101" t="s">
        <v>79</v>
      </c>
      <c r="AE333" s="101" t="s">
        <v>75</v>
      </c>
      <c r="AF333" s="101" t="s">
        <v>400</v>
      </c>
      <c r="AI333" s="101" t="s">
        <v>172</v>
      </c>
    </row>
    <row r="334" spans="1:35">
      <c r="A334" s="246" t="s">
        <v>107</v>
      </c>
      <c r="B334" s="246" t="s">
        <v>66</v>
      </c>
      <c r="C334" s="246" t="s">
        <v>126</v>
      </c>
      <c r="D334" s="246" t="s">
        <v>1769</v>
      </c>
      <c r="E334" s="246"/>
      <c r="F334" s="246"/>
      <c r="G334" s="132">
        <v>0</v>
      </c>
      <c r="H334" s="132">
        <v>0</v>
      </c>
      <c r="I334" s="132">
        <v>0</v>
      </c>
      <c r="J334" s="101" t="s">
        <v>889</v>
      </c>
      <c r="K334" s="245" t="s">
        <v>390</v>
      </c>
      <c r="L334" s="245">
        <v>42522</v>
      </c>
      <c r="M334" s="245" t="s">
        <v>391</v>
      </c>
      <c r="N334" s="101">
        <v>0</v>
      </c>
      <c r="O334" s="101" t="s">
        <v>392</v>
      </c>
      <c r="P334" s="101">
        <v>0</v>
      </c>
      <c r="Q334" s="101">
        <v>0</v>
      </c>
      <c r="R334" s="101" t="s">
        <v>428</v>
      </c>
      <c r="S334" s="101">
        <v>148669</v>
      </c>
      <c r="T334" s="101" t="s">
        <v>394</v>
      </c>
      <c r="V334" s="245">
        <v>43433</v>
      </c>
      <c r="W334" s="101" t="s">
        <v>424</v>
      </c>
      <c r="X334" s="101" t="s">
        <v>429</v>
      </c>
      <c r="Y334" s="101" t="s">
        <v>392</v>
      </c>
      <c r="Z334" s="101" t="s">
        <v>430</v>
      </c>
      <c r="AA334" s="101" t="s">
        <v>397</v>
      </c>
      <c r="AB334" s="101">
        <v>5101000018</v>
      </c>
      <c r="AC334" s="101" t="s">
        <v>431</v>
      </c>
      <c r="AD334" s="101" t="s">
        <v>431</v>
      </c>
      <c r="AE334" s="101" t="s">
        <v>75</v>
      </c>
      <c r="AF334" s="101" t="s">
        <v>400</v>
      </c>
      <c r="AG334" s="101" t="s">
        <v>704</v>
      </c>
      <c r="AI334" s="101" t="s">
        <v>760</v>
      </c>
    </row>
    <row r="335" spans="1:35">
      <c r="A335" s="246" t="s">
        <v>109</v>
      </c>
      <c r="B335" s="246" t="s">
        <v>66</v>
      </c>
      <c r="C335" s="246" t="s">
        <v>126</v>
      </c>
      <c r="D335" s="246" t="s">
        <v>272</v>
      </c>
      <c r="E335" s="246"/>
      <c r="F335" s="246"/>
      <c r="G335" s="132">
        <v>0</v>
      </c>
      <c r="H335" s="132">
        <v>0</v>
      </c>
      <c r="I335" s="132">
        <v>0</v>
      </c>
      <c r="J335" s="101" t="s">
        <v>889</v>
      </c>
      <c r="K335" s="245" t="s">
        <v>390</v>
      </c>
      <c r="L335" s="245">
        <v>42552</v>
      </c>
      <c r="M335" s="245" t="s">
        <v>391</v>
      </c>
      <c r="N335" s="101">
        <v>0</v>
      </c>
      <c r="O335" s="101" t="s">
        <v>392</v>
      </c>
      <c r="P335" s="101">
        <v>0</v>
      </c>
      <c r="Q335" s="101">
        <v>0</v>
      </c>
      <c r="R335" s="101" t="s">
        <v>428</v>
      </c>
      <c r="S335" s="101">
        <v>148669</v>
      </c>
      <c r="T335" s="101" t="s">
        <v>394</v>
      </c>
      <c r="V335" s="245">
        <v>43433</v>
      </c>
      <c r="W335" s="101" t="s">
        <v>424</v>
      </c>
      <c r="X335" s="101" t="s">
        <v>429</v>
      </c>
      <c r="Y335" s="101" t="s">
        <v>392</v>
      </c>
      <c r="Z335" s="101" t="s">
        <v>430</v>
      </c>
      <c r="AA335" s="101" t="s">
        <v>397</v>
      </c>
      <c r="AB335" s="101">
        <v>5101000018</v>
      </c>
      <c r="AC335" s="101" t="s">
        <v>431</v>
      </c>
      <c r="AD335" s="101" t="s">
        <v>431</v>
      </c>
      <c r="AE335" s="101" t="s">
        <v>75</v>
      </c>
      <c r="AF335" s="101" t="s">
        <v>400</v>
      </c>
      <c r="AG335" s="101" t="s">
        <v>704</v>
      </c>
      <c r="AI335" s="101" t="s">
        <v>760</v>
      </c>
    </row>
    <row r="336" spans="1:35">
      <c r="A336" s="246" t="s">
        <v>109</v>
      </c>
      <c r="B336" s="246" t="s">
        <v>66</v>
      </c>
      <c r="C336" s="246" t="s">
        <v>126</v>
      </c>
      <c r="D336" s="246" t="s">
        <v>272</v>
      </c>
      <c r="E336" s="246"/>
      <c r="F336" s="246"/>
      <c r="G336" s="132">
        <v>0</v>
      </c>
      <c r="H336" s="132">
        <v>0</v>
      </c>
      <c r="I336" s="132">
        <v>0</v>
      </c>
      <c r="J336" s="101" t="s">
        <v>889</v>
      </c>
      <c r="K336" s="245" t="s">
        <v>390</v>
      </c>
      <c r="L336" s="245">
        <v>42583</v>
      </c>
      <c r="M336" s="245" t="s">
        <v>391</v>
      </c>
      <c r="N336" s="101">
        <v>0</v>
      </c>
      <c r="O336" s="101" t="s">
        <v>392</v>
      </c>
      <c r="P336" s="101">
        <v>0</v>
      </c>
      <c r="Q336" s="101">
        <v>0</v>
      </c>
      <c r="R336" s="101" t="s">
        <v>428</v>
      </c>
      <c r="S336" s="101">
        <v>148669</v>
      </c>
      <c r="T336" s="101" t="s">
        <v>394</v>
      </c>
      <c r="V336" s="245">
        <v>43433</v>
      </c>
      <c r="W336" s="101" t="s">
        <v>424</v>
      </c>
      <c r="X336" s="101" t="s">
        <v>429</v>
      </c>
      <c r="Y336" s="101" t="s">
        <v>392</v>
      </c>
      <c r="Z336" s="101" t="s">
        <v>430</v>
      </c>
      <c r="AA336" s="101" t="s">
        <v>397</v>
      </c>
      <c r="AB336" s="101">
        <v>5101000018</v>
      </c>
      <c r="AC336" s="101" t="s">
        <v>431</v>
      </c>
      <c r="AD336" s="101" t="s">
        <v>431</v>
      </c>
      <c r="AE336" s="101" t="s">
        <v>75</v>
      </c>
      <c r="AF336" s="101" t="s">
        <v>400</v>
      </c>
      <c r="AG336" s="101" t="s">
        <v>704</v>
      </c>
      <c r="AI336" s="101" t="s">
        <v>760</v>
      </c>
    </row>
    <row r="337" spans="1:35">
      <c r="A337" s="246" t="s">
        <v>110</v>
      </c>
      <c r="B337" s="246" t="s">
        <v>66</v>
      </c>
      <c r="C337" s="246" t="s">
        <v>126</v>
      </c>
      <c r="D337" s="246" t="s">
        <v>281</v>
      </c>
      <c r="E337" s="246"/>
      <c r="F337" s="246"/>
      <c r="G337" s="132">
        <v>0</v>
      </c>
      <c r="H337" s="132">
        <v>0</v>
      </c>
      <c r="I337" s="132">
        <v>0</v>
      </c>
      <c r="J337" s="101" t="s">
        <v>889</v>
      </c>
      <c r="K337" s="245" t="s">
        <v>390</v>
      </c>
      <c r="L337" s="245">
        <v>42614</v>
      </c>
      <c r="M337" s="245" t="s">
        <v>391</v>
      </c>
      <c r="N337" s="101">
        <v>0</v>
      </c>
      <c r="O337" s="101" t="s">
        <v>392</v>
      </c>
      <c r="P337" s="101">
        <v>0</v>
      </c>
      <c r="Q337" s="101">
        <v>0</v>
      </c>
      <c r="R337" s="101" t="s">
        <v>428</v>
      </c>
      <c r="S337" s="101">
        <v>148669</v>
      </c>
      <c r="T337" s="101" t="s">
        <v>394</v>
      </c>
      <c r="V337" s="245">
        <v>43433</v>
      </c>
      <c r="W337" s="101" t="s">
        <v>424</v>
      </c>
      <c r="X337" s="101" t="s">
        <v>429</v>
      </c>
      <c r="Y337" s="101" t="s">
        <v>392</v>
      </c>
      <c r="Z337" s="101" t="s">
        <v>430</v>
      </c>
      <c r="AA337" s="101" t="s">
        <v>397</v>
      </c>
      <c r="AB337" s="101">
        <v>5101000018</v>
      </c>
      <c r="AC337" s="101" t="s">
        <v>431</v>
      </c>
      <c r="AD337" s="101" t="s">
        <v>431</v>
      </c>
      <c r="AE337" s="101" t="s">
        <v>75</v>
      </c>
      <c r="AF337" s="101" t="s">
        <v>400</v>
      </c>
      <c r="AG337" s="101" t="s">
        <v>704</v>
      </c>
      <c r="AI337" s="101" t="s">
        <v>760</v>
      </c>
    </row>
    <row r="338" spans="1:35">
      <c r="A338" s="246" t="s">
        <v>110</v>
      </c>
      <c r="B338" s="246" t="s">
        <v>66</v>
      </c>
      <c r="C338" s="246" t="s">
        <v>126</v>
      </c>
      <c r="D338" s="246" t="s">
        <v>281</v>
      </c>
      <c r="E338" s="246"/>
      <c r="F338" s="246"/>
      <c r="G338" s="132">
        <v>0</v>
      </c>
      <c r="H338" s="132">
        <v>0</v>
      </c>
      <c r="I338" s="132">
        <v>0</v>
      </c>
      <c r="J338" s="101" t="s">
        <v>889</v>
      </c>
      <c r="K338" s="245" t="s">
        <v>390</v>
      </c>
      <c r="L338" s="245">
        <v>42646</v>
      </c>
      <c r="M338" s="245" t="s">
        <v>391</v>
      </c>
      <c r="N338" s="101">
        <v>0</v>
      </c>
      <c r="O338" s="101" t="s">
        <v>392</v>
      </c>
      <c r="P338" s="101">
        <v>0</v>
      </c>
      <c r="Q338" s="101">
        <v>0</v>
      </c>
      <c r="R338" s="101" t="s">
        <v>428</v>
      </c>
      <c r="S338" s="101">
        <v>148669</v>
      </c>
      <c r="T338" s="101" t="s">
        <v>394</v>
      </c>
      <c r="V338" s="245">
        <v>43433</v>
      </c>
      <c r="W338" s="101" t="s">
        <v>424</v>
      </c>
      <c r="X338" s="101" t="s">
        <v>429</v>
      </c>
      <c r="Y338" s="101" t="s">
        <v>392</v>
      </c>
      <c r="Z338" s="101" t="s">
        <v>430</v>
      </c>
      <c r="AA338" s="101" t="s">
        <v>397</v>
      </c>
      <c r="AB338" s="101">
        <v>5101000018</v>
      </c>
      <c r="AC338" s="101" t="s">
        <v>431</v>
      </c>
      <c r="AD338" s="101" t="s">
        <v>431</v>
      </c>
      <c r="AE338" s="101" t="s">
        <v>75</v>
      </c>
      <c r="AF338" s="101" t="s">
        <v>400</v>
      </c>
      <c r="AG338" s="101" t="s">
        <v>704</v>
      </c>
      <c r="AI338" s="101" t="s">
        <v>760</v>
      </c>
    </row>
    <row r="339" spans="1:35">
      <c r="A339" s="246" t="s">
        <v>110</v>
      </c>
      <c r="B339" s="246" t="s">
        <v>66</v>
      </c>
      <c r="C339" s="246" t="s">
        <v>126</v>
      </c>
      <c r="D339" s="246" t="s">
        <v>281</v>
      </c>
      <c r="E339" s="246"/>
      <c r="F339" s="246"/>
      <c r="G339" s="132">
        <v>0</v>
      </c>
      <c r="H339" s="132">
        <v>0</v>
      </c>
      <c r="I339" s="132">
        <v>0</v>
      </c>
      <c r="J339" s="101" t="s">
        <v>889</v>
      </c>
      <c r="K339" s="245" t="s">
        <v>390</v>
      </c>
      <c r="L339" s="245">
        <v>42675</v>
      </c>
      <c r="M339" s="245" t="s">
        <v>391</v>
      </c>
      <c r="N339" s="101">
        <v>0</v>
      </c>
      <c r="O339" s="101" t="s">
        <v>392</v>
      </c>
      <c r="P339" s="101">
        <v>0</v>
      </c>
      <c r="Q339" s="101">
        <v>0</v>
      </c>
      <c r="R339" s="101" t="s">
        <v>428</v>
      </c>
      <c r="S339" s="101">
        <v>148669</v>
      </c>
      <c r="T339" s="101" t="s">
        <v>394</v>
      </c>
      <c r="V339" s="245">
        <v>43433</v>
      </c>
      <c r="W339" s="101" t="s">
        <v>424</v>
      </c>
      <c r="X339" s="101" t="s">
        <v>429</v>
      </c>
      <c r="Y339" s="101" t="s">
        <v>392</v>
      </c>
      <c r="Z339" s="101" t="s">
        <v>430</v>
      </c>
      <c r="AA339" s="101" t="s">
        <v>397</v>
      </c>
      <c r="AB339" s="101">
        <v>5101000018</v>
      </c>
      <c r="AC339" s="101" t="s">
        <v>431</v>
      </c>
      <c r="AD339" s="101" t="s">
        <v>431</v>
      </c>
      <c r="AE339" s="101" t="s">
        <v>75</v>
      </c>
      <c r="AF339" s="101" t="s">
        <v>400</v>
      </c>
      <c r="AG339" s="101" t="s">
        <v>704</v>
      </c>
      <c r="AI339" s="101" t="s">
        <v>760</v>
      </c>
    </row>
    <row r="340" spans="1:35">
      <c r="A340" s="246" t="s">
        <v>111</v>
      </c>
      <c r="B340" s="246" t="s">
        <v>66</v>
      </c>
      <c r="C340" s="246" t="s">
        <v>126</v>
      </c>
      <c r="D340" s="246" t="s">
        <v>273</v>
      </c>
      <c r="E340" s="246"/>
      <c r="F340" s="246"/>
      <c r="G340" s="132">
        <v>0</v>
      </c>
      <c r="H340" s="132">
        <v>0</v>
      </c>
      <c r="I340" s="132">
        <v>0</v>
      </c>
      <c r="J340" s="101" t="s">
        <v>889</v>
      </c>
      <c r="K340" s="245" t="s">
        <v>390</v>
      </c>
      <c r="L340" s="245">
        <v>42705</v>
      </c>
      <c r="M340" s="245" t="s">
        <v>391</v>
      </c>
      <c r="N340" s="101">
        <v>0</v>
      </c>
      <c r="O340" s="101" t="s">
        <v>392</v>
      </c>
      <c r="P340" s="101">
        <v>0</v>
      </c>
      <c r="Q340" s="101">
        <v>0</v>
      </c>
      <c r="R340" s="101" t="s">
        <v>428</v>
      </c>
      <c r="S340" s="101">
        <v>148669</v>
      </c>
      <c r="T340" s="101" t="s">
        <v>394</v>
      </c>
      <c r="V340" s="245">
        <v>43433</v>
      </c>
      <c r="W340" s="101" t="s">
        <v>424</v>
      </c>
      <c r="X340" s="101" t="s">
        <v>429</v>
      </c>
      <c r="Y340" s="101" t="s">
        <v>392</v>
      </c>
      <c r="Z340" s="101" t="s">
        <v>430</v>
      </c>
      <c r="AA340" s="101" t="s">
        <v>397</v>
      </c>
      <c r="AB340" s="101">
        <v>5101000018</v>
      </c>
      <c r="AC340" s="101" t="s">
        <v>431</v>
      </c>
      <c r="AD340" s="101" t="s">
        <v>431</v>
      </c>
      <c r="AE340" s="101" t="s">
        <v>75</v>
      </c>
      <c r="AF340" s="101" t="s">
        <v>400</v>
      </c>
      <c r="AG340" s="101" t="s">
        <v>704</v>
      </c>
      <c r="AI340" s="101" t="s">
        <v>760</v>
      </c>
    </row>
    <row r="341" spans="1:35">
      <c r="A341" s="246" t="s">
        <v>110</v>
      </c>
      <c r="B341" s="246" t="s">
        <v>66</v>
      </c>
      <c r="C341" s="246" t="s">
        <v>264</v>
      </c>
      <c r="D341" s="246" t="s">
        <v>289</v>
      </c>
      <c r="E341" s="246"/>
      <c r="F341" s="246"/>
      <c r="G341" s="132" t="s">
        <v>487</v>
      </c>
      <c r="H341" s="132" t="s">
        <v>1175</v>
      </c>
      <c r="I341" s="132">
        <v>7426564.8600000003</v>
      </c>
      <c r="J341" s="101" t="s">
        <v>889</v>
      </c>
      <c r="K341" s="245" t="s">
        <v>390</v>
      </c>
      <c r="L341" s="245">
        <v>42613</v>
      </c>
      <c r="M341" s="245" t="s">
        <v>421</v>
      </c>
      <c r="N341" s="101">
        <v>0</v>
      </c>
      <c r="O341" s="101" t="s">
        <v>392</v>
      </c>
      <c r="P341" s="101">
        <v>0</v>
      </c>
      <c r="Q341" s="101">
        <v>0</v>
      </c>
      <c r="R341" s="101" t="s">
        <v>410</v>
      </c>
      <c r="S341" s="101" t="s">
        <v>477</v>
      </c>
      <c r="T341" s="101" t="s">
        <v>394</v>
      </c>
      <c r="U341" s="101" t="s">
        <v>81</v>
      </c>
      <c r="V341" s="245">
        <v>46371</v>
      </c>
      <c r="W341" s="101" t="s">
        <v>445</v>
      </c>
      <c r="X341" s="101" t="s">
        <v>76</v>
      </c>
      <c r="Y341" s="101" t="s">
        <v>392</v>
      </c>
      <c r="Z341" s="101" t="s">
        <v>412</v>
      </c>
      <c r="AA341" s="101" t="s">
        <v>478</v>
      </c>
      <c r="AB341" s="101">
        <v>3101053970</v>
      </c>
      <c r="AC341" s="101" t="s">
        <v>414</v>
      </c>
      <c r="AD341" s="101" t="s">
        <v>79</v>
      </c>
      <c r="AE341" s="101" t="s">
        <v>75</v>
      </c>
      <c r="AF341" s="101" t="s">
        <v>400</v>
      </c>
      <c r="AI341" s="101" t="s">
        <v>172</v>
      </c>
    </row>
    <row r="342" spans="1:35">
      <c r="A342" s="246" t="s">
        <v>110</v>
      </c>
      <c r="B342" s="246" t="s">
        <v>66</v>
      </c>
      <c r="C342" s="246" t="s">
        <v>264</v>
      </c>
      <c r="D342" s="246" t="s">
        <v>289</v>
      </c>
      <c r="E342" s="246"/>
      <c r="F342" s="246"/>
      <c r="G342" s="132" t="s">
        <v>488</v>
      </c>
      <c r="H342" s="132" t="s">
        <v>1176</v>
      </c>
      <c r="I342" s="132">
        <v>-1756615.1300000001</v>
      </c>
      <c r="J342" s="101" t="s">
        <v>889</v>
      </c>
      <c r="K342" s="245" t="s">
        <v>390</v>
      </c>
      <c r="L342" s="245">
        <v>42627</v>
      </c>
      <c r="M342" s="245" t="s">
        <v>421</v>
      </c>
      <c r="N342" s="101">
        <v>0</v>
      </c>
      <c r="O342" s="101" t="s">
        <v>392</v>
      </c>
      <c r="P342" s="101">
        <v>0</v>
      </c>
      <c r="Q342" s="101">
        <v>0</v>
      </c>
      <c r="R342" s="101" t="s">
        <v>422</v>
      </c>
      <c r="S342" s="101" t="s">
        <v>477</v>
      </c>
      <c r="T342" s="101" t="s">
        <v>394</v>
      </c>
      <c r="U342" s="101" t="s">
        <v>81</v>
      </c>
      <c r="V342" s="245">
        <v>46371</v>
      </c>
      <c r="W342" s="101" t="s">
        <v>445</v>
      </c>
      <c r="X342" s="101" t="s">
        <v>76</v>
      </c>
      <c r="Y342" s="101" t="s">
        <v>392</v>
      </c>
      <c r="Z342" s="101" t="s">
        <v>412</v>
      </c>
      <c r="AA342" s="101" t="s">
        <v>478</v>
      </c>
      <c r="AB342" s="101">
        <v>3101053970</v>
      </c>
      <c r="AC342" s="101" t="s">
        <v>414</v>
      </c>
      <c r="AD342" s="101" t="s">
        <v>79</v>
      </c>
      <c r="AE342" s="101" t="s">
        <v>75</v>
      </c>
      <c r="AF342" s="101" t="s">
        <v>400</v>
      </c>
      <c r="AI342" s="101" t="s">
        <v>172</v>
      </c>
    </row>
    <row r="343" spans="1:35">
      <c r="A343" s="246" t="s">
        <v>110</v>
      </c>
      <c r="B343" s="246" t="s">
        <v>66</v>
      </c>
      <c r="C343" s="246" t="s">
        <v>126</v>
      </c>
      <c r="D343" s="246" t="s">
        <v>281</v>
      </c>
      <c r="E343" s="246"/>
      <c r="F343" s="246"/>
      <c r="G343" s="132" t="s">
        <v>489</v>
      </c>
      <c r="H343" s="132" t="s">
        <v>1177</v>
      </c>
      <c r="I343" s="132">
        <v>-77588.78</v>
      </c>
      <c r="J343" s="101" t="s">
        <v>889</v>
      </c>
      <c r="K343" s="245" t="s">
        <v>390</v>
      </c>
      <c r="L343" s="245">
        <v>42643</v>
      </c>
      <c r="M343" s="245" t="s">
        <v>391</v>
      </c>
      <c r="N343" s="101">
        <v>0</v>
      </c>
      <c r="O343" s="101" t="s">
        <v>392</v>
      </c>
      <c r="P343" s="101">
        <v>0</v>
      </c>
      <c r="Q343" s="101">
        <v>0</v>
      </c>
      <c r="R343" s="101" t="s">
        <v>422</v>
      </c>
      <c r="S343" s="101" t="s">
        <v>477</v>
      </c>
      <c r="T343" s="101" t="s">
        <v>394</v>
      </c>
      <c r="U343" s="101" t="s">
        <v>81</v>
      </c>
      <c r="V343" s="245">
        <v>46371</v>
      </c>
      <c r="W343" s="101" t="s">
        <v>445</v>
      </c>
      <c r="X343" s="101" t="s">
        <v>76</v>
      </c>
      <c r="Y343" s="101" t="s">
        <v>392</v>
      </c>
      <c r="Z343" s="101" t="s">
        <v>412</v>
      </c>
      <c r="AA343" s="101" t="s">
        <v>478</v>
      </c>
      <c r="AB343" s="101">
        <v>3101053970</v>
      </c>
      <c r="AC343" s="101" t="s">
        <v>414</v>
      </c>
      <c r="AD343" s="101" t="s">
        <v>79</v>
      </c>
      <c r="AE343" s="101" t="s">
        <v>75</v>
      </c>
      <c r="AF343" s="101" t="s">
        <v>400</v>
      </c>
      <c r="AI343" s="101" t="s">
        <v>172</v>
      </c>
    </row>
    <row r="344" spans="1:35">
      <c r="A344" s="246" t="s">
        <v>110</v>
      </c>
      <c r="B344" s="246" t="s">
        <v>66</v>
      </c>
      <c r="C344" s="246" t="s">
        <v>264</v>
      </c>
      <c r="D344" s="246" t="s">
        <v>289</v>
      </c>
      <c r="E344" s="246"/>
      <c r="F344" s="246"/>
      <c r="G344" s="132" t="s">
        <v>490</v>
      </c>
      <c r="H344" s="132" t="s">
        <v>1178</v>
      </c>
      <c r="I344" s="132">
        <v>7539625.5899999999</v>
      </c>
      <c r="J344" s="101" t="s">
        <v>889</v>
      </c>
      <c r="K344" s="245" t="s">
        <v>390</v>
      </c>
      <c r="L344" s="245">
        <v>42643</v>
      </c>
      <c r="M344" s="245" t="s">
        <v>421</v>
      </c>
      <c r="N344" s="101">
        <v>0</v>
      </c>
      <c r="O344" s="101" t="s">
        <v>392</v>
      </c>
      <c r="P344" s="101">
        <v>0</v>
      </c>
      <c r="Q344" s="101">
        <v>0</v>
      </c>
      <c r="R344" s="101" t="s">
        <v>410</v>
      </c>
      <c r="S344" s="101" t="s">
        <v>477</v>
      </c>
      <c r="T344" s="101" t="s">
        <v>394</v>
      </c>
      <c r="U344" s="101" t="s">
        <v>81</v>
      </c>
      <c r="V344" s="245">
        <v>46371</v>
      </c>
      <c r="W344" s="101" t="s">
        <v>445</v>
      </c>
      <c r="X344" s="101" t="s">
        <v>76</v>
      </c>
      <c r="Y344" s="101" t="s">
        <v>392</v>
      </c>
      <c r="Z344" s="101" t="s">
        <v>412</v>
      </c>
      <c r="AA344" s="101" t="s">
        <v>478</v>
      </c>
      <c r="AB344" s="101">
        <v>3101053970</v>
      </c>
      <c r="AC344" s="101" t="s">
        <v>414</v>
      </c>
      <c r="AD344" s="101" t="s">
        <v>79</v>
      </c>
      <c r="AE344" s="101" t="s">
        <v>75</v>
      </c>
      <c r="AF344" s="101" t="s">
        <v>400</v>
      </c>
      <c r="AI344" s="101" t="s">
        <v>172</v>
      </c>
    </row>
    <row r="345" spans="1:35">
      <c r="A345" s="246" t="s">
        <v>110</v>
      </c>
      <c r="B345" s="246" t="s">
        <v>66</v>
      </c>
      <c r="C345" s="246" t="s">
        <v>126</v>
      </c>
      <c r="D345" s="246" t="s">
        <v>281</v>
      </c>
      <c r="E345" s="246"/>
      <c r="F345" s="246"/>
      <c r="G345" s="132" t="s">
        <v>491</v>
      </c>
      <c r="H345" s="132" t="s">
        <v>1179</v>
      </c>
      <c r="I345" s="132">
        <v>-106647.15</v>
      </c>
      <c r="J345" s="101" t="s">
        <v>889</v>
      </c>
      <c r="K345" s="245" t="s">
        <v>390</v>
      </c>
      <c r="L345" s="245">
        <v>42674</v>
      </c>
      <c r="M345" s="245" t="s">
        <v>391</v>
      </c>
      <c r="N345" s="101">
        <v>0</v>
      </c>
      <c r="O345" s="101" t="s">
        <v>392</v>
      </c>
      <c r="P345" s="101">
        <v>0</v>
      </c>
      <c r="Q345" s="101">
        <v>0</v>
      </c>
      <c r="R345" s="101" t="s">
        <v>422</v>
      </c>
      <c r="S345" s="101" t="s">
        <v>477</v>
      </c>
      <c r="T345" s="101" t="s">
        <v>394</v>
      </c>
      <c r="U345" s="101" t="s">
        <v>81</v>
      </c>
      <c r="V345" s="245">
        <v>46371</v>
      </c>
      <c r="W345" s="101" t="s">
        <v>445</v>
      </c>
      <c r="X345" s="101" t="s">
        <v>76</v>
      </c>
      <c r="Y345" s="101" t="s">
        <v>392</v>
      </c>
      <c r="Z345" s="101" t="s">
        <v>412</v>
      </c>
      <c r="AA345" s="101" t="s">
        <v>478</v>
      </c>
      <c r="AB345" s="101">
        <v>3101053970</v>
      </c>
      <c r="AC345" s="101" t="s">
        <v>414</v>
      </c>
      <c r="AD345" s="101" t="s">
        <v>79</v>
      </c>
      <c r="AE345" s="101" t="s">
        <v>75</v>
      </c>
      <c r="AF345" s="101" t="s">
        <v>400</v>
      </c>
      <c r="AI345" s="101" t="s">
        <v>172</v>
      </c>
    </row>
    <row r="346" spans="1:35">
      <c r="A346" s="246" t="s">
        <v>110</v>
      </c>
      <c r="B346" s="246" t="s">
        <v>66</v>
      </c>
      <c r="C346" s="246" t="s">
        <v>264</v>
      </c>
      <c r="D346" s="246" t="s">
        <v>289</v>
      </c>
      <c r="E346" s="246"/>
      <c r="F346" s="246"/>
      <c r="G346" s="132" t="s">
        <v>492</v>
      </c>
      <c r="H346" s="132" t="s">
        <v>1180</v>
      </c>
      <c r="I346" s="132">
        <v>7457026.2199999997</v>
      </c>
      <c r="J346" s="101" t="s">
        <v>889</v>
      </c>
      <c r="K346" s="245" t="s">
        <v>390</v>
      </c>
      <c r="L346" s="245">
        <v>42674</v>
      </c>
      <c r="M346" s="245" t="s">
        <v>421</v>
      </c>
      <c r="N346" s="101">
        <v>0</v>
      </c>
      <c r="O346" s="101" t="s">
        <v>392</v>
      </c>
      <c r="P346" s="101">
        <v>0</v>
      </c>
      <c r="Q346" s="101">
        <v>0</v>
      </c>
      <c r="R346" s="101" t="s">
        <v>410</v>
      </c>
      <c r="S346" s="101" t="s">
        <v>477</v>
      </c>
      <c r="T346" s="101" t="s">
        <v>394</v>
      </c>
      <c r="U346" s="101" t="s">
        <v>81</v>
      </c>
      <c r="V346" s="245">
        <v>46371</v>
      </c>
      <c r="W346" s="101" t="s">
        <v>445</v>
      </c>
      <c r="X346" s="101" t="s">
        <v>76</v>
      </c>
      <c r="Y346" s="101" t="s">
        <v>392</v>
      </c>
      <c r="Z346" s="101" t="s">
        <v>412</v>
      </c>
      <c r="AA346" s="101" t="s">
        <v>478</v>
      </c>
      <c r="AB346" s="101">
        <v>3101053970</v>
      </c>
      <c r="AC346" s="101" t="s">
        <v>414</v>
      </c>
      <c r="AD346" s="101" t="s">
        <v>79</v>
      </c>
      <c r="AE346" s="101" t="s">
        <v>75</v>
      </c>
      <c r="AF346" s="101" t="s">
        <v>400</v>
      </c>
      <c r="AI346" s="101" t="s">
        <v>172</v>
      </c>
    </row>
    <row r="347" spans="1:35">
      <c r="A347" s="246" t="s">
        <v>111</v>
      </c>
      <c r="B347" s="246" t="s">
        <v>66</v>
      </c>
      <c r="C347" s="246" t="s">
        <v>126</v>
      </c>
      <c r="D347" s="246" t="s">
        <v>273</v>
      </c>
      <c r="E347" s="246"/>
      <c r="F347" s="246"/>
      <c r="G347" s="132" t="s">
        <v>493</v>
      </c>
      <c r="H347" s="132" t="s">
        <v>1181</v>
      </c>
      <c r="I347" s="132">
        <v>-131635.29999999999</v>
      </c>
      <c r="J347" s="101" t="s">
        <v>889</v>
      </c>
      <c r="K347" s="245" t="s">
        <v>390</v>
      </c>
      <c r="L347" s="245">
        <v>42704</v>
      </c>
      <c r="M347" s="245" t="s">
        <v>391</v>
      </c>
      <c r="N347" s="101">
        <v>0</v>
      </c>
      <c r="O347" s="101" t="s">
        <v>392</v>
      </c>
      <c r="P347" s="101">
        <v>0</v>
      </c>
      <c r="Q347" s="101">
        <v>0</v>
      </c>
      <c r="R347" s="101" t="s">
        <v>422</v>
      </c>
      <c r="S347" s="101" t="s">
        <v>477</v>
      </c>
      <c r="T347" s="101" t="s">
        <v>394</v>
      </c>
      <c r="U347" s="101" t="s">
        <v>81</v>
      </c>
      <c r="V347" s="245">
        <v>46371</v>
      </c>
      <c r="W347" s="101" t="s">
        <v>445</v>
      </c>
      <c r="X347" s="101" t="s">
        <v>76</v>
      </c>
      <c r="Y347" s="101" t="s">
        <v>392</v>
      </c>
      <c r="Z347" s="101" t="s">
        <v>412</v>
      </c>
      <c r="AA347" s="101" t="s">
        <v>478</v>
      </c>
      <c r="AB347" s="101">
        <v>3101053970</v>
      </c>
      <c r="AC347" s="101" t="s">
        <v>414</v>
      </c>
      <c r="AD347" s="101" t="s">
        <v>79</v>
      </c>
      <c r="AE347" s="101" t="s">
        <v>75</v>
      </c>
      <c r="AF347" s="101" t="s">
        <v>400</v>
      </c>
      <c r="AI347" s="101" t="s">
        <v>172</v>
      </c>
    </row>
    <row r="348" spans="1:35">
      <c r="A348" s="246" t="s">
        <v>111</v>
      </c>
      <c r="B348" s="246" t="s">
        <v>66</v>
      </c>
      <c r="C348" s="246" t="s">
        <v>264</v>
      </c>
      <c r="D348" s="246" t="s">
        <v>284</v>
      </c>
      <c r="E348" s="246"/>
      <c r="F348" s="246"/>
      <c r="G348" s="132" t="s">
        <v>494</v>
      </c>
      <c r="H348" s="132" t="s">
        <v>1182</v>
      </c>
      <c r="I348" s="132">
        <v>7903139.8399999999</v>
      </c>
      <c r="J348" s="101" t="s">
        <v>889</v>
      </c>
      <c r="K348" s="245" t="s">
        <v>390</v>
      </c>
      <c r="L348" s="245">
        <v>42704</v>
      </c>
      <c r="M348" s="245" t="s">
        <v>421</v>
      </c>
      <c r="N348" s="101">
        <v>0</v>
      </c>
      <c r="O348" s="101" t="s">
        <v>392</v>
      </c>
      <c r="P348" s="101">
        <v>0</v>
      </c>
      <c r="Q348" s="101">
        <v>0</v>
      </c>
      <c r="R348" s="101" t="s">
        <v>410</v>
      </c>
      <c r="S348" s="101" t="s">
        <v>477</v>
      </c>
      <c r="T348" s="101" t="s">
        <v>394</v>
      </c>
      <c r="U348" s="101" t="s">
        <v>81</v>
      </c>
      <c r="V348" s="245">
        <v>46371</v>
      </c>
      <c r="W348" s="101" t="s">
        <v>445</v>
      </c>
      <c r="X348" s="101" t="s">
        <v>76</v>
      </c>
      <c r="Y348" s="101" t="s">
        <v>392</v>
      </c>
      <c r="Z348" s="101" t="s">
        <v>412</v>
      </c>
      <c r="AA348" s="101" t="s">
        <v>478</v>
      </c>
      <c r="AB348" s="101">
        <v>3101053970</v>
      </c>
      <c r="AC348" s="101" t="s">
        <v>414</v>
      </c>
      <c r="AD348" s="101" t="s">
        <v>79</v>
      </c>
      <c r="AE348" s="101" t="s">
        <v>75</v>
      </c>
      <c r="AF348" s="101" t="s">
        <v>400</v>
      </c>
      <c r="AI348" s="101" t="s">
        <v>172</v>
      </c>
    </row>
    <row r="349" spans="1:35">
      <c r="A349" s="246" t="s">
        <v>111</v>
      </c>
      <c r="B349" s="246" t="s">
        <v>66</v>
      </c>
      <c r="C349" s="246" t="s">
        <v>264</v>
      </c>
      <c r="D349" s="246" t="s">
        <v>284</v>
      </c>
      <c r="E349" s="246"/>
      <c r="F349" s="246"/>
      <c r="G349" s="132" t="s">
        <v>495</v>
      </c>
      <c r="H349" s="132" t="s">
        <v>1183</v>
      </c>
      <c r="I349" s="132">
        <v>-42432287.109999992</v>
      </c>
      <c r="J349" s="101" t="s">
        <v>889</v>
      </c>
      <c r="K349" s="245" t="s">
        <v>390</v>
      </c>
      <c r="L349" s="245">
        <v>42718</v>
      </c>
      <c r="M349" s="245" t="s">
        <v>421</v>
      </c>
      <c r="N349" s="101">
        <v>0</v>
      </c>
      <c r="O349" s="101" t="s">
        <v>392</v>
      </c>
      <c r="P349" s="101">
        <v>0</v>
      </c>
      <c r="Q349" s="101">
        <v>0</v>
      </c>
      <c r="R349" s="101" t="s">
        <v>422</v>
      </c>
      <c r="S349" s="101" t="s">
        <v>477</v>
      </c>
      <c r="T349" s="101" t="s">
        <v>394</v>
      </c>
      <c r="U349" s="101" t="s">
        <v>81</v>
      </c>
      <c r="V349" s="245">
        <v>46371</v>
      </c>
      <c r="W349" s="101" t="s">
        <v>445</v>
      </c>
      <c r="X349" s="101" t="s">
        <v>76</v>
      </c>
      <c r="Y349" s="101" t="s">
        <v>392</v>
      </c>
      <c r="Z349" s="101" t="s">
        <v>412</v>
      </c>
      <c r="AA349" s="101" t="s">
        <v>478</v>
      </c>
      <c r="AB349" s="101">
        <v>3101053970</v>
      </c>
      <c r="AC349" s="101" t="s">
        <v>414</v>
      </c>
      <c r="AD349" s="101" t="s">
        <v>79</v>
      </c>
      <c r="AE349" s="101" t="s">
        <v>75</v>
      </c>
      <c r="AF349" s="101" t="s">
        <v>400</v>
      </c>
      <c r="AI349" s="101" t="s">
        <v>172</v>
      </c>
    </row>
    <row r="350" spans="1:35">
      <c r="A350" s="246" t="s">
        <v>111</v>
      </c>
      <c r="B350" s="246" t="s">
        <v>66</v>
      </c>
      <c r="C350" s="246" t="s">
        <v>264</v>
      </c>
      <c r="D350" s="246" t="s">
        <v>284</v>
      </c>
      <c r="E350" s="246"/>
      <c r="F350" s="246"/>
      <c r="G350" s="132" t="s">
        <v>496</v>
      </c>
      <c r="H350" s="132" t="s">
        <v>1184</v>
      </c>
      <c r="I350" s="132">
        <v>6223607.1499999994</v>
      </c>
      <c r="J350" s="101" t="s">
        <v>889</v>
      </c>
      <c r="K350" s="245" t="s">
        <v>390</v>
      </c>
      <c r="L350" s="245">
        <v>42734</v>
      </c>
      <c r="M350" s="245" t="s">
        <v>421</v>
      </c>
      <c r="N350" s="101">
        <v>0</v>
      </c>
      <c r="O350" s="101" t="s">
        <v>392</v>
      </c>
      <c r="P350" s="101">
        <v>0</v>
      </c>
      <c r="Q350" s="101">
        <v>0</v>
      </c>
      <c r="R350" s="101" t="s">
        <v>410</v>
      </c>
      <c r="S350" s="101" t="s">
        <v>477</v>
      </c>
      <c r="T350" s="101" t="s">
        <v>394</v>
      </c>
      <c r="U350" s="101" t="s">
        <v>81</v>
      </c>
      <c r="V350" s="245">
        <v>46371</v>
      </c>
      <c r="W350" s="101" t="s">
        <v>445</v>
      </c>
      <c r="X350" s="101" t="s">
        <v>76</v>
      </c>
      <c r="Y350" s="101" t="s">
        <v>392</v>
      </c>
      <c r="Z350" s="101" t="s">
        <v>412</v>
      </c>
      <c r="AA350" s="101" t="s">
        <v>478</v>
      </c>
      <c r="AB350" s="101">
        <v>3101053970</v>
      </c>
      <c r="AC350" s="101" t="s">
        <v>414</v>
      </c>
      <c r="AD350" s="101" t="s">
        <v>79</v>
      </c>
      <c r="AE350" s="101" t="s">
        <v>75</v>
      </c>
      <c r="AF350" s="101" t="s">
        <v>400</v>
      </c>
      <c r="AI350" s="101" t="s">
        <v>172</v>
      </c>
    </row>
    <row r="351" spans="1:35">
      <c r="A351" s="246" t="s">
        <v>111</v>
      </c>
      <c r="B351" s="246" t="s">
        <v>66</v>
      </c>
      <c r="C351" s="246" t="s">
        <v>126</v>
      </c>
      <c r="D351" s="246" t="s">
        <v>273</v>
      </c>
      <c r="E351" s="246"/>
      <c r="F351" s="246"/>
      <c r="G351" s="132" t="s">
        <v>497</v>
      </c>
      <c r="H351" s="132" t="s">
        <v>1185</v>
      </c>
      <c r="I351" s="132">
        <v>-76280.92</v>
      </c>
      <c r="J351" s="101" t="s">
        <v>889</v>
      </c>
      <c r="K351" s="245" t="s">
        <v>390</v>
      </c>
      <c r="L351" s="245">
        <v>42734</v>
      </c>
      <c r="M351" s="245" t="s">
        <v>391</v>
      </c>
      <c r="N351" s="101">
        <v>0</v>
      </c>
      <c r="O351" s="101" t="s">
        <v>392</v>
      </c>
      <c r="P351" s="101">
        <v>0</v>
      </c>
      <c r="Q351" s="101">
        <v>0</v>
      </c>
      <c r="R351" s="101" t="s">
        <v>422</v>
      </c>
      <c r="S351" s="101" t="s">
        <v>477</v>
      </c>
      <c r="T351" s="101" t="s">
        <v>394</v>
      </c>
      <c r="U351" s="101" t="s">
        <v>81</v>
      </c>
      <c r="V351" s="245">
        <v>46371</v>
      </c>
      <c r="W351" s="101" t="s">
        <v>445</v>
      </c>
      <c r="X351" s="101" t="s">
        <v>76</v>
      </c>
      <c r="Y351" s="101" t="s">
        <v>392</v>
      </c>
      <c r="Z351" s="101" t="s">
        <v>412</v>
      </c>
      <c r="AA351" s="101" t="s">
        <v>478</v>
      </c>
      <c r="AB351" s="101">
        <v>3101053970</v>
      </c>
      <c r="AC351" s="101" t="s">
        <v>414</v>
      </c>
      <c r="AD351" s="101" t="s">
        <v>79</v>
      </c>
      <c r="AE351" s="101" t="s">
        <v>75</v>
      </c>
      <c r="AF351" s="101" t="s">
        <v>400</v>
      </c>
      <c r="AI351" s="101" t="s">
        <v>172</v>
      </c>
    </row>
    <row r="352" spans="1:35">
      <c r="A352" s="246" t="s">
        <v>111</v>
      </c>
      <c r="B352" s="246" t="s">
        <v>66</v>
      </c>
      <c r="C352" s="246" t="s">
        <v>126</v>
      </c>
      <c r="D352" s="246" t="s">
        <v>273</v>
      </c>
      <c r="E352" s="246"/>
      <c r="F352" s="246"/>
      <c r="G352" s="132" t="s">
        <v>498</v>
      </c>
      <c r="H352" s="132" t="s">
        <v>1186</v>
      </c>
      <c r="I352" s="132">
        <v>-24582.11</v>
      </c>
      <c r="J352" s="101" t="s">
        <v>889</v>
      </c>
      <c r="K352" s="245" t="s">
        <v>390</v>
      </c>
      <c r="L352" s="245">
        <v>42766</v>
      </c>
      <c r="M352" s="245" t="s">
        <v>391</v>
      </c>
      <c r="N352" s="101">
        <v>0</v>
      </c>
      <c r="O352" s="101" t="s">
        <v>392</v>
      </c>
      <c r="P352" s="101">
        <v>0</v>
      </c>
      <c r="Q352" s="101">
        <v>0</v>
      </c>
      <c r="R352" s="101" t="s">
        <v>422</v>
      </c>
      <c r="S352" s="101" t="s">
        <v>477</v>
      </c>
      <c r="T352" s="101" t="s">
        <v>394</v>
      </c>
      <c r="U352" s="101" t="s">
        <v>81</v>
      </c>
      <c r="V352" s="245">
        <v>46371</v>
      </c>
      <c r="W352" s="101" t="s">
        <v>445</v>
      </c>
      <c r="X352" s="101" t="s">
        <v>76</v>
      </c>
      <c r="Y352" s="101" t="s">
        <v>392</v>
      </c>
      <c r="Z352" s="101" t="s">
        <v>412</v>
      </c>
      <c r="AA352" s="101" t="s">
        <v>478</v>
      </c>
      <c r="AB352" s="101">
        <v>3101053970</v>
      </c>
      <c r="AC352" s="101" t="s">
        <v>414</v>
      </c>
      <c r="AD352" s="101" t="s">
        <v>79</v>
      </c>
      <c r="AE352" s="101" t="s">
        <v>75</v>
      </c>
      <c r="AF352" s="101" t="s">
        <v>400</v>
      </c>
      <c r="AI352" s="101" t="s">
        <v>172</v>
      </c>
    </row>
    <row r="353" spans="1:35">
      <c r="A353" s="246" t="s">
        <v>111</v>
      </c>
      <c r="B353" s="246" t="s">
        <v>66</v>
      </c>
      <c r="C353" s="246" t="s">
        <v>264</v>
      </c>
      <c r="D353" s="246" t="s">
        <v>284</v>
      </c>
      <c r="E353" s="246"/>
      <c r="F353" s="246"/>
      <c r="G353" s="132" t="s">
        <v>499</v>
      </c>
      <c r="H353" s="132" t="s">
        <v>1187</v>
      </c>
      <c r="I353" s="132">
        <v>7585400.5199999996</v>
      </c>
      <c r="J353" s="101" t="s">
        <v>889</v>
      </c>
      <c r="K353" s="245" t="s">
        <v>390</v>
      </c>
      <c r="L353" s="245">
        <v>42766</v>
      </c>
      <c r="M353" s="245" t="s">
        <v>421</v>
      </c>
      <c r="N353" s="101">
        <v>0</v>
      </c>
      <c r="O353" s="101" t="s">
        <v>392</v>
      </c>
      <c r="P353" s="101">
        <v>0</v>
      </c>
      <c r="Q353" s="101">
        <v>0</v>
      </c>
      <c r="R353" s="101" t="s">
        <v>410</v>
      </c>
      <c r="S353" s="101" t="s">
        <v>477</v>
      </c>
      <c r="T353" s="101" t="s">
        <v>394</v>
      </c>
      <c r="U353" s="101" t="s">
        <v>81</v>
      </c>
      <c r="V353" s="245">
        <v>46371</v>
      </c>
      <c r="W353" s="101" t="s">
        <v>445</v>
      </c>
      <c r="X353" s="101" t="s">
        <v>76</v>
      </c>
      <c r="Y353" s="101" t="s">
        <v>392</v>
      </c>
      <c r="Z353" s="101" t="s">
        <v>412</v>
      </c>
      <c r="AA353" s="101" t="s">
        <v>478</v>
      </c>
      <c r="AB353" s="101">
        <v>3101053970</v>
      </c>
      <c r="AC353" s="101" t="s">
        <v>414</v>
      </c>
      <c r="AD353" s="101" t="s">
        <v>79</v>
      </c>
      <c r="AE353" s="101" t="s">
        <v>75</v>
      </c>
      <c r="AF353" s="101" t="s">
        <v>400</v>
      </c>
      <c r="AI353" s="101" t="s">
        <v>172</v>
      </c>
    </row>
    <row r="354" spans="1:35">
      <c r="A354" s="246" t="s">
        <v>111</v>
      </c>
      <c r="B354" s="246" t="s">
        <v>66</v>
      </c>
      <c r="C354" s="246" t="s">
        <v>126</v>
      </c>
      <c r="D354" s="246" t="s">
        <v>273</v>
      </c>
      <c r="E354" s="246"/>
      <c r="F354" s="246"/>
      <c r="G354" s="132" t="s">
        <v>500</v>
      </c>
      <c r="H354" s="132" t="s">
        <v>1188</v>
      </c>
      <c r="I354" s="132">
        <v>-49269.02</v>
      </c>
      <c r="J354" s="101" t="s">
        <v>889</v>
      </c>
      <c r="K354" s="245" t="s">
        <v>390</v>
      </c>
      <c r="L354" s="245">
        <v>42794</v>
      </c>
      <c r="M354" s="245" t="s">
        <v>391</v>
      </c>
      <c r="N354" s="101">
        <v>0</v>
      </c>
      <c r="O354" s="101" t="s">
        <v>392</v>
      </c>
      <c r="P354" s="101">
        <v>0</v>
      </c>
      <c r="Q354" s="101">
        <v>0</v>
      </c>
      <c r="R354" s="101" t="s">
        <v>422</v>
      </c>
      <c r="S354" s="101" t="s">
        <v>477</v>
      </c>
      <c r="T354" s="101" t="s">
        <v>394</v>
      </c>
      <c r="U354" s="101" t="s">
        <v>81</v>
      </c>
      <c r="V354" s="245">
        <v>46371</v>
      </c>
      <c r="W354" s="101" t="s">
        <v>445</v>
      </c>
      <c r="X354" s="101" t="s">
        <v>76</v>
      </c>
      <c r="Y354" s="101" t="s">
        <v>392</v>
      </c>
      <c r="Z354" s="101" t="s">
        <v>412</v>
      </c>
      <c r="AA354" s="101" t="s">
        <v>478</v>
      </c>
      <c r="AB354" s="101">
        <v>3101053970</v>
      </c>
      <c r="AC354" s="101" t="s">
        <v>414</v>
      </c>
      <c r="AD354" s="101" t="s">
        <v>79</v>
      </c>
      <c r="AE354" s="101" t="s">
        <v>75</v>
      </c>
      <c r="AF354" s="101" t="s">
        <v>400</v>
      </c>
      <c r="AI354" s="101" t="s">
        <v>172</v>
      </c>
    </row>
    <row r="355" spans="1:35">
      <c r="A355" s="246" t="s">
        <v>111</v>
      </c>
      <c r="B355" s="246" t="s">
        <v>66</v>
      </c>
      <c r="C355" s="246" t="s">
        <v>264</v>
      </c>
      <c r="D355" s="246" t="s">
        <v>284</v>
      </c>
      <c r="E355" s="246"/>
      <c r="F355" s="246"/>
      <c r="G355" s="132" t="s">
        <v>501</v>
      </c>
      <c r="H355" s="132" t="s">
        <v>1189</v>
      </c>
      <c r="I355" s="132">
        <v>8051645.8700000001</v>
      </c>
      <c r="J355" s="101" t="s">
        <v>889</v>
      </c>
      <c r="K355" s="245" t="s">
        <v>390</v>
      </c>
      <c r="L355" s="245">
        <v>42794</v>
      </c>
      <c r="M355" s="245" t="s">
        <v>421</v>
      </c>
      <c r="N355" s="101">
        <v>0</v>
      </c>
      <c r="O355" s="101" t="s">
        <v>392</v>
      </c>
      <c r="P355" s="101">
        <v>0</v>
      </c>
      <c r="Q355" s="101">
        <v>0</v>
      </c>
      <c r="R355" s="101" t="s">
        <v>410</v>
      </c>
      <c r="S355" s="101" t="s">
        <v>477</v>
      </c>
      <c r="T355" s="101" t="s">
        <v>394</v>
      </c>
      <c r="U355" s="101" t="s">
        <v>81</v>
      </c>
      <c r="V355" s="245">
        <v>46371</v>
      </c>
      <c r="W355" s="101" t="s">
        <v>445</v>
      </c>
      <c r="X355" s="101" t="s">
        <v>76</v>
      </c>
      <c r="Y355" s="101" t="s">
        <v>392</v>
      </c>
      <c r="Z355" s="101" t="s">
        <v>412</v>
      </c>
      <c r="AA355" s="101" t="s">
        <v>478</v>
      </c>
      <c r="AB355" s="101">
        <v>3101053970</v>
      </c>
      <c r="AC355" s="101" t="s">
        <v>414</v>
      </c>
      <c r="AD355" s="101" t="s">
        <v>79</v>
      </c>
      <c r="AE355" s="101" t="s">
        <v>75</v>
      </c>
      <c r="AF355" s="101" t="s">
        <v>400</v>
      </c>
      <c r="AI355" s="101" t="s">
        <v>172</v>
      </c>
    </row>
    <row r="356" spans="1:35">
      <c r="A356" s="246" t="s">
        <v>111</v>
      </c>
      <c r="B356" s="246" t="s">
        <v>66</v>
      </c>
      <c r="C356" s="246" t="s">
        <v>264</v>
      </c>
      <c r="D356" s="246" t="s">
        <v>284</v>
      </c>
      <c r="E356" s="246"/>
      <c r="F356" s="246"/>
      <c r="G356" s="132" t="s">
        <v>502</v>
      </c>
      <c r="H356" s="132" t="s">
        <v>1190</v>
      </c>
      <c r="I356" s="132">
        <v>-1688027.8499999999</v>
      </c>
      <c r="J356" s="101" t="s">
        <v>889</v>
      </c>
      <c r="K356" s="245" t="s">
        <v>390</v>
      </c>
      <c r="L356" s="245">
        <v>42808</v>
      </c>
      <c r="M356" s="245" t="s">
        <v>421</v>
      </c>
      <c r="N356" s="101">
        <v>0</v>
      </c>
      <c r="O356" s="101" t="s">
        <v>392</v>
      </c>
      <c r="P356" s="101">
        <v>0</v>
      </c>
      <c r="Q356" s="101">
        <v>0</v>
      </c>
      <c r="R356" s="101" t="s">
        <v>422</v>
      </c>
      <c r="S356" s="101" t="s">
        <v>477</v>
      </c>
      <c r="T356" s="101" t="s">
        <v>394</v>
      </c>
      <c r="U356" s="101" t="s">
        <v>81</v>
      </c>
      <c r="V356" s="245">
        <v>46371</v>
      </c>
      <c r="W356" s="101" t="s">
        <v>445</v>
      </c>
      <c r="X356" s="101" t="s">
        <v>76</v>
      </c>
      <c r="Y356" s="101" t="s">
        <v>392</v>
      </c>
      <c r="Z356" s="101" t="s">
        <v>412</v>
      </c>
      <c r="AA356" s="101" t="s">
        <v>478</v>
      </c>
      <c r="AB356" s="101">
        <v>3101053970</v>
      </c>
      <c r="AC356" s="101" t="s">
        <v>414</v>
      </c>
      <c r="AD356" s="101" t="s">
        <v>79</v>
      </c>
      <c r="AE356" s="101" t="s">
        <v>75</v>
      </c>
      <c r="AF356" s="101" t="s">
        <v>400</v>
      </c>
      <c r="AI356" s="101" t="s">
        <v>172</v>
      </c>
    </row>
    <row r="357" spans="1:35">
      <c r="A357" s="246" t="s">
        <v>111</v>
      </c>
      <c r="B357" s="246" t="s">
        <v>66</v>
      </c>
      <c r="C357" s="246" t="s">
        <v>126</v>
      </c>
      <c r="D357" s="246" t="s">
        <v>273</v>
      </c>
      <c r="E357" s="246"/>
      <c r="F357" s="246"/>
      <c r="G357" s="132" t="s">
        <v>503</v>
      </c>
      <c r="H357" s="132" t="s">
        <v>1191</v>
      </c>
      <c r="I357" s="132">
        <v>-82696.539999999994</v>
      </c>
      <c r="J357" s="101" t="s">
        <v>889</v>
      </c>
      <c r="K357" s="245" t="s">
        <v>390</v>
      </c>
      <c r="L357" s="245">
        <v>42825</v>
      </c>
      <c r="M357" s="245" t="s">
        <v>391</v>
      </c>
      <c r="N357" s="101">
        <v>0</v>
      </c>
      <c r="O357" s="101" t="s">
        <v>392</v>
      </c>
      <c r="P357" s="101">
        <v>0</v>
      </c>
      <c r="Q357" s="101">
        <v>0</v>
      </c>
      <c r="R357" s="101" t="s">
        <v>422</v>
      </c>
      <c r="S357" s="101" t="s">
        <v>477</v>
      </c>
      <c r="T357" s="101" t="s">
        <v>394</v>
      </c>
      <c r="U357" s="101" t="s">
        <v>81</v>
      </c>
      <c r="V357" s="245">
        <v>46371</v>
      </c>
      <c r="W357" s="101" t="s">
        <v>445</v>
      </c>
      <c r="X357" s="101" t="s">
        <v>76</v>
      </c>
      <c r="Y357" s="101" t="s">
        <v>392</v>
      </c>
      <c r="Z357" s="101" t="s">
        <v>412</v>
      </c>
      <c r="AA357" s="101" t="s">
        <v>478</v>
      </c>
      <c r="AB357" s="101">
        <v>3101053970</v>
      </c>
      <c r="AC357" s="101" t="s">
        <v>414</v>
      </c>
      <c r="AD357" s="101" t="s">
        <v>79</v>
      </c>
      <c r="AE357" s="101" t="s">
        <v>75</v>
      </c>
      <c r="AF357" s="101" t="s">
        <v>400</v>
      </c>
      <c r="AI357" s="101" t="s">
        <v>172</v>
      </c>
    </row>
    <row r="358" spans="1:35">
      <c r="A358" s="246" t="s">
        <v>111</v>
      </c>
      <c r="B358" s="246" t="s">
        <v>66</v>
      </c>
      <c r="C358" s="246" t="s">
        <v>264</v>
      </c>
      <c r="D358" s="246" t="s">
        <v>284</v>
      </c>
      <c r="E358" s="246"/>
      <c r="F358" s="246"/>
      <c r="G358" s="132" t="s">
        <v>504</v>
      </c>
      <c r="H358" s="132" t="s">
        <v>1192</v>
      </c>
      <c r="I358" s="132">
        <v>7280725.2499999991</v>
      </c>
      <c r="J358" s="101" t="s">
        <v>889</v>
      </c>
      <c r="K358" s="245" t="s">
        <v>390</v>
      </c>
      <c r="L358" s="245">
        <v>42825</v>
      </c>
      <c r="M358" s="245" t="s">
        <v>421</v>
      </c>
      <c r="N358" s="101">
        <v>0</v>
      </c>
      <c r="O358" s="101" t="s">
        <v>392</v>
      </c>
      <c r="P358" s="101">
        <v>0</v>
      </c>
      <c r="Q358" s="101">
        <v>0</v>
      </c>
      <c r="R358" s="101" t="s">
        <v>410</v>
      </c>
      <c r="S358" s="101" t="s">
        <v>477</v>
      </c>
      <c r="T358" s="101" t="s">
        <v>394</v>
      </c>
      <c r="U358" s="101" t="s">
        <v>81</v>
      </c>
      <c r="V358" s="245">
        <v>46371</v>
      </c>
      <c r="W358" s="101" t="s">
        <v>445</v>
      </c>
      <c r="X358" s="101" t="s">
        <v>76</v>
      </c>
      <c r="Y358" s="101" t="s">
        <v>392</v>
      </c>
      <c r="Z358" s="101" t="s">
        <v>412</v>
      </c>
      <c r="AA358" s="101" t="s">
        <v>478</v>
      </c>
      <c r="AB358" s="101">
        <v>3101053970</v>
      </c>
      <c r="AC358" s="101" t="s">
        <v>414</v>
      </c>
      <c r="AD358" s="101" t="s">
        <v>79</v>
      </c>
      <c r="AE358" s="101" t="s">
        <v>75</v>
      </c>
      <c r="AF358" s="101" t="s">
        <v>400</v>
      </c>
      <c r="AI358" s="101" t="s">
        <v>172</v>
      </c>
    </row>
    <row r="359" spans="1:35">
      <c r="A359" s="246" t="s">
        <v>111</v>
      </c>
      <c r="B359" s="246" t="s">
        <v>66</v>
      </c>
      <c r="C359" s="246" t="s">
        <v>264</v>
      </c>
      <c r="D359" s="246" t="s">
        <v>284</v>
      </c>
      <c r="E359" s="246"/>
      <c r="F359" s="246"/>
      <c r="G359" s="132" t="s">
        <v>505</v>
      </c>
      <c r="H359" s="132" t="s">
        <v>1193</v>
      </c>
      <c r="I359" s="132">
        <v>7584037.4399999995</v>
      </c>
      <c r="J359" s="101" t="s">
        <v>889</v>
      </c>
      <c r="K359" s="245" t="s">
        <v>390</v>
      </c>
      <c r="L359" s="245">
        <v>42853</v>
      </c>
      <c r="M359" s="245" t="s">
        <v>421</v>
      </c>
      <c r="N359" s="101">
        <v>0</v>
      </c>
      <c r="O359" s="101" t="s">
        <v>392</v>
      </c>
      <c r="P359" s="101">
        <v>0</v>
      </c>
      <c r="Q359" s="101">
        <v>0</v>
      </c>
      <c r="R359" s="101" t="s">
        <v>410</v>
      </c>
      <c r="S359" s="101" t="s">
        <v>477</v>
      </c>
      <c r="T359" s="101" t="s">
        <v>394</v>
      </c>
      <c r="U359" s="101" t="s">
        <v>81</v>
      </c>
      <c r="V359" s="245">
        <v>46371</v>
      </c>
      <c r="W359" s="101" t="s">
        <v>445</v>
      </c>
      <c r="X359" s="101" t="s">
        <v>76</v>
      </c>
      <c r="Y359" s="101" t="s">
        <v>392</v>
      </c>
      <c r="Z359" s="101" t="s">
        <v>412</v>
      </c>
      <c r="AA359" s="101" t="s">
        <v>478</v>
      </c>
      <c r="AB359" s="101">
        <v>3101053970</v>
      </c>
      <c r="AC359" s="101" t="s">
        <v>414</v>
      </c>
      <c r="AD359" s="101" t="s">
        <v>79</v>
      </c>
      <c r="AE359" s="101" t="s">
        <v>75</v>
      </c>
      <c r="AF359" s="101" t="s">
        <v>400</v>
      </c>
      <c r="AI359" s="101" t="s">
        <v>172</v>
      </c>
    </row>
    <row r="360" spans="1:35">
      <c r="A360" s="246" t="s">
        <v>111</v>
      </c>
      <c r="B360" s="246" t="s">
        <v>66</v>
      </c>
      <c r="C360" s="246" t="s">
        <v>126</v>
      </c>
      <c r="D360" s="246" t="s">
        <v>273</v>
      </c>
      <c r="E360" s="246"/>
      <c r="F360" s="246"/>
      <c r="G360" s="132" t="s">
        <v>506</v>
      </c>
      <c r="H360" s="132" t="s">
        <v>1194</v>
      </c>
      <c r="I360" s="132">
        <v>-106879.79999999999</v>
      </c>
      <c r="J360" s="101" t="s">
        <v>889</v>
      </c>
      <c r="K360" s="245" t="s">
        <v>390</v>
      </c>
      <c r="L360" s="245">
        <v>42853</v>
      </c>
      <c r="M360" s="245" t="s">
        <v>391</v>
      </c>
      <c r="N360" s="101">
        <v>0</v>
      </c>
      <c r="O360" s="101" t="s">
        <v>392</v>
      </c>
      <c r="P360" s="101">
        <v>0</v>
      </c>
      <c r="Q360" s="101">
        <v>0</v>
      </c>
      <c r="R360" s="101" t="s">
        <v>422</v>
      </c>
      <c r="S360" s="101" t="s">
        <v>477</v>
      </c>
      <c r="T360" s="101" t="s">
        <v>394</v>
      </c>
      <c r="U360" s="101" t="s">
        <v>81</v>
      </c>
      <c r="V360" s="245">
        <v>46371</v>
      </c>
      <c r="W360" s="101" t="s">
        <v>445</v>
      </c>
      <c r="X360" s="101" t="s">
        <v>76</v>
      </c>
      <c r="Y360" s="101" t="s">
        <v>392</v>
      </c>
      <c r="Z360" s="101" t="s">
        <v>412</v>
      </c>
      <c r="AA360" s="101" t="s">
        <v>478</v>
      </c>
      <c r="AB360" s="101">
        <v>3101053970</v>
      </c>
      <c r="AC360" s="101" t="s">
        <v>414</v>
      </c>
      <c r="AD360" s="101" t="s">
        <v>79</v>
      </c>
      <c r="AE360" s="101" t="s">
        <v>75</v>
      </c>
      <c r="AF360" s="101" t="s">
        <v>400</v>
      </c>
      <c r="AI360" s="101" t="s">
        <v>172</v>
      </c>
    </row>
    <row r="361" spans="1:35">
      <c r="A361" s="246" t="s">
        <v>112</v>
      </c>
      <c r="B361" s="246" t="s">
        <v>66</v>
      </c>
      <c r="C361" s="246" t="s">
        <v>126</v>
      </c>
      <c r="D361" s="246" t="s">
        <v>270</v>
      </c>
      <c r="E361" s="246"/>
      <c r="F361" s="246"/>
      <c r="G361" s="132" t="s">
        <v>507</v>
      </c>
      <c r="H361" s="132" t="s">
        <v>1195</v>
      </c>
      <c r="I361" s="132">
        <v>-138403.44999999998</v>
      </c>
      <c r="J361" s="101" t="s">
        <v>889</v>
      </c>
      <c r="K361" s="245" t="s">
        <v>390</v>
      </c>
      <c r="L361" s="245">
        <v>42886</v>
      </c>
      <c r="M361" s="245" t="s">
        <v>391</v>
      </c>
      <c r="N361" s="101">
        <v>0</v>
      </c>
      <c r="O361" s="101" t="s">
        <v>392</v>
      </c>
      <c r="P361" s="101">
        <v>0</v>
      </c>
      <c r="Q361" s="101">
        <v>0</v>
      </c>
      <c r="R361" s="101" t="s">
        <v>422</v>
      </c>
      <c r="S361" s="101" t="s">
        <v>477</v>
      </c>
      <c r="T361" s="101" t="s">
        <v>394</v>
      </c>
      <c r="U361" s="101" t="s">
        <v>81</v>
      </c>
      <c r="V361" s="245">
        <v>46371</v>
      </c>
      <c r="W361" s="101" t="s">
        <v>445</v>
      </c>
      <c r="X361" s="101" t="s">
        <v>76</v>
      </c>
      <c r="Y361" s="101" t="s">
        <v>392</v>
      </c>
      <c r="Z361" s="101" t="s">
        <v>412</v>
      </c>
      <c r="AA361" s="101" t="s">
        <v>478</v>
      </c>
      <c r="AB361" s="101">
        <v>3101053970</v>
      </c>
      <c r="AC361" s="101" t="s">
        <v>414</v>
      </c>
      <c r="AD361" s="101" t="s">
        <v>79</v>
      </c>
      <c r="AE361" s="101" t="s">
        <v>75</v>
      </c>
      <c r="AF361" s="101" t="s">
        <v>400</v>
      </c>
      <c r="AI361" s="101" t="s">
        <v>172</v>
      </c>
    </row>
    <row r="362" spans="1:35">
      <c r="A362" s="246" t="s">
        <v>112</v>
      </c>
      <c r="B362" s="246" t="s">
        <v>66</v>
      </c>
      <c r="C362" s="246" t="s">
        <v>264</v>
      </c>
      <c r="D362" s="246" t="s">
        <v>290</v>
      </c>
      <c r="E362" s="246"/>
      <c r="F362" s="246"/>
      <c r="G362" s="132" t="s">
        <v>508</v>
      </c>
      <c r="H362" s="132" t="s">
        <v>1196</v>
      </c>
      <c r="I362" s="132">
        <v>4979339.08</v>
      </c>
      <c r="J362" s="101" t="s">
        <v>889</v>
      </c>
      <c r="K362" s="245" t="s">
        <v>390</v>
      </c>
      <c r="L362" s="245">
        <v>42886</v>
      </c>
      <c r="M362" s="245" t="s">
        <v>421</v>
      </c>
      <c r="N362" s="101">
        <v>0</v>
      </c>
      <c r="O362" s="101" t="s">
        <v>392</v>
      </c>
      <c r="P362" s="101">
        <v>0</v>
      </c>
      <c r="Q362" s="101">
        <v>0</v>
      </c>
      <c r="R362" s="101" t="s">
        <v>410</v>
      </c>
      <c r="S362" s="101" t="s">
        <v>477</v>
      </c>
      <c r="T362" s="101" t="s">
        <v>394</v>
      </c>
      <c r="U362" s="101" t="s">
        <v>81</v>
      </c>
      <c r="V362" s="245">
        <v>46371</v>
      </c>
      <c r="W362" s="101" t="s">
        <v>445</v>
      </c>
      <c r="X362" s="101" t="s">
        <v>76</v>
      </c>
      <c r="Y362" s="101" t="s">
        <v>392</v>
      </c>
      <c r="Z362" s="101" t="s">
        <v>412</v>
      </c>
      <c r="AA362" s="101" t="s">
        <v>478</v>
      </c>
      <c r="AB362" s="101">
        <v>3101053970</v>
      </c>
      <c r="AC362" s="101" t="s">
        <v>414</v>
      </c>
      <c r="AD362" s="101" t="s">
        <v>79</v>
      </c>
      <c r="AE362" s="101" t="s">
        <v>75</v>
      </c>
      <c r="AF362" s="101" t="s">
        <v>400</v>
      </c>
      <c r="AI362" s="101" t="s">
        <v>172</v>
      </c>
    </row>
    <row r="363" spans="1:35">
      <c r="A363" s="246" t="s">
        <v>112</v>
      </c>
      <c r="B363" s="246" t="s">
        <v>66</v>
      </c>
      <c r="C363" s="246" t="s">
        <v>264</v>
      </c>
      <c r="D363" s="246" t="s">
        <v>290</v>
      </c>
      <c r="E363" s="246"/>
      <c r="F363" s="246"/>
      <c r="G363" s="132" t="s">
        <v>509</v>
      </c>
      <c r="H363" s="132" t="s">
        <v>1197</v>
      </c>
      <c r="I363" s="132">
        <v>-40016727.460000001</v>
      </c>
      <c r="J363" s="101" t="s">
        <v>889</v>
      </c>
      <c r="K363" s="245" t="s">
        <v>390</v>
      </c>
      <c r="L363" s="245">
        <v>42900</v>
      </c>
      <c r="M363" s="245" t="s">
        <v>421</v>
      </c>
      <c r="N363" s="101">
        <v>0</v>
      </c>
      <c r="O363" s="101" t="s">
        <v>392</v>
      </c>
      <c r="P363" s="101">
        <v>0</v>
      </c>
      <c r="Q363" s="101">
        <v>0</v>
      </c>
      <c r="R363" s="101" t="s">
        <v>422</v>
      </c>
      <c r="S363" s="101" t="s">
        <v>477</v>
      </c>
      <c r="T363" s="101" t="s">
        <v>394</v>
      </c>
      <c r="U363" s="101" t="s">
        <v>81</v>
      </c>
      <c r="V363" s="245">
        <v>46371</v>
      </c>
      <c r="W363" s="101" t="s">
        <v>445</v>
      </c>
      <c r="X363" s="101" t="s">
        <v>76</v>
      </c>
      <c r="Y363" s="101" t="s">
        <v>392</v>
      </c>
      <c r="Z363" s="101" t="s">
        <v>412</v>
      </c>
      <c r="AA363" s="101" t="s">
        <v>478</v>
      </c>
      <c r="AB363" s="101">
        <v>3101053970</v>
      </c>
      <c r="AC363" s="101" t="s">
        <v>414</v>
      </c>
      <c r="AD363" s="101" t="s">
        <v>79</v>
      </c>
      <c r="AE363" s="101" t="s">
        <v>75</v>
      </c>
      <c r="AF363" s="101" t="s">
        <v>400</v>
      </c>
      <c r="AI363" s="101" t="s">
        <v>172</v>
      </c>
    </row>
    <row r="364" spans="1:35">
      <c r="A364" s="246" t="s">
        <v>112</v>
      </c>
      <c r="B364" s="246" t="s">
        <v>66</v>
      </c>
      <c r="C364" s="246" t="s">
        <v>126</v>
      </c>
      <c r="D364" s="246" t="s">
        <v>270</v>
      </c>
      <c r="E364" s="246"/>
      <c r="F364" s="246"/>
      <c r="G364" s="132" t="s">
        <v>510</v>
      </c>
      <c r="H364" s="132" t="s">
        <v>1198</v>
      </c>
      <c r="I364" s="132">
        <v>-71387.649999999994</v>
      </c>
      <c r="J364" s="101" t="s">
        <v>889</v>
      </c>
      <c r="K364" s="245" t="s">
        <v>390</v>
      </c>
      <c r="L364" s="245">
        <v>42916</v>
      </c>
      <c r="M364" s="245" t="s">
        <v>391</v>
      </c>
      <c r="N364" s="101">
        <v>0</v>
      </c>
      <c r="O364" s="101" t="s">
        <v>392</v>
      </c>
      <c r="P364" s="101">
        <v>0</v>
      </c>
      <c r="Q364" s="101">
        <v>0</v>
      </c>
      <c r="R364" s="101" t="s">
        <v>422</v>
      </c>
      <c r="S364" s="101" t="s">
        <v>477</v>
      </c>
      <c r="T364" s="101" t="s">
        <v>394</v>
      </c>
      <c r="U364" s="101" t="s">
        <v>81</v>
      </c>
      <c r="V364" s="245">
        <v>46371</v>
      </c>
      <c r="W364" s="101" t="s">
        <v>445</v>
      </c>
      <c r="X364" s="101" t="s">
        <v>76</v>
      </c>
      <c r="Y364" s="101" t="s">
        <v>392</v>
      </c>
      <c r="Z364" s="101" t="s">
        <v>412</v>
      </c>
      <c r="AA364" s="101" t="s">
        <v>478</v>
      </c>
      <c r="AB364" s="101">
        <v>3101053970</v>
      </c>
      <c r="AC364" s="101" t="s">
        <v>414</v>
      </c>
      <c r="AD364" s="101" t="s">
        <v>79</v>
      </c>
      <c r="AE364" s="101" t="s">
        <v>75</v>
      </c>
      <c r="AF364" s="101" t="s">
        <v>400</v>
      </c>
      <c r="AI364" s="101" t="s">
        <v>172</v>
      </c>
    </row>
    <row r="365" spans="1:35">
      <c r="A365" s="246" t="s">
        <v>112</v>
      </c>
      <c r="B365" s="246" t="s">
        <v>66</v>
      </c>
      <c r="C365" s="246" t="s">
        <v>264</v>
      </c>
      <c r="D365" s="246" t="s">
        <v>290</v>
      </c>
      <c r="E365" s="246"/>
      <c r="F365" s="246"/>
      <c r="G365" s="132" t="s">
        <v>511</v>
      </c>
      <c r="H365" s="132" t="s">
        <v>1199</v>
      </c>
      <c r="I365" s="132">
        <v>6583425.1499999994</v>
      </c>
      <c r="J365" s="101" t="s">
        <v>889</v>
      </c>
      <c r="K365" s="245" t="s">
        <v>390</v>
      </c>
      <c r="L365" s="245">
        <v>42916</v>
      </c>
      <c r="M365" s="245" t="s">
        <v>421</v>
      </c>
      <c r="N365" s="101">
        <v>0</v>
      </c>
      <c r="O365" s="101" t="s">
        <v>392</v>
      </c>
      <c r="P365" s="101">
        <v>0</v>
      </c>
      <c r="Q365" s="101">
        <v>0</v>
      </c>
      <c r="R365" s="101" t="s">
        <v>410</v>
      </c>
      <c r="S365" s="101" t="s">
        <v>477</v>
      </c>
      <c r="T365" s="101" t="s">
        <v>394</v>
      </c>
      <c r="U365" s="101" t="s">
        <v>81</v>
      </c>
      <c r="V365" s="245">
        <v>46371</v>
      </c>
      <c r="W365" s="101" t="s">
        <v>445</v>
      </c>
      <c r="X365" s="101" t="s">
        <v>76</v>
      </c>
      <c r="Y365" s="101" t="s">
        <v>392</v>
      </c>
      <c r="Z365" s="101" t="s">
        <v>412</v>
      </c>
      <c r="AA365" s="101" t="s">
        <v>478</v>
      </c>
      <c r="AB365" s="101">
        <v>3101053970</v>
      </c>
      <c r="AC365" s="101" t="s">
        <v>414</v>
      </c>
      <c r="AD365" s="101" t="s">
        <v>79</v>
      </c>
      <c r="AE365" s="101" t="s">
        <v>75</v>
      </c>
      <c r="AF365" s="101" t="s">
        <v>400</v>
      </c>
      <c r="AI365" s="101" t="s">
        <v>172</v>
      </c>
    </row>
    <row r="366" spans="1:35">
      <c r="A366" s="246" t="s">
        <v>112</v>
      </c>
      <c r="B366" s="246" t="s">
        <v>66</v>
      </c>
      <c r="C366" s="246" t="s">
        <v>126</v>
      </c>
      <c r="D366" s="246" t="s">
        <v>270</v>
      </c>
      <c r="E366" s="246"/>
      <c r="F366" s="246"/>
      <c r="G366" s="132" t="s">
        <v>512</v>
      </c>
      <c r="H366" s="132" t="s">
        <v>1200</v>
      </c>
      <c r="I366" s="132">
        <v>-26005.609999999997</v>
      </c>
      <c r="J366" s="101" t="s">
        <v>889</v>
      </c>
      <c r="K366" s="245" t="s">
        <v>390</v>
      </c>
      <c r="L366" s="245">
        <v>42947</v>
      </c>
      <c r="M366" s="245" t="s">
        <v>391</v>
      </c>
      <c r="N366" s="101">
        <v>0</v>
      </c>
      <c r="O366" s="101" t="s">
        <v>392</v>
      </c>
      <c r="P366" s="101">
        <v>0</v>
      </c>
      <c r="Q366" s="101">
        <v>0</v>
      </c>
      <c r="R366" s="101" t="s">
        <v>422</v>
      </c>
      <c r="S366" s="101" t="s">
        <v>477</v>
      </c>
      <c r="T366" s="101" t="s">
        <v>394</v>
      </c>
      <c r="U366" s="101" t="s">
        <v>81</v>
      </c>
      <c r="V366" s="245">
        <v>46371</v>
      </c>
      <c r="W366" s="101" t="s">
        <v>445</v>
      </c>
      <c r="X366" s="101" t="s">
        <v>76</v>
      </c>
      <c r="Y366" s="101" t="s">
        <v>392</v>
      </c>
      <c r="Z366" s="101" t="s">
        <v>412</v>
      </c>
      <c r="AA366" s="101" t="s">
        <v>478</v>
      </c>
      <c r="AB366" s="101">
        <v>3101053970</v>
      </c>
      <c r="AC366" s="101" t="s">
        <v>414</v>
      </c>
      <c r="AD366" s="101" t="s">
        <v>79</v>
      </c>
      <c r="AE366" s="101" t="s">
        <v>75</v>
      </c>
      <c r="AF366" s="101" t="s">
        <v>400</v>
      </c>
      <c r="AI366" s="101" t="s">
        <v>172</v>
      </c>
    </row>
    <row r="367" spans="1:35">
      <c r="A367" s="246" t="s">
        <v>112</v>
      </c>
      <c r="B367" s="246" t="s">
        <v>66</v>
      </c>
      <c r="C367" s="246" t="s">
        <v>264</v>
      </c>
      <c r="D367" s="246" t="s">
        <v>290</v>
      </c>
      <c r="E367" s="246"/>
      <c r="F367" s="246"/>
      <c r="G367" s="132" t="s">
        <v>513</v>
      </c>
      <c r="H367" s="132" t="s">
        <v>1201</v>
      </c>
      <c r="I367" s="132">
        <v>6528504.8799999999</v>
      </c>
      <c r="J367" s="101" t="s">
        <v>889</v>
      </c>
      <c r="K367" s="245" t="s">
        <v>390</v>
      </c>
      <c r="L367" s="245">
        <v>42947</v>
      </c>
      <c r="M367" s="245" t="s">
        <v>421</v>
      </c>
      <c r="N367" s="101">
        <v>0</v>
      </c>
      <c r="O367" s="101" t="s">
        <v>392</v>
      </c>
      <c r="P367" s="101">
        <v>0</v>
      </c>
      <c r="Q367" s="101">
        <v>0</v>
      </c>
      <c r="R367" s="101" t="s">
        <v>410</v>
      </c>
      <c r="S367" s="101" t="s">
        <v>477</v>
      </c>
      <c r="T367" s="101" t="s">
        <v>394</v>
      </c>
      <c r="U367" s="101" t="s">
        <v>81</v>
      </c>
      <c r="V367" s="245">
        <v>46371</v>
      </c>
      <c r="W367" s="101" t="s">
        <v>445</v>
      </c>
      <c r="X367" s="101" t="s">
        <v>76</v>
      </c>
      <c r="Y367" s="101" t="s">
        <v>392</v>
      </c>
      <c r="Z367" s="101" t="s">
        <v>412</v>
      </c>
      <c r="AA367" s="101" t="s">
        <v>478</v>
      </c>
      <c r="AB367" s="101">
        <v>3101053970</v>
      </c>
      <c r="AC367" s="101" t="s">
        <v>414</v>
      </c>
      <c r="AD367" s="101" t="s">
        <v>79</v>
      </c>
      <c r="AE367" s="101" t="s">
        <v>75</v>
      </c>
      <c r="AF367" s="101" t="s">
        <v>400</v>
      </c>
      <c r="AI367" s="101" t="s">
        <v>172</v>
      </c>
    </row>
    <row r="368" spans="1:35">
      <c r="A368" s="246" t="s">
        <v>112</v>
      </c>
      <c r="B368" s="246" t="s">
        <v>66</v>
      </c>
      <c r="C368" s="246" t="s">
        <v>126</v>
      </c>
      <c r="D368" s="246" t="s">
        <v>270</v>
      </c>
      <c r="E368" s="246"/>
      <c r="F368" s="246"/>
      <c r="G368" s="132" t="s">
        <v>514</v>
      </c>
      <c r="H368" s="132" t="s">
        <v>1202</v>
      </c>
      <c r="I368" s="132">
        <v>-51794.28</v>
      </c>
      <c r="J368" s="101" t="s">
        <v>889</v>
      </c>
      <c r="K368" s="245" t="s">
        <v>390</v>
      </c>
      <c r="L368" s="245">
        <v>42978</v>
      </c>
      <c r="M368" s="245" t="s">
        <v>391</v>
      </c>
      <c r="N368" s="101">
        <v>0</v>
      </c>
      <c r="O368" s="101" t="s">
        <v>392</v>
      </c>
      <c r="P368" s="101">
        <v>0</v>
      </c>
      <c r="Q368" s="101">
        <v>0</v>
      </c>
      <c r="R368" s="101" t="s">
        <v>422</v>
      </c>
      <c r="S368" s="101" t="s">
        <v>477</v>
      </c>
      <c r="T368" s="101" t="s">
        <v>394</v>
      </c>
      <c r="U368" s="101" t="s">
        <v>81</v>
      </c>
      <c r="V368" s="245">
        <v>46371</v>
      </c>
      <c r="W368" s="101" t="s">
        <v>445</v>
      </c>
      <c r="X368" s="101" t="s">
        <v>76</v>
      </c>
      <c r="Y368" s="101" t="s">
        <v>392</v>
      </c>
      <c r="Z368" s="101" t="s">
        <v>412</v>
      </c>
      <c r="AA368" s="101" t="s">
        <v>478</v>
      </c>
      <c r="AB368" s="101">
        <v>3101053970</v>
      </c>
      <c r="AC368" s="101" t="s">
        <v>414</v>
      </c>
      <c r="AD368" s="101" t="s">
        <v>79</v>
      </c>
      <c r="AE368" s="101" t="s">
        <v>75</v>
      </c>
      <c r="AF368" s="101" t="s">
        <v>400</v>
      </c>
      <c r="AI368" s="101" t="s">
        <v>172</v>
      </c>
    </row>
    <row r="369" spans="1:35">
      <c r="A369" s="246" t="s">
        <v>112</v>
      </c>
      <c r="B369" s="246" t="s">
        <v>66</v>
      </c>
      <c r="C369" s="246" t="s">
        <v>264</v>
      </c>
      <c r="D369" s="246" t="s">
        <v>290</v>
      </c>
      <c r="E369" s="246"/>
      <c r="F369" s="246"/>
      <c r="G369" s="132" t="s">
        <v>515</v>
      </c>
      <c r="H369" s="132" t="s">
        <v>1203</v>
      </c>
      <c r="I369" s="132">
        <v>7014418.5999999996</v>
      </c>
      <c r="J369" s="101" t="s">
        <v>889</v>
      </c>
      <c r="K369" s="245" t="s">
        <v>390</v>
      </c>
      <c r="L369" s="245">
        <v>42978</v>
      </c>
      <c r="M369" s="245" t="s">
        <v>421</v>
      </c>
      <c r="N369" s="101">
        <v>0</v>
      </c>
      <c r="O369" s="101" t="s">
        <v>392</v>
      </c>
      <c r="P369" s="101">
        <v>0</v>
      </c>
      <c r="Q369" s="101">
        <v>0</v>
      </c>
      <c r="R369" s="101" t="s">
        <v>410</v>
      </c>
      <c r="S369" s="101" t="s">
        <v>477</v>
      </c>
      <c r="T369" s="101" t="s">
        <v>394</v>
      </c>
      <c r="U369" s="101" t="s">
        <v>81</v>
      </c>
      <c r="V369" s="245">
        <v>46371</v>
      </c>
      <c r="W369" s="101" t="s">
        <v>445</v>
      </c>
      <c r="X369" s="101" t="s">
        <v>76</v>
      </c>
      <c r="Y369" s="101" t="s">
        <v>392</v>
      </c>
      <c r="Z369" s="101" t="s">
        <v>412</v>
      </c>
      <c r="AA369" s="101" t="s">
        <v>478</v>
      </c>
      <c r="AB369" s="101">
        <v>3101053970</v>
      </c>
      <c r="AC369" s="101" t="s">
        <v>414</v>
      </c>
      <c r="AD369" s="101" t="s">
        <v>79</v>
      </c>
      <c r="AE369" s="101" t="s">
        <v>75</v>
      </c>
      <c r="AF369" s="101" t="s">
        <v>400</v>
      </c>
      <c r="AI369" s="101" t="s">
        <v>172</v>
      </c>
    </row>
    <row r="370" spans="1:35">
      <c r="A370" s="246" t="s">
        <v>112</v>
      </c>
      <c r="B370" s="246" t="s">
        <v>66</v>
      </c>
      <c r="C370" s="246" t="s">
        <v>264</v>
      </c>
      <c r="D370" s="246" t="s">
        <v>290</v>
      </c>
      <c r="E370" s="246"/>
      <c r="F370" s="246"/>
      <c r="G370" s="132" t="s">
        <v>516</v>
      </c>
      <c r="H370" s="132" t="s">
        <v>1204</v>
      </c>
      <c r="I370" s="132">
        <v>-1726430.5799999998</v>
      </c>
      <c r="J370" s="101" t="s">
        <v>889</v>
      </c>
      <c r="K370" s="245" t="s">
        <v>390</v>
      </c>
      <c r="L370" s="245">
        <v>42992</v>
      </c>
      <c r="M370" s="245" t="s">
        <v>421</v>
      </c>
      <c r="N370" s="101">
        <v>0</v>
      </c>
      <c r="O370" s="101" t="s">
        <v>392</v>
      </c>
      <c r="P370" s="101">
        <v>0</v>
      </c>
      <c r="Q370" s="101">
        <v>0</v>
      </c>
      <c r="R370" s="101" t="s">
        <v>422</v>
      </c>
      <c r="S370" s="101" t="s">
        <v>477</v>
      </c>
      <c r="T370" s="101" t="s">
        <v>394</v>
      </c>
      <c r="U370" s="101" t="s">
        <v>81</v>
      </c>
      <c r="V370" s="245">
        <v>46371</v>
      </c>
      <c r="W370" s="101" t="s">
        <v>445</v>
      </c>
      <c r="X370" s="101" t="s">
        <v>76</v>
      </c>
      <c r="Y370" s="101" t="s">
        <v>392</v>
      </c>
      <c r="Z370" s="101" t="s">
        <v>412</v>
      </c>
      <c r="AA370" s="101" t="s">
        <v>478</v>
      </c>
      <c r="AB370" s="101">
        <v>3101053970</v>
      </c>
      <c r="AC370" s="101" t="s">
        <v>414</v>
      </c>
      <c r="AD370" s="101" t="s">
        <v>79</v>
      </c>
      <c r="AE370" s="101" t="s">
        <v>75</v>
      </c>
      <c r="AF370" s="101" t="s">
        <v>400</v>
      </c>
      <c r="AI370" s="101" t="s">
        <v>172</v>
      </c>
    </row>
    <row r="371" spans="1:35">
      <c r="A371" s="246" t="s">
        <v>112</v>
      </c>
      <c r="B371" s="246" t="s">
        <v>66</v>
      </c>
      <c r="C371" s="246" t="s">
        <v>264</v>
      </c>
      <c r="D371" s="246" t="s">
        <v>290</v>
      </c>
      <c r="E371" s="246"/>
      <c r="F371" s="246"/>
      <c r="G371" s="132" t="s">
        <v>517</v>
      </c>
      <c r="H371" s="132" t="s">
        <v>1205</v>
      </c>
      <c r="I371" s="132">
        <v>7113396.5700000003</v>
      </c>
      <c r="J371" s="101" t="s">
        <v>889</v>
      </c>
      <c r="K371" s="245" t="s">
        <v>390</v>
      </c>
      <c r="L371" s="245">
        <v>43007</v>
      </c>
      <c r="M371" s="245" t="s">
        <v>421</v>
      </c>
      <c r="N371" s="101">
        <v>0</v>
      </c>
      <c r="O371" s="101" t="s">
        <v>392</v>
      </c>
      <c r="P371" s="101">
        <v>0</v>
      </c>
      <c r="Q371" s="101">
        <v>0</v>
      </c>
      <c r="R371" s="101" t="s">
        <v>410</v>
      </c>
      <c r="S371" s="101" t="s">
        <v>477</v>
      </c>
      <c r="T371" s="101" t="s">
        <v>394</v>
      </c>
      <c r="U371" s="101" t="s">
        <v>81</v>
      </c>
      <c r="V371" s="245">
        <v>46371</v>
      </c>
      <c r="W371" s="101" t="s">
        <v>445</v>
      </c>
      <c r="X371" s="101" t="s">
        <v>76</v>
      </c>
      <c r="Y371" s="101" t="s">
        <v>392</v>
      </c>
      <c r="Z371" s="101" t="s">
        <v>412</v>
      </c>
      <c r="AA371" s="101" t="s">
        <v>478</v>
      </c>
      <c r="AB371" s="101">
        <v>3101053970</v>
      </c>
      <c r="AC371" s="101" t="s">
        <v>414</v>
      </c>
      <c r="AD371" s="101" t="s">
        <v>79</v>
      </c>
      <c r="AE371" s="101" t="s">
        <v>75</v>
      </c>
      <c r="AF371" s="101" t="s">
        <v>400</v>
      </c>
      <c r="AI371" s="101" t="s">
        <v>172</v>
      </c>
    </row>
    <row r="372" spans="1:35">
      <c r="A372" s="246" t="s">
        <v>112</v>
      </c>
      <c r="B372" s="246" t="s">
        <v>66</v>
      </c>
      <c r="C372" s="246" t="s">
        <v>126</v>
      </c>
      <c r="D372" s="246" t="s">
        <v>270</v>
      </c>
      <c r="E372" s="246"/>
      <c r="F372" s="246"/>
      <c r="G372" s="132" t="s">
        <v>518</v>
      </c>
      <c r="H372" s="132" t="s">
        <v>1206</v>
      </c>
      <c r="I372" s="132">
        <v>-74324.37999999999</v>
      </c>
      <c r="J372" s="101" t="s">
        <v>889</v>
      </c>
      <c r="K372" s="245" t="s">
        <v>390</v>
      </c>
      <c r="L372" s="245">
        <v>43007</v>
      </c>
      <c r="M372" s="245" t="s">
        <v>391</v>
      </c>
      <c r="N372" s="101">
        <v>0</v>
      </c>
      <c r="O372" s="101" t="s">
        <v>392</v>
      </c>
      <c r="P372" s="101">
        <v>0</v>
      </c>
      <c r="Q372" s="101">
        <v>0</v>
      </c>
      <c r="R372" s="101" t="s">
        <v>422</v>
      </c>
      <c r="S372" s="101" t="s">
        <v>477</v>
      </c>
      <c r="T372" s="101" t="s">
        <v>394</v>
      </c>
      <c r="U372" s="101" t="s">
        <v>81</v>
      </c>
      <c r="V372" s="245">
        <v>46371</v>
      </c>
      <c r="W372" s="101" t="s">
        <v>445</v>
      </c>
      <c r="X372" s="101" t="s">
        <v>76</v>
      </c>
      <c r="Y372" s="101" t="s">
        <v>392</v>
      </c>
      <c r="Z372" s="101" t="s">
        <v>412</v>
      </c>
      <c r="AA372" s="101" t="s">
        <v>478</v>
      </c>
      <c r="AB372" s="101">
        <v>3101053970</v>
      </c>
      <c r="AC372" s="101" t="s">
        <v>414</v>
      </c>
      <c r="AD372" s="101" t="s">
        <v>79</v>
      </c>
      <c r="AE372" s="101" t="s">
        <v>75</v>
      </c>
      <c r="AF372" s="101" t="s">
        <v>400</v>
      </c>
      <c r="AI372" s="101" t="s">
        <v>172</v>
      </c>
    </row>
    <row r="373" spans="1:35">
      <c r="A373" s="246" t="s">
        <v>112</v>
      </c>
      <c r="B373" s="246" t="s">
        <v>66</v>
      </c>
      <c r="C373" s="246" t="s">
        <v>126</v>
      </c>
      <c r="D373" s="246" t="s">
        <v>270</v>
      </c>
      <c r="E373" s="246"/>
      <c r="F373" s="246"/>
      <c r="G373" s="132" t="s">
        <v>519</v>
      </c>
      <c r="H373" s="132" t="s">
        <v>1207</v>
      </c>
      <c r="I373" s="132">
        <v>-100781.79</v>
      </c>
      <c r="J373" s="101" t="s">
        <v>889</v>
      </c>
      <c r="K373" s="245" t="s">
        <v>390</v>
      </c>
      <c r="L373" s="245">
        <v>43039</v>
      </c>
      <c r="M373" s="245" t="s">
        <v>391</v>
      </c>
      <c r="N373" s="101">
        <v>0</v>
      </c>
      <c r="O373" s="101" t="s">
        <v>392</v>
      </c>
      <c r="P373" s="101">
        <v>0</v>
      </c>
      <c r="Q373" s="101">
        <v>0</v>
      </c>
      <c r="R373" s="101" t="s">
        <v>422</v>
      </c>
      <c r="S373" s="101" t="s">
        <v>477</v>
      </c>
      <c r="T373" s="101" t="s">
        <v>394</v>
      </c>
      <c r="U373" s="101" t="s">
        <v>81</v>
      </c>
      <c r="V373" s="245">
        <v>46371</v>
      </c>
      <c r="W373" s="101" t="s">
        <v>445</v>
      </c>
      <c r="X373" s="101" t="s">
        <v>76</v>
      </c>
      <c r="Y373" s="101" t="s">
        <v>392</v>
      </c>
      <c r="Z373" s="101" t="s">
        <v>412</v>
      </c>
      <c r="AA373" s="101" t="s">
        <v>478</v>
      </c>
      <c r="AB373" s="101">
        <v>3101053970</v>
      </c>
      <c r="AC373" s="101" t="s">
        <v>414</v>
      </c>
      <c r="AD373" s="101" t="s">
        <v>79</v>
      </c>
      <c r="AE373" s="101" t="s">
        <v>75</v>
      </c>
      <c r="AF373" s="101" t="s">
        <v>400</v>
      </c>
      <c r="AI373" s="101" t="s">
        <v>172</v>
      </c>
    </row>
    <row r="374" spans="1:35">
      <c r="A374" s="246" t="s">
        <v>112</v>
      </c>
      <c r="B374" s="246" t="s">
        <v>66</v>
      </c>
      <c r="C374" s="246" t="s">
        <v>264</v>
      </c>
      <c r="D374" s="246" t="s">
        <v>290</v>
      </c>
      <c r="E374" s="246"/>
      <c r="F374" s="246"/>
      <c r="G374" s="132" t="s">
        <v>520</v>
      </c>
      <c r="H374" s="132" t="s">
        <v>1208</v>
      </c>
      <c r="I374" s="132">
        <v>7037348.5699999994</v>
      </c>
      <c r="J374" s="101" t="s">
        <v>889</v>
      </c>
      <c r="K374" s="245" t="s">
        <v>390</v>
      </c>
      <c r="L374" s="245">
        <v>43039</v>
      </c>
      <c r="M374" s="245" t="s">
        <v>421</v>
      </c>
      <c r="N374" s="101">
        <v>0</v>
      </c>
      <c r="O374" s="101" t="s">
        <v>392</v>
      </c>
      <c r="P374" s="101">
        <v>0</v>
      </c>
      <c r="Q374" s="101">
        <v>0</v>
      </c>
      <c r="R374" s="101" t="s">
        <v>410</v>
      </c>
      <c r="S374" s="101" t="s">
        <v>477</v>
      </c>
      <c r="T374" s="101" t="s">
        <v>394</v>
      </c>
      <c r="U374" s="101" t="s">
        <v>81</v>
      </c>
      <c r="V374" s="245">
        <v>46371</v>
      </c>
      <c r="W374" s="101" t="s">
        <v>445</v>
      </c>
      <c r="X374" s="101" t="s">
        <v>76</v>
      </c>
      <c r="Y374" s="101" t="s">
        <v>392</v>
      </c>
      <c r="Z374" s="101" t="s">
        <v>412</v>
      </c>
      <c r="AA374" s="101" t="s">
        <v>478</v>
      </c>
      <c r="AB374" s="101">
        <v>3101053970</v>
      </c>
      <c r="AC374" s="101" t="s">
        <v>414</v>
      </c>
      <c r="AD374" s="101" t="s">
        <v>79</v>
      </c>
      <c r="AE374" s="101" t="s">
        <v>75</v>
      </c>
      <c r="AF374" s="101" t="s">
        <v>400</v>
      </c>
      <c r="AI374" s="101" t="s">
        <v>172</v>
      </c>
    </row>
    <row r="375" spans="1:35">
      <c r="A375" s="246" t="s">
        <v>113</v>
      </c>
      <c r="B375" s="246" t="s">
        <v>66</v>
      </c>
      <c r="C375" s="246" t="s">
        <v>126</v>
      </c>
      <c r="D375" s="246" t="s">
        <v>271</v>
      </c>
      <c r="E375" s="246"/>
      <c r="F375" s="246"/>
      <c r="G375" s="132" t="s">
        <v>521</v>
      </c>
      <c r="H375" s="132" t="s">
        <v>1209</v>
      </c>
      <c r="I375" s="132">
        <v>-124432.71999999999</v>
      </c>
      <c r="J375" s="101" t="s">
        <v>889</v>
      </c>
      <c r="K375" s="245" t="s">
        <v>390</v>
      </c>
      <c r="L375" s="245">
        <v>43069</v>
      </c>
      <c r="M375" s="245" t="s">
        <v>391</v>
      </c>
      <c r="N375" s="101">
        <v>0</v>
      </c>
      <c r="O375" s="101" t="s">
        <v>392</v>
      </c>
      <c r="P375" s="101">
        <v>0</v>
      </c>
      <c r="Q375" s="101">
        <v>0</v>
      </c>
      <c r="R375" s="101" t="s">
        <v>422</v>
      </c>
      <c r="S375" s="101" t="s">
        <v>477</v>
      </c>
      <c r="T375" s="101" t="s">
        <v>394</v>
      </c>
      <c r="U375" s="101" t="s">
        <v>81</v>
      </c>
      <c r="V375" s="245">
        <v>46371</v>
      </c>
      <c r="W375" s="101" t="s">
        <v>445</v>
      </c>
      <c r="X375" s="101" t="s">
        <v>76</v>
      </c>
      <c r="Y375" s="101" t="s">
        <v>392</v>
      </c>
      <c r="Z375" s="101" t="s">
        <v>412</v>
      </c>
      <c r="AA375" s="101" t="s">
        <v>478</v>
      </c>
      <c r="AB375" s="101">
        <v>3101053970</v>
      </c>
      <c r="AC375" s="101" t="s">
        <v>414</v>
      </c>
      <c r="AD375" s="101" t="s">
        <v>79</v>
      </c>
      <c r="AE375" s="101" t="s">
        <v>75</v>
      </c>
      <c r="AF375" s="101" t="s">
        <v>400</v>
      </c>
      <c r="AI375" s="101" t="s">
        <v>172</v>
      </c>
    </row>
    <row r="376" spans="1:35">
      <c r="A376" s="246" t="s">
        <v>113</v>
      </c>
      <c r="B376" s="246" t="s">
        <v>66</v>
      </c>
      <c r="C376" s="246" t="s">
        <v>264</v>
      </c>
      <c r="D376" s="246" t="s">
        <v>285</v>
      </c>
      <c r="E376" s="246"/>
      <c r="F376" s="246"/>
      <c r="G376" s="132" t="s">
        <v>522</v>
      </c>
      <c r="H376" s="132" t="s">
        <v>1210</v>
      </c>
      <c r="I376" s="132">
        <v>7447298.7300000004</v>
      </c>
      <c r="J376" s="101" t="s">
        <v>889</v>
      </c>
      <c r="K376" s="245" t="s">
        <v>390</v>
      </c>
      <c r="L376" s="245">
        <v>43069</v>
      </c>
      <c r="M376" s="245" t="s">
        <v>421</v>
      </c>
      <c r="N376" s="101">
        <v>0</v>
      </c>
      <c r="O376" s="101" t="s">
        <v>392</v>
      </c>
      <c r="P376" s="101">
        <v>0</v>
      </c>
      <c r="Q376" s="101">
        <v>0</v>
      </c>
      <c r="R376" s="101" t="s">
        <v>410</v>
      </c>
      <c r="S376" s="101" t="s">
        <v>477</v>
      </c>
      <c r="T376" s="101" t="s">
        <v>394</v>
      </c>
      <c r="U376" s="101" t="s">
        <v>81</v>
      </c>
      <c r="V376" s="245">
        <v>46371</v>
      </c>
      <c r="W376" s="101" t="s">
        <v>445</v>
      </c>
      <c r="X376" s="101" t="s">
        <v>76</v>
      </c>
      <c r="Y376" s="101" t="s">
        <v>392</v>
      </c>
      <c r="Z376" s="101" t="s">
        <v>412</v>
      </c>
      <c r="AA376" s="101" t="s">
        <v>478</v>
      </c>
      <c r="AB376" s="101">
        <v>3101053970</v>
      </c>
      <c r="AC376" s="101" t="s">
        <v>414</v>
      </c>
      <c r="AD376" s="101" t="s">
        <v>79</v>
      </c>
      <c r="AE376" s="101" t="s">
        <v>75</v>
      </c>
      <c r="AF376" s="101" t="s">
        <v>400</v>
      </c>
      <c r="AI376" s="101" t="s">
        <v>172</v>
      </c>
    </row>
    <row r="377" spans="1:35">
      <c r="A377" s="246" t="s">
        <v>113</v>
      </c>
      <c r="B377" s="246" t="s">
        <v>66</v>
      </c>
      <c r="C377" s="246" t="s">
        <v>264</v>
      </c>
      <c r="D377" s="246" t="s">
        <v>285</v>
      </c>
      <c r="E377" s="246"/>
      <c r="F377" s="246"/>
      <c r="G377" s="132" t="s">
        <v>523</v>
      </c>
      <c r="H377" s="132" t="s">
        <v>1211</v>
      </c>
      <c r="I377" s="132">
        <v>-39997961.920000002</v>
      </c>
      <c r="J377" s="101" t="s">
        <v>889</v>
      </c>
      <c r="K377" s="245" t="s">
        <v>390</v>
      </c>
      <c r="L377" s="245">
        <v>43083</v>
      </c>
      <c r="M377" s="245" t="s">
        <v>421</v>
      </c>
      <c r="N377" s="101">
        <v>0</v>
      </c>
      <c r="O377" s="101" t="s">
        <v>392</v>
      </c>
      <c r="P377" s="101">
        <v>0</v>
      </c>
      <c r="Q377" s="101">
        <v>0</v>
      </c>
      <c r="R377" s="101" t="s">
        <v>422</v>
      </c>
      <c r="S377" s="101" t="s">
        <v>477</v>
      </c>
      <c r="T377" s="101" t="s">
        <v>394</v>
      </c>
      <c r="U377" s="101" t="s">
        <v>81</v>
      </c>
      <c r="V377" s="245">
        <v>46371</v>
      </c>
      <c r="W377" s="101" t="s">
        <v>445</v>
      </c>
      <c r="X377" s="101" t="s">
        <v>76</v>
      </c>
      <c r="Y377" s="101" t="s">
        <v>392</v>
      </c>
      <c r="Z377" s="101" t="s">
        <v>412</v>
      </c>
      <c r="AA377" s="101" t="s">
        <v>478</v>
      </c>
      <c r="AB377" s="101">
        <v>3101053970</v>
      </c>
      <c r="AC377" s="101" t="s">
        <v>414</v>
      </c>
      <c r="AD377" s="101" t="s">
        <v>79</v>
      </c>
      <c r="AE377" s="101" t="s">
        <v>75</v>
      </c>
      <c r="AF377" s="101" t="s">
        <v>400</v>
      </c>
      <c r="AI377" s="101" t="s">
        <v>172</v>
      </c>
    </row>
    <row r="378" spans="1:35">
      <c r="A378" s="246" t="s">
        <v>113</v>
      </c>
      <c r="B378" s="246" t="s">
        <v>66</v>
      </c>
      <c r="C378" s="246" t="s">
        <v>264</v>
      </c>
      <c r="D378" s="246" t="s">
        <v>285</v>
      </c>
      <c r="E378" s="246"/>
      <c r="F378" s="246"/>
      <c r="G378" s="132" t="s">
        <v>524</v>
      </c>
      <c r="H378" s="132" t="s">
        <v>1212</v>
      </c>
      <c r="I378" s="132">
        <v>5823360.2499999991</v>
      </c>
      <c r="J378" s="101" t="s">
        <v>889</v>
      </c>
      <c r="K378" s="245" t="s">
        <v>390</v>
      </c>
      <c r="L378" s="245">
        <v>43098</v>
      </c>
      <c r="M378" s="245" t="s">
        <v>421</v>
      </c>
      <c r="N378" s="101">
        <v>0</v>
      </c>
      <c r="O378" s="101" t="s">
        <v>392</v>
      </c>
      <c r="P378" s="101">
        <v>0</v>
      </c>
      <c r="Q378" s="101">
        <v>0</v>
      </c>
      <c r="R378" s="101" t="s">
        <v>410</v>
      </c>
      <c r="S378" s="101" t="s">
        <v>477</v>
      </c>
      <c r="T378" s="101" t="s">
        <v>394</v>
      </c>
      <c r="U378" s="101" t="s">
        <v>81</v>
      </c>
      <c r="V378" s="245">
        <v>46371</v>
      </c>
      <c r="W378" s="101" t="s">
        <v>445</v>
      </c>
      <c r="X378" s="101" t="s">
        <v>76</v>
      </c>
      <c r="Y378" s="101" t="s">
        <v>392</v>
      </c>
      <c r="Z378" s="101" t="s">
        <v>412</v>
      </c>
      <c r="AA378" s="101" t="s">
        <v>478</v>
      </c>
      <c r="AB378" s="101">
        <v>3101053970</v>
      </c>
      <c r="AC378" s="101" t="s">
        <v>414</v>
      </c>
      <c r="AD378" s="101" t="s">
        <v>79</v>
      </c>
      <c r="AE378" s="101" t="s">
        <v>75</v>
      </c>
      <c r="AF378" s="101" t="s">
        <v>400</v>
      </c>
      <c r="AI378" s="101" t="s">
        <v>172</v>
      </c>
    </row>
    <row r="379" spans="1:35">
      <c r="A379" s="246" t="s">
        <v>113</v>
      </c>
      <c r="B379" s="246" t="s">
        <v>66</v>
      </c>
      <c r="C379" s="246" t="s">
        <v>126</v>
      </c>
      <c r="D379" s="246" t="s">
        <v>271</v>
      </c>
      <c r="E379" s="246"/>
      <c r="F379" s="246"/>
      <c r="G379" s="132" t="s">
        <v>525</v>
      </c>
      <c r="H379" s="132" t="s">
        <v>1213</v>
      </c>
      <c r="I379" s="132">
        <v>-72838.25</v>
      </c>
      <c r="J379" s="101" t="s">
        <v>889</v>
      </c>
      <c r="K379" s="245" t="s">
        <v>390</v>
      </c>
      <c r="L379" s="245">
        <v>43098</v>
      </c>
      <c r="M379" s="245" t="s">
        <v>391</v>
      </c>
      <c r="N379" s="101">
        <v>0</v>
      </c>
      <c r="O379" s="101" t="s">
        <v>392</v>
      </c>
      <c r="P379" s="101">
        <v>0</v>
      </c>
      <c r="Q379" s="101">
        <v>0</v>
      </c>
      <c r="R379" s="101" t="s">
        <v>422</v>
      </c>
      <c r="S379" s="101" t="s">
        <v>477</v>
      </c>
      <c r="T379" s="101" t="s">
        <v>394</v>
      </c>
      <c r="U379" s="101" t="s">
        <v>81</v>
      </c>
      <c r="V379" s="245">
        <v>46371</v>
      </c>
      <c r="W379" s="101" t="s">
        <v>445</v>
      </c>
      <c r="X379" s="101" t="s">
        <v>76</v>
      </c>
      <c r="Y379" s="101" t="s">
        <v>392</v>
      </c>
      <c r="Z379" s="101" t="s">
        <v>412</v>
      </c>
      <c r="AA379" s="101" t="s">
        <v>478</v>
      </c>
      <c r="AB379" s="101">
        <v>3101053970</v>
      </c>
      <c r="AC379" s="101" t="s">
        <v>414</v>
      </c>
      <c r="AD379" s="101" t="s">
        <v>79</v>
      </c>
      <c r="AE379" s="101" t="s">
        <v>75</v>
      </c>
      <c r="AF379" s="101" t="s">
        <v>400</v>
      </c>
      <c r="AI379" s="101" t="s">
        <v>172</v>
      </c>
    </row>
    <row r="380" spans="1:35">
      <c r="A380" s="246" t="s">
        <v>113</v>
      </c>
      <c r="B380" s="246" t="s">
        <v>66</v>
      </c>
      <c r="C380" s="246" t="s">
        <v>126</v>
      </c>
      <c r="D380" s="246" t="s">
        <v>271</v>
      </c>
      <c r="E380" s="246"/>
      <c r="F380" s="246"/>
      <c r="G380" s="132" t="s">
        <v>526</v>
      </c>
      <c r="H380" s="132" t="s">
        <v>1214</v>
      </c>
      <c r="I380" s="132">
        <v>-23003.229999999996</v>
      </c>
      <c r="J380" s="101" t="s">
        <v>889</v>
      </c>
      <c r="K380" s="245" t="s">
        <v>390</v>
      </c>
      <c r="L380" s="245">
        <v>43131</v>
      </c>
      <c r="M380" s="245" t="s">
        <v>391</v>
      </c>
      <c r="N380" s="101">
        <v>0</v>
      </c>
      <c r="O380" s="101" t="s">
        <v>392</v>
      </c>
      <c r="P380" s="101">
        <v>0</v>
      </c>
      <c r="Q380" s="101">
        <v>0</v>
      </c>
      <c r="R380" s="101" t="s">
        <v>422</v>
      </c>
      <c r="S380" s="101" t="s">
        <v>477</v>
      </c>
      <c r="T380" s="101" t="s">
        <v>394</v>
      </c>
      <c r="U380" s="101" t="s">
        <v>81</v>
      </c>
      <c r="V380" s="245">
        <v>46371</v>
      </c>
      <c r="W380" s="101" t="s">
        <v>445</v>
      </c>
      <c r="X380" s="101" t="s">
        <v>76</v>
      </c>
      <c r="Y380" s="101" t="s">
        <v>392</v>
      </c>
      <c r="Z380" s="101" t="s">
        <v>412</v>
      </c>
      <c r="AA380" s="101" t="s">
        <v>478</v>
      </c>
      <c r="AB380" s="101">
        <v>3101053970</v>
      </c>
      <c r="AC380" s="101" t="s">
        <v>414</v>
      </c>
      <c r="AD380" s="101" t="s">
        <v>79</v>
      </c>
      <c r="AE380" s="101" t="s">
        <v>75</v>
      </c>
      <c r="AF380" s="101" t="s">
        <v>400</v>
      </c>
      <c r="AI380" s="101" t="s">
        <v>172</v>
      </c>
    </row>
    <row r="381" spans="1:35">
      <c r="A381" s="246" t="s">
        <v>113</v>
      </c>
      <c r="B381" s="246" t="s">
        <v>66</v>
      </c>
      <c r="C381" s="246" t="s">
        <v>264</v>
      </c>
      <c r="D381" s="246" t="s">
        <v>285</v>
      </c>
      <c r="E381" s="246"/>
      <c r="F381" s="246"/>
      <c r="G381" s="132" t="s">
        <v>527</v>
      </c>
      <c r="H381" s="132" t="s">
        <v>1215</v>
      </c>
      <c r="I381" s="132">
        <v>7084240.7400000002</v>
      </c>
      <c r="J381" s="101" t="s">
        <v>889</v>
      </c>
      <c r="K381" s="245" t="s">
        <v>390</v>
      </c>
      <c r="L381" s="245">
        <v>43131</v>
      </c>
      <c r="M381" s="245" t="s">
        <v>421</v>
      </c>
      <c r="N381" s="101">
        <v>0</v>
      </c>
      <c r="O381" s="101" t="s">
        <v>392</v>
      </c>
      <c r="P381" s="101">
        <v>0</v>
      </c>
      <c r="Q381" s="101">
        <v>0</v>
      </c>
      <c r="R381" s="101" t="s">
        <v>410</v>
      </c>
      <c r="S381" s="101" t="s">
        <v>477</v>
      </c>
      <c r="T381" s="101" t="s">
        <v>394</v>
      </c>
      <c r="U381" s="101" t="s">
        <v>81</v>
      </c>
      <c r="V381" s="245">
        <v>46371</v>
      </c>
      <c r="W381" s="101" t="s">
        <v>445</v>
      </c>
      <c r="X381" s="101" t="s">
        <v>76</v>
      </c>
      <c r="Y381" s="101" t="s">
        <v>392</v>
      </c>
      <c r="Z381" s="101" t="s">
        <v>412</v>
      </c>
      <c r="AA381" s="101" t="s">
        <v>478</v>
      </c>
      <c r="AB381" s="101">
        <v>3101053970</v>
      </c>
      <c r="AC381" s="101" t="s">
        <v>414</v>
      </c>
      <c r="AD381" s="101" t="s">
        <v>79</v>
      </c>
      <c r="AE381" s="101" t="s">
        <v>75</v>
      </c>
      <c r="AF381" s="101" t="s">
        <v>400</v>
      </c>
      <c r="AI381" s="101" t="s">
        <v>172</v>
      </c>
    </row>
    <row r="382" spans="1:35">
      <c r="A382" s="246" t="s">
        <v>113</v>
      </c>
      <c r="B382" s="246" t="s">
        <v>66</v>
      </c>
      <c r="C382" s="246" t="s">
        <v>126</v>
      </c>
      <c r="D382" s="246" t="s">
        <v>271</v>
      </c>
      <c r="E382" s="246"/>
      <c r="F382" s="246"/>
      <c r="G382" s="132" t="s">
        <v>528</v>
      </c>
      <c r="H382" s="132" t="s">
        <v>1216</v>
      </c>
      <c r="I382" s="132">
        <v>-46052.909999999996</v>
      </c>
      <c r="J382" s="101" t="s">
        <v>889</v>
      </c>
      <c r="K382" s="245" t="s">
        <v>390</v>
      </c>
      <c r="L382" s="245">
        <v>43159</v>
      </c>
      <c r="M382" s="245" t="s">
        <v>391</v>
      </c>
      <c r="N382" s="101">
        <v>0</v>
      </c>
      <c r="O382" s="101" t="s">
        <v>392</v>
      </c>
      <c r="P382" s="101">
        <v>0</v>
      </c>
      <c r="Q382" s="101">
        <v>0</v>
      </c>
      <c r="R382" s="101" t="s">
        <v>422</v>
      </c>
      <c r="S382" s="101" t="s">
        <v>477</v>
      </c>
      <c r="T382" s="101" t="s">
        <v>394</v>
      </c>
      <c r="U382" s="101" t="s">
        <v>81</v>
      </c>
      <c r="V382" s="245">
        <v>46371</v>
      </c>
      <c r="W382" s="101" t="s">
        <v>445</v>
      </c>
      <c r="X382" s="101" t="s">
        <v>76</v>
      </c>
      <c r="Y382" s="101" t="s">
        <v>392</v>
      </c>
      <c r="Z382" s="101" t="s">
        <v>412</v>
      </c>
      <c r="AA382" s="101" t="s">
        <v>478</v>
      </c>
      <c r="AB382" s="101">
        <v>3101053970</v>
      </c>
      <c r="AC382" s="101" t="s">
        <v>414</v>
      </c>
      <c r="AD382" s="101" t="s">
        <v>79</v>
      </c>
      <c r="AE382" s="101" t="s">
        <v>75</v>
      </c>
      <c r="AF382" s="101" t="s">
        <v>400</v>
      </c>
      <c r="AI382" s="101" t="s">
        <v>172</v>
      </c>
    </row>
    <row r="383" spans="1:35">
      <c r="A383" s="246" t="s">
        <v>113</v>
      </c>
      <c r="B383" s="246" t="s">
        <v>66</v>
      </c>
      <c r="C383" s="246" t="s">
        <v>264</v>
      </c>
      <c r="D383" s="246" t="s">
        <v>285</v>
      </c>
      <c r="E383" s="246"/>
      <c r="F383" s="246"/>
      <c r="G383" s="132" t="s">
        <v>529</v>
      </c>
      <c r="H383" s="132" t="s">
        <v>1217</v>
      </c>
      <c r="I383" s="132">
        <v>7535970.6600000001</v>
      </c>
      <c r="J383" s="101" t="s">
        <v>889</v>
      </c>
      <c r="K383" s="245" t="s">
        <v>390</v>
      </c>
      <c r="L383" s="245">
        <v>43159</v>
      </c>
      <c r="M383" s="245" t="s">
        <v>421</v>
      </c>
      <c r="N383" s="101">
        <v>0</v>
      </c>
      <c r="O383" s="101" t="s">
        <v>392</v>
      </c>
      <c r="P383" s="101">
        <v>0</v>
      </c>
      <c r="Q383" s="101">
        <v>0</v>
      </c>
      <c r="R383" s="101" t="s">
        <v>410</v>
      </c>
      <c r="S383" s="101" t="s">
        <v>477</v>
      </c>
      <c r="T383" s="101" t="s">
        <v>394</v>
      </c>
      <c r="U383" s="101" t="s">
        <v>81</v>
      </c>
      <c r="V383" s="245">
        <v>46371</v>
      </c>
      <c r="W383" s="101" t="s">
        <v>445</v>
      </c>
      <c r="X383" s="101" t="s">
        <v>76</v>
      </c>
      <c r="Y383" s="101" t="s">
        <v>392</v>
      </c>
      <c r="Z383" s="101" t="s">
        <v>412</v>
      </c>
      <c r="AA383" s="101" t="s">
        <v>478</v>
      </c>
      <c r="AB383" s="101">
        <v>3101053970</v>
      </c>
      <c r="AC383" s="101" t="s">
        <v>414</v>
      </c>
      <c r="AD383" s="101" t="s">
        <v>79</v>
      </c>
      <c r="AE383" s="101" t="s">
        <v>75</v>
      </c>
      <c r="AF383" s="101" t="s">
        <v>400</v>
      </c>
      <c r="AI383" s="101" t="s">
        <v>172</v>
      </c>
    </row>
    <row r="384" spans="1:35">
      <c r="A384" s="246" t="s">
        <v>113</v>
      </c>
      <c r="B384" s="246" t="s">
        <v>66</v>
      </c>
      <c r="C384" s="246" t="s">
        <v>264</v>
      </c>
      <c r="D384" s="246" t="s">
        <v>285</v>
      </c>
      <c r="E384" s="246"/>
      <c r="F384" s="246"/>
      <c r="G384" s="132" t="s">
        <v>530</v>
      </c>
      <c r="H384" s="132" t="s">
        <v>1218</v>
      </c>
      <c r="I384" s="132">
        <v>-1654050.08</v>
      </c>
      <c r="J384" s="101" t="s">
        <v>889</v>
      </c>
      <c r="K384" s="245" t="s">
        <v>390</v>
      </c>
      <c r="L384" s="245">
        <v>43173</v>
      </c>
      <c r="M384" s="245" t="s">
        <v>421</v>
      </c>
      <c r="N384" s="101">
        <v>0</v>
      </c>
      <c r="O384" s="101" t="s">
        <v>392</v>
      </c>
      <c r="P384" s="101">
        <v>0</v>
      </c>
      <c r="Q384" s="101">
        <v>0</v>
      </c>
      <c r="R384" s="101" t="s">
        <v>422</v>
      </c>
      <c r="S384" s="101" t="s">
        <v>477</v>
      </c>
      <c r="T384" s="101" t="s">
        <v>394</v>
      </c>
      <c r="U384" s="101" t="s">
        <v>81</v>
      </c>
      <c r="V384" s="245">
        <v>46371</v>
      </c>
      <c r="W384" s="101" t="s">
        <v>445</v>
      </c>
      <c r="X384" s="101" t="s">
        <v>76</v>
      </c>
      <c r="Y384" s="101" t="s">
        <v>392</v>
      </c>
      <c r="Z384" s="101" t="s">
        <v>412</v>
      </c>
      <c r="AA384" s="101" t="s">
        <v>478</v>
      </c>
      <c r="AB384" s="101">
        <v>3101053970</v>
      </c>
      <c r="AC384" s="101" t="s">
        <v>414</v>
      </c>
      <c r="AD384" s="101" t="s">
        <v>79</v>
      </c>
      <c r="AE384" s="101" t="s">
        <v>75</v>
      </c>
      <c r="AF384" s="101" t="s">
        <v>400</v>
      </c>
      <c r="AI384" s="101" t="s">
        <v>172</v>
      </c>
    </row>
    <row r="385" spans="1:35">
      <c r="A385" s="246" t="s">
        <v>113</v>
      </c>
      <c r="B385" s="246" t="s">
        <v>66</v>
      </c>
      <c r="C385" s="246" t="s">
        <v>264</v>
      </c>
      <c r="D385" s="246" t="s">
        <v>285</v>
      </c>
      <c r="E385" s="246"/>
      <c r="F385" s="246"/>
      <c r="G385" s="132" t="s">
        <v>543</v>
      </c>
      <c r="H385" s="132" t="s">
        <v>1219</v>
      </c>
      <c r="I385" s="132">
        <v>6807742.54</v>
      </c>
      <c r="J385" s="101" t="s">
        <v>889</v>
      </c>
      <c r="K385" s="245" t="s">
        <v>390</v>
      </c>
      <c r="L385" s="245">
        <v>43189</v>
      </c>
      <c r="M385" s="245" t="s">
        <v>421</v>
      </c>
      <c r="N385" s="101">
        <v>0</v>
      </c>
      <c r="O385" s="101" t="s">
        <v>392</v>
      </c>
      <c r="P385" s="101">
        <v>0</v>
      </c>
      <c r="Q385" s="101">
        <v>0</v>
      </c>
      <c r="R385" s="101" t="s">
        <v>410</v>
      </c>
      <c r="S385" s="101" t="s">
        <v>477</v>
      </c>
      <c r="T385" s="101" t="s">
        <v>394</v>
      </c>
      <c r="U385" s="101" t="s">
        <v>81</v>
      </c>
      <c r="V385" s="245">
        <v>46371</v>
      </c>
      <c r="W385" s="101" t="s">
        <v>445</v>
      </c>
      <c r="X385" s="101" t="s">
        <v>76</v>
      </c>
      <c r="Y385" s="101" t="s">
        <v>392</v>
      </c>
      <c r="Z385" s="101" t="s">
        <v>412</v>
      </c>
      <c r="AA385" s="101" t="s">
        <v>478</v>
      </c>
      <c r="AB385" s="101">
        <v>3101053970</v>
      </c>
      <c r="AC385" s="101" t="s">
        <v>414</v>
      </c>
      <c r="AD385" s="101" t="s">
        <v>79</v>
      </c>
      <c r="AE385" s="101" t="s">
        <v>75</v>
      </c>
      <c r="AF385" s="101" t="s">
        <v>400</v>
      </c>
      <c r="AI385" s="101" t="s">
        <v>172</v>
      </c>
    </row>
    <row r="386" spans="1:35">
      <c r="A386" s="246" t="s">
        <v>113</v>
      </c>
      <c r="B386" s="246" t="s">
        <v>66</v>
      </c>
      <c r="C386" s="246" t="s">
        <v>126</v>
      </c>
      <c r="D386" s="246" t="s">
        <v>271</v>
      </c>
      <c r="E386" s="246"/>
      <c r="F386" s="246"/>
      <c r="G386" s="132" t="s">
        <v>544</v>
      </c>
      <c r="H386" s="132" t="s">
        <v>1220</v>
      </c>
      <c r="I386" s="132">
        <v>-78039.91</v>
      </c>
      <c r="J386" s="101" t="s">
        <v>889</v>
      </c>
      <c r="K386" s="245" t="s">
        <v>390</v>
      </c>
      <c r="L386" s="245">
        <v>43189</v>
      </c>
      <c r="M386" s="245" t="s">
        <v>391</v>
      </c>
      <c r="N386" s="101">
        <v>0</v>
      </c>
      <c r="O386" s="101" t="s">
        <v>392</v>
      </c>
      <c r="P386" s="101">
        <v>0</v>
      </c>
      <c r="Q386" s="101">
        <v>0</v>
      </c>
      <c r="R386" s="101" t="s">
        <v>422</v>
      </c>
      <c r="S386" s="101" t="s">
        <v>477</v>
      </c>
      <c r="T386" s="101" t="s">
        <v>394</v>
      </c>
      <c r="U386" s="101" t="s">
        <v>81</v>
      </c>
      <c r="V386" s="245">
        <v>46371</v>
      </c>
      <c r="W386" s="101" t="s">
        <v>445</v>
      </c>
      <c r="X386" s="101" t="s">
        <v>76</v>
      </c>
      <c r="Y386" s="101" t="s">
        <v>392</v>
      </c>
      <c r="Z386" s="101" t="s">
        <v>412</v>
      </c>
      <c r="AA386" s="101" t="s">
        <v>478</v>
      </c>
      <c r="AB386" s="101">
        <v>3101053970</v>
      </c>
      <c r="AC386" s="101" t="s">
        <v>414</v>
      </c>
      <c r="AD386" s="101" t="s">
        <v>79</v>
      </c>
      <c r="AE386" s="101" t="s">
        <v>75</v>
      </c>
      <c r="AF386" s="101" t="s">
        <v>400</v>
      </c>
      <c r="AI386" s="101" t="s">
        <v>172</v>
      </c>
    </row>
    <row r="387" spans="1:35">
      <c r="A387" s="246" t="s">
        <v>113</v>
      </c>
      <c r="B387" s="246" t="s">
        <v>66</v>
      </c>
      <c r="C387" s="246" t="s">
        <v>126</v>
      </c>
      <c r="D387" s="246" t="s">
        <v>271</v>
      </c>
      <c r="E387" s="246"/>
      <c r="F387" s="246"/>
      <c r="G387" s="132" t="s">
        <v>813</v>
      </c>
      <c r="H387" s="132" t="s">
        <v>1221</v>
      </c>
      <c r="I387" s="132">
        <v>-97851.68</v>
      </c>
      <c r="J387" s="101" t="s">
        <v>889</v>
      </c>
      <c r="K387" s="245" t="s">
        <v>390</v>
      </c>
      <c r="L387" s="245">
        <v>43220</v>
      </c>
      <c r="M387" s="245" t="s">
        <v>391</v>
      </c>
      <c r="N387" s="101">
        <v>0</v>
      </c>
      <c r="O387" s="101" t="s">
        <v>392</v>
      </c>
      <c r="P387" s="101">
        <v>0</v>
      </c>
      <c r="Q387" s="101">
        <v>0</v>
      </c>
      <c r="R387" s="101" t="s">
        <v>422</v>
      </c>
      <c r="S387" s="101" t="s">
        <v>477</v>
      </c>
      <c r="T387" s="101" t="s">
        <v>394</v>
      </c>
      <c r="U387" s="101" t="s">
        <v>81</v>
      </c>
      <c r="V387" s="245">
        <v>46371</v>
      </c>
      <c r="W387" s="101" t="s">
        <v>445</v>
      </c>
      <c r="X387" s="101" t="s">
        <v>76</v>
      </c>
      <c r="Y387" s="101" t="s">
        <v>392</v>
      </c>
      <c r="Z387" s="101" t="s">
        <v>412</v>
      </c>
      <c r="AA387" s="101" t="s">
        <v>478</v>
      </c>
      <c r="AB387" s="101">
        <v>3101053970</v>
      </c>
      <c r="AC387" s="101" t="s">
        <v>414</v>
      </c>
      <c r="AD387" s="101" t="s">
        <v>79</v>
      </c>
      <c r="AE387" s="101" t="s">
        <v>75</v>
      </c>
      <c r="AF387" s="101" t="s">
        <v>400</v>
      </c>
      <c r="AI387" s="101" t="s">
        <v>172</v>
      </c>
    </row>
    <row r="388" spans="1:35">
      <c r="A388" s="246" t="s">
        <v>113</v>
      </c>
      <c r="B388" s="246" t="s">
        <v>66</v>
      </c>
      <c r="C388" s="246" t="s">
        <v>264</v>
      </c>
      <c r="D388" s="246" t="s">
        <v>285</v>
      </c>
      <c r="E388" s="246"/>
      <c r="F388" s="246"/>
      <c r="G388" s="132" t="s">
        <v>814</v>
      </c>
      <c r="H388" s="132" t="s">
        <v>1222</v>
      </c>
      <c r="I388" s="132">
        <v>7093136.0699999994</v>
      </c>
      <c r="J388" s="101" t="s">
        <v>889</v>
      </c>
      <c r="K388" s="245" t="s">
        <v>390</v>
      </c>
      <c r="L388" s="245">
        <v>43220</v>
      </c>
      <c r="M388" s="245" t="s">
        <v>421</v>
      </c>
      <c r="N388" s="101">
        <v>0</v>
      </c>
      <c r="O388" s="101" t="s">
        <v>392</v>
      </c>
      <c r="P388" s="101">
        <v>0</v>
      </c>
      <c r="Q388" s="101">
        <v>0</v>
      </c>
      <c r="R388" s="101" t="s">
        <v>410</v>
      </c>
      <c r="S388" s="101" t="s">
        <v>477</v>
      </c>
      <c r="T388" s="101" t="s">
        <v>394</v>
      </c>
      <c r="U388" s="101" t="s">
        <v>81</v>
      </c>
      <c r="V388" s="245">
        <v>46371</v>
      </c>
      <c r="W388" s="101" t="s">
        <v>445</v>
      </c>
      <c r="X388" s="101" t="s">
        <v>76</v>
      </c>
      <c r="Y388" s="101" t="s">
        <v>392</v>
      </c>
      <c r="Z388" s="101" t="s">
        <v>412</v>
      </c>
      <c r="AA388" s="101" t="s">
        <v>478</v>
      </c>
      <c r="AB388" s="101">
        <v>3101053970</v>
      </c>
      <c r="AC388" s="101" t="s">
        <v>414</v>
      </c>
      <c r="AD388" s="101" t="s">
        <v>79</v>
      </c>
      <c r="AE388" s="101" t="s">
        <v>75</v>
      </c>
      <c r="AF388" s="101" t="s">
        <v>400</v>
      </c>
      <c r="AI388" s="101" t="s">
        <v>172</v>
      </c>
    </row>
    <row r="389" spans="1:35">
      <c r="A389" s="246" t="s">
        <v>111</v>
      </c>
      <c r="B389" s="246" t="s">
        <v>78</v>
      </c>
      <c r="C389" s="246" t="s">
        <v>126</v>
      </c>
      <c r="D389" s="246" t="s">
        <v>768</v>
      </c>
      <c r="E389" s="246" t="s">
        <v>769</v>
      </c>
      <c r="F389" s="246" t="s">
        <v>277</v>
      </c>
      <c r="G389" s="132" t="s">
        <v>810</v>
      </c>
      <c r="H389" s="132" t="s">
        <v>1223</v>
      </c>
      <c r="I389" s="132">
        <v>14327.519999999999</v>
      </c>
      <c r="J389" s="101" t="s">
        <v>889</v>
      </c>
      <c r="K389" s="245" t="s">
        <v>390</v>
      </c>
      <c r="L389" s="245">
        <v>42794</v>
      </c>
      <c r="M389" s="245" t="s">
        <v>391</v>
      </c>
      <c r="N389" s="101">
        <v>0</v>
      </c>
      <c r="O389" s="101" t="s">
        <v>392</v>
      </c>
      <c r="P389" s="101">
        <v>0</v>
      </c>
      <c r="Q389" s="101">
        <v>0</v>
      </c>
      <c r="R389" s="101" t="s">
        <v>393</v>
      </c>
      <c r="S389" s="101" t="s">
        <v>807</v>
      </c>
      <c r="T389" s="101" t="s">
        <v>394</v>
      </c>
      <c r="V389" s="245">
        <v>14124</v>
      </c>
      <c r="W389" s="101" t="s">
        <v>395</v>
      </c>
      <c r="X389" s="101" t="s">
        <v>795</v>
      </c>
      <c r="Y389" s="101" t="s">
        <v>396</v>
      </c>
      <c r="Z389" s="101" t="s">
        <v>402</v>
      </c>
      <c r="AA389" s="101" t="s">
        <v>78</v>
      </c>
      <c r="AB389" s="101">
        <v>4101000279</v>
      </c>
      <c r="AC389" s="101" t="s">
        <v>398</v>
      </c>
      <c r="AD389" s="101" t="s">
        <v>403</v>
      </c>
      <c r="AE389" s="101" t="s">
        <v>6</v>
      </c>
      <c r="AF389" s="101" t="s">
        <v>400</v>
      </c>
      <c r="AI389" s="101" t="s">
        <v>760</v>
      </c>
    </row>
    <row r="390" spans="1:35">
      <c r="A390" s="246" t="s">
        <v>112</v>
      </c>
      <c r="B390" s="246" t="s">
        <v>78</v>
      </c>
      <c r="C390" s="246" t="s">
        <v>126</v>
      </c>
      <c r="D390" s="246" t="s">
        <v>341</v>
      </c>
      <c r="E390" s="246" t="s">
        <v>342</v>
      </c>
      <c r="F390" s="246" t="s">
        <v>278</v>
      </c>
      <c r="G390" s="132" t="s">
        <v>811</v>
      </c>
      <c r="H390" s="132" t="s">
        <v>1224</v>
      </c>
      <c r="I390" s="132">
        <v>14729.979999999998</v>
      </c>
      <c r="J390" s="101" t="s">
        <v>889</v>
      </c>
      <c r="K390" s="245" t="s">
        <v>390</v>
      </c>
      <c r="L390" s="245">
        <v>42978</v>
      </c>
      <c r="M390" s="245" t="s">
        <v>391</v>
      </c>
      <c r="N390" s="101">
        <v>0</v>
      </c>
      <c r="O390" s="101" t="s">
        <v>392</v>
      </c>
      <c r="P390" s="101">
        <v>0</v>
      </c>
      <c r="Q390" s="101">
        <v>0</v>
      </c>
      <c r="R390" s="101" t="s">
        <v>393</v>
      </c>
      <c r="S390" s="101" t="s">
        <v>807</v>
      </c>
      <c r="T390" s="101" t="s">
        <v>394</v>
      </c>
      <c r="V390" s="245">
        <v>14124</v>
      </c>
      <c r="W390" s="101" t="s">
        <v>395</v>
      </c>
      <c r="X390" s="101" t="s">
        <v>795</v>
      </c>
      <c r="Y390" s="101" t="s">
        <v>396</v>
      </c>
      <c r="Z390" s="101" t="s">
        <v>402</v>
      </c>
      <c r="AA390" s="101" t="s">
        <v>78</v>
      </c>
      <c r="AB390" s="101">
        <v>4101000279</v>
      </c>
      <c r="AC390" s="101" t="s">
        <v>398</v>
      </c>
      <c r="AD390" s="101" t="s">
        <v>403</v>
      </c>
      <c r="AE390" s="101" t="s">
        <v>6</v>
      </c>
      <c r="AF390" s="101" t="s">
        <v>400</v>
      </c>
      <c r="AI390" s="101" t="s">
        <v>760</v>
      </c>
    </row>
    <row r="391" spans="1:35">
      <c r="A391" s="246" t="s">
        <v>113</v>
      </c>
      <c r="B391" s="246" t="s">
        <v>78</v>
      </c>
      <c r="C391" s="246" t="s">
        <v>126</v>
      </c>
      <c r="D391" s="246" t="s">
        <v>339</v>
      </c>
      <c r="E391" s="246" t="s">
        <v>340</v>
      </c>
      <c r="F391" s="246" t="s">
        <v>279</v>
      </c>
      <c r="G391" s="132" t="s">
        <v>708</v>
      </c>
      <c r="H391" s="132" t="s">
        <v>1225</v>
      </c>
      <c r="I391" s="132">
        <v>20692.5</v>
      </c>
      <c r="J391" s="101" t="s">
        <v>889</v>
      </c>
      <c r="K391" s="245" t="s">
        <v>390</v>
      </c>
      <c r="L391" s="245">
        <v>43159</v>
      </c>
      <c r="M391" s="245" t="s">
        <v>391</v>
      </c>
      <c r="N391" s="101">
        <v>0</v>
      </c>
      <c r="O391" s="101" t="s">
        <v>392</v>
      </c>
      <c r="P391" s="101">
        <v>0</v>
      </c>
      <c r="Q391" s="101">
        <v>0</v>
      </c>
      <c r="R391" s="101" t="s">
        <v>393</v>
      </c>
      <c r="S391" s="101" t="s">
        <v>807</v>
      </c>
      <c r="T391" s="101" t="s">
        <v>394</v>
      </c>
      <c r="V391" s="245">
        <v>14124</v>
      </c>
      <c r="W391" s="101" t="s">
        <v>395</v>
      </c>
      <c r="X391" s="101" t="s">
        <v>795</v>
      </c>
      <c r="Y391" s="101" t="s">
        <v>396</v>
      </c>
      <c r="Z391" s="101" t="s">
        <v>402</v>
      </c>
      <c r="AA391" s="101" t="s">
        <v>78</v>
      </c>
      <c r="AB391" s="101">
        <v>4101000279</v>
      </c>
      <c r="AC391" s="101" t="s">
        <v>398</v>
      </c>
      <c r="AD391" s="101" t="s">
        <v>403</v>
      </c>
      <c r="AE391" s="101" t="s">
        <v>6</v>
      </c>
      <c r="AF391" s="101" t="s">
        <v>400</v>
      </c>
      <c r="AI391" s="101" t="s">
        <v>760</v>
      </c>
    </row>
    <row r="392" spans="1:35">
      <c r="A392" s="246" t="s">
        <v>107</v>
      </c>
      <c r="B392" s="246" t="s">
        <v>78</v>
      </c>
      <c r="C392" s="246" t="s">
        <v>126</v>
      </c>
      <c r="D392" s="246" t="s">
        <v>772</v>
      </c>
      <c r="E392" s="246" t="s">
        <v>773</v>
      </c>
      <c r="F392" s="246" t="s">
        <v>334</v>
      </c>
      <c r="G392" s="132" t="s">
        <v>812</v>
      </c>
      <c r="H392" s="132" t="s">
        <v>1226</v>
      </c>
      <c r="I392" s="132">
        <v>41.43</v>
      </c>
      <c r="J392" s="101" t="s">
        <v>889</v>
      </c>
      <c r="K392" s="245" t="s">
        <v>390</v>
      </c>
      <c r="L392" s="245">
        <v>42521</v>
      </c>
      <c r="M392" s="245" t="s">
        <v>391</v>
      </c>
      <c r="N392" s="101">
        <v>0</v>
      </c>
      <c r="O392" s="101" t="s">
        <v>392</v>
      </c>
      <c r="P392" s="101">
        <v>0</v>
      </c>
      <c r="Q392" s="101">
        <v>0</v>
      </c>
      <c r="R392" s="101" t="s">
        <v>393</v>
      </c>
      <c r="S392" s="101" t="s">
        <v>807</v>
      </c>
      <c r="T392" s="101" t="s">
        <v>394</v>
      </c>
      <c r="V392" s="245">
        <v>14124</v>
      </c>
      <c r="W392" s="101" t="s">
        <v>395</v>
      </c>
      <c r="X392" s="101" t="s">
        <v>795</v>
      </c>
      <c r="Y392" s="101" t="s">
        <v>396</v>
      </c>
      <c r="Z392" s="101" t="s">
        <v>402</v>
      </c>
      <c r="AA392" s="101" t="s">
        <v>78</v>
      </c>
      <c r="AB392" s="101">
        <v>4101000279</v>
      </c>
      <c r="AC392" s="101" t="s">
        <v>398</v>
      </c>
      <c r="AD392" s="101" t="s">
        <v>403</v>
      </c>
      <c r="AE392" s="101" t="s">
        <v>6</v>
      </c>
      <c r="AF392" s="101" t="s">
        <v>400</v>
      </c>
      <c r="AI392" s="101" t="s">
        <v>760</v>
      </c>
    </row>
    <row r="393" spans="1:35">
      <c r="A393" s="246" t="s">
        <v>109</v>
      </c>
      <c r="B393" s="246" t="s">
        <v>78</v>
      </c>
      <c r="C393" s="246" t="s">
        <v>126</v>
      </c>
      <c r="D393" s="246" t="s">
        <v>337</v>
      </c>
      <c r="E393" s="246" t="s">
        <v>336</v>
      </c>
      <c r="F393" s="246" t="s">
        <v>275</v>
      </c>
      <c r="G393" s="132" t="s">
        <v>1227</v>
      </c>
      <c r="H393" s="132" t="s">
        <v>1228</v>
      </c>
      <c r="I393" s="132">
        <v>33.93</v>
      </c>
      <c r="J393" s="101" t="s">
        <v>889</v>
      </c>
      <c r="K393" s="245" t="s">
        <v>390</v>
      </c>
      <c r="L393" s="245">
        <v>42551</v>
      </c>
      <c r="M393" s="245" t="s">
        <v>391</v>
      </c>
      <c r="N393" s="101">
        <v>0</v>
      </c>
      <c r="O393" s="101" t="s">
        <v>392</v>
      </c>
      <c r="P393" s="101">
        <v>0</v>
      </c>
      <c r="Q393" s="101">
        <v>0</v>
      </c>
      <c r="R393" s="101" t="s">
        <v>393</v>
      </c>
      <c r="S393" s="101" t="s">
        <v>807</v>
      </c>
      <c r="T393" s="101" t="s">
        <v>394</v>
      </c>
      <c r="V393" s="245">
        <v>14124</v>
      </c>
      <c r="W393" s="101" t="s">
        <v>395</v>
      </c>
      <c r="X393" s="101" t="s">
        <v>795</v>
      </c>
      <c r="Y393" s="101" t="s">
        <v>396</v>
      </c>
      <c r="Z393" s="101" t="s">
        <v>402</v>
      </c>
      <c r="AA393" s="101" t="s">
        <v>78</v>
      </c>
      <c r="AB393" s="101">
        <v>4101000279</v>
      </c>
      <c r="AC393" s="101" t="s">
        <v>398</v>
      </c>
      <c r="AD393" s="101" t="s">
        <v>403</v>
      </c>
      <c r="AE393" s="101" t="s">
        <v>6</v>
      </c>
      <c r="AF393" s="101" t="s">
        <v>400</v>
      </c>
      <c r="AI393" s="101" t="s">
        <v>760</v>
      </c>
    </row>
    <row r="394" spans="1:35">
      <c r="A394" s="246" t="s">
        <v>109</v>
      </c>
      <c r="B394" s="246" t="s">
        <v>78</v>
      </c>
      <c r="C394" s="246" t="s">
        <v>126</v>
      </c>
      <c r="D394" s="246" t="s">
        <v>337</v>
      </c>
      <c r="E394" s="246" t="s">
        <v>336</v>
      </c>
      <c r="F394" s="246" t="s">
        <v>275</v>
      </c>
      <c r="G394" s="132" t="s">
        <v>1229</v>
      </c>
      <c r="H394" s="132" t="s">
        <v>1230</v>
      </c>
      <c r="I394" s="132">
        <v>30.049999999999997</v>
      </c>
      <c r="J394" s="101" t="s">
        <v>889</v>
      </c>
      <c r="K394" s="245" t="s">
        <v>390</v>
      </c>
      <c r="L394" s="245">
        <v>42580</v>
      </c>
      <c r="M394" s="245" t="s">
        <v>391</v>
      </c>
      <c r="N394" s="101">
        <v>0</v>
      </c>
      <c r="O394" s="101" t="s">
        <v>392</v>
      </c>
      <c r="P394" s="101">
        <v>0</v>
      </c>
      <c r="Q394" s="101">
        <v>0</v>
      </c>
      <c r="R394" s="101" t="s">
        <v>393</v>
      </c>
      <c r="S394" s="101" t="s">
        <v>807</v>
      </c>
      <c r="T394" s="101" t="s">
        <v>394</v>
      </c>
      <c r="V394" s="245">
        <v>14124</v>
      </c>
      <c r="W394" s="101" t="s">
        <v>395</v>
      </c>
      <c r="X394" s="101" t="s">
        <v>795</v>
      </c>
      <c r="Y394" s="101" t="s">
        <v>396</v>
      </c>
      <c r="Z394" s="101" t="s">
        <v>402</v>
      </c>
      <c r="AA394" s="101" t="s">
        <v>78</v>
      </c>
      <c r="AB394" s="101">
        <v>4101000279</v>
      </c>
      <c r="AC394" s="101" t="s">
        <v>398</v>
      </c>
      <c r="AD394" s="101" t="s">
        <v>403</v>
      </c>
      <c r="AE394" s="101" t="s">
        <v>6</v>
      </c>
      <c r="AF394" s="101" t="s">
        <v>400</v>
      </c>
      <c r="AI394" s="101" t="s">
        <v>760</v>
      </c>
    </row>
    <row r="395" spans="1:35">
      <c r="A395" s="246" t="s">
        <v>110</v>
      </c>
      <c r="B395" s="246" t="s">
        <v>78</v>
      </c>
      <c r="C395" s="246" t="s">
        <v>126</v>
      </c>
      <c r="D395" s="246" t="s">
        <v>770</v>
      </c>
      <c r="E395" s="246" t="s">
        <v>771</v>
      </c>
      <c r="F395" s="246" t="s">
        <v>276</v>
      </c>
      <c r="G395" s="132" t="s">
        <v>1231</v>
      </c>
      <c r="H395" s="132" t="s">
        <v>1232</v>
      </c>
      <c r="I395" s="132">
        <v>11.02</v>
      </c>
      <c r="J395" s="101" t="s">
        <v>889</v>
      </c>
      <c r="K395" s="245" t="s">
        <v>390</v>
      </c>
      <c r="L395" s="245">
        <v>42613</v>
      </c>
      <c r="M395" s="245" t="s">
        <v>391</v>
      </c>
      <c r="N395" s="101">
        <v>0</v>
      </c>
      <c r="O395" s="101" t="s">
        <v>392</v>
      </c>
      <c r="P395" s="101">
        <v>0</v>
      </c>
      <c r="Q395" s="101">
        <v>0</v>
      </c>
      <c r="R395" s="101" t="s">
        <v>393</v>
      </c>
      <c r="S395" s="101" t="s">
        <v>807</v>
      </c>
      <c r="T395" s="101" t="s">
        <v>394</v>
      </c>
      <c r="V395" s="245">
        <v>14124</v>
      </c>
      <c r="W395" s="101" t="s">
        <v>395</v>
      </c>
      <c r="X395" s="101" t="s">
        <v>795</v>
      </c>
      <c r="Y395" s="101" t="s">
        <v>396</v>
      </c>
      <c r="Z395" s="101" t="s">
        <v>402</v>
      </c>
      <c r="AA395" s="101" t="s">
        <v>78</v>
      </c>
      <c r="AB395" s="101">
        <v>4101000279</v>
      </c>
      <c r="AC395" s="101" t="s">
        <v>398</v>
      </c>
      <c r="AD395" s="101" t="s">
        <v>403</v>
      </c>
      <c r="AE395" s="101" t="s">
        <v>6</v>
      </c>
      <c r="AF395" s="101" t="s">
        <v>400</v>
      </c>
      <c r="AI395" s="101" t="s">
        <v>760</v>
      </c>
    </row>
    <row r="396" spans="1:35">
      <c r="A396" s="246" t="s">
        <v>110</v>
      </c>
      <c r="B396" s="246" t="s">
        <v>78</v>
      </c>
      <c r="C396" s="246" t="s">
        <v>126</v>
      </c>
      <c r="D396" s="246" t="s">
        <v>770</v>
      </c>
      <c r="E396" s="246" t="s">
        <v>771</v>
      </c>
      <c r="F396" s="246" t="s">
        <v>276</v>
      </c>
      <c r="G396" s="132" t="s">
        <v>1233</v>
      </c>
      <c r="H396" s="132" t="s">
        <v>1234</v>
      </c>
      <c r="I396" s="132">
        <v>-7.4999999999999991</v>
      </c>
      <c r="J396" s="101" t="s">
        <v>889</v>
      </c>
      <c r="K396" s="245" t="s">
        <v>390</v>
      </c>
      <c r="L396" s="245">
        <v>42643</v>
      </c>
      <c r="M396" s="245" t="s">
        <v>391</v>
      </c>
      <c r="N396" s="101">
        <v>0</v>
      </c>
      <c r="O396" s="101" t="s">
        <v>392</v>
      </c>
      <c r="P396" s="101">
        <v>0</v>
      </c>
      <c r="Q396" s="101">
        <v>0</v>
      </c>
      <c r="R396" s="101" t="s">
        <v>393</v>
      </c>
      <c r="S396" s="101" t="s">
        <v>807</v>
      </c>
      <c r="T396" s="101" t="s">
        <v>394</v>
      </c>
      <c r="V396" s="245">
        <v>14124</v>
      </c>
      <c r="W396" s="101" t="s">
        <v>395</v>
      </c>
      <c r="X396" s="101" t="s">
        <v>795</v>
      </c>
      <c r="Y396" s="101" t="s">
        <v>396</v>
      </c>
      <c r="Z396" s="101" t="s">
        <v>402</v>
      </c>
      <c r="AA396" s="101" t="s">
        <v>78</v>
      </c>
      <c r="AB396" s="101">
        <v>4101000279</v>
      </c>
      <c r="AC396" s="101" t="s">
        <v>398</v>
      </c>
      <c r="AD396" s="101" t="s">
        <v>403</v>
      </c>
      <c r="AE396" s="101" t="s">
        <v>6</v>
      </c>
      <c r="AF396" s="101" t="s">
        <v>400</v>
      </c>
      <c r="AI396" s="101" t="s">
        <v>760</v>
      </c>
    </row>
    <row r="397" spans="1:35">
      <c r="A397" s="246" t="s">
        <v>110</v>
      </c>
      <c r="B397" s="246" t="s">
        <v>78</v>
      </c>
      <c r="C397" s="246" t="s">
        <v>126</v>
      </c>
      <c r="D397" s="246" t="s">
        <v>770</v>
      </c>
      <c r="E397" s="246" t="s">
        <v>771</v>
      </c>
      <c r="F397" s="246" t="s">
        <v>276</v>
      </c>
      <c r="G397" s="132" t="s">
        <v>1235</v>
      </c>
      <c r="H397" s="132" t="s">
        <v>1236</v>
      </c>
      <c r="I397" s="132">
        <v>-7.7499999999999991</v>
      </c>
      <c r="J397" s="101" t="s">
        <v>889</v>
      </c>
      <c r="K397" s="245" t="s">
        <v>390</v>
      </c>
      <c r="L397" s="245">
        <v>42674</v>
      </c>
      <c r="M397" s="245" t="s">
        <v>391</v>
      </c>
      <c r="N397" s="101">
        <v>0</v>
      </c>
      <c r="O397" s="101" t="s">
        <v>392</v>
      </c>
      <c r="P397" s="101">
        <v>0</v>
      </c>
      <c r="Q397" s="101">
        <v>0</v>
      </c>
      <c r="R397" s="101" t="s">
        <v>393</v>
      </c>
      <c r="S397" s="101" t="s">
        <v>807</v>
      </c>
      <c r="T397" s="101" t="s">
        <v>394</v>
      </c>
      <c r="V397" s="245">
        <v>14124</v>
      </c>
      <c r="W397" s="101" t="s">
        <v>395</v>
      </c>
      <c r="X397" s="101" t="s">
        <v>795</v>
      </c>
      <c r="Y397" s="101" t="s">
        <v>396</v>
      </c>
      <c r="Z397" s="101" t="s">
        <v>402</v>
      </c>
      <c r="AA397" s="101" t="s">
        <v>78</v>
      </c>
      <c r="AB397" s="101">
        <v>4101000279</v>
      </c>
      <c r="AC397" s="101" t="s">
        <v>398</v>
      </c>
      <c r="AD397" s="101" t="s">
        <v>403</v>
      </c>
      <c r="AE397" s="101" t="s">
        <v>6</v>
      </c>
      <c r="AF397" s="101" t="s">
        <v>400</v>
      </c>
      <c r="AI397" s="101" t="s">
        <v>760</v>
      </c>
    </row>
    <row r="398" spans="1:35">
      <c r="A398" s="246" t="s">
        <v>111</v>
      </c>
      <c r="B398" s="246" t="s">
        <v>78</v>
      </c>
      <c r="C398" s="246" t="s">
        <v>126</v>
      </c>
      <c r="D398" s="246" t="s">
        <v>768</v>
      </c>
      <c r="E398" s="246" t="s">
        <v>769</v>
      </c>
      <c r="F398" s="246" t="s">
        <v>277</v>
      </c>
      <c r="G398" s="132" t="s">
        <v>1237</v>
      </c>
      <c r="H398" s="132" t="s">
        <v>1238</v>
      </c>
      <c r="I398" s="132">
        <v>-41.36</v>
      </c>
      <c r="J398" s="101" t="s">
        <v>889</v>
      </c>
      <c r="K398" s="245" t="s">
        <v>390</v>
      </c>
      <c r="L398" s="245">
        <v>42704</v>
      </c>
      <c r="M398" s="245" t="s">
        <v>391</v>
      </c>
      <c r="N398" s="101">
        <v>0</v>
      </c>
      <c r="O398" s="101" t="s">
        <v>392</v>
      </c>
      <c r="P398" s="101">
        <v>0</v>
      </c>
      <c r="Q398" s="101">
        <v>0</v>
      </c>
      <c r="R398" s="101" t="s">
        <v>393</v>
      </c>
      <c r="S398" s="101" t="s">
        <v>807</v>
      </c>
      <c r="T398" s="101" t="s">
        <v>394</v>
      </c>
      <c r="V398" s="245">
        <v>14124</v>
      </c>
      <c r="W398" s="101" t="s">
        <v>395</v>
      </c>
      <c r="X398" s="101" t="s">
        <v>795</v>
      </c>
      <c r="Y398" s="101" t="s">
        <v>396</v>
      </c>
      <c r="Z398" s="101" t="s">
        <v>402</v>
      </c>
      <c r="AA398" s="101" t="s">
        <v>78</v>
      </c>
      <c r="AB398" s="101">
        <v>4101000279</v>
      </c>
      <c r="AC398" s="101" t="s">
        <v>398</v>
      </c>
      <c r="AD398" s="101" t="s">
        <v>403</v>
      </c>
      <c r="AE398" s="101" t="s">
        <v>6</v>
      </c>
      <c r="AF398" s="101" t="s">
        <v>400</v>
      </c>
      <c r="AI398" s="101" t="s">
        <v>760</v>
      </c>
    </row>
    <row r="399" spans="1:35">
      <c r="A399" s="246" t="s">
        <v>111</v>
      </c>
      <c r="B399" s="246" t="s">
        <v>78</v>
      </c>
      <c r="C399" s="246" t="s">
        <v>126</v>
      </c>
      <c r="D399" s="246" t="s">
        <v>768</v>
      </c>
      <c r="E399" s="246" t="s">
        <v>769</v>
      </c>
      <c r="F399" s="246" t="s">
        <v>277</v>
      </c>
      <c r="G399" s="132" t="s">
        <v>1239</v>
      </c>
      <c r="H399" s="132" t="s">
        <v>1240</v>
      </c>
      <c r="I399" s="132">
        <v>-70.97999999999999</v>
      </c>
      <c r="J399" s="101" t="s">
        <v>889</v>
      </c>
      <c r="K399" s="245" t="s">
        <v>390</v>
      </c>
      <c r="L399" s="245">
        <v>42734</v>
      </c>
      <c r="M399" s="245" t="s">
        <v>391</v>
      </c>
      <c r="N399" s="101">
        <v>0</v>
      </c>
      <c r="O399" s="101" t="s">
        <v>392</v>
      </c>
      <c r="P399" s="101">
        <v>0</v>
      </c>
      <c r="Q399" s="101">
        <v>0</v>
      </c>
      <c r="R399" s="101" t="s">
        <v>393</v>
      </c>
      <c r="S399" s="101" t="s">
        <v>807</v>
      </c>
      <c r="T399" s="101" t="s">
        <v>394</v>
      </c>
      <c r="V399" s="245">
        <v>14124</v>
      </c>
      <c r="W399" s="101" t="s">
        <v>395</v>
      </c>
      <c r="X399" s="101" t="s">
        <v>795</v>
      </c>
      <c r="Y399" s="101" t="s">
        <v>396</v>
      </c>
      <c r="Z399" s="101" t="s">
        <v>402</v>
      </c>
      <c r="AA399" s="101" t="s">
        <v>78</v>
      </c>
      <c r="AB399" s="101">
        <v>4101000279</v>
      </c>
      <c r="AC399" s="101" t="s">
        <v>398</v>
      </c>
      <c r="AD399" s="101" t="s">
        <v>403</v>
      </c>
      <c r="AE399" s="101" t="s">
        <v>6</v>
      </c>
      <c r="AF399" s="101" t="s">
        <v>400</v>
      </c>
      <c r="AI399" s="101" t="s">
        <v>760</v>
      </c>
    </row>
    <row r="400" spans="1:35">
      <c r="A400" s="246" t="s">
        <v>111</v>
      </c>
      <c r="B400" s="246" t="s">
        <v>78</v>
      </c>
      <c r="C400" s="246" t="s">
        <v>126</v>
      </c>
      <c r="D400" s="246" t="s">
        <v>768</v>
      </c>
      <c r="E400" s="246" t="s">
        <v>769</v>
      </c>
      <c r="F400" s="246" t="s">
        <v>277</v>
      </c>
      <c r="G400" s="132" t="s">
        <v>1241</v>
      </c>
      <c r="H400" s="132" t="s">
        <v>1242</v>
      </c>
      <c r="I400" s="132">
        <v>-75.73</v>
      </c>
      <c r="J400" s="101" t="s">
        <v>889</v>
      </c>
      <c r="K400" s="245" t="s">
        <v>390</v>
      </c>
      <c r="L400" s="245">
        <v>42766</v>
      </c>
      <c r="M400" s="245" t="s">
        <v>391</v>
      </c>
      <c r="N400" s="101">
        <v>0</v>
      </c>
      <c r="O400" s="101" t="s">
        <v>392</v>
      </c>
      <c r="P400" s="101">
        <v>0</v>
      </c>
      <c r="Q400" s="101">
        <v>0</v>
      </c>
      <c r="R400" s="101" t="s">
        <v>393</v>
      </c>
      <c r="S400" s="101" t="s">
        <v>807</v>
      </c>
      <c r="T400" s="101" t="s">
        <v>394</v>
      </c>
      <c r="V400" s="245">
        <v>14124</v>
      </c>
      <c r="W400" s="101" t="s">
        <v>395</v>
      </c>
      <c r="X400" s="101" t="s">
        <v>795</v>
      </c>
      <c r="Y400" s="101" t="s">
        <v>396</v>
      </c>
      <c r="Z400" s="101" t="s">
        <v>402</v>
      </c>
      <c r="AA400" s="101" t="s">
        <v>78</v>
      </c>
      <c r="AB400" s="101">
        <v>4101000279</v>
      </c>
      <c r="AC400" s="101" t="s">
        <v>398</v>
      </c>
      <c r="AD400" s="101" t="s">
        <v>403</v>
      </c>
      <c r="AE400" s="101" t="s">
        <v>6</v>
      </c>
      <c r="AF400" s="101" t="s">
        <v>400</v>
      </c>
      <c r="AI400" s="101" t="s">
        <v>760</v>
      </c>
    </row>
    <row r="401" spans="1:35">
      <c r="A401" s="246" t="s">
        <v>111</v>
      </c>
      <c r="B401" s="246" t="s">
        <v>78</v>
      </c>
      <c r="C401" s="246" t="s">
        <v>126</v>
      </c>
      <c r="D401" s="246" t="s">
        <v>768</v>
      </c>
      <c r="E401" s="246" t="s">
        <v>769</v>
      </c>
      <c r="F401" s="246" t="s">
        <v>277</v>
      </c>
      <c r="G401" s="132" t="s">
        <v>1243</v>
      </c>
      <c r="H401" s="132" t="s">
        <v>1244</v>
      </c>
      <c r="I401" s="132">
        <v>-103.28</v>
      </c>
      <c r="J401" s="101" t="s">
        <v>889</v>
      </c>
      <c r="K401" s="245" t="s">
        <v>390</v>
      </c>
      <c r="L401" s="245">
        <v>42794</v>
      </c>
      <c r="M401" s="245" t="s">
        <v>391</v>
      </c>
      <c r="N401" s="101">
        <v>0</v>
      </c>
      <c r="O401" s="101" t="s">
        <v>392</v>
      </c>
      <c r="P401" s="101">
        <v>0</v>
      </c>
      <c r="Q401" s="101">
        <v>0</v>
      </c>
      <c r="R401" s="101" t="s">
        <v>393</v>
      </c>
      <c r="S401" s="101" t="s">
        <v>807</v>
      </c>
      <c r="T401" s="101" t="s">
        <v>394</v>
      </c>
      <c r="V401" s="245">
        <v>14124</v>
      </c>
      <c r="W401" s="101" t="s">
        <v>395</v>
      </c>
      <c r="X401" s="101" t="s">
        <v>795</v>
      </c>
      <c r="Y401" s="101" t="s">
        <v>396</v>
      </c>
      <c r="Z401" s="101" t="s">
        <v>402</v>
      </c>
      <c r="AA401" s="101" t="s">
        <v>78</v>
      </c>
      <c r="AB401" s="101">
        <v>4101000279</v>
      </c>
      <c r="AC401" s="101" t="s">
        <v>398</v>
      </c>
      <c r="AD401" s="101" t="s">
        <v>403</v>
      </c>
      <c r="AE401" s="101" t="s">
        <v>6</v>
      </c>
      <c r="AF401" s="101" t="s">
        <v>400</v>
      </c>
      <c r="AI401" s="101" t="s">
        <v>760</v>
      </c>
    </row>
    <row r="402" spans="1:35">
      <c r="A402" s="246" t="s">
        <v>111</v>
      </c>
      <c r="B402" s="246" t="s">
        <v>78</v>
      </c>
      <c r="C402" s="246" t="s">
        <v>126</v>
      </c>
      <c r="D402" s="246" t="s">
        <v>768</v>
      </c>
      <c r="E402" s="246" t="s">
        <v>769</v>
      </c>
      <c r="F402" s="246" t="s">
        <v>277</v>
      </c>
      <c r="G402" s="132" t="s">
        <v>1245</v>
      </c>
      <c r="H402" s="132" t="s">
        <v>1246</v>
      </c>
      <c r="I402" s="132">
        <v>-149.89999999999998</v>
      </c>
      <c r="J402" s="101" t="s">
        <v>889</v>
      </c>
      <c r="K402" s="245" t="s">
        <v>390</v>
      </c>
      <c r="L402" s="245">
        <v>42825</v>
      </c>
      <c r="M402" s="245" t="s">
        <v>391</v>
      </c>
      <c r="N402" s="101">
        <v>0</v>
      </c>
      <c r="O402" s="101" t="s">
        <v>392</v>
      </c>
      <c r="P402" s="101">
        <v>0</v>
      </c>
      <c r="Q402" s="101">
        <v>0</v>
      </c>
      <c r="R402" s="101" t="s">
        <v>393</v>
      </c>
      <c r="S402" s="101" t="s">
        <v>807</v>
      </c>
      <c r="T402" s="101" t="s">
        <v>394</v>
      </c>
      <c r="V402" s="245">
        <v>14124</v>
      </c>
      <c r="W402" s="101" t="s">
        <v>395</v>
      </c>
      <c r="X402" s="101" t="s">
        <v>795</v>
      </c>
      <c r="Y402" s="101" t="s">
        <v>396</v>
      </c>
      <c r="Z402" s="101" t="s">
        <v>402</v>
      </c>
      <c r="AA402" s="101" t="s">
        <v>78</v>
      </c>
      <c r="AB402" s="101">
        <v>4101000279</v>
      </c>
      <c r="AC402" s="101" t="s">
        <v>398</v>
      </c>
      <c r="AD402" s="101" t="s">
        <v>403</v>
      </c>
      <c r="AE402" s="101" t="s">
        <v>6</v>
      </c>
      <c r="AF402" s="101" t="s">
        <v>400</v>
      </c>
      <c r="AI402" s="101" t="s">
        <v>760</v>
      </c>
    </row>
    <row r="403" spans="1:35">
      <c r="A403" s="246" t="s">
        <v>111</v>
      </c>
      <c r="B403" s="246" t="s">
        <v>78</v>
      </c>
      <c r="C403" s="246" t="s">
        <v>126</v>
      </c>
      <c r="D403" s="246" t="s">
        <v>768</v>
      </c>
      <c r="E403" s="246" t="s">
        <v>769</v>
      </c>
      <c r="F403" s="246" t="s">
        <v>277</v>
      </c>
      <c r="G403" s="132" t="s">
        <v>1247</v>
      </c>
      <c r="H403" s="132" t="s">
        <v>1248</v>
      </c>
      <c r="I403" s="132">
        <v>-135.38</v>
      </c>
      <c r="J403" s="101" t="s">
        <v>889</v>
      </c>
      <c r="K403" s="245" t="s">
        <v>390</v>
      </c>
      <c r="L403" s="245">
        <v>42853</v>
      </c>
      <c r="M403" s="245" t="s">
        <v>391</v>
      </c>
      <c r="N403" s="101">
        <v>0</v>
      </c>
      <c r="O403" s="101" t="s">
        <v>392</v>
      </c>
      <c r="P403" s="101">
        <v>0</v>
      </c>
      <c r="Q403" s="101">
        <v>0</v>
      </c>
      <c r="R403" s="101" t="s">
        <v>393</v>
      </c>
      <c r="S403" s="101" t="s">
        <v>807</v>
      </c>
      <c r="T403" s="101" t="s">
        <v>394</v>
      </c>
      <c r="V403" s="245">
        <v>14124</v>
      </c>
      <c r="W403" s="101" t="s">
        <v>395</v>
      </c>
      <c r="X403" s="101" t="s">
        <v>795</v>
      </c>
      <c r="Y403" s="101" t="s">
        <v>396</v>
      </c>
      <c r="Z403" s="101" t="s">
        <v>402</v>
      </c>
      <c r="AA403" s="101" t="s">
        <v>78</v>
      </c>
      <c r="AB403" s="101">
        <v>4101000279</v>
      </c>
      <c r="AC403" s="101" t="s">
        <v>398</v>
      </c>
      <c r="AD403" s="101" t="s">
        <v>403</v>
      </c>
      <c r="AE403" s="101" t="s">
        <v>6</v>
      </c>
      <c r="AF403" s="101" t="s">
        <v>400</v>
      </c>
      <c r="AI403" s="101" t="s">
        <v>760</v>
      </c>
    </row>
    <row r="404" spans="1:35">
      <c r="A404" s="246" t="s">
        <v>112</v>
      </c>
      <c r="B404" s="246" t="s">
        <v>78</v>
      </c>
      <c r="C404" s="246" t="s">
        <v>126</v>
      </c>
      <c r="D404" s="246" t="s">
        <v>341</v>
      </c>
      <c r="E404" s="246" t="s">
        <v>342</v>
      </c>
      <c r="F404" s="246" t="s">
        <v>278</v>
      </c>
      <c r="G404" s="132" t="s">
        <v>1249</v>
      </c>
      <c r="H404" s="132" t="s">
        <v>1250</v>
      </c>
      <c r="I404" s="132">
        <v>-205.68</v>
      </c>
      <c r="J404" s="101" t="s">
        <v>889</v>
      </c>
      <c r="K404" s="245" t="s">
        <v>390</v>
      </c>
      <c r="L404" s="245">
        <v>42886</v>
      </c>
      <c r="M404" s="245" t="s">
        <v>391</v>
      </c>
      <c r="N404" s="101">
        <v>0</v>
      </c>
      <c r="O404" s="101" t="s">
        <v>392</v>
      </c>
      <c r="P404" s="101">
        <v>0</v>
      </c>
      <c r="Q404" s="101">
        <v>0</v>
      </c>
      <c r="R404" s="101" t="s">
        <v>393</v>
      </c>
      <c r="S404" s="101" t="s">
        <v>807</v>
      </c>
      <c r="T404" s="101" t="s">
        <v>394</v>
      </c>
      <c r="V404" s="245">
        <v>14124</v>
      </c>
      <c r="W404" s="101" t="s">
        <v>395</v>
      </c>
      <c r="X404" s="101" t="s">
        <v>795</v>
      </c>
      <c r="Y404" s="101" t="s">
        <v>396</v>
      </c>
      <c r="Z404" s="101" t="s">
        <v>402</v>
      </c>
      <c r="AA404" s="101" t="s">
        <v>78</v>
      </c>
      <c r="AB404" s="101">
        <v>4101000279</v>
      </c>
      <c r="AC404" s="101" t="s">
        <v>398</v>
      </c>
      <c r="AD404" s="101" t="s">
        <v>403</v>
      </c>
      <c r="AE404" s="101" t="s">
        <v>6</v>
      </c>
      <c r="AF404" s="101" t="s">
        <v>400</v>
      </c>
      <c r="AI404" s="101" t="s">
        <v>760</v>
      </c>
    </row>
    <row r="405" spans="1:35">
      <c r="A405" s="246" t="s">
        <v>112</v>
      </c>
      <c r="B405" s="246" t="s">
        <v>78</v>
      </c>
      <c r="C405" s="246" t="s">
        <v>126</v>
      </c>
      <c r="D405" s="246" t="s">
        <v>341</v>
      </c>
      <c r="E405" s="246" t="s">
        <v>342</v>
      </c>
      <c r="F405" s="246" t="s">
        <v>278</v>
      </c>
      <c r="G405" s="132" t="s">
        <v>1251</v>
      </c>
      <c r="H405" s="132" t="s">
        <v>1252</v>
      </c>
      <c r="I405" s="132">
        <v>-217.84</v>
      </c>
      <c r="J405" s="101" t="s">
        <v>889</v>
      </c>
      <c r="K405" s="245" t="s">
        <v>390</v>
      </c>
      <c r="L405" s="245">
        <v>42916</v>
      </c>
      <c r="M405" s="245" t="s">
        <v>391</v>
      </c>
      <c r="N405" s="101">
        <v>0</v>
      </c>
      <c r="O405" s="101" t="s">
        <v>392</v>
      </c>
      <c r="P405" s="101">
        <v>0</v>
      </c>
      <c r="Q405" s="101">
        <v>0</v>
      </c>
      <c r="R405" s="101" t="s">
        <v>393</v>
      </c>
      <c r="S405" s="101" t="s">
        <v>807</v>
      </c>
      <c r="T405" s="101" t="s">
        <v>394</v>
      </c>
      <c r="V405" s="245">
        <v>14124</v>
      </c>
      <c r="W405" s="101" t="s">
        <v>395</v>
      </c>
      <c r="X405" s="101" t="s">
        <v>795</v>
      </c>
      <c r="Y405" s="101" t="s">
        <v>396</v>
      </c>
      <c r="Z405" s="101" t="s">
        <v>402</v>
      </c>
      <c r="AA405" s="101" t="s">
        <v>78</v>
      </c>
      <c r="AB405" s="101">
        <v>4101000279</v>
      </c>
      <c r="AC405" s="101" t="s">
        <v>398</v>
      </c>
      <c r="AD405" s="101" t="s">
        <v>403</v>
      </c>
      <c r="AE405" s="101" t="s">
        <v>6</v>
      </c>
      <c r="AF405" s="101" t="s">
        <v>400</v>
      </c>
      <c r="AI405" s="101" t="s">
        <v>760</v>
      </c>
    </row>
    <row r="406" spans="1:35">
      <c r="A406" s="246" t="s">
        <v>112</v>
      </c>
      <c r="B406" s="246" t="s">
        <v>78</v>
      </c>
      <c r="C406" s="246" t="s">
        <v>126</v>
      </c>
      <c r="D406" s="246" t="s">
        <v>341</v>
      </c>
      <c r="E406" s="246" t="s">
        <v>342</v>
      </c>
      <c r="F406" s="246" t="s">
        <v>278</v>
      </c>
      <c r="G406" s="132" t="s">
        <v>1253</v>
      </c>
      <c r="H406" s="132" t="s">
        <v>1254</v>
      </c>
      <c r="I406" s="132">
        <v>-225.10999999999999</v>
      </c>
      <c r="J406" s="101" t="s">
        <v>889</v>
      </c>
      <c r="K406" s="245" t="s">
        <v>390</v>
      </c>
      <c r="L406" s="245">
        <v>42947</v>
      </c>
      <c r="M406" s="245" t="s">
        <v>391</v>
      </c>
      <c r="N406" s="101">
        <v>0</v>
      </c>
      <c r="O406" s="101" t="s">
        <v>392</v>
      </c>
      <c r="P406" s="101">
        <v>0</v>
      </c>
      <c r="Q406" s="101">
        <v>0</v>
      </c>
      <c r="R406" s="101" t="s">
        <v>393</v>
      </c>
      <c r="S406" s="101" t="s">
        <v>807</v>
      </c>
      <c r="T406" s="101" t="s">
        <v>394</v>
      </c>
      <c r="V406" s="245">
        <v>14124</v>
      </c>
      <c r="W406" s="101" t="s">
        <v>395</v>
      </c>
      <c r="X406" s="101" t="s">
        <v>795</v>
      </c>
      <c r="Y406" s="101" t="s">
        <v>396</v>
      </c>
      <c r="Z406" s="101" t="s">
        <v>402</v>
      </c>
      <c r="AA406" s="101" t="s">
        <v>78</v>
      </c>
      <c r="AB406" s="101">
        <v>4101000279</v>
      </c>
      <c r="AC406" s="101" t="s">
        <v>398</v>
      </c>
      <c r="AD406" s="101" t="s">
        <v>403</v>
      </c>
      <c r="AE406" s="101" t="s">
        <v>6</v>
      </c>
      <c r="AF406" s="101" t="s">
        <v>400</v>
      </c>
      <c r="AI406" s="101" t="s">
        <v>760</v>
      </c>
    </row>
    <row r="407" spans="1:35">
      <c r="A407" s="246" t="s">
        <v>112</v>
      </c>
      <c r="B407" s="246" t="s">
        <v>78</v>
      </c>
      <c r="C407" s="246" t="s">
        <v>126</v>
      </c>
      <c r="D407" s="246" t="s">
        <v>341</v>
      </c>
      <c r="E407" s="246" t="s">
        <v>342</v>
      </c>
      <c r="F407" s="246" t="s">
        <v>278</v>
      </c>
      <c r="G407" s="132" t="s">
        <v>1253</v>
      </c>
      <c r="H407" s="132" t="s">
        <v>1254</v>
      </c>
      <c r="I407" s="132">
        <v>-225.10999999999999</v>
      </c>
      <c r="J407" s="101" t="s">
        <v>889</v>
      </c>
      <c r="K407" s="245" t="s">
        <v>390</v>
      </c>
      <c r="L407" s="245">
        <v>42978</v>
      </c>
      <c r="M407" s="245" t="s">
        <v>391</v>
      </c>
      <c r="N407" s="101">
        <v>0</v>
      </c>
      <c r="O407" s="101" t="s">
        <v>392</v>
      </c>
      <c r="P407" s="101">
        <v>0</v>
      </c>
      <c r="Q407" s="101">
        <v>0</v>
      </c>
      <c r="R407" s="101" t="s">
        <v>393</v>
      </c>
      <c r="S407" s="101" t="s">
        <v>807</v>
      </c>
      <c r="T407" s="101" t="s">
        <v>394</v>
      </c>
      <c r="V407" s="245">
        <v>14124</v>
      </c>
      <c r="W407" s="101" t="s">
        <v>395</v>
      </c>
      <c r="X407" s="101" t="s">
        <v>795</v>
      </c>
      <c r="Y407" s="101" t="s">
        <v>396</v>
      </c>
      <c r="Z407" s="101" t="s">
        <v>402</v>
      </c>
      <c r="AA407" s="101" t="s">
        <v>78</v>
      </c>
      <c r="AB407" s="101">
        <v>4101000279</v>
      </c>
      <c r="AC407" s="101" t="s">
        <v>398</v>
      </c>
      <c r="AD407" s="101" t="s">
        <v>403</v>
      </c>
      <c r="AE407" s="101" t="s">
        <v>6</v>
      </c>
      <c r="AF407" s="101" t="s">
        <v>400</v>
      </c>
      <c r="AI407" s="101" t="s">
        <v>760</v>
      </c>
    </row>
    <row r="408" spans="1:35">
      <c r="A408" s="246" t="s">
        <v>112</v>
      </c>
      <c r="B408" s="246" t="s">
        <v>78</v>
      </c>
      <c r="C408" s="246" t="s">
        <v>126</v>
      </c>
      <c r="D408" s="246" t="s">
        <v>341</v>
      </c>
      <c r="E408" s="246" t="s">
        <v>342</v>
      </c>
      <c r="F408" s="246" t="s">
        <v>278</v>
      </c>
      <c r="G408" s="132" t="s">
        <v>1255</v>
      </c>
      <c r="H408" s="132" t="s">
        <v>1256</v>
      </c>
      <c r="I408" s="132">
        <v>-210.57999999999998</v>
      </c>
      <c r="J408" s="101" t="s">
        <v>889</v>
      </c>
      <c r="K408" s="245" t="s">
        <v>390</v>
      </c>
      <c r="L408" s="245">
        <v>43007</v>
      </c>
      <c r="M408" s="245" t="s">
        <v>391</v>
      </c>
      <c r="N408" s="101">
        <v>0</v>
      </c>
      <c r="O408" s="101" t="s">
        <v>392</v>
      </c>
      <c r="P408" s="101">
        <v>0</v>
      </c>
      <c r="Q408" s="101">
        <v>0</v>
      </c>
      <c r="R408" s="101" t="s">
        <v>393</v>
      </c>
      <c r="S408" s="101" t="s">
        <v>807</v>
      </c>
      <c r="T408" s="101" t="s">
        <v>394</v>
      </c>
      <c r="V408" s="245">
        <v>14124</v>
      </c>
      <c r="W408" s="101" t="s">
        <v>395</v>
      </c>
      <c r="X408" s="101" t="s">
        <v>795</v>
      </c>
      <c r="Y408" s="101" t="s">
        <v>396</v>
      </c>
      <c r="Z408" s="101" t="s">
        <v>402</v>
      </c>
      <c r="AA408" s="101" t="s">
        <v>78</v>
      </c>
      <c r="AB408" s="101">
        <v>4101000279</v>
      </c>
      <c r="AC408" s="101" t="s">
        <v>398</v>
      </c>
      <c r="AD408" s="101" t="s">
        <v>403</v>
      </c>
      <c r="AE408" s="101" t="s">
        <v>6</v>
      </c>
      <c r="AF408" s="101" t="s">
        <v>400</v>
      </c>
      <c r="AI408" s="101" t="s">
        <v>760</v>
      </c>
    </row>
    <row r="409" spans="1:35">
      <c r="A409" s="246" t="s">
        <v>112</v>
      </c>
      <c r="B409" s="246" t="s">
        <v>78</v>
      </c>
      <c r="C409" s="246" t="s">
        <v>126</v>
      </c>
      <c r="D409" s="246" t="s">
        <v>341</v>
      </c>
      <c r="E409" s="246" t="s">
        <v>342</v>
      </c>
      <c r="F409" s="246" t="s">
        <v>278</v>
      </c>
      <c r="G409" s="132" t="s">
        <v>1257</v>
      </c>
      <c r="H409" s="132" t="s">
        <v>1258</v>
      </c>
      <c r="I409" s="132">
        <v>-232.38</v>
      </c>
      <c r="J409" s="101" t="s">
        <v>889</v>
      </c>
      <c r="K409" s="245" t="s">
        <v>390</v>
      </c>
      <c r="L409" s="245">
        <v>43039</v>
      </c>
      <c r="M409" s="245" t="s">
        <v>391</v>
      </c>
      <c r="N409" s="101">
        <v>0</v>
      </c>
      <c r="O409" s="101" t="s">
        <v>392</v>
      </c>
      <c r="P409" s="101">
        <v>0</v>
      </c>
      <c r="Q409" s="101">
        <v>0</v>
      </c>
      <c r="R409" s="101" t="s">
        <v>393</v>
      </c>
      <c r="S409" s="101" t="s">
        <v>807</v>
      </c>
      <c r="T409" s="101" t="s">
        <v>394</v>
      </c>
      <c r="V409" s="245">
        <v>14124</v>
      </c>
      <c r="W409" s="101" t="s">
        <v>395</v>
      </c>
      <c r="X409" s="101" t="s">
        <v>795</v>
      </c>
      <c r="Y409" s="101" t="s">
        <v>396</v>
      </c>
      <c r="Z409" s="101" t="s">
        <v>402</v>
      </c>
      <c r="AA409" s="101" t="s">
        <v>78</v>
      </c>
      <c r="AB409" s="101">
        <v>4101000279</v>
      </c>
      <c r="AC409" s="101" t="s">
        <v>398</v>
      </c>
      <c r="AD409" s="101" t="s">
        <v>403</v>
      </c>
      <c r="AE409" s="101" t="s">
        <v>6</v>
      </c>
      <c r="AF409" s="101" t="s">
        <v>400</v>
      </c>
      <c r="AI409" s="101" t="s">
        <v>760</v>
      </c>
    </row>
    <row r="410" spans="1:35">
      <c r="A410" s="246" t="s">
        <v>113</v>
      </c>
      <c r="B410" s="246" t="s">
        <v>78</v>
      </c>
      <c r="C410" s="246" t="s">
        <v>126</v>
      </c>
      <c r="D410" s="246" t="s">
        <v>339</v>
      </c>
      <c r="E410" s="246" t="s">
        <v>340</v>
      </c>
      <c r="F410" s="246" t="s">
        <v>279</v>
      </c>
      <c r="G410" s="132" t="s">
        <v>1251</v>
      </c>
      <c r="H410" s="132" t="s">
        <v>1252</v>
      </c>
      <c r="I410" s="132">
        <v>-217.84</v>
      </c>
      <c r="J410" s="101" t="s">
        <v>889</v>
      </c>
      <c r="K410" s="245" t="s">
        <v>390</v>
      </c>
      <c r="L410" s="245">
        <v>43069</v>
      </c>
      <c r="M410" s="245" t="s">
        <v>391</v>
      </c>
      <c r="N410" s="101">
        <v>0</v>
      </c>
      <c r="O410" s="101" t="s">
        <v>392</v>
      </c>
      <c r="P410" s="101">
        <v>0</v>
      </c>
      <c r="Q410" s="101">
        <v>0</v>
      </c>
      <c r="R410" s="101" t="s">
        <v>393</v>
      </c>
      <c r="S410" s="101" t="s">
        <v>807</v>
      </c>
      <c r="T410" s="101" t="s">
        <v>394</v>
      </c>
      <c r="V410" s="245">
        <v>14124</v>
      </c>
      <c r="W410" s="101" t="s">
        <v>395</v>
      </c>
      <c r="X410" s="101" t="s">
        <v>795</v>
      </c>
      <c r="Y410" s="101" t="s">
        <v>396</v>
      </c>
      <c r="Z410" s="101" t="s">
        <v>402</v>
      </c>
      <c r="AA410" s="101" t="s">
        <v>78</v>
      </c>
      <c r="AB410" s="101">
        <v>4101000279</v>
      </c>
      <c r="AC410" s="101" t="s">
        <v>398</v>
      </c>
      <c r="AD410" s="101" t="s">
        <v>403</v>
      </c>
      <c r="AE410" s="101" t="s">
        <v>6</v>
      </c>
      <c r="AF410" s="101" t="s">
        <v>400</v>
      </c>
      <c r="AI410" s="101" t="s">
        <v>760</v>
      </c>
    </row>
    <row r="411" spans="1:35">
      <c r="A411" s="246" t="s">
        <v>113</v>
      </c>
      <c r="B411" s="246" t="s">
        <v>78</v>
      </c>
      <c r="C411" s="246" t="s">
        <v>126</v>
      </c>
      <c r="D411" s="246" t="s">
        <v>339</v>
      </c>
      <c r="E411" s="246" t="s">
        <v>340</v>
      </c>
      <c r="F411" s="246" t="s">
        <v>279</v>
      </c>
      <c r="G411" s="132" t="s">
        <v>1255</v>
      </c>
      <c r="H411" s="132" t="s">
        <v>1256</v>
      </c>
      <c r="I411" s="132">
        <v>-210.57999999999998</v>
      </c>
      <c r="J411" s="101" t="s">
        <v>889</v>
      </c>
      <c r="K411" s="245" t="s">
        <v>390</v>
      </c>
      <c r="L411" s="245">
        <v>43098</v>
      </c>
      <c r="M411" s="245" t="s">
        <v>391</v>
      </c>
      <c r="N411" s="101">
        <v>0</v>
      </c>
      <c r="O411" s="101" t="s">
        <v>392</v>
      </c>
      <c r="P411" s="101">
        <v>0</v>
      </c>
      <c r="Q411" s="101">
        <v>0</v>
      </c>
      <c r="R411" s="101" t="s">
        <v>393</v>
      </c>
      <c r="S411" s="101" t="s">
        <v>807</v>
      </c>
      <c r="T411" s="101" t="s">
        <v>394</v>
      </c>
      <c r="V411" s="245">
        <v>14124</v>
      </c>
      <c r="W411" s="101" t="s">
        <v>395</v>
      </c>
      <c r="X411" s="101" t="s">
        <v>795</v>
      </c>
      <c r="Y411" s="101" t="s">
        <v>396</v>
      </c>
      <c r="Z411" s="101" t="s">
        <v>402</v>
      </c>
      <c r="AA411" s="101" t="s">
        <v>78</v>
      </c>
      <c r="AB411" s="101">
        <v>4101000279</v>
      </c>
      <c r="AC411" s="101" t="s">
        <v>398</v>
      </c>
      <c r="AD411" s="101" t="s">
        <v>403</v>
      </c>
      <c r="AE411" s="101" t="s">
        <v>6</v>
      </c>
      <c r="AF411" s="101" t="s">
        <v>400</v>
      </c>
      <c r="AI411" s="101" t="s">
        <v>760</v>
      </c>
    </row>
    <row r="412" spans="1:35">
      <c r="A412" s="246" t="s">
        <v>113</v>
      </c>
      <c r="B412" s="246" t="s">
        <v>78</v>
      </c>
      <c r="C412" s="246" t="s">
        <v>126</v>
      </c>
      <c r="D412" s="246" t="s">
        <v>339</v>
      </c>
      <c r="E412" s="246" t="s">
        <v>340</v>
      </c>
      <c r="F412" s="246" t="s">
        <v>279</v>
      </c>
      <c r="G412" s="132" t="s">
        <v>1259</v>
      </c>
      <c r="H412" s="132" t="s">
        <v>1260</v>
      </c>
      <c r="I412" s="132">
        <v>-239.65</v>
      </c>
      <c r="J412" s="101" t="s">
        <v>889</v>
      </c>
      <c r="K412" s="245" t="s">
        <v>390</v>
      </c>
      <c r="L412" s="245">
        <v>43131</v>
      </c>
      <c r="M412" s="245" t="s">
        <v>391</v>
      </c>
      <c r="N412" s="101">
        <v>0</v>
      </c>
      <c r="O412" s="101" t="s">
        <v>392</v>
      </c>
      <c r="P412" s="101">
        <v>0</v>
      </c>
      <c r="Q412" s="101">
        <v>0</v>
      </c>
      <c r="R412" s="101" t="s">
        <v>393</v>
      </c>
      <c r="S412" s="101" t="s">
        <v>807</v>
      </c>
      <c r="T412" s="101" t="s">
        <v>394</v>
      </c>
      <c r="V412" s="245">
        <v>14124</v>
      </c>
      <c r="W412" s="101" t="s">
        <v>395</v>
      </c>
      <c r="X412" s="101" t="s">
        <v>795</v>
      </c>
      <c r="Y412" s="101" t="s">
        <v>396</v>
      </c>
      <c r="Z412" s="101" t="s">
        <v>402</v>
      </c>
      <c r="AA412" s="101" t="s">
        <v>78</v>
      </c>
      <c r="AB412" s="101">
        <v>4101000279</v>
      </c>
      <c r="AC412" s="101" t="s">
        <v>398</v>
      </c>
      <c r="AD412" s="101" t="s">
        <v>403</v>
      </c>
      <c r="AE412" s="101" t="s">
        <v>6</v>
      </c>
      <c r="AF412" s="101" t="s">
        <v>400</v>
      </c>
      <c r="AI412" s="101" t="s">
        <v>760</v>
      </c>
    </row>
    <row r="413" spans="1:35">
      <c r="A413" s="246" t="s">
        <v>113</v>
      </c>
      <c r="B413" s="246" t="s">
        <v>78</v>
      </c>
      <c r="C413" s="246" t="s">
        <v>126</v>
      </c>
      <c r="D413" s="246" t="s">
        <v>339</v>
      </c>
      <c r="E413" s="246" t="s">
        <v>340</v>
      </c>
      <c r="F413" s="246" t="s">
        <v>279</v>
      </c>
      <c r="G413" s="132" t="s">
        <v>1261</v>
      </c>
      <c r="H413" s="132" t="s">
        <v>1262</v>
      </c>
      <c r="I413" s="132">
        <v>-203.31</v>
      </c>
      <c r="J413" s="101" t="s">
        <v>889</v>
      </c>
      <c r="K413" s="245" t="s">
        <v>390</v>
      </c>
      <c r="L413" s="245">
        <v>43159</v>
      </c>
      <c r="M413" s="245" t="s">
        <v>391</v>
      </c>
      <c r="N413" s="101">
        <v>0</v>
      </c>
      <c r="O413" s="101" t="s">
        <v>392</v>
      </c>
      <c r="P413" s="101">
        <v>0</v>
      </c>
      <c r="Q413" s="101">
        <v>0</v>
      </c>
      <c r="R413" s="101" t="s">
        <v>393</v>
      </c>
      <c r="S413" s="101" t="s">
        <v>807</v>
      </c>
      <c r="T413" s="101" t="s">
        <v>394</v>
      </c>
      <c r="V413" s="245">
        <v>14124</v>
      </c>
      <c r="W413" s="101" t="s">
        <v>395</v>
      </c>
      <c r="X413" s="101" t="s">
        <v>795</v>
      </c>
      <c r="Y413" s="101" t="s">
        <v>396</v>
      </c>
      <c r="Z413" s="101" t="s">
        <v>402</v>
      </c>
      <c r="AA413" s="101" t="s">
        <v>78</v>
      </c>
      <c r="AB413" s="101">
        <v>4101000279</v>
      </c>
      <c r="AC413" s="101" t="s">
        <v>398</v>
      </c>
      <c r="AD413" s="101" t="s">
        <v>403</v>
      </c>
      <c r="AE413" s="101" t="s">
        <v>6</v>
      </c>
      <c r="AF413" s="101" t="s">
        <v>400</v>
      </c>
      <c r="AI413" s="101" t="s">
        <v>760</v>
      </c>
    </row>
    <row r="414" spans="1:35">
      <c r="A414" s="246" t="s">
        <v>113</v>
      </c>
      <c r="B414" s="246" t="s">
        <v>78</v>
      </c>
      <c r="C414" s="246" t="s">
        <v>126</v>
      </c>
      <c r="D414" s="246" t="s">
        <v>339</v>
      </c>
      <c r="E414" s="246" t="s">
        <v>340</v>
      </c>
      <c r="F414" s="246" t="s">
        <v>279</v>
      </c>
      <c r="G414" s="132" t="s">
        <v>1255</v>
      </c>
      <c r="H414" s="132" t="s">
        <v>1256</v>
      </c>
      <c r="I414" s="132">
        <v>-210.57999999999998</v>
      </c>
      <c r="J414" s="101" t="s">
        <v>889</v>
      </c>
      <c r="K414" s="245" t="s">
        <v>390</v>
      </c>
      <c r="L414" s="245">
        <v>43188</v>
      </c>
      <c r="M414" s="245" t="s">
        <v>391</v>
      </c>
      <c r="N414" s="101">
        <v>0</v>
      </c>
      <c r="O414" s="101" t="s">
        <v>392</v>
      </c>
      <c r="P414" s="101">
        <v>0</v>
      </c>
      <c r="Q414" s="101">
        <v>0</v>
      </c>
      <c r="R414" s="101" t="s">
        <v>393</v>
      </c>
      <c r="S414" s="101" t="s">
        <v>807</v>
      </c>
      <c r="T414" s="101" t="s">
        <v>394</v>
      </c>
      <c r="V414" s="245">
        <v>14124</v>
      </c>
      <c r="W414" s="101" t="s">
        <v>395</v>
      </c>
      <c r="X414" s="101" t="s">
        <v>795</v>
      </c>
      <c r="Y414" s="101" t="s">
        <v>396</v>
      </c>
      <c r="Z414" s="101" t="s">
        <v>402</v>
      </c>
      <c r="AA414" s="101" t="s">
        <v>78</v>
      </c>
      <c r="AB414" s="101">
        <v>4101000279</v>
      </c>
      <c r="AC414" s="101" t="s">
        <v>398</v>
      </c>
      <c r="AD414" s="101" t="s">
        <v>403</v>
      </c>
      <c r="AE414" s="101" t="s">
        <v>6</v>
      </c>
      <c r="AF414" s="101" t="s">
        <v>400</v>
      </c>
      <c r="AI414" s="101" t="s">
        <v>760</v>
      </c>
    </row>
    <row r="415" spans="1:35">
      <c r="A415" s="246" t="s">
        <v>113</v>
      </c>
      <c r="B415" s="246" t="s">
        <v>78</v>
      </c>
      <c r="C415" s="246" t="s">
        <v>126</v>
      </c>
      <c r="D415" s="246" t="s">
        <v>339</v>
      </c>
      <c r="E415" s="246" t="s">
        <v>340</v>
      </c>
      <c r="F415" s="246" t="s">
        <v>279</v>
      </c>
      <c r="G415" s="132" t="s">
        <v>1257</v>
      </c>
      <c r="H415" s="132" t="s">
        <v>1258</v>
      </c>
      <c r="I415" s="132">
        <v>-232.38</v>
      </c>
      <c r="J415" s="101" t="s">
        <v>889</v>
      </c>
      <c r="K415" s="245" t="s">
        <v>390</v>
      </c>
      <c r="L415" s="245">
        <v>43220</v>
      </c>
      <c r="M415" s="245" t="s">
        <v>391</v>
      </c>
      <c r="N415" s="101">
        <v>0</v>
      </c>
      <c r="O415" s="101" t="s">
        <v>392</v>
      </c>
      <c r="P415" s="101">
        <v>0</v>
      </c>
      <c r="Q415" s="101">
        <v>0</v>
      </c>
      <c r="R415" s="101" t="s">
        <v>393</v>
      </c>
      <c r="S415" s="101" t="s">
        <v>807</v>
      </c>
      <c r="T415" s="101" t="s">
        <v>394</v>
      </c>
      <c r="V415" s="245">
        <v>14124</v>
      </c>
      <c r="W415" s="101" t="s">
        <v>395</v>
      </c>
      <c r="X415" s="101" t="s">
        <v>795</v>
      </c>
      <c r="Y415" s="101" t="s">
        <v>396</v>
      </c>
      <c r="Z415" s="101" t="s">
        <v>402</v>
      </c>
      <c r="AA415" s="101" t="s">
        <v>78</v>
      </c>
      <c r="AB415" s="101">
        <v>4101000279</v>
      </c>
      <c r="AC415" s="101" t="s">
        <v>398</v>
      </c>
      <c r="AD415" s="101" t="s">
        <v>403</v>
      </c>
      <c r="AE415" s="101" t="s">
        <v>6</v>
      </c>
      <c r="AF415" s="101" t="s">
        <v>400</v>
      </c>
      <c r="AI415" s="101" t="s">
        <v>760</v>
      </c>
    </row>
    <row r="416" spans="1:35">
      <c r="A416" s="246" t="s">
        <v>109</v>
      </c>
      <c r="B416" s="246" t="s">
        <v>66</v>
      </c>
      <c r="C416" s="246" t="s">
        <v>126</v>
      </c>
      <c r="D416" s="246" t="s">
        <v>272</v>
      </c>
      <c r="E416" s="246"/>
      <c r="F416" s="246"/>
      <c r="G416" s="132">
        <v>0</v>
      </c>
      <c r="H416" s="132">
        <v>0</v>
      </c>
      <c r="I416" s="132">
        <v>0</v>
      </c>
      <c r="J416" s="101" t="s">
        <v>889</v>
      </c>
      <c r="K416" s="245" t="s">
        <v>390</v>
      </c>
      <c r="L416" s="245">
        <v>42583</v>
      </c>
      <c r="M416" s="245" t="s">
        <v>391</v>
      </c>
      <c r="N416" s="101">
        <v>0</v>
      </c>
      <c r="O416" s="101" t="s">
        <v>392</v>
      </c>
      <c r="P416" s="101">
        <v>0</v>
      </c>
      <c r="Q416" s="101">
        <v>0</v>
      </c>
      <c r="R416" s="101" t="s">
        <v>626</v>
      </c>
      <c r="S416" s="101">
        <v>190369</v>
      </c>
      <c r="T416" s="101" t="s">
        <v>394</v>
      </c>
      <c r="V416" s="245">
        <v>45227</v>
      </c>
      <c r="W416" s="101" t="s">
        <v>627</v>
      </c>
      <c r="X416" s="101" t="s">
        <v>429</v>
      </c>
      <c r="Y416" s="101" t="s">
        <v>392</v>
      </c>
      <c r="Z416" s="101" t="s">
        <v>430</v>
      </c>
      <c r="AA416" s="101" t="s">
        <v>628</v>
      </c>
      <c r="AB416" s="101">
        <v>3101055606</v>
      </c>
      <c r="AC416" s="101" t="s">
        <v>431</v>
      </c>
      <c r="AD416" s="101" t="s">
        <v>431</v>
      </c>
      <c r="AE416" s="101" t="s">
        <v>75</v>
      </c>
      <c r="AF416" s="101" t="s">
        <v>400</v>
      </c>
      <c r="AG416" s="101" t="s">
        <v>629</v>
      </c>
      <c r="AI416" s="101" t="s">
        <v>760</v>
      </c>
    </row>
    <row r="417" spans="1:35">
      <c r="A417" s="246" t="s">
        <v>110</v>
      </c>
      <c r="B417" s="246" t="s">
        <v>66</v>
      </c>
      <c r="C417" s="246" t="s">
        <v>126</v>
      </c>
      <c r="D417" s="246" t="s">
        <v>281</v>
      </c>
      <c r="E417" s="246"/>
      <c r="F417" s="246"/>
      <c r="G417" s="132">
        <v>0</v>
      </c>
      <c r="H417" s="132">
        <v>0</v>
      </c>
      <c r="I417" s="132">
        <v>0</v>
      </c>
      <c r="J417" s="101" t="s">
        <v>889</v>
      </c>
      <c r="K417" s="245" t="s">
        <v>390</v>
      </c>
      <c r="L417" s="245">
        <v>42675</v>
      </c>
      <c r="M417" s="245" t="s">
        <v>391</v>
      </c>
      <c r="N417" s="101">
        <v>0</v>
      </c>
      <c r="O417" s="101" t="s">
        <v>392</v>
      </c>
      <c r="P417" s="101">
        <v>0</v>
      </c>
      <c r="Q417" s="101">
        <v>0</v>
      </c>
      <c r="R417" s="101" t="s">
        <v>626</v>
      </c>
      <c r="S417" s="101">
        <v>190369</v>
      </c>
      <c r="T417" s="101" t="s">
        <v>394</v>
      </c>
      <c r="V417" s="245">
        <v>45227</v>
      </c>
      <c r="W417" s="101" t="s">
        <v>627</v>
      </c>
      <c r="X417" s="101" t="s">
        <v>429</v>
      </c>
      <c r="Y417" s="101" t="s">
        <v>392</v>
      </c>
      <c r="Z417" s="101" t="s">
        <v>430</v>
      </c>
      <c r="AA417" s="101" t="s">
        <v>628</v>
      </c>
      <c r="AB417" s="101">
        <v>3101055606</v>
      </c>
      <c r="AC417" s="101" t="s">
        <v>431</v>
      </c>
      <c r="AD417" s="101" t="s">
        <v>431</v>
      </c>
      <c r="AE417" s="101" t="s">
        <v>75</v>
      </c>
      <c r="AF417" s="101" t="s">
        <v>400</v>
      </c>
      <c r="AG417" s="101" t="s">
        <v>629</v>
      </c>
      <c r="AI417" s="101" t="s">
        <v>760</v>
      </c>
    </row>
    <row r="418" spans="1:35">
      <c r="A418" s="246" t="s">
        <v>111</v>
      </c>
      <c r="B418" s="246" t="s">
        <v>66</v>
      </c>
      <c r="C418" s="246" t="s">
        <v>126</v>
      </c>
      <c r="D418" s="246" t="s">
        <v>273</v>
      </c>
      <c r="E418" s="246"/>
      <c r="F418" s="246"/>
      <c r="G418" s="132">
        <v>0</v>
      </c>
      <c r="H418" s="132">
        <v>0</v>
      </c>
      <c r="I418" s="132">
        <v>0</v>
      </c>
      <c r="J418" s="101" t="s">
        <v>889</v>
      </c>
      <c r="K418" s="245" t="s">
        <v>390</v>
      </c>
      <c r="L418" s="245">
        <v>42767</v>
      </c>
      <c r="M418" s="245" t="s">
        <v>391</v>
      </c>
      <c r="N418" s="101">
        <v>0</v>
      </c>
      <c r="O418" s="101" t="s">
        <v>392</v>
      </c>
      <c r="P418" s="101">
        <v>0</v>
      </c>
      <c r="Q418" s="101">
        <v>0</v>
      </c>
      <c r="R418" s="101" t="s">
        <v>626</v>
      </c>
      <c r="S418" s="101">
        <v>190369</v>
      </c>
      <c r="T418" s="101" t="s">
        <v>394</v>
      </c>
      <c r="V418" s="245">
        <v>45227</v>
      </c>
      <c r="W418" s="101" t="s">
        <v>627</v>
      </c>
      <c r="X418" s="101" t="s">
        <v>429</v>
      </c>
      <c r="Y418" s="101" t="s">
        <v>392</v>
      </c>
      <c r="Z418" s="101" t="s">
        <v>430</v>
      </c>
      <c r="AA418" s="101" t="s">
        <v>628</v>
      </c>
      <c r="AB418" s="101">
        <v>3101055606</v>
      </c>
      <c r="AC418" s="101" t="s">
        <v>431</v>
      </c>
      <c r="AD418" s="101" t="s">
        <v>431</v>
      </c>
      <c r="AE418" s="101" t="s">
        <v>75</v>
      </c>
      <c r="AF418" s="101" t="s">
        <v>400</v>
      </c>
      <c r="AG418" s="101" t="s">
        <v>629</v>
      </c>
      <c r="AI418" s="101" t="s">
        <v>760</v>
      </c>
    </row>
    <row r="419" spans="1:35">
      <c r="A419" s="246" t="s">
        <v>111</v>
      </c>
      <c r="B419" s="246" t="s">
        <v>66</v>
      </c>
      <c r="C419" s="246" t="s">
        <v>126</v>
      </c>
      <c r="D419" s="246" t="s">
        <v>273</v>
      </c>
      <c r="E419" s="246"/>
      <c r="F419" s="246"/>
      <c r="G419" s="132">
        <v>0</v>
      </c>
      <c r="H419" s="132">
        <v>0</v>
      </c>
      <c r="I419" s="132">
        <v>0</v>
      </c>
      <c r="J419" s="101" t="s">
        <v>889</v>
      </c>
      <c r="K419" s="245" t="s">
        <v>390</v>
      </c>
      <c r="L419" s="245">
        <v>42856</v>
      </c>
      <c r="M419" s="245" t="s">
        <v>391</v>
      </c>
      <c r="N419" s="101">
        <v>0</v>
      </c>
      <c r="O419" s="101" t="s">
        <v>392</v>
      </c>
      <c r="P419" s="101">
        <v>0</v>
      </c>
      <c r="Q419" s="101">
        <v>0</v>
      </c>
      <c r="R419" s="101" t="s">
        <v>626</v>
      </c>
      <c r="S419" s="101">
        <v>190369</v>
      </c>
      <c r="T419" s="101" t="s">
        <v>394</v>
      </c>
      <c r="V419" s="245">
        <v>45227</v>
      </c>
      <c r="W419" s="101" t="s">
        <v>627</v>
      </c>
      <c r="X419" s="101" t="s">
        <v>429</v>
      </c>
      <c r="Y419" s="101" t="s">
        <v>392</v>
      </c>
      <c r="Z419" s="101" t="s">
        <v>430</v>
      </c>
      <c r="AA419" s="101" t="s">
        <v>628</v>
      </c>
      <c r="AB419" s="101">
        <v>3101055606</v>
      </c>
      <c r="AC419" s="101" t="s">
        <v>431</v>
      </c>
      <c r="AD419" s="101" t="s">
        <v>431</v>
      </c>
      <c r="AE419" s="101" t="s">
        <v>75</v>
      </c>
      <c r="AF419" s="101" t="s">
        <v>400</v>
      </c>
      <c r="AG419" s="101" t="s">
        <v>629</v>
      </c>
      <c r="AI419" s="101" t="s">
        <v>760</v>
      </c>
    </row>
    <row r="420" spans="1:35">
      <c r="A420" s="246" t="s">
        <v>112</v>
      </c>
      <c r="B420" s="246" t="s">
        <v>66</v>
      </c>
      <c r="C420" s="246" t="s">
        <v>126</v>
      </c>
      <c r="D420" s="246" t="s">
        <v>270</v>
      </c>
      <c r="E420" s="246"/>
      <c r="F420" s="246"/>
      <c r="G420" s="132">
        <v>0</v>
      </c>
      <c r="H420" s="132">
        <v>0</v>
      </c>
      <c r="I420" s="132">
        <v>0</v>
      </c>
      <c r="J420" s="101" t="s">
        <v>889</v>
      </c>
      <c r="K420" s="245" t="s">
        <v>390</v>
      </c>
      <c r="L420" s="245">
        <v>42948</v>
      </c>
      <c r="M420" s="245" t="s">
        <v>391</v>
      </c>
      <c r="N420" s="101">
        <v>0</v>
      </c>
      <c r="O420" s="101" t="s">
        <v>392</v>
      </c>
      <c r="P420" s="101">
        <v>0</v>
      </c>
      <c r="Q420" s="101">
        <v>0</v>
      </c>
      <c r="R420" s="101" t="s">
        <v>626</v>
      </c>
      <c r="S420" s="101">
        <v>190369</v>
      </c>
      <c r="T420" s="101" t="s">
        <v>394</v>
      </c>
      <c r="V420" s="245">
        <v>45227</v>
      </c>
      <c r="W420" s="101" t="s">
        <v>627</v>
      </c>
      <c r="X420" s="101" t="s">
        <v>429</v>
      </c>
      <c r="Y420" s="101" t="s">
        <v>392</v>
      </c>
      <c r="Z420" s="101" t="s">
        <v>430</v>
      </c>
      <c r="AA420" s="101" t="s">
        <v>628</v>
      </c>
      <c r="AB420" s="101">
        <v>3101055606</v>
      </c>
      <c r="AC420" s="101" t="s">
        <v>431</v>
      </c>
      <c r="AD420" s="101" t="s">
        <v>431</v>
      </c>
      <c r="AE420" s="101" t="s">
        <v>75</v>
      </c>
      <c r="AF420" s="101" t="s">
        <v>400</v>
      </c>
      <c r="AG420" s="101" t="s">
        <v>629</v>
      </c>
      <c r="AI420" s="101" t="s">
        <v>760</v>
      </c>
    </row>
    <row r="421" spans="1:35">
      <c r="A421" s="246" t="s">
        <v>112</v>
      </c>
      <c r="B421" s="246" t="s">
        <v>66</v>
      </c>
      <c r="C421" s="246" t="s">
        <v>126</v>
      </c>
      <c r="D421" s="246" t="s">
        <v>270</v>
      </c>
      <c r="E421" s="246"/>
      <c r="F421" s="246"/>
      <c r="G421" s="132">
        <v>0</v>
      </c>
      <c r="H421" s="132">
        <v>0</v>
      </c>
      <c r="I421" s="132">
        <v>0</v>
      </c>
      <c r="J421" s="101" t="s">
        <v>889</v>
      </c>
      <c r="K421" s="245" t="s">
        <v>390</v>
      </c>
      <c r="L421" s="245">
        <v>43040</v>
      </c>
      <c r="M421" s="245" t="s">
        <v>391</v>
      </c>
      <c r="N421" s="101">
        <v>0</v>
      </c>
      <c r="O421" s="101" t="s">
        <v>392</v>
      </c>
      <c r="P421" s="101">
        <v>0</v>
      </c>
      <c r="Q421" s="101">
        <v>0</v>
      </c>
      <c r="R421" s="101" t="s">
        <v>626</v>
      </c>
      <c r="S421" s="101">
        <v>190369</v>
      </c>
      <c r="T421" s="101" t="s">
        <v>394</v>
      </c>
      <c r="V421" s="245">
        <v>45227</v>
      </c>
      <c r="W421" s="101" t="s">
        <v>627</v>
      </c>
      <c r="X421" s="101" t="s">
        <v>429</v>
      </c>
      <c r="Y421" s="101" t="s">
        <v>392</v>
      </c>
      <c r="Z421" s="101" t="s">
        <v>430</v>
      </c>
      <c r="AA421" s="101" t="s">
        <v>628</v>
      </c>
      <c r="AB421" s="101">
        <v>3101055606</v>
      </c>
      <c r="AC421" s="101" t="s">
        <v>431</v>
      </c>
      <c r="AD421" s="101" t="s">
        <v>431</v>
      </c>
      <c r="AE421" s="101" t="s">
        <v>75</v>
      </c>
      <c r="AF421" s="101" t="s">
        <v>400</v>
      </c>
      <c r="AG421" s="101" t="s">
        <v>629</v>
      </c>
      <c r="AI421" s="101" t="s">
        <v>760</v>
      </c>
    </row>
    <row r="422" spans="1:35">
      <c r="A422" s="246" t="s">
        <v>113</v>
      </c>
      <c r="B422" s="246" t="s">
        <v>66</v>
      </c>
      <c r="C422" s="246" t="s">
        <v>126</v>
      </c>
      <c r="D422" s="246" t="s">
        <v>271</v>
      </c>
      <c r="E422" s="246"/>
      <c r="F422" s="246"/>
      <c r="G422" s="132">
        <v>0</v>
      </c>
      <c r="H422" s="132">
        <v>0</v>
      </c>
      <c r="I422" s="132">
        <v>0</v>
      </c>
      <c r="J422" s="101" t="s">
        <v>889</v>
      </c>
      <c r="K422" s="245" t="s">
        <v>390</v>
      </c>
      <c r="L422" s="245">
        <v>43132</v>
      </c>
      <c r="M422" s="245" t="s">
        <v>391</v>
      </c>
      <c r="N422" s="101">
        <v>0</v>
      </c>
      <c r="O422" s="101" t="s">
        <v>392</v>
      </c>
      <c r="P422" s="101">
        <v>0</v>
      </c>
      <c r="Q422" s="101">
        <v>0</v>
      </c>
      <c r="R422" s="101" t="s">
        <v>626</v>
      </c>
      <c r="S422" s="101">
        <v>190369</v>
      </c>
      <c r="T422" s="101" t="s">
        <v>394</v>
      </c>
      <c r="V422" s="245">
        <v>45227</v>
      </c>
      <c r="W422" s="101" t="s">
        <v>627</v>
      </c>
      <c r="X422" s="101" t="s">
        <v>429</v>
      </c>
      <c r="Y422" s="101" t="s">
        <v>392</v>
      </c>
      <c r="Z422" s="101" t="s">
        <v>430</v>
      </c>
      <c r="AA422" s="101" t="s">
        <v>628</v>
      </c>
      <c r="AB422" s="101">
        <v>3101055606</v>
      </c>
      <c r="AC422" s="101" t="s">
        <v>431</v>
      </c>
      <c r="AD422" s="101" t="s">
        <v>431</v>
      </c>
      <c r="AE422" s="101" t="s">
        <v>75</v>
      </c>
      <c r="AF422" s="101" t="s">
        <v>400</v>
      </c>
      <c r="AG422" s="101" t="s">
        <v>629</v>
      </c>
      <c r="AI422" s="101" t="s">
        <v>760</v>
      </c>
    </row>
    <row r="423" spans="1:35">
      <c r="A423" s="246" t="s">
        <v>113</v>
      </c>
      <c r="B423" s="246" t="s">
        <v>66</v>
      </c>
      <c r="C423" s="246" t="s">
        <v>126</v>
      </c>
      <c r="D423" s="246" t="s">
        <v>271</v>
      </c>
      <c r="E423" s="246"/>
      <c r="F423" s="246"/>
      <c r="G423" s="132">
        <v>0</v>
      </c>
      <c r="H423" s="132">
        <v>0</v>
      </c>
      <c r="I423" s="132">
        <v>0</v>
      </c>
      <c r="J423" s="101" t="s">
        <v>889</v>
      </c>
      <c r="K423" s="245" t="s">
        <v>390</v>
      </c>
      <c r="L423" s="245">
        <v>43221</v>
      </c>
      <c r="M423" s="245" t="s">
        <v>391</v>
      </c>
      <c r="N423" s="101">
        <v>0</v>
      </c>
      <c r="O423" s="101" t="s">
        <v>392</v>
      </c>
      <c r="P423" s="101">
        <v>0</v>
      </c>
      <c r="Q423" s="101">
        <v>0</v>
      </c>
      <c r="R423" s="101" t="s">
        <v>626</v>
      </c>
      <c r="S423" s="101">
        <v>190369</v>
      </c>
      <c r="T423" s="101" t="s">
        <v>394</v>
      </c>
      <c r="V423" s="245">
        <v>45227</v>
      </c>
      <c r="W423" s="101" t="s">
        <v>627</v>
      </c>
      <c r="X423" s="101" t="s">
        <v>429</v>
      </c>
      <c r="Y423" s="101" t="s">
        <v>392</v>
      </c>
      <c r="Z423" s="101" t="s">
        <v>430</v>
      </c>
      <c r="AA423" s="101" t="s">
        <v>628</v>
      </c>
      <c r="AB423" s="101">
        <v>3101055606</v>
      </c>
      <c r="AC423" s="101" t="s">
        <v>431</v>
      </c>
      <c r="AD423" s="101" t="s">
        <v>431</v>
      </c>
      <c r="AE423" s="101" t="s">
        <v>75</v>
      </c>
      <c r="AF423" s="101" t="s">
        <v>400</v>
      </c>
      <c r="AG423" s="101" t="s">
        <v>629</v>
      </c>
      <c r="AI423" s="101" t="s">
        <v>760</v>
      </c>
    </row>
    <row r="424" spans="1:35">
      <c r="A424" s="246" t="s">
        <v>103</v>
      </c>
      <c r="B424" s="246" t="s">
        <v>78</v>
      </c>
      <c r="C424" s="246" t="s">
        <v>126</v>
      </c>
      <c r="D424" s="246" t="s">
        <v>886</v>
      </c>
      <c r="E424" s="246" t="s">
        <v>887</v>
      </c>
      <c r="F424" s="246"/>
      <c r="G424" s="132" t="s">
        <v>447</v>
      </c>
      <c r="H424" s="132" t="s">
        <v>1263</v>
      </c>
      <c r="I424" s="132">
        <v>-662031.25</v>
      </c>
      <c r="J424" s="101" t="s">
        <v>889</v>
      </c>
      <c r="K424" s="245" t="s">
        <v>390</v>
      </c>
      <c r="L424" s="245">
        <v>42506</v>
      </c>
      <c r="M424" s="245" t="s">
        <v>391</v>
      </c>
      <c r="N424" s="101">
        <v>0</v>
      </c>
      <c r="O424" s="101" t="s">
        <v>392</v>
      </c>
      <c r="P424" s="101">
        <v>0</v>
      </c>
      <c r="Q424" s="101">
        <v>0</v>
      </c>
      <c r="R424" s="101" t="s">
        <v>438</v>
      </c>
      <c r="S424" s="101">
        <v>194042</v>
      </c>
      <c r="T424" s="101" t="s">
        <v>394</v>
      </c>
      <c r="V424" s="245">
        <v>47253</v>
      </c>
      <c r="W424" s="101" t="s">
        <v>424</v>
      </c>
      <c r="X424" s="101" t="s">
        <v>76</v>
      </c>
      <c r="Y424" s="101" t="s">
        <v>392</v>
      </c>
      <c r="Z424" s="101" t="s">
        <v>430</v>
      </c>
      <c r="AA424" s="101" t="s">
        <v>78</v>
      </c>
      <c r="AB424" s="101">
        <v>4101000279</v>
      </c>
      <c r="AC424" s="101" t="s">
        <v>431</v>
      </c>
      <c r="AD424" s="101" t="s">
        <v>431</v>
      </c>
      <c r="AE424" s="101" t="s">
        <v>75</v>
      </c>
      <c r="AF424" s="101" t="s">
        <v>400</v>
      </c>
      <c r="AG424" s="101" t="s">
        <v>427</v>
      </c>
      <c r="AI424" s="101" t="s">
        <v>760</v>
      </c>
    </row>
    <row r="425" spans="1:35">
      <c r="A425" s="246" t="s">
        <v>111</v>
      </c>
      <c r="B425" s="246" t="s">
        <v>78</v>
      </c>
      <c r="C425" s="246" t="s">
        <v>126</v>
      </c>
      <c r="D425" s="246" t="s">
        <v>768</v>
      </c>
      <c r="E425" s="246" t="s">
        <v>769</v>
      </c>
      <c r="F425" s="246"/>
      <c r="G425" s="132" t="s">
        <v>447</v>
      </c>
      <c r="H425" s="132" t="s">
        <v>1263</v>
      </c>
      <c r="I425" s="132">
        <v>-662031.25</v>
      </c>
      <c r="J425" s="101" t="s">
        <v>889</v>
      </c>
      <c r="K425" s="245" t="s">
        <v>390</v>
      </c>
      <c r="L425" s="245">
        <v>42689</v>
      </c>
      <c r="M425" s="245" t="s">
        <v>391</v>
      </c>
      <c r="N425" s="101">
        <v>0</v>
      </c>
      <c r="O425" s="101" t="s">
        <v>392</v>
      </c>
      <c r="P425" s="101">
        <v>0</v>
      </c>
      <c r="Q425" s="101">
        <v>0</v>
      </c>
      <c r="R425" s="101" t="s">
        <v>438</v>
      </c>
      <c r="S425" s="101">
        <v>194042</v>
      </c>
      <c r="T425" s="101" t="s">
        <v>394</v>
      </c>
      <c r="V425" s="245">
        <v>47253</v>
      </c>
      <c r="W425" s="101" t="s">
        <v>424</v>
      </c>
      <c r="X425" s="101" t="s">
        <v>76</v>
      </c>
      <c r="Y425" s="101" t="s">
        <v>392</v>
      </c>
      <c r="Z425" s="101" t="s">
        <v>430</v>
      </c>
      <c r="AA425" s="101" t="s">
        <v>78</v>
      </c>
      <c r="AB425" s="101">
        <v>4101000279</v>
      </c>
      <c r="AC425" s="101" t="s">
        <v>431</v>
      </c>
      <c r="AD425" s="101" t="s">
        <v>431</v>
      </c>
      <c r="AE425" s="101" t="s">
        <v>75</v>
      </c>
      <c r="AF425" s="101" t="s">
        <v>400</v>
      </c>
      <c r="AG425" s="101" t="s">
        <v>427</v>
      </c>
      <c r="AI425" s="101" t="s">
        <v>760</v>
      </c>
    </row>
    <row r="426" spans="1:35">
      <c r="A426" s="246" t="s">
        <v>112</v>
      </c>
      <c r="B426" s="246" t="s">
        <v>78</v>
      </c>
      <c r="C426" s="246" t="s">
        <v>126</v>
      </c>
      <c r="D426" s="246" t="s">
        <v>341</v>
      </c>
      <c r="E426" s="246" t="s">
        <v>342</v>
      </c>
      <c r="F426" s="246"/>
      <c r="G426" s="132" t="s">
        <v>447</v>
      </c>
      <c r="H426" s="132" t="s">
        <v>1263</v>
      </c>
      <c r="I426" s="132">
        <v>-662031.25</v>
      </c>
      <c r="J426" s="101" t="s">
        <v>889</v>
      </c>
      <c r="K426" s="245" t="s">
        <v>390</v>
      </c>
      <c r="L426" s="245">
        <v>42870</v>
      </c>
      <c r="M426" s="245" t="s">
        <v>391</v>
      </c>
      <c r="N426" s="101">
        <v>0</v>
      </c>
      <c r="O426" s="101" t="s">
        <v>392</v>
      </c>
      <c r="P426" s="101">
        <v>0</v>
      </c>
      <c r="Q426" s="101">
        <v>0</v>
      </c>
      <c r="R426" s="101" t="s">
        <v>438</v>
      </c>
      <c r="S426" s="101">
        <v>194042</v>
      </c>
      <c r="T426" s="101" t="s">
        <v>394</v>
      </c>
      <c r="V426" s="245">
        <v>47253</v>
      </c>
      <c r="W426" s="101" t="s">
        <v>424</v>
      </c>
      <c r="X426" s="101" t="s">
        <v>76</v>
      </c>
      <c r="Y426" s="101" t="s">
        <v>392</v>
      </c>
      <c r="Z426" s="101" t="s">
        <v>430</v>
      </c>
      <c r="AA426" s="101" t="s">
        <v>78</v>
      </c>
      <c r="AB426" s="101">
        <v>4101000279</v>
      </c>
      <c r="AC426" s="101" t="s">
        <v>431</v>
      </c>
      <c r="AD426" s="101" t="s">
        <v>431</v>
      </c>
      <c r="AE426" s="101" t="s">
        <v>75</v>
      </c>
      <c r="AF426" s="101" t="s">
        <v>400</v>
      </c>
      <c r="AG426" s="101" t="s">
        <v>427</v>
      </c>
      <c r="AI426" s="101" t="s">
        <v>760</v>
      </c>
    </row>
    <row r="427" spans="1:35">
      <c r="A427" s="246" t="s">
        <v>113</v>
      </c>
      <c r="B427" s="246" t="s">
        <v>78</v>
      </c>
      <c r="C427" s="246" t="s">
        <v>126</v>
      </c>
      <c r="D427" s="246" t="s">
        <v>339</v>
      </c>
      <c r="E427" s="246" t="s">
        <v>340</v>
      </c>
      <c r="F427" s="246"/>
      <c r="G427" s="132" t="s">
        <v>447</v>
      </c>
      <c r="H427" s="132" t="s">
        <v>1263</v>
      </c>
      <c r="I427" s="132">
        <v>-662031.25</v>
      </c>
      <c r="J427" s="101" t="s">
        <v>889</v>
      </c>
      <c r="K427" s="245" t="s">
        <v>390</v>
      </c>
      <c r="L427" s="245">
        <v>43054</v>
      </c>
      <c r="M427" s="245" t="s">
        <v>391</v>
      </c>
      <c r="N427" s="101">
        <v>0</v>
      </c>
      <c r="O427" s="101" t="s">
        <v>392</v>
      </c>
      <c r="P427" s="101">
        <v>0</v>
      </c>
      <c r="Q427" s="101">
        <v>0</v>
      </c>
      <c r="R427" s="101" t="s">
        <v>438</v>
      </c>
      <c r="S427" s="101">
        <v>194042</v>
      </c>
      <c r="T427" s="101" t="s">
        <v>394</v>
      </c>
      <c r="V427" s="245">
        <v>47253</v>
      </c>
      <c r="W427" s="101" t="s">
        <v>424</v>
      </c>
      <c r="X427" s="101" t="s">
        <v>76</v>
      </c>
      <c r="Y427" s="101" t="s">
        <v>392</v>
      </c>
      <c r="Z427" s="101" t="s">
        <v>430</v>
      </c>
      <c r="AA427" s="101" t="s">
        <v>78</v>
      </c>
      <c r="AB427" s="101">
        <v>4101000279</v>
      </c>
      <c r="AC427" s="101" t="s">
        <v>431</v>
      </c>
      <c r="AD427" s="101" t="s">
        <v>431</v>
      </c>
      <c r="AE427" s="101" t="s">
        <v>75</v>
      </c>
      <c r="AF427" s="101" t="s">
        <v>400</v>
      </c>
      <c r="AG427" s="101" t="s">
        <v>427</v>
      </c>
      <c r="AI427" s="101" t="s">
        <v>760</v>
      </c>
    </row>
    <row r="428" spans="1:35">
      <c r="A428" s="246" t="s">
        <v>109</v>
      </c>
      <c r="B428" s="246" t="s">
        <v>66</v>
      </c>
      <c r="C428" s="246" t="s">
        <v>126</v>
      </c>
      <c r="D428" s="246" t="s">
        <v>272</v>
      </c>
      <c r="E428" s="246"/>
      <c r="F428" s="246"/>
      <c r="G428" s="132">
        <v>62500</v>
      </c>
      <c r="H428" s="132" t="s">
        <v>1082</v>
      </c>
      <c r="I428" s="132">
        <v>62500</v>
      </c>
      <c r="J428" s="101" t="s">
        <v>889</v>
      </c>
      <c r="K428" s="245" t="s">
        <v>390</v>
      </c>
      <c r="L428" s="245">
        <v>42536</v>
      </c>
      <c r="M428" s="245" t="s">
        <v>391</v>
      </c>
      <c r="N428" s="101">
        <v>0</v>
      </c>
      <c r="O428" s="101" t="s">
        <v>392</v>
      </c>
      <c r="P428" s="101">
        <v>0</v>
      </c>
      <c r="Q428" s="101">
        <v>0</v>
      </c>
      <c r="R428" s="101" t="s">
        <v>450</v>
      </c>
      <c r="S428" s="101">
        <v>194066</v>
      </c>
      <c r="T428" s="101" t="s">
        <v>394</v>
      </c>
      <c r="V428" s="245">
        <v>42536</v>
      </c>
      <c r="W428" s="101" t="s">
        <v>441</v>
      </c>
      <c r="X428" s="101" t="s">
        <v>76</v>
      </c>
      <c r="Y428" s="101" t="s">
        <v>392</v>
      </c>
      <c r="Z428" s="101" t="s">
        <v>430</v>
      </c>
      <c r="AA428" s="101" t="s">
        <v>531</v>
      </c>
      <c r="AB428" s="101">
        <v>3101053435</v>
      </c>
      <c r="AC428" s="101" t="s">
        <v>431</v>
      </c>
      <c r="AD428" s="101" t="s">
        <v>431</v>
      </c>
      <c r="AE428" s="101" t="s">
        <v>75</v>
      </c>
      <c r="AF428" s="101" t="s">
        <v>400</v>
      </c>
      <c r="AG428" s="101" t="s">
        <v>532</v>
      </c>
      <c r="AI428" s="101" t="s">
        <v>760</v>
      </c>
    </row>
    <row r="429" spans="1:35">
      <c r="A429" s="246" t="s">
        <v>109</v>
      </c>
      <c r="B429" s="246" t="s">
        <v>66</v>
      </c>
      <c r="C429" s="246" t="s">
        <v>116</v>
      </c>
      <c r="D429" s="246" t="s">
        <v>338</v>
      </c>
      <c r="E429" s="246"/>
      <c r="F429" s="246"/>
      <c r="G429" s="132">
        <v>25000000</v>
      </c>
      <c r="H429" s="132" t="s">
        <v>1083</v>
      </c>
      <c r="I429" s="132">
        <v>25000000</v>
      </c>
      <c r="J429" s="101" t="s">
        <v>889</v>
      </c>
      <c r="K429" s="245" t="s">
        <v>390</v>
      </c>
      <c r="L429" s="245">
        <v>42536</v>
      </c>
      <c r="M429" s="245" t="s">
        <v>421</v>
      </c>
      <c r="N429" s="101">
        <v>0</v>
      </c>
      <c r="O429" s="101" t="s">
        <v>392</v>
      </c>
      <c r="P429" s="101">
        <v>0</v>
      </c>
      <c r="Q429" s="101">
        <v>0</v>
      </c>
      <c r="R429" s="101" t="s">
        <v>450</v>
      </c>
      <c r="S429" s="101">
        <v>194066</v>
      </c>
      <c r="T429" s="101" t="s">
        <v>394</v>
      </c>
      <c r="V429" s="245">
        <v>42536</v>
      </c>
      <c r="W429" s="101" t="s">
        <v>441</v>
      </c>
      <c r="X429" s="101" t="s">
        <v>76</v>
      </c>
      <c r="Y429" s="101" t="s">
        <v>392</v>
      </c>
      <c r="Z429" s="101" t="s">
        <v>430</v>
      </c>
      <c r="AA429" s="101" t="s">
        <v>531</v>
      </c>
      <c r="AB429" s="101">
        <v>3101053435</v>
      </c>
      <c r="AC429" s="101" t="s">
        <v>431</v>
      </c>
      <c r="AD429" s="101" t="s">
        <v>431</v>
      </c>
      <c r="AE429" s="101" t="s">
        <v>75</v>
      </c>
      <c r="AF429" s="101" t="s">
        <v>400</v>
      </c>
      <c r="AG429" s="101" t="s">
        <v>532</v>
      </c>
      <c r="AI429" s="101" t="s">
        <v>760</v>
      </c>
    </row>
    <row r="430" spans="1:35">
      <c r="A430" s="246" t="s">
        <v>107</v>
      </c>
      <c r="B430" s="246" t="s">
        <v>66</v>
      </c>
      <c r="C430" s="246" t="s">
        <v>126</v>
      </c>
      <c r="D430" s="246" t="s">
        <v>1769</v>
      </c>
      <c r="E430" s="246"/>
      <c r="F430" s="246"/>
      <c r="G430" s="132" t="s">
        <v>479</v>
      </c>
      <c r="H430" s="132" t="s">
        <v>1264</v>
      </c>
      <c r="I430" s="132">
        <v>-146815.81</v>
      </c>
      <c r="J430" s="101" t="s">
        <v>889</v>
      </c>
      <c r="K430" s="245" t="s">
        <v>390</v>
      </c>
      <c r="L430" s="245">
        <v>42521</v>
      </c>
      <c r="M430" s="245" t="s">
        <v>391</v>
      </c>
      <c r="N430" s="101">
        <v>0</v>
      </c>
      <c r="O430" s="101" t="s">
        <v>392</v>
      </c>
      <c r="P430" s="101">
        <v>0</v>
      </c>
      <c r="Q430" s="101">
        <v>0</v>
      </c>
      <c r="R430" s="101" t="s">
        <v>422</v>
      </c>
      <c r="S430" s="101" t="s">
        <v>477</v>
      </c>
      <c r="T430" s="101" t="s">
        <v>394</v>
      </c>
      <c r="U430" s="101" t="s">
        <v>81</v>
      </c>
      <c r="V430" s="245">
        <v>46371</v>
      </c>
      <c r="W430" s="101" t="s">
        <v>445</v>
      </c>
      <c r="X430" s="101" t="s">
        <v>76</v>
      </c>
      <c r="Y430" s="101" t="s">
        <v>392</v>
      </c>
      <c r="Z430" s="101" t="s">
        <v>412</v>
      </c>
      <c r="AA430" s="101" t="s">
        <v>478</v>
      </c>
      <c r="AB430" s="101">
        <v>3101053970</v>
      </c>
      <c r="AC430" s="101" t="s">
        <v>414</v>
      </c>
      <c r="AD430" s="101" t="s">
        <v>79</v>
      </c>
      <c r="AE430" s="101" t="s">
        <v>75</v>
      </c>
      <c r="AF430" s="101" t="s">
        <v>400</v>
      </c>
      <c r="AI430" s="101" t="s">
        <v>172</v>
      </c>
    </row>
    <row r="431" spans="1:35">
      <c r="A431" s="246" t="s">
        <v>107</v>
      </c>
      <c r="B431" s="246" t="s">
        <v>66</v>
      </c>
      <c r="C431" s="246" t="s">
        <v>264</v>
      </c>
      <c r="D431" s="246" t="s">
        <v>1775</v>
      </c>
      <c r="E431" s="246"/>
      <c r="F431" s="246"/>
      <c r="G431" s="132" t="s">
        <v>480</v>
      </c>
      <c r="H431" s="132" t="s">
        <v>1265</v>
      </c>
      <c r="I431" s="132">
        <v>5182540.8099999996</v>
      </c>
      <c r="J431" s="101" t="s">
        <v>889</v>
      </c>
      <c r="K431" s="245" t="s">
        <v>390</v>
      </c>
      <c r="L431" s="245">
        <v>42521</v>
      </c>
      <c r="M431" s="245" t="s">
        <v>421</v>
      </c>
      <c r="N431" s="101">
        <v>0</v>
      </c>
      <c r="O431" s="101" t="s">
        <v>392</v>
      </c>
      <c r="P431" s="101">
        <v>0</v>
      </c>
      <c r="Q431" s="101">
        <v>0</v>
      </c>
      <c r="R431" s="101" t="s">
        <v>410</v>
      </c>
      <c r="S431" s="101" t="s">
        <v>477</v>
      </c>
      <c r="T431" s="101" t="s">
        <v>394</v>
      </c>
      <c r="U431" s="101" t="s">
        <v>81</v>
      </c>
      <c r="V431" s="245">
        <v>46371</v>
      </c>
      <c r="W431" s="101" t="s">
        <v>445</v>
      </c>
      <c r="X431" s="101" t="s">
        <v>76</v>
      </c>
      <c r="Y431" s="101" t="s">
        <v>392</v>
      </c>
      <c r="Z431" s="101" t="s">
        <v>412</v>
      </c>
      <c r="AA431" s="101" t="s">
        <v>478</v>
      </c>
      <c r="AB431" s="101">
        <v>3101053970</v>
      </c>
      <c r="AC431" s="101" t="s">
        <v>414</v>
      </c>
      <c r="AD431" s="101" t="s">
        <v>79</v>
      </c>
      <c r="AE431" s="101" t="s">
        <v>75</v>
      </c>
      <c r="AF431" s="101" t="s">
        <v>400</v>
      </c>
      <c r="AI431" s="101" t="s">
        <v>172</v>
      </c>
    </row>
    <row r="432" spans="1:35">
      <c r="A432" s="246" t="s">
        <v>109</v>
      </c>
      <c r="B432" s="246" t="s">
        <v>66</v>
      </c>
      <c r="C432" s="246" t="s">
        <v>264</v>
      </c>
      <c r="D432" s="246" t="s">
        <v>288</v>
      </c>
      <c r="E432" s="246"/>
      <c r="F432" s="246"/>
      <c r="G432" s="132" t="s">
        <v>481</v>
      </c>
      <c r="H432" s="132" t="s">
        <v>1266</v>
      </c>
      <c r="I432" s="132">
        <v>-42451380.759999998</v>
      </c>
      <c r="J432" s="101" t="s">
        <v>889</v>
      </c>
      <c r="K432" s="245" t="s">
        <v>390</v>
      </c>
      <c r="L432" s="245">
        <v>42535</v>
      </c>
      <c r="M432" s="245" t="s">
        <v>421</v>
      </c>
      <c r="N432" s="101">
        <v>0</v>
      </c>
      <c r="O432" s="101" t="s">
        <v>392</v>
      </c>
      <c r="P432" s="101">
        <v>0</v>
      </c>
      <c r="Q432" s="101">
        <v>0</v>
      </c>
      <c r="R432" s="101" t="s">
        <v>422</v>
      </c>
      <c r="S432" s="101" t="s">
        <v>477</v>
      </c>
      <c r="T432" s="101" t="s">
        <v>394</v>
      </c>
      <c r="U432" s="101" t="s">
        <v>81</v>
      </c>
      <c r="V432" s="245">
        <v>46371</v>
      </c>
      <c r="W432" s="101" t="s">
        <v>445</v>
      </c>
      <c r="X432" s="101" t="s">
        <v>76</v>
      </c>
      <c r="Y432" s="101" t="s">
        <v>392</v>
      </c>
      <c r="Z432" s="101" t="s">
        <v>412</v>
      </c>
      <c r="AA432" s="101" t="s">
        <v>478</v>
      </c>
      <c r="AB432" s="101">
        <v>3101053970</v>
      </c>
      <c r="AC432" s="101" t="s">
        <v>414</v>
      </c>
      <c r="AD432" s="101" t="s">
        <v>79</v>
      </c>
      <c r="AE432" s="101" t="s">
        <v>75</v>
      </c>
      <c r="AF432" s="101" t="s">
        <v>400</v>
      </c>
      <c r="AI432" s="101" t="s">
        <v>172</v>
      </c>
    </row>
    <row r="433" spans="1:35">
      <c r="A433" s="246" t="s">
        <v>109</v>
      </c>
      <c r="B433" s="246" t="s">
        <v>66</v>
      </c>
      <c r="C433" s="246" t="s">
        <v>126</v>
      </c>
      <c r="D433" s="246" t="s">
        <v>272</v>
      </c>
      <c r="E433" s="246"/>
      <c r="F433" s="246"/>
      <c r="G433" s="132" t="s">
        <v>482</v>
      </c>
      <c r="H433" s="132" t="s">
        <v>1267</v>
      </c>
      <c r="I433" s="132">
        <v>-75524.02</v>
      </c>
      <c r="J433" s="101" t="s">
        <v>889</v>
      </c>
      <c r="K433" s="245" t="s">
        <v>390</v>
      </c>
      <c r="L433" s="245">
        <v>42551</v>
      </c>
      <c r="M433" s="245" t="s">
        <v>391</v>
      </c>
      <c r="N433" s="101">
        <v>0</v>
      </c>
      <c r="O433" s="101" t="s">
        <v>392</v>
      </c>
      <c r="P433" s="101">
        <v>0</v>
      </c>
      <c r="Q433" s="101">
        <v>0</v>
      </c>
      <c r="R433" s="101" t="s">
        <v>422</v>
      </c>
      <c r="S433" s="101" t="s">
        <v>477</v>
      </c>
      <c r="T433" s="101" t="s">
        <v>394</v>
      </c>
      <c r="U433" s="101" t="s">
        <v>81</v>
      </c>
      <c r="V433" s="245">
        <v>46371</v>
      </c>
      <c r="W433" s="101" t="s">
        <v>445</v>
      </c>
      <c r="X433" s="101" t="s">
        <v>76</v>
      </c>
      <c r="Y433" s="101" t="s">
        <v>392</v>
      </c>
      <c r="Z433" s="101" t="s">
        <v>412</v>
      </c>
      <c r="AA433" s="101" t="s">
        <v>478</v>
      </c>
      <c r="AB433" s="101">
        <v>3101053970</v>
      </c>
      <c r="AC433" s="101" t="s">
        <v>414</v>
      </c>
      <c r="AD433" s="101" t="s">
        <v>79</v>
      </c>
      <c r="AE433" s="101" t="s">
        <v>75</v>
      </c>
      <c r="AF433" s="101" t="s">
        <v>400</v>
      </c>
      <c r="AI433" s="101" t="s">
        <v>172</v>
      </c>
    </row>
    <row r="434" spans="1:35">
      <c r="A434" s="246" t="s">
        <v>109</v>
      </c>
      <c r="B434" s="246" t="s">
        <v>66</v>
      </c>
      <c r="C434" s="246" t="s">
        <v>264</v>
      </c>
      <c r="D434" s="246" t="s">
        <v>288</v>
      </c>
      <c r="E434" s="246"/>
      <c r="F434" s="246"/>
      <c r="G434" s="132" t="s">
        <v>483</v>
      </c>
      <c r="H434" s="132" t="s">
        <v>1268</v>
      </c>
      <c r="I434" s="132">
        <v>6955203.8499999996</v>
      </c>
      <c r="J434" s="101" t="s">
        <v>889</v>
      </c>
      <c r="K434" s="245" t="s">
        <v>390</v>
      </c>
      <c r="L434" s="245">
        <v>42551</v>
      </c>
      <c r="M434" s="245" t="s">
        <v>421</v>
      </c>
      <c r="N434" s="101">
        <v>0</v>
      </c>
      <c r="O434" s="101" t="s">
        <v>392</v>
      </c>
      <c r="P434" s="101">
        <v>0</v>
      </c>
      <c r="Q434" s="101">
        <v>0</v>
      </c>
      <c r="R434" s="101" t="s">
        <v>410</v>
      </c>
      <c r="S434" s="101" t="s">
        <v>477</v>
      </c>
      <c r="T434" s="101" t="s">
        <v>394</v>
      </c>
      <c r="U434" s="101" t="s">
        <v>81</v>
      </c>
      <c r="V434" s="245">
        <v>46371</v>
      </c>
      <c r="W434" s="101" t="s">
        <v>445</v>
      </c>
      <c r="X434" s="101" t="s">
        <v>76</v>
      </c>
      <c r="Y434" s="101" t="s">
        <v>392</v>
      </c>
      <c r="Z434" s="101" t="s">
        <v>412</v>
      </c>
      <c r="AA434" s="101" t="s">
        <v>478</v>
      </c>
      <c r="AB434" s="101">
        <v>3101053970</v>
      </c>
      <c r="AC434" s="101" t="s">
        <v>414</v>
      </c>
      <c r="AD434" s="101" t="s">
        <v>79</v>
      </c>
      <c r="AE434" s="101" t="s">
        <v>75</v>
      </c>
      <c r="AF434" s="101" t="s">
        <v>400</v>
      </c>
      <c r="AI434" s="101" t="s">
        <v>172</v>
      </c>
    </row>
    <row r="435" spans="1:35">
      <c r="A435" s="246" t="s">
        <v>109</v>
      </c>
      <c r="B435" s="246" t="s">
        <v>66</v>
      </c>
      <c r="C435" s="246" t="s">
        <v>264</v>
      </c>
      <c r="D435" s="246" t="s">
        <v>288</v>
      </c>
      <c r="E435" s="246"/>
      <c r="F435" s="246"/>
      <c r="G435" s="132" t="s">
        <v>484</v>
      </c>
      <c r="H435" s="132" t="s">
        <v>1269</v>
      </c>
      <c r="I435" s="132">
        <v>6907341.8799999999</v>
      </c>
      <c r="J435" s="101" t="s">
        <v>889</v>
      </c>
      <c r="K435" s="245" t="s">
        <v>390</v>
      </c>
      <c r="L435" s="245">
        <v>42580</v>
      </c>
      <c r="M435" s="245" t="s">
        <v>421</v>
      </c>
      <c r="N435" s="101">
        <v>0</v>
      </c>
      <c r="O435" s="101" t="s">
        <v>392</v>
      </c>
      <c r="P435" s="101">
        <v>0</v>
      </c>
      <c r="Q435" s="101">
        <v>0</v>
      </c>
      <c r="R435" s="101" t="s">
        <v>410</v>
      </c>
      <c r="S435" s="101" t="s">
        <v>477</v>
      </c>
      <c r="T435" s="101" t="s">
        <v>394</v>
      </c>
      <c r="U435" s="101" t="s">
        <v>81</v>
      </c>
      <c r="V435" s="245">
        <v>46371</v>
      </c>
      <c r="W435" s="101" t="s">
        <v>445</v>
      </c>
      <c r="X435" s="101" t="s">
        <v>76</v>
      </c>
      <c r="Y435" s="101" t="s">
        <v>392</v>
      </c>
      <c r="Z435" s="101" t="s">
        <v>412</v>
      </c>
      <c r="AA435" s="101" t="s">
        <v>478</v>
      </c>
      <c r="AB435" s="101">
        <v>3101053970</v>
      </c>
      <c r="AC435" s="101" t="s">
        <v>414</v>
      </c>
      <c r="AD435" s="101" t="s">
        <v>79</v>
      </c>
      <c r="AE435" s="101" t="s">
        <v>75</v>
      </c>
      <c r="AF435" s="101" t="s">
        <v>400</v>
      </c>
      <c r="AI435" s="101" t="s">
        <v>172</v>
      </c>
    </row>
    <row r="436" spans="1:35">
      <c r="A436" s="246" t="s">
        <v>109</v>
      </c>
      <c r="B436" s="246" t="s">
        <v>66</v>
      </c>
      <c r="C436" s="246" t="s">
        <v>126</v>
      </c>
      <c r="D436" s="246" t="s">
        <v>272</v>
      </c>
      <c r="E436" s="246"/>
      <c r="F436" s="246"/>
      <c r="G436" s="132" t="s">
        <v>485</v>
      </c>
      <c r="H436" s="132" t="s">
        <v>1270</v>
      </c>
      <c r="I436" s="132">
        <v>-29154.649999999998</v>
      </c>
      <c r="J436" s="101" t="s">
        <v>889</v>
      </c>
      <c r="K436" s="245" t="s">
        <v>390</v>
      </c>
      <c r="L436" s="245">
        <v>42580</v>
      </c>
      <c r="M436" s="245" t="s">
        <v>391</v>
      </c>
      <c r="N436" s="101">
        <v>0</v>
      </c>
      <c r="O436" s="101" t="s">
        <v>392</v>
      </c>
      <c r="P436" s="101">
        <v>0</v>
      </c>
      <c r="Q436" s="101">
        <v>0</v>
      </c>
      <c r="R436" s="101" t="s">
        <v>422</v>
      </c>
      <c r="S436" s="101" t="s">
        <v>477</v>
      </c>
      <c r="T436" s="101" t="s">
        <v>394</v>
      </c>
      <c r="U436" s="101" t="s">
        <v>81</v>
      </c>
      <c r="V436" s="245">
        <v>46371</v>
      </c>
      <c r="W436" s="101" t="s">
        <v>445</v>
      </c>
      <c r="X436" s="101" t="s">
        <v>76</v>
      </c>
      <c r="Y436" s="101" t="s">
        <v>392</v>
      </c>
      <c r="Z436" s="101" t="s">
        <v>412</v>
      </c>
      <c r="AA436" s="101" t="s">
        <v>478</v>
      </c>
      <c r="AB436" s="101">
        <v>3101053970</v>
      </c>
      <c r="AC436" s="101" t="s">
        <v>414</v>
      </c>
      <c r="AD436" s="101" t="s">
        <v>79</v>
      </c>
      <c r="AE436" s="101" t="s">
        <v>75</v>
      </c>
      <c r="AF436" s="101" t="s">
        <v>400</v>
      </c>
      <c r="AI436" s="101" t="s">
        <v>172</v>
      </c>
    </row>
    <row r="437" spans="1:35">
      <c r="A437" s="246" t="s">
        <v>110</v>
      </c>
      <c r="B437" s="246" t="s">
        <v>66</v>
      </c>
      <c r="C437" s="246" t="s">
        <v>126</v>
      </c>
      <c r="D437" s="246" t="s">
        <v>281</v>
      </c>
      <c r="E437" s="246"/>
      <c r="F437" s="246"/>
      <c r="G437" s="132" t="s">
        <v>486</v>
      </c>
      <c r="H437" s="132" t="s">
        <v>1271</v>
      </c>
      <c r="I437" s="132">
        <v>-54609.719999999994</v>
      </c>
      <c r="J437" s="101" t="s">
        <v>889</v>
      </c>
      <c r="K437" s="245" t="s">
        <v>390</v>
      </c>
      <c r="L437" s="245">
        <v>42613</v>
      </c>
      <c r="M437" s="245" t="s">
        <v>391</v>
      </c>
      <c r="N437" s="101">
        <v>0</v>
      </c>
      <c r="O437" s="101" t="s">
        <v>392</v>
      </c>
      <c r="P437" s="101">
        <v>0</v>
      </c>
      <c r="Q437" s="101">
        <v>0</v>
      </c>
      <c r="R437" s="101" t="s">
        <v>422</v>
      </c>
      <c r="S437" s="101" t="s">
        <v>477</v>
      </c>
      <c r="T437" s="101" t="s">
        <v>394</v>
      </c>
      <c r="U437" s="101" t="s">
        <v>81</v>
      </c>
      <c r="V437" s="245">
        <v>46371</v>
      </c>
      <c r="W437" s="101" t="s">
        <v>445</v>
      </c>
      <c r="X437" s="101" t="s">
        <v>76</v>
      </c>
      <c r="Y437" s="101" t="s">
        <v>392</v>
      </c>
      <c r="Z437" s="101" t="s">
        <v>412</v>
      </c>
      <c r="AA437" s="101" t="s">
        <v>478</v>
      </c>
      <c r="AB437" s="101">
        <v>3101053970</v>
      </c>
      <c r="AC437" s="101" t="s">
        <v>414</v>
      </c>
      <c r="AD437" s="101" t="s">
        <v>79</v>
      </c>
      <c r="AE437" s="101" t="s">
        <v>75</v>
      </c>
      <c r="AF437" s="101" t="s">
        <v>400</v>
      </c>
      <c r="AI437" s="101" t="s">
        <v>172</v>
      </c>
    </row>
    <row r="438" spans="1:35">
      <c r="A438" s="246" t="s">
        <v>108</v>
      </c>
      <c r="B438" s="246" t="s">
        <v>78</v>
      </c>
      <c r="C438" s="246" t="s">
        <v>126</v>
      </c>
      <c r="D438" s="246" t="s">
        <v>766</v>
      </c>
      <c r="E438" s="246" t="s">
        <v>767</v>
      </c>
      <c r="F438" s="246"/>
      <c r="G438" s="132" t="s">
        <v>562</v>
      </c>
      <c r="H438" s="132" t="s">
        <v>1272</v>
      </c>
      <c r="I438" s="132">
        <v>-106937.5</v>
      </c>
      <c r="J438" s="101" t="s">
        <v>889</v>
      </c>
      <c r="K438" s="245" t="s">
        <v>390</v>
      </c>
      <c r="L438" s="245">
        <v>42530</v>
      </c>
      <c r="M438" s="245" t="s">
        <v>391</v>
      </c>
      <c r="N438" s="101">
        <v>0</v>
      </c>
      <c r="O438" s="101" t="s">
        <v>392</v>
      </c>
      <c r="P438" s="101">
        <v>0</v>
      </c>
      <c r="Q438" s="101">
        <v>0</v>
      </c>
      <c r="R438" s="101" t="s">
        <v>393</v>
      </c>
      <c r="S438" s="101" t="s">
        <v>829</v>
      </c>
      <c r="T438" s="101" t="s">
        <v>394</v>
      </c>
      <c r="V438" s="245">
        <v>44904</v>
      </c>
      <c r="W438" s="101" t="s">
        <v>535</v>
      </c>
      <c r="X438" s="101" t="s">
        <v>352</v>
      </c>
      <c r="Y438" s="101" t="s">
        <v>471</v>
      </c>
      <c r="Z438" s="101" t="s">
        <v>402</v>
      </c>
      <c r="AA438" s="101" t="s">
        <v>78</v>
      </c>
      <c r="AB438" s="101">
        <v>4101000279</v>
      </c>
      <c r="AC438" s="101" t="s">
        <v>398</v>
      </c>
      <c r="AD438" s="101" t="s">
        <v>403</v>
      </c>
      <c r="AE438" s="101" t="s">
        <v>75</v>
      </c>
      <c r="AF438" s="101" t="s">
        <v>400</v>
      </c>
      <c r="AI438" s="101" t="s">
        <v>760</v>
      </c>
    </row>
    <row r="439" spans="1:35">
      <c r="A439" s="246" t="s">
        <v>111</v>
      </c>
      <c r="B439" s="246" t="s">
        <v>78</v>
      </c>
      <c r="C439" s="246" t="s">
        <v>126</v>
      </c>
      <c r="D439" s="246" t="s">
        <v>768</v>
      </c>
      <c r="E439" s="246" t="s">
        <v>769</v>
      </c>
      <c r="F439" s="246"/>
      <c r="G439" s="132" t="s">
        <v>562</v>
      </c>
      <c r="H439" s="132" t="s">
        <v>1272</v>
      </c>
      <c r="I439" s="132">
        <v>-106937.5</v>
      </c>
      <c r="J439" s="101" t="s">
        <v>889</v>
      </c>
      <c r="K439" s="245" t="s">
        <v>390</v>
      </c>
      <c r="L439" s="245">
        <v>42713</v>
      </c>
      <c r="M439" s="245" t="s">
        <v>391</v>
      </c>
      <c r="N439" s="101">
        <v>0</v>
      </c>
      <c r="O439" s="101" t="s">
        <v>392</v>
      </c>
      <c r="P439" s="101">
        <v>0</v>
      </c>
      <c r="Q439" s="101">
        <v>0</v>
      </c>
      <c r="R439" s="101" t="s">
        <v>393</v>
      </c>
      <c r="S439" s="101" t="s">
        <v>829</v>
      </c>
      <c r="T439" s="101" t="s">
        <v>394</v>
      </c>
      <c r="V439" s="245">
        <v>44904</v>
      </c>
      <c r="W439" s="101" t="s">
        <v>535</v>
      </c>
      <c r="X439" s="101" t="s">
        <v>352</v>
      </c>
      <c r="Y439" s="101" t="s">
        <v>471</v>
      </c>
      <c r="Z439" s="101" t="s">
        <v>402</v>
      </c>
      <c r="AA439" s="101" t="s">
        <v>78</v>
      </c>
      <c r="AB439" s="101">
        <v>4101000279</v>
      </c>
      <c r="AC439" s="101" t="s">
        <v>398</v>
      </c>
      <c r="AD439" s="101" t="s">
        <v>403</v>
      </c>
      <c r="AE439" s="101" t="s">
        <v>75</v>
      </c>
      <c r="AF439" s="101" t="s">
        <v>400</v>
      </c>
      <c r="AI439" s="101" t="s">
        <v>760</v>
      </c>
    </row>
    <row r="440" spans="1:35">
      <c r="A440" s="246" t="s">
        <v>112</v>
      </c>
      <c r="B440" s="246" t="s">
        <v>78</v>
      </c>
      <c r="C440" s="246" t="s">
        <v>126</v>
      </c>
      <c r="D440" s="246" t="s">
        <v>341</v>
      </c>
      <c r="E440" s="246" t="s">
        <v>342</v>
      </c>
      <c r="F440" s="246"/>
      <c r="G440" s="132" t="s">
        <v>562</v>
      </c>
      <c r="H440" s="132" t="s">
        <v>1272</v>
      </c>
      <c r="I440" s="132">
        <v>-106937.5</v>
      </c>
      <c r="J440" s="101" t="s">
        <v>889</v>
      </c>
      <c r="K440" s="245" t="s">
        <v>390</v>
      </c>
      <c r="L440" s="245">
        <v>42895</v>
      </c>
      <c r="M440" s="245" t="s">
        <v>391</v>
      </c>
      <c r="N440" s="101">
        <v>0</v>
      </c>
      <c r="O440" s="101" t="s">
        <v>392</v>
      </c>
      <c r="P440" s="101">
        <v>0</v>
      </c>
      <c r="Q440" s="101">
        <v>0</v>
      </c>
      <c r="R440" s="101" t="s">
        <v>393</v>
      </c>
      <c r="S440" s="101" t="s">
        <v>829</v>
      </c>
      <c r="T440" s="101" t="s">
        <v>394</v>
      </c>
      <c r="V440" s="245">
        <v>44904</v>
      </c>
      <c r="W440" s="101" t="s">
        <v>535</v>
      </c>
      <c r="X440" s="101" t="s">
        <v>352</v>
      </c>
      <c r="Y440" s="101" t="s">
        <v>471</v>
      </c>
      <c r="Z440" s="101" t="s">
        <v>402</v>
      </c>
      <c r="AA440" s="101" t="s">
        <v>78</v>
      </c>
      <c r="AB440" s="101">
        <v>4101000279</v>
      </c>
      <c r="AC440" s="101" t="s">
        <v>398</v>
      </c>
      <c r="AD440" s="101" t="s">
        <v>403</v>
      </c>
      <c r="AE440" s="101" t="s">
        <v>75</v>
      </c>
      <c r="AF440" s="101" t="s">
        <v>400</v>
      </c>
      <c r="AI440" s="101" t="s">
        <v>760</v>
      </c>
    </row>
    <row r="441" spans="1:35">
      <c r="A441" s="246" t="s">
        <v>113</v>
      </c>
      <c r="B441" s="246" t="s">
        <v>78</v>
      </c>
      <c r="C441" s="246" t="s">
        <v>126</v>
      </c>
      <c r="D441" s="246" t="s">
        <v>339</v>
      </c>
      <c r="E441" s="246" t="s">
        <v>340</v>
      </c>
      <c r="F441" s="246"/>
      <c r="G441" s="132" t="s">
        <v>563</v>
      </c>
      <c r="H441" s="132" t="s">
        <v>1273</v>
      </c>
      <c r="I441" s="132">
        <v>-108125.69</v>
      </c>
      <c r="J441" s="101" t="s">
        <v>889</v>
      </c>
      <c r="K441" s="245" t="s">
        <v>390</v>
      </c>
      <c r="L441" s="245">
        <v>43080</v>
      </c>
      <c r="M441" s="245" t="s">
        <v>391</v>
      </c>
      <c r="N441" s="101">
        <v>0</v>
      </c>
      <c r="O441" s="101" t="s">
        <v>392</v>
      </c>
      <c r="P441" s="101">
        <v>0</v>
      </c>
      <c r="Q441" s="101">
        <v>0</v>
      </c>
      <c r="R441" s="101" t="s">
        <v>393</v>
      </c>
      <c r="S441" s="101" t="s">
        <v>829</v>
      </c>
      <c r="T441" s="101" t="s">
        <v>394</v>
      </c>
      <c r="V441" s="245">
        <v>44904</v>
      </c>
      <c r="W441" s="101" t="s">
        <v>535</v>
      </c>
      <c r="X441" s="101" t="s">
        <v>352</v>
      </c>
      <c r="Y441" s="101" t="s">
        <v>471</v>
      </c>
      <c r="Z441" s="101" t="s">
        <v>402</v>
      </c>
      <c r="AA441" s="101" t="s">
        <v>78</v>
      </c>
      <c r="AB441" s="101">
        <v>4101000279</v>
      </c>
      <c r="AC441" s="101" t="s">
        <v>398</v>
      </c>
      <c r="AD441" s="101" t="s">
        <v>403</v>
      </c>
      <c r="AE441" s="101" t="s">
        <v>75</v>
      </c>
      <c r="AF441" s="101" t="s">
        <v>400</v>
      </c>
      <c r="AI441" s="101" t="s">
        <v>760</v>
      </c>
    </row>
    <row r="442" spans="1:35">
      <c r="A442" s="246" t="s">
        <v>108</v>
      </c>
      <c r="B442" s="246" t="s">
        <v>78</v>
      </c>
      <c r="C442" s="246" t="s">
        <v>126</v>
      </c>
      <c r="D442" s="246" t="s">
        <v>766</v>
      </c>
      <c r="E442" s="246" t="s">
        <v>767</v>
      </c>
      <c r="F442" s="246"/>
      <c r="G442" s="132" t="s">
        <v>564</v>
      </c>
      <c r="H442" s="132" t="s">
        <v>1274</v>
      </c>
      <c r="I442" s="132">
        <v>18100.48</v>
      </c>
      <c r="J442" s="101" t="s">
        <v>889</v>
      </c>
      <c r="K442" s="245" t="s">
        <v>390</v>
      </c>
      <c r="L442" s="245">
        <v>42530</v>
      </c>
      <c r="M442" s="245" t="s">
        <v>391</v>
      </c>
      <c r="N442" s="101">
        <v>0</v>
      </c>
      <c r="O442" s="101" t="s">
        <v>392</v>
      </c>
      <c r="P442" s="101">
        <v>0</v>
      </c>
      <c r="Q442" s="101">
        <v>0</v>
      </c>
      <c r="R442" s="101" t="s">
        <v>393</v>
      </c>
      <c r="S442" s="101" t="s">
        <v>829</v>
      </c>
      <c r="T442" s="101" t="s">
        <v>394</v>
      </c>
      <c r="V442" s="245">
        <v>44904</v>
      </c>
      <c r="W442" s="101" t="s">
        <v>535</v>
      </c>
      <c r="X442" s="101" t="s">
        <v>352</v>
      </c>
      <c r="Y442" s="101" t="s">
        <v>471</v>
      </c>
      <c r="Z442" s="101" t="s">
        <v>402</v>
      </c>
      <c r="AA442" s="101" t="s">
        <v>78</v>
      </c>
      <c r="AB442" s="101">
        <v>4101000279</v>
      </c>
      <c r="AC442" s="101" t="s">
        <v>398</v>
      </c>
      <c r="AD442" s="101" t="s">
        <v>403</v>
      </c>
      <c r="AE442" s="101" t="s">
        <v>75</v>
      </c>
      <c r="AF442" s="101" t="s">
        <v>400</v>
      </c>
      <c r="AI442" s="101" t="s">
        <v>760</v>
      </c>
    </row>
    <row r="443" spans="1:35">
      <c r="A443" s="246" t="s">
        <v>111</v>
      </c>
      <c r="B443" s="246" t="s">
        <v>78</v>
      </c>
      <c r="C443" s="246" t="s">
        <v>126</v>
      </c>
      <c r="D443" s="246" t="s">
        <v>768</v>
      </c>
      <c r="E443" s="246" t="s">
        <v>769</v>
      </c>
      <c r="F443" s="246"/>
      <c r="G443" s="132" t="s">
        <v>1275</v>
      </c>
      <c r="H443" s="132" t="s">
        <v>1276</v>
      </c>
      <c r="I443" s="132">
        <v>25867.86</v>
      </c>
      <c r="J443" s="101" t="s">
        <v>889</v>
      </c>
      <c r="K443" s="245" t="s">
        <v>390</v>
      </c>
      <c r="L443" s="245">
        <v>42713</v>
      </c>
      <c r="M443" s="245" t="s">
        <v>391</v>
      </c>
      <c r="N443" s="101">
        <v>0</v>
      </c>
      <c r="O443" s="101" t="s">
        <v>392</v>
      </c>
      <c r="P443" s="101">
        <v>0</v>
      </c>
      <c r="Q443" s="101">
        <v>0</v>
      </c>
      <c r="R443" s="101" t="s">
        <v>393</v>
      </c>
      <c r="S443" s="101" t="s">
        <v>829</v>
      </c>
      <c r="T443" s="101" t="s">
        <v>394</v>
      </c>
      <c r="V443" s="245">
        <v>44904</v>
      </c>
      <c r="W443" s="101" t="s">
        <v>535</v>
      </c>
      <c r="X443" s="101" t="s">
        <v>352</v>
      </c>
      <c r="Y443" s="101" t="s">
        <v>471</v>
      </c>
      <c r="Z443" s="101" t="s">
        <v>402</v>
      </c>
      <c r="AA443" s="101" t="s">
        <v>78</v>
      </c>
      <c r="AB443" s="101">
        <v>4101000279</v>
      </c>
      <c r="AC443" s="101" t="s">
        <v>398</v>
      </c>
      <c r="AD443" s="101" t="s">
        <v>403</v>
      </c>
      <c r="AE443" s="101" t="s">
        <v>75</v>
      </c>
      <c r="AF443" s="101" t="s">
        <v>400</v>
      </c>
      <c r="AI443" s="101" t="s">
        <v>760</v>
      </c>
    </row>
    <row r="444" spans="1:35">
      <c r="A444" s="246" t="s">
        <v>112</v>
      </c>
      <c r="B444" s="246" t="s">
        <v>78</v>
      </c>
      <c r="C444" s="246" t="s">
        <v>126</v>
      </c>
      <c r="D444" s="246" t="s">
        <v>341</v>
      </c>
      <c r="E444" s="246" t="s">
        <v>342</v>
      </c>
      <c r="F444" s="246"/>
      <c r="G444" s="132" t="s">
        <v>1277</v>
      </c>
      <c r="H444" s="132" t="s">
        <v>1278</v>
      </c>
      <c r="I444" s="132">
        <v>25290.03</v>
      </c>
      <c r="J444" s="101" t="s">
        <v>889</v>
      </c>
      <c r="K444" s="245" t="s">
        <v>390</v>
      </c>
      <c r="L444" s="245">
        <v>42895</v>
      </c>
      <c r="M444" s="245" t="s">
        <v>391</v>
      </c>
      <c r="N444" s="101">
        <v>0</v>
      </c>
      <c r="O444" s="101" t="s">
        <v>392</v>
      </c>
      <c r="P444" s="101">
        <v>0</v>
      </c>
      <c r="Q444" s="101">
        <v>0</v>
      </c>
      <c r="R444" s="101" t="s">
        <v>393</v>
      </c>
      <c r="S444" s="101" t="s">
        <v>829</v>
      </c>
      <c r="T444" s="101" t="s">
        <v>394</v>
      </c>
      <c r="V444" s="245">
        <v>44904</v>
      </c>
      <c r="W444" s="101" t="s">
        <v>535</v>
      </c>
      <c r="X444" s="101" t="s">
        <v>352</v>
      </c>
      <c r="Y444" s="101" t="s">
        <v>471</v>
      </c>
      <c r="Z444" s="101" t="s">
        <v>402</v>
      </c>
      <c r="AA444" s="101" t="s">
        <v>78</v>
      </c>
      <c r="AB444" s="101">
        <v>4101000279</v>
      </c>
      <c r="AC444" s="101" t="s">
        <v>398</v>
      </c>
      <c r="AD444" s="101" t="s">
        <v>403</v>
      </c>
      <c r="AE444" s="101" t="s">
        <v>75</v>
      </c>
      <c r="AF444" s="101" t="s">
        <v>400</v>
      </c>
      <c r="AI444" s="101" t="s">
        <v>760</v>
      </c>
    </row>
    <row r="445" spans="1:35">
      <c r="A445" s="246" t="s">
        <v>113</v>
      </c>
      <c r="B445" s="246" t="s">
        <v>78</v>
      </c>
      <c r="C445" s="246" t="s">
        <v>126</v>
      </c>
      <c r="D445" s="246" t="s">
        <v>339</v>
      </c>
      <c r="E445" s="246" t="s">
        <v>340</v>
      </c>
      <c r="F445" s="246"/>
      <c r="G445" s="132" t="s">
        <v>1279</v>
      </c>
      <c r="H445" s="132" t="s">
        <v>1280</v>
      </c>
      <c r="I445" s="132">
        <v>29551.769999999997</v>
      </c>
      <c r="J445" s="101" t="s">
        <v>889</v>
      </c>
      <c r="K445" s="245" t="s">
        <v>390</v>
      </c>
      <c r="L445" s="245">
        <v>43080</v>
      </c>
      <c r="M445" s="245" t="s">
        <v>391</v>
      </c>
      <c r="N445" s="101">
        <v>0</v>
      </c>
      <c r="O445" s="101" t="s">
        <v>392</v>
      </c>
      <c r="P445" s="101">
        <v>0</v>
      </c>
      <c r="Q445" s="101">
        <v>0</v>
      </c>
      <c r="R445" s="101" t="s">
        <v>393</v>
      </c>
      <c r="S445" s="101" t="s">
        <v>829</v>
      </c>
      <c r="T445" s="101" t="s">
        <v>394</v>
      </c>
      <c r="V445" s="245">
        <v>44904</v>
      </c>
      <c r="W445" s="101" t="s">
        <v>535</v>
      </c>
      <c r="X445" s="101" t="s">
        <v>352</v>
      </c>
      <c r="Y445" s="101" t="s">
        <v>471</v>
      </c>
      <c r="Z445" s="101" t="s">
        <v>402</v>
      </c>
      <c r="AA445" s="101" t="s">
        <v>78</v>
      </c>
      <c r="AB445" s="101">
        <v>4101000279</v>
      </c>
      <c r="AC445" s="101" t="s">
        <v>398</v>
      </c>
      <c r="AD445" s="101" t="s">
        <v>403</v>
      </c>
      <c r="AE445" s="101" t="s">
        <v>75</v>
      </c>
      <c r="AF445" s="101" t="s">
        <v>400</v>
      </c>
      <c r="AI445" s="101" t="s">
        <v>760</v>
      </c>
    </row>
    <row r="446" spans="1:35">
      <c r="A446" s="246" t="s">
        <v>109</v>
      </c>
      <c r="B446" s="246" t="s">
        <v>78</v>
      </c>
      <c r="C446" s="246" t="s">
        <v>126</v>
      </c>
      <c r="D446" s="246" t="s">
        <v>337</v>
      </c>
      <c r="E446" s="246" t="s">
        <v>336</v>
      </c>
      <c r="F446" s="246" t="s">
        <v>275</v>
      </c>
      <c r="G446" s="132" t="s">
        <v>751</v>
      </c>
      <c r="H446" s="132" t="s">
        <v>1281</v>
      </c>
      <c r="I446" s="132">
        <v>-1004.01</v>
      </c>
      <c r="J446" s="101" t="s">
        <v>889</v>
      </c>
      <c r="K446" s="245" t="s">
        <v>390</v>
      </c>
      <c r="L446" s="245">
        <v>42551</v>
      </c>
      <c r="M446" s="245" t="s">
        <v>391</v>
      </c>
      <c r="N446" s="101">
        <v>0</v>
      </c>
      <c r="O446" s="101" t="s">
        <v>392</v>
      </c>
      <c r="P446" s="101">
        <v>0</v>
      </c>
      <c r="Q446" s="101">
        <v>0</v>
      </c>
      <c r="R446" s="101" t="s">
        <v>393</v>
      </c>
      <c r="S446" s="101" t="s">
        <v>752</v>
      </c>
      <c r="T446" s="101" t="s">
        <v>394</v>
      </c>
      <c r="V446" s="245">
        <v>42551</v>
      </c>
      <c r="W446" s="101" t="s">
        <v>417</v>
      </c>
      <c r="X446" s="101" t="s">
        <v>77</v>
      </c>
      <c r="Y446" s="101" t="s">
        <v>396</v>
      </c>
      <c r="Z446" s="101" t="s">
        <v>418</v>
      </c>
      <c r="AA446" s="101" t="s">
        <v>78</v>
      </c>
      <c r="AB446" s="101">
        <v>4101000279</v>
      </c>
      <c r="AC446" s="101" t="s">
        <v>419</v>
      </c>
      <c r="AD446" s="101" t="s">
        <v>420</v>
      </c>
      <c r="AE446" s="101" t="s">
        <v>6</v>
      </c>
      <c r="AF446" s="101" t="s">
        <v>400</v>
      </c>
      <c r="AI446" s="101" t="s">
        <v>760</v>
      </c>
    </row>
    <row r="447" spans="1:35">
      <c r="A447" s="246" t="s">
        <v>109</v>
      </c>
      <c r="B447" s="246" t="s">
        <v>78</v>
      </c>
      <c r="C447" s="246" t="s">
        <v>761</v>
      </c>
      <c r="D447" s="246" t="s">
        <v>335</v>
      </c>
      <c r="E447" s="246" t="s">
        <v>336</v>
      </c>
      <c r="F447" s="246" t="s">
        <v>275</v>
      </c>
      <c r="G447" s="132">
        <v>-625000</v>
      </c>
      <c r="H447" s="132" t="s">
        <v>1282</v>
      </c>
      <c r="I447" s="132">
        <v>-624999.99999999988</v>
      </c>
      <c r="J447" s="101" t="s">
        <v>889</v>
      </c>
      <c r="K447" s="245" t="s">
        <v>390</v>
      </c>
      <c r="L447" s="245">
        <v>42551</v>
      </c>
      <c r="M447" s="245" t="s">
        <v>421</v>
      </c>
      <c r="N447" s="101">
        <v>0</v>
      </c>
      <c r="O447" s="101" t="s">
        <v>392</v>
      </c>
      <c r="P447" s="101">
        <v>0</v>
      </c>
      <c r="Q447" s="101">
        <v>0</v>
      </c>
      <c r="R447" s="101" t="s">
        <v>393</v>
      </c>
      <c r="S447" s="101" t="s">
        <v>752</v>
      </c>
      <c r="T447" s="101" t="s">
        <v>394</v>
      </c>
      <c r="V447" s="245">
        <v>42551</v>
      </c>
      <c r="W447" s="101" t="s">
        <v>417</v>
      </c>
      <c r="X447" s="101" t="s">
        <v>77</v>
      </c>
      <c r="Y447" s="101" t="s">
        <v>396</v>
      </c>
      <c r="Z447" s="101" t="s">
        <v>418</v>
      </c>
      <c r="AA447" s="101" t="s">
        <v>78</v>
      </c>
      <c r="AB447" s="101">
        <v>4101000279</v>
      </c>
      <c r="AC447" s="101" t="s">
        <v>419</v>
      </c>
      <c r="AD447" s="101" t="s">
        <v>420</v>
      </c>
      <c r="AE447" s="101" t="s">
        <v>6</v>
      </c>
      <c r="AF447" s="101" t="s">
        <v>400</v>
      </c>
      <c r="AI447" s="101" t="s">
        <v>760</v>
      </c>
    </row>
    <row r="448" spans="1:35">
      <c r="A448" s="246" t="s">
        <v>113</v>
      </c>
      <c r="B448" s="246" t="s">
        <v>66</v>
      </c>
      <c r="C448" s="246" t="s">
        <v>264</v>
      </c>
      <c r="D448" s="246" t="s">
        <v>285</v>
      </c>
      <c r="E448" s="246"/>
      <c r="F448" s="246"/>
      <c r="G448" s="132" t="s">
        <v>700</v>
      </c>
      <c r="H448" s="132" t="s">
        <v>1283</v>
      </c>
      <c r="I448" s="132">
        <v>8259562.9699999997</v>
      </c>
      <c r="J448" s="101" t="s">
        <v>889</v>
      </c>
      <c r="K448" s="245" t="s">
        <v>390</v>
      </c>
      <c r="L448" s="245">
        <v>43189</v>
      </c>
      <c r="M448" s="245" t="s">
        <v>421</v>
      </c>
      <c r="N448" s="101">
        <v>0</v>
      </c>
      <c r="O448" s="101" t="s">
        <v>392</v>
      </c>
      <c r="P448" s="101">
        <v>0</v>
      </c>
      <c r="Q448" s="101">
        <v>0</v>
      </c>
      <c r="R448" s="101" t="s">
        <v>410</v>
      </c>
      <c r="S448" s="101" t="s">
        <v>568</v>
      </c>
      <c r="T448" s="101" t="s">
        <v>394</v>
      </c>
      <c r="U448" s="101" t="s">
        <v>83</v>
      </c>
      <c r="V448" s="245">
        <v>46371</v>
      </c>
      <c r="W448" s="101" t="s">
        <v>445</v>
      </c>
      <c r="X448" s="101" t="s">
        <v>76</v>
      </c>
      <c r="Y448" s="101" t="s">
        <v>392</v>
      </c>
      <c r="Z448" s="101" t="s">
        <v>412</v>
      </c>
      <c r="AA448" s="101" t="s">
        <v>478</v>
      </c>
      <c r="AB448" s="101">
        <v>3101053970</v>
      </c>
      <c r="AC448" s="101" t="s">
        <v>414</v>
      </c>
      <c r="AD448" s="101" t="s">
        <v>79</v>
      </c>
      <c r="AE448" s="101" t="s">
        <v>75</v>
      </c>
      <c r="AF448" s="101" t="s">
        <v>400</v>
      </c>
      <c r="AI448" s="101" t="s">
        <v>172</v>
      </c>
    </row>
    <row r="449" spans="1:35">
      <c r="A449" s="246" t="s">
        <v>113</v>
      </c>
      <c r="B449" s="246" t="s">
        <v>66</v>
      </c>
      <c r="C449" s="246" t="s">
        <v>126</v>
      </c>
      <c r="D449" s="246" t="s">
        <v>271</v>
      </c>
      <c r="E449" s="246"/>
      <c r="F449" s="246"/>
      <c r="G449" s="132" t="s">
        <v>701</v>
      </c>
      <c r="H449" s="132" t="s">
        <v>1284</v>
      </c>
      <c r="I449" s="132">
        <v>-102559.92</v>
      </c>
      <c r="J449" s="101" t="s">
        <v>889</v>
      </c>
      <c r="K449" s="245" t="s">
        <v>390</v>
      </c>
      <c r="L449" s="245">
        <v>43189</v>
      </c>
      <c r="M449" s="245" t="s">
        <v>391</v>
      </c>
      <c r="N449" s="101">
        <v>0</v>
      </c>
      <c r="O449" s="101" t="s">
        <v>392</v>
      </c>
      <c r="P449" s="101">
        <v>0</v>
      </c>
      <c r="Q449" s="101">
        <v>0</v>
      </c>
      <c r="R449" s="101" t="s">
        <v>422</v>
      </c>
      <c r="S449" s="101" t="s">
        <v>568</v>
      </c>
      <c r="T449" s="101" t="s">
        <v>394</v>
      </c>
      <c r="U449" s="101" t="s">
        <v>83</v>
      </c>
      <c r="V449" s="245">
        <v>46371</v>
      </c>
      <c r="W449" s="101" t="s">
        <v>445</v>
      </c>
      <c r="X449" s="101" t="s">
        <v>76</v>
      </c>
      <c r="Y449" s="101" t="s">
        <v>392</v>
      </c>
      <c r="Z449" s="101" t="s">
        <v>412</v>
      </c>
      <c r="AA449" s="101" t="s">
        <v>478</v>
      </c>
      <c r="AB449" s="101">
        <v>3101053970</v>
      </c>
      <c r="AC449" s="101" t="s">
        <v>414</v>
      </c>
      <c r="AD449" s="101" t="s">
        <v>79</v>
      </c>
      <c r="AE449" s="101" t="s">
        <v>75</v>
      </c>
      <c r="AF449" s="101" t="s">
        <v>400</v>
      </c>
      <c r="AI449" s="101" t="s">
        <v>172</v>
      </c>
    </row>
    <row r="450" spans="1:35">
      <c r="A450" s="246" t="s">
        <v>113</v>
      </c>
      <c r="B450" s="246" t="s">
        <v>66</v>
      </c>
      <c r="C450" s="246" t="s">
        <v>126</v>
      </c>
      <c r="D450" s="246" t="s">
        <v>271</v>
      </c>
      <c r="E450" s="246"/>
      <c r="F450" s="246"/>
      <c r="G450" s="132" t="s">
        <v>880</v>
      </c>
      <c r="H450" s="132" t="s">
        <v>1285</v>
      </c>
      <c r="I450" s="132">
        <v>-130726.94</v>
      </c>
      <c r="J450" s="101" t="s">
        <v>889</v>
      </c>
      <c r="K450" s="245" t="s">
        <v>390</v>
      </c>
      <c r="L450" s="245">
        <v>43220</v>
      </c>
      <c r="M450" s="245" t="s">
        <v>391</v>
      </c>
      <c r="N450" s="101">
        <v>0</v>
      </c>
      <c r="O450" s="101" t="s">
        <v>392</v>
      </c>
      <c r="P450" s="101">
        <v>0</v>
      </c>
      <c r="Q450" s="101">
        <v>0</v>
      </c>
      <c r="R450" s="101" t="s">
        <v>422</v>
      </c>
      <c r="S450" s="101" t="s">
        <v>568</v>
      </c>
      <c r="T450" s="101" t="s">
        <v>394</v>
      </c>
      <c r="U450" s="101" t="s">
        <v>83</v>
      </c>
      <c r="V450" s="245">
        <v>46371</v>
      </c>
      <c r="W450" s="101" t="s">
        <v>445</v>
      </c>
      <c r="X450" s="101" t="s">
        <v>76</v>
      </c>
      <c r="Y450" s="101" t="s">
        <v>392</v>
      </c>
      <c r="Z450" s="101" t="s">
        <v>412</v>
      </c>
      <c r="AA450" s="101" t="s">
        <v>478</v>
      </c>
      <c r="AB450" s="101">
        <v>3101053970</v>
      </c>
      <c r="AC450" s="101" t="s">
        <v>414</v>
      </c>
      <c r="AD450" s="101" t="s">
        <v>79</v>
      </c>
      <c r="AE450" s="101" t="s">
        <v>75</v>
      </c>
      <c r="AF450" s="101" t="s">
        <v>400</v>
      </c>
      <c r="AI450" s="101" t="s">
        <v>172</v>
      </c>
    </row>
    <row r="451" spans="1:35">
      <c r="A451" s="246" t="s">
        <v>113</v>
      </c>
      <c r="B451" s="246" t="s">
        <v>66</v>
      </c>
      <c r="C451" s="246" t="s">
        <v>264</v>
      </c>
      <c r="D451" s="246" t="s">
        <v>285</v>
      </c>
      <c r="E451" s="246"/>
      <c r="F451" s="246"/>
      <c r="G451" s="132" t="s">
        <v>881</v>
      </c>
      <c r="H451" s="132" t="s">
        <v>1286</v>
      </c>
      <c r="I451" s="132">
        <v>8605819.5999999996</v>
      </c>
      <c r="J451" s="101" t="s">
        <v>889</v>
      </c>
      <c r="K451" s="245" t="s">
        <v>390</v>
      </c>
      <c r="L451" s="245">
        <v>43220</v>
      </c>
      <c r="M451" s="245" t="s">
        <v>421</v>
      </c>
      <c r="N451" s="101">
        <v>0</v>
      </c>
      <c r="O451" s="101" t="s">
        <v>392</v>
      </c>
      <c r="P451" s="101">
        <v>0</v>
      </c>
      <c r="Q451" s="101">
        <v>0</v>
      </c>
      <c r="R451" s="101" t="s">
        <v>410</v>
      </c>
      <c r="S451" s="101" t="s">
        <v>568</v>
      </c>
      <c r="T451" s="101" t="s">
        <v>394</v>
      </c>
      <c r="U451" s="101" t="s">
        <v>83</v>
      </c>
      <c r="V451" s="245">
        <v>46371</v>
      </c>
      <c r="W451" s="101" t="s">
        <v>445</v>
      </c>
      <c r="X451" s="101" t="s">
        <v>76</v>
      </c>
      <c r="Y451" s="101" t="s">
        <v>392</v>
      </c>
      <c r="Z451" s="101" t="s">
        <v>412</v>
      </c>
      <c r="AA451" s="101" t="s">
        <v>478</v>
      </c>
      <c r="AB451" s="101">
        <v>3101053970</v>
      </c>
      <c r="AC451" s="101" t="s">
        <v>414</v>
      </c>
      <c r="AD451" s="101" t="s">
        <v>79</v>
      </c>
      <c r="AE451" s="101" t="s">
        <v>75</v>
      </c>
      <c r="AF451" s="101" t="s">
        <v>400</v>
      </c>
      <c r="AI451" s="101" t="s">
        <v>172</v>
      </c>
    </row>
    <row r="452" spans="1:35">
      <c r="A452" s="246" t="s">
        <v>109</v>
      </c>
      <c r="B452" s="246" t="s">
        <v>66</v>
      </c>
      <c r="C452" s="246" t="s">
        <v>126</v>
      </c>
      <c r="D452" s="246" t="s">
        <v>272</v>
      </c>
      <c r="E452" s="246"/>
      <c r="F452" s="246" t="s">
        <v>275</v>
      </c>
      <c r="G452" s="132" t="s">
        <v>851</v>
      </c>
      <c r="H452" s="132" t="s">
        <v>1287</v>
      </c>
      <c r="I452" s="132">
        <v>-19344.169999999998</v>
      </c>
      <c r="J452" s="101" t="s">
        <v>889</v>
      </c>
      <c r="K452" s="245" t="s">
        <v>390</v>
      </c>
      <c r="L452" s="245">
        <v>42551</v>
      </c>
      <c r="M452" s="245" t="s">
        <v>391</v>
      </c>
      <c r="N452" s="101">
        <v>0</v>
      </c>
      <c r="O452" s="101" t="s">
        <v>392</v>
      </c>
      <c r="P452" s="101">
        <v>0</v>
      </c>
      <c r="Q452" s="101">
        <v>0</v>
      </c>
      <c r="R452" s="101" t="s">
        <v>422</v>
      </c>
      <c r="S452" s="101" t="s">
        <v>619</v>
      </c>
      <c r="T452" s="101" t="s">
        <v>394</v>
      </c>
      <c r="U452" s="101" t="s">
        <v>24</v>
      </c>
      <c r="V452" s="245">
        <v>14248</v>
      </c>
      <c r="W452" s="101" t="s">
        <v>411</v>
      </c>
      <c r="X452" s="101" t="s">
        <v>77</v>
      </c>
      <c r="Y452" s="101" t="s">
        <v>392</v>
      </c>
      <c r="Z452" s="101" t="s">
        <v>412</v>
      </c>
      <c r="AA452" s="101" t="s">
        <v>413</v>
      </c>
      <c r="AB452" s="101">
        <v>101000512</v>
      </c>
      <c r="AC452" s="101" t="s">
        <v>414</v>
      </c>
      <c r="AD452" s="101" t="s">
        <v>79</v>
      </c>
      <c r="AE452" s="101" t="s">
        <v>6</v>
      </c>
      <c r="AF452" s="101" t="s">
        <v>400</v>
      </c>
      <c r="AI452" s="101" t="s">
        <v>190</v>
      </c>
    </row>
    <row r="453" spans="1:35">
      <c r="A453" s="246" t="s">
        <v>109</v>
      </c>
      <c r="B453" s="246" t="s">
        <v>66</v>
      </c>
      <c r="C453" s="246" t="s">
        <v>265</v>
      </c>
      <c r="D453" s="246" t="s">
        <v>291</v>
      </c>
      <c r="E453" s="246"/>
      <c r="F453" s="246" t="s">
        <v>275</v>
      </c>
      <c r="G453" s="132" t="s">
        <v>852</v>
      </c>
      <c r="H453" s="132" t="s">
        <v>1288</v>
      </c>
      <c r="I453" s="132">
        <v>-641138.02</v>
      </c>
      <c r="J453" s="101" t="s">
        <v>889</v>
      </c>
      <c r="K453" s="245" t="s">
        <v>390</v>
      </c>
      <c r="L453" s="245">
        <v>42552</v>
      </c>
      <c r="M453" s="245" t="s">
        <v>421</v>
      </c>
      <c r="N453" s="101">
        <v>0</v>
      </c>
      <c r="O453" s="101" t="s">
        <v>392</v>
      </c>
      <c r="P453" s="101">
        <v>0</v>
      </c>
      <c r="Q453" s="101">
        <v>0</v>
      </c>
      <c r="R453" s="101" t="s">
        <v>422</v>
      </c>
      <c r="S453" s="101" t="s">
        <v>619</v>
      </c>
      <c r="T453" s="101" t="s">
        <v>394</v>
      </c>
      <c r="U453" s="101" t="s">
        <v>24</v>
      </c>
      <c r="V453" s="245">
        <v>14248</v>
      </c>
      <c r="W453" s="101" t="s">
        <v>411</v>
      </c>
      <c r="X453" s="101" t="s">
        <v>77</v>
      </c>
      <c r="Y453" s="101" t="s">
        <v>392</v>
      </c>
      <c r="Z453" s="101" t="s">
        <v>412</v>
      </c>
      <c r="AA453" s="101" t="s">
        <v>413</v>
      </c>
      <c r="AB453" s="101">
        <v>101000512</v>
      </c>
      <c r="AC453" s="101" t="s">
        <v>414</v>
      </c>
      <c r="AD453" s="101" t="s">
        <v>79</v>
      </c>
      <c r="AE453" s="101" t="s">
        <v>6</v>
      </c>
      <c r="AF453" s="101" t="s">
        <v>400</v>
      </c>
      <c r="AI453" s="101" t="s">
        <v>190</v>
      </c>
    </row>
    <row r="454" spans="1:35">
      <c r="A454" s="246" t="s">
        <v>111</v>
      </c>
      <c r="B454" s="246" t="s">
        <v>66</v>
      </c>
      <c r="C454" s="246" t="s">
        <v>126</v>
      </c>
      <c r="D454" s="246" t="s">
        <v>273</v>
      </c>
      <c r="E454" s="246"/>
      <c r="F454" s="246" t="s">
        <v>277</v>
      </c>
      <c r="G454" s="132" t="s">
        <v>853</v>
      </c>
      <c r="H454" s="132" t="s">
        <v>1289</v>
      </c>
      <c r="I454" s="132">
        <v>-14274.24</v>
      </c>
      <c r="J454" s="101" t="s">
        <v>889</v>
      </c>
      <c r="K454" s="245" t="s">
        <v>390</v>
      </c>
      <c r="L454" s="245">
        <v>42734</v>
      </c>
      <c r="M454" s="245" t="s">
        <v>391</v>
      </c>
      <c r="N454" s="101">
        <v>0</v>
      </c>
      <c r="O454" s="101" t="s">
        <v>392</v>
      </c>
      <c r="P454" s="101">
        <v>0</v>
      </c>
      <c r="Q454" s="101">
        <v>0</v>
      </c>
      <c r="R454" s="101" t="s">
        <v>422</v>
      </c>
      <c r="S454" s="101" t="s">
        <v>619</v>
      </c>
      <c r="T454" s="101" t="s">
        <v>394</v>
      </c>
      <c r="U454" s="101" t="s">
        <v>24</v>
      </c>
      <c r="V454" s="245">
        <v>14248</v>
      </c>
      <c r="W454" s="101" t="s">
        <v>411</v>
      </c>
      <c r="X454" s="101" t="s">
        <v>77</v>
      </c>
      <c r="Y454" s="101" t="s">
        <v>392</v>
      </c>
      <c r="Z454" s="101" t="s">
        <v>412</v>
      </c>
      <c r="AA454" s="101" t="s">
        <v>413</v>
      </c>
      <c r="AB454" s="101">
        <v>101000512</v>
      </c>
      <c r="AC454" s="101" t="s">
        <v>414</v>
      </c>
      <c r="AD454" s="101" t="s">
        <v>79</v>
      </c>
      <c r="AE454" s="101" t="s">
        <v>6</v>
      </c>
      <c r="AF454" s="101" t="s">
        <v>400</v>
      </c>
      <c r="AI454" s="101" t="s">
        <v>190</v>
      </c>
    </row>
    <row r="455" spans="1:35">
      <c r="A455" s="246" t="s">
        <v>112</v>
      </c>
      <c r="B455" s="246" t="s">
        <v>66</v>
      </c>
      <c r="C455" s="246" t="s">
        <v>126</v>
      </c>
      <c r="D455" s="246" t="s">
        <v>270</v>
      </c>
      <c r="E455" s="246"/>
      <c r="F455" s="246" t="s">
        <v>278</v>
      </c>
      <c r="G455" s="132">
        <v>-14190</v>
      </c>
      <c r="H455" s="132" t="s">
        <v>1290</v>
      </c>
      <c r="I455" s="132">
        <v>-14190</v>
      </c>
      <c r="J455" s="101" t="s">
        <v>889</v>
      </c>
      <c r="K455" s="245" t="s">
        <v>390</v>
      </c>
      <c r="L455" s="245">
        <v>42916</v>
      </c>
      <c r="M455" s="245" t="s">
        <v>391</v>
      </c>
      <c r="N455" s="101">
        <v>0</v>
      </c>
      <c r="O455" s="101" t="s">
        <v>392</v>
      </c>
      <c r="P455" s="101">
        <v>0</v>
      </c>
      <c r="Q455" s="101">
        <v>0</v>
      </c>
      <c r="R455" s="101" t="s">
        <v>422</v>
      </c>
      <c r="S455" s="101" t="s">
        <v>619</v>
      </c>
      <c r="T455" s="101" t="s">
        <v>394</v>
      </c>
      <c r="U455" s="101" t="s">
        <v>24</v>
      </c>
      <c r="V455" s="245">
        <v>14248</v>
      </c>
      <c r="W455" s="101" t="s">
        <v>411</v>
      </c>
      <c r="X455" s="101" t="s">
        <v>77</v>
      </c>
      <c r="Y455" s="101" t="s">
        <v>392</v>
      </c>
      <c r="Z455" s="101" t="s">
        <v>412</v>
      </c>
      <c r="AA455" s="101" t="s">
        <v>413</v>
      </c>
      <c r="AB455" s="101">
        <v>101000512</v>
      </c>
      <c r="AC455" s="101" t="s">
        <v>414</v>
      </c>
      <c r="AD455" s="101" t="s">
        <v>79</v>
      </c>
      <c r="AE455" s="101" t="s">
        <v>6</v>
      </c>
      <c r="AF455" s="101" t="s">
        <v>400</v>
      </c>
      <c r="AI455" s="101" t="s">
        <v>190</v>
      </c>
    </row>
    <row r="456" spans="1:35">
      <c r="A456" s="246" t="s">
        <v>113</v>
      </c>
      <c r="B456" s="246" t="s">
        <v>66</v>
      </c>
      <c r="C456" s="246" t="s">
        <v>126</v>
      </c>
      <c r="D456" s="246" t="s">
        <v>271</v>
      </c>
      <c r="E456" s="246"/>
      <c r="F456" s="246" t="s">
        <v>279</v>
      </c>
      <c r="G456" s="132" t="s">
        <v>620</v>
      </c>
      <c r="H456" s="132" t="s">
        <v>1291</v>
      </c>
      <c r="I456" s="132">
        <v>-14111.169999999998</v>
      </c>
      <c r="J456" s="101" t="s">
        <v>889</v>
      </c>
      <c r="K456" s="245" t="s">
        <v>390</v>
      </c>
      <c r="L456" s="245">
        <v>43098</v>
      </c>
      <c r="M456" s="245" t="s">
        <v>391</v>
      </c>
      <c r="N456" s="101">
        <v>0</v>
      </c>
      <c r="O456" s="101" t="s">
        <v>392</v>
      </c>
      <c r="P456" s="101">
        <v>0</v>
      </c>
      <c r="Q456" s="101">
        <v>0</v>
      </c>
      <c r="R456" s="101" t="s">
        <v>422</v>
      </c>
      <c r="S456" s="101" t="s">
        <v>619</v>
      </c>
      <c r="T456" s="101" t="s">
        <v>394</v>
      </c>
      <c r="U456" s="101" t="s">
        <v>24</v>
      </c>
      <c r="V456" s="245">
        <v>14248</v>
      </c>
      <c r="W456" s="101" t="s">
        <v>411</v>
      </c>
      <c r="X456" s="101" t="s">
        <v>77</v>
      </c>
      <c r="Y456" s="101" t="s">
        <v>392</v>
      </c>
      <c r="Z456" s="101" t="s">
        <v>412</v>
      </c>
      <c r="AA456" s="101" t="s">
        <v>413</v>
      </c>
      <c r="AB456" s="101">
        <v>101000512</v>
      </c>
      <c r="AC456" s="101" t="s">
        <v>414</v>
      </c>
      <c r="AD456" s="101" t="s">
        <v>79</v>
      </c>
      <c r="AE456" s="101" t="s">
        <v>6</v>
      </c>
      <c r="AF456" s="101" t="s">
        <v>400</v>
      </c>
      <c r="AI456" s="101" t="s">
        <v>190</v>
      </c>
    </row>
    <row r="457" spans="1:35">
      <c r="A457" s="246" t="s">
        <v>110</v>
      </c>
      <c r="B457" s="246" t="s">
        <v>78</v>
      </c>
      <c r="C457" s="246" t="s">
        <v>126</v>
      </c>
      <c r="D457" s="246" t="s">
        <v>770</v>
      </c>
      <c r="E457" s="246" t="s">
        <v>771</v>
      </c>
      <c r="F457" s="246" t="s">
        <v>276</v>
      </c>
      <c r="G457" s="132" t="s">
        <v>806</v>
      </c>
      <c r="H457" s="132" t="s">
        <v>1292</v>
      </c>
      <c r="I457" s="132">
        <v>340.28000000000003</v>
      </c>
      <c r="J457" s="101" t="s">
        <v>889</v>
      </c>
      <c r="K457" s="245" t="s">
        <v>390</v>
      </c>
      <c r="L457" s="245">
        <v>42613</v>
      </c>
      <c r="M457" s="245" t="s">
        <v>391</v>
      </c>
      <c r="N457" s="101">
        <v>0</v>
      </c>
      <c r="O457" s="101" t="s">
        <v>392</v>
      </c>
      <c r="P457" s="101">
        <v>0</v>
      </c>
      <c r="Q457" s="101">
        <v>0</v>
      </c>
      <c r="R457" s="101" t="s">
        <v>393</v>
      </c>
      <c r="S457" s="101" t="s">
        <v>807</v>
      </c>
      <c r="T457" s="101" t="s">
        <v>394</v>
      </c>
      <c r="V457" s="245">
        <v>14124</v>
      </c>
      <c r="W457" s="101" t="s">
        <v>395</v>
      </c>
      <c r="X457" s="101" t="s">
        <v>795</v>
      </c>
      <c r="Y457" s="101" t="s">
        <v>396</v>
      </c>
      <c r="Z457" s="101" t="s">
        <v>402</v>
      </c>
      <c r="AA457" s="101" t="s">
        <v>78</v>
      </c>
      <c r="AB457" s="101">
        <v>4101000279</v>
      </c>
      <c r="AC457" s="101" t="s">
        <v>398</v>
      </c>
      <c r="AD457" s="101" t="s">
        <v>403</v>
      </c>
      <c r="AE457" s="101" t="s">
        <v>6</v>
      </c>
      <c r="AF457" s="101" t="s">
        <v>400</v>
      </c>
      <c r="AI457" s="101" t="s">
        <v>760</v>
      </c>
    </row>
    <row r="458" spans="1:35">
      <c r="A458" s="246" t="s">
        <v>110</v>
      </c>
      <c r="B458" s="246" t="s">
        <v>78</v>
      </c>
      <c r="C458" s="246" t="s">
        <v>126</v>
      </c>
      <c r="D458" s="246" t="s">
        <v>770</v>
      </c>
      <c r="E458" s="246" t="s">
        <v>771</v>
      </c>
      <c r="F458" s="246" t="s">
        <v>276</v>
      </c>
      <c r="G458" s="132" t="s">
        <v>808</v>
      </c>
      <c r="H458" s="132" t="s">
        <v>1293</v>
      </c>
      <c r="I458" s="132">
        <v>9980.9699999999993</v>
      </c>
      <c r="J458" s="101" t="s">
        <v>889</v>
      </c>
      <c r="K458" s="245" t="s">
        <v>390</v>
      </c>
      <c r="L458" s="245">
        <v>42613</v>
      </c>
      <c r="M458" s="245" t="s">
        <v>391</v>
      </c>
      <c r="N458" s="101">
        <v>0</v>
      </c>
      <c r="O458" s="101" t="s">
        <v>392</v>
      </c>
      <c r="P458" s="101">
        <v>0</v>
      </c>
      <c r="Q458" s="101">
        <v>0</v>
      </c>
      <c r="R458" s="101" t="s">
        <v>393</v>
      </c>
      <c r="S458" s="101" t="s">
        <v>807</v>
      </c>
      <c r="T458" s="101" t="s">
        <v>394</v>
      </c>
      <c r="V458" s="245">
        <v>14124</v>
      </c>
      <c r="W458" s="101" t="s">
        <v>395</v>
      </c>
      <c r="X458" s="101" t="s">
        <v>795</v>
      </c>
      <c r="Y458" s="101" t="s">
        <v>396</v>
      </c>
      <c r="Z458" s="101" t="s">
        <v>402</v>
      </c>
      <c r="AA458" s="101" t="s">
        <v>78</v>
      </c>
      <c r="AB458" s="101">
        <v>4101000279</v>
      </c>
      <c r="AC458" s="101" t="s">
        <v>398</v>
      </c>
      <c r="AD458" s="101" t="s">
        <v>403</v>
      </c>
      <c r="AE458" s="101" t="s">
        <v>6</v>
      </c>
      <c r="AF458" s="101" t="s">
        <v>400</v>
      </c>
      <c r="AI458" s="101" t="s">
        <v>760</v>
      </c>
    </row>
    <row r="459" spans="1:35">
      <c r="A459" s="246" t="s">
        <v>110</v>
      </c>
      <c r="B459" s="246" t="s">
        <v>78</v>
      </c>
      <c r="C459" s="246" t="s">
        <v>126</v>
      </c>
      <c r="D459" s="246" t="s">
        <v>770</v>
      </c>
      <c r="E459" s="246" t="s">
        <v>771</v>
      </c>
      <c r="F459" s="246" t="s">
        <v>276</v>
      </c>
      <c r="G459" s="132" t="s">
        <v>809</v>
      </c>
      <c r="H459" s="132" t="s">
        <v>1294</v>
      </c>
      <c r="I459" s="132">
        <v>1725.19</v>
      </c>
      <c r="J459" s="101" t="s">
        <v>889</v>
      </c>
      <c r="K459" s="245" t="s">
        <v>390</v>
      </c>
      <c r="L459" s="245">
        <v>42613</v>
      </c>
      <c r="M459" s="245" t="s">
        <v>391</v>
      </c>
      <c r="N459" s="101">
        <v>0</v>
      </c>
      <c r="O459" s="101" t="s">
        <v>392</v>
      </c>
      <c r="P459" s="101">
        <v>0</v>
      </c>
      <c r="Q459" s="101">
        <v>0</v>
      </c>
      <c r="R459" s="101" t="s">
        <v>393</v>
      </c>
      <c r="S459" s="101" t="s">
        <v>807</v>
      </c>
      <c r="T459" s="101" t="s">
        <v>394</v>
      </c>
      <c r="V459" s="245">
        <v>14124</v>
      </c>
      <c r="W459" s="101" t="s">
        <v>395</v>
      </c>
      <c r="X459" s="101" t="s">
        <v>795</v>
      </c>
      <c r="Y459" s="101" t="s">
        <v>396</v>
      </c>
      <c r="Z459" s="101" t="s">
        <v>402</v>
      </c>
      <c r="AA459" s="101" t="s">
        <v>78</v>
      </c>
      <c r="AB459" s="101">
        <v>4101000279</v>
      </c>
      <c r="AC459" s="101" t="s">
        <v>398</v>
      </c>
      <c r="AD459" s="101" t="s">
        <v>403</v>
      </c>
      <c r="AE459" s="101" t="s">
        <v>6</v>
      </c>
      <c r="AF459" s="101" t="s">
        <v>400</v>
      </c>
      <c r="AI459" s="101" t="s">
        <v>760</v>
      </c>
    </row>
    <row r="460" spans="1:35">
      <c r="A460" s="246" t="s">
        <v>107</v>
      </c>
      <c r="B460" s="246" t="s">
        <v>66</v>
      </c>
      <c r="C460" s="246" t="s">
        <v>126</v>
      </c>
      <c r="D460" s="246" t="s">
        <v>1769</v>
      </c>
      <c r="E460" s="246"/>
      <c r="F460" s="246"/>
      <c r="G460" s="132" t="s">
        <v>569</v>
      </c>
      <c r="H460" s="132" t="s">
        <v>1295</v>
      </c>
      <c r="I460" s="132">
        <v>-153152.18</v>
      </c>
      <c r="J460" s="101" t="s">
        <v>889</v>
      </c>
      <c r="K460" s="245" t="s">
        <v>390</v>
      </c>
      <c r="L460" s="245">
        <v>42521</v>
      </c>
      <c r="M460" s="245" t="s">
        <v>391</v>
      </c>
      <c r="N460" s="101">
        <v>0</v>
      </c>
      <c r="O460" s="101" t="s">
        <v>392</v>
      </c>
      <c r="P460" s="101">
        <v>0</v>
      </c>
      <c r="Q460" s="101">
        <v>0</v>
      </c>
      <c r="R460" s="101" t="s">
        <v>422</v>
      </c>
      <c r="S460" s="101" t="s">
        <v>568</v>
      </c>
      <c r="T460" s="101" t="s">
        <v>394</v>
      </c>
      <c r="U460" s="101" t="s">
        <v>83</v>
      </c>
      <c r="V460" s="245">
        <v>46371</v>
      </c>
      <c r="W460" s="101" t="s">
        <v>445</v>
      </c>
      <c r="X460" s="101" t="s">
        <v>76</v>
      </c>
      <c r="Y460" s="101" t="s">
        <v>392</v>
      </c>
      <c r="Z460" s="101" t="s">
        <v>412</v>
      </c>
      <c r="AA460" s="101" t="s">
        <v>478</v>
      </c>
      <c r="AB460" s="101">
        <v>3101053970</v>
      </c>
      <c r="AC460" s="101" t="s">
        <v>414</v>
      </c>
      <c r="AD460" s="101" t="s">
        <v>79</v>
      </c>
      <c r="AE460" s="101" t="s">
        <v>75</v>
      </c>
      <c r="AF460" s="101" t="s">
        <v>400</v>
      </c>
      <c r="AI460" s="101" t="s">
        <v>172</v>
      </c>
    </row>
    <row r="461" spans="1:35">
      <c r="A461" s="246" t="s">
        <v>107</v>
      </c>
      <c r="B461" s="246" t="s">
        <v>66</v>
      </c>
      <c r="C461" s="246" t="s">
        <v>264</v>
      </c>
      <c r="D461" s="246" t="s">
        <v>1775</v>
      </c>
      <c r="E461" s="246"/>
      <c r="F461" s="246"/>
      <c r="G461" s="132" t="s">
        <v>570</v>
      </c>
      <c r="H461" s="132" t="s">
        <v>1296</v>
      </c>
      <c r="I461" s="132">
        <v>5005786.6899999995</v>
      </c>
      <c r="J461" s="101" t="s">
        <v>889</v>
      </c>
      <c r="K461" s="245" t="s">
        <v>390</v>
      </c>
      <c r="L461" s="245">
        <v>42521</v>
      </c>
      <c r="M461" s="245" t="s">
        <v>421</v>
      </c>
      <c r="N461" s="101">
        <v>0</v>
      </c>
      <c r="O461" s="101" t="s">
        <v>392</v>
      </c>
      <c r="P461" s="101">
        <v>0</v>
      </c>
      <c r="Q461" s="101">
        <v>0</v>
      </c>
      <c r="R461" s="101" t="s">
        <v>410</v>
      </c>
      <c r="S461" s="101" t="s">
        <v>568</v>
      </c>
      <c r="T461" s="101" t="s">
        <v>394</v>
      </c>
      <c r="U461" s="101" t="s">
        <v>83</v>
      </c>
      <c r="V461" s="245">
        <v>46371</v>
      </c>
      <c r="W461" s="101" t="s">
        <v>445</v>
      </c>
      <c r="X461" s="101" t="s">
        <v>76</v>
      </c>
      <c r="Y461" s="101" t="s">
        <v>392</v>
      </c>
      <c r="Z461" s="101" t="s">
        <v>412</v>
      </c>
      <c r="AA461" s="101" t="s">
        <v>478</v>
      </c>
      <c r="AB461" s="101">
        <v>3101053970</v>
      </c>
      <c r="AC461" s="101" t="s">
        <v>414</v>
      </c>
      <c r="AD461" s="101" t="s">
        <v>79</v>
      </c>
      <c r="AE461" s="101" t="s">
        <v>75</v>
      </c>
      <c r="AF461" s="101" t="s">
        <v>400</v>
      </c>
      <c r="AI461" s="101" t="s">
        <v>172</v>
      </c>
    </row>
    <row r="462" spans="1:35">
      <c r="A462" s="246" t="s">
        <v>109</v>
      </c>
      <c r="B462" s="246" t="s">
        <v>66</v>
      </c>
      <c r="C462" s="246" t="s">
        <v>126</v>
      </c>
      <c r="D462" s="246" t="s">
        <v>272</v>
      </c>
      <c r="E462" s="246"/>
      <c r="F462" s="246"/>
      <c r="G462" s="132" t="s">
        <v>571</v>
      </c>
      <c r="H462" s="132" t="s">
        <v>1297</v>
      </c>
      <c r="I462" s="132">
        <v>-167869.76</v>
      </c>
      <c r="J462" s="101" t="s">
        <v>889</v>
      </c>
      <c r="K462" s="245" t="s">
        <v>390</v>
      </c>
      <c r="L462" s="245">
        <v>42551</v>
      </c>
      <c r="M462" s="245" t="s">
        <v>391</v>
      </c>
      <c r="N462" s="101">
        <v>0</v>
      </c>
      <c r="O462" s="101" t="s">
        <v>392</v>
      </c>
      <c r="P462" s="101">
        <v>0</v>
      </c>
      <c r="Q462" s="101">
        <v>0</v>
      </c>
      <c r="R462" s="101" t="s">
        <v>422</v>
      </c>
      <c r="S462" s="101" t="s">
        <v>568</v>
      </c>
      <c r="T462" s="101" t="s">
        <v>394</v>
      </c>
      <c r="U462" s="101" t="s">
        <v>83</v>
      </c>
      <c r="V462" s="245">
        <v>46371</v>
      </c>
      <c r="W462" s="101" t="s">
        <v>445</v>
      </c>
      <c r="X462" s="101" t="s">
        <v>76</v>
      </c>
      <c r="Y462" s="101" t="s">
        <v>392</v>
      </c>
      <c r="Z462" s="101" t="s">
        <v>412</v>
      </c>
      <c r="AA462" s="101" t="s">
        <v>478</v>
      </c>
      <c r="AB462" s="101">
        <v>3101053970</v>
      </c>
      <c r="AC462" s="101" t="s">
        <v>414</v>
      </c>
      <c r="AD462" s="101" t="s">
        <v>79</v>
      </c>
      <c r="AE462" s="101" t="s">
        <v>75</v>
      </c>
      <c r="AF462" s="101" t="s">
        <v>400</v>
      </c>
      <c r="AI462" s="101" t="s">
        <v>172</v>
      </c>
    </row>
    <row r="463" spans="1:35">
      <c r="A463" s="246" t="s">
        <v>109</v>
      </c>
      <c r="B463" s="246" t="s">
        <v>66</v>
      </c>
      <c r="C463" s="246" t="s">
        <v>264</v>
      </c>
      <c r="D463" s="246" t="s">
        <v>288</v>
      </c>
      <c r="E463" s="246"/>
      <c r="F463" s="246"/>
      <c r="G463" s="132">
        <v>3804725</v>
      </c>
      <c r="H463" s="132" t="s">
        <v>1298</v>
      </c>
      <c r="I463" s="132">
        <v>3804725</v>
      </c>
      <c r="J463" s="101" t="s">
        <v>889</v>
      </c>
      <c r="K463" s="245" t="s">
        <v>390</v>
      </c>
      <c r="L463" s="245">
        <v>42551</v>
      </c>
      <c r="M463" s="245" t="s">
        <v>421</v>
      </c>
      <c r="N463" s="101">
        <v>0</v>
      </c>
      <c r="O463" s="101" t="s">
        <v>392</v>
      </c>
      <c r="P463" s="101">
        <v>0</v>
      </c>
      <c r="Q463" s="101">
        <v>0</v>
      </c>
      <c r="R463" s="101" t="s">
        <v>410</v>
      </c>
      <c r="S463" s="101" t="s">
        <v>568</v>
      </c>
      <c r="T463" s="101" t="s">
        <v>394</v>
      </c>
      <c r="U463" s="101" t="s">
        <v>83</v>
      </c>
      <c r="V463" s="245">
        <v>46371</v>
      </c>
      <c r="W463" s="101" t="s">
        <v>445</v>
      </c>
      <c r="X463" s="101" t="s">
        <v>76</v>
      </c>
      <c r="Y463" s="101" t="s">
        <v>392</v>
      </c>
      <c r="Z463" s="101" t="s">
        <v>412</v>
      </c>
      <c r="AA463" s="101" t="s">
        <v>478</v>
      </c>
      <c r="AB463" s="101">
        <v>3101053970</v>
      </c>
      <c r="AC463" s="101" t="s">
        <v>414</v>
      </c>
      <c r="AD463" s="101" t="s">
        <v>79</v>
      </c>
      <c r="AE463" s="101" t="s">
        <v>75</v>
      </c>
      <c r="AF463" s="101" t="s">
        <v>400</v>
      </c>
      <c r="AI463" s="101" t="s">
        <v>172</v>
      </c>
    </row>
    <row r="464" spans="1:35">
      <c r="A464" s="246" t="s">
        <v>109</v>
      </c>
      <c r="B464" s="246" t="s">
        <v>66</v>
      </c>
      <c r="C464" s="246" t="s">
        <v>264</v>
      </c>
      <c r="D464" s="246" t="s">
        <v>288</v>
      </c>
      <c r="E464" s="246"/>
      <c r="F464" s="246"/>
      <c r="G464" s="132" t="s">
        <v>572</v>
      </c>
      <c r="H464" s="132" t="s">
        <v>1299</v>
      </c>
      <c r="I464" s="132">
        <v>3778542.94</v>
      </c>
      <c r="J464" s="101" t="s">
        <v>889</v>
      </c>
      <c r="K464" s="245" t="s">
        <v>390</v>
      </c>
      <c r="L464" s="245">
        <v>42580</v>
      </c>
      <c r="M464" s="245" t="s">
        <v>421</v>
      </c>
      <c r="N464" s="101">
        <v>0</v>
      </c>
      <c r="O464" s="101" t="s">
        <v>392</v>
      </c>
      <c r="P464" s="101">
        <v>0</v>
      </c>
      <c r="Q464" s="101">
        <v>0</v>
      </c>
      <c r="R464" s="101" t="s">
        <v>410</v>
      </c>
      <c r="S464" s="101" t="s">
        <v>568</v>
      </c>
      <c r="T464" s="101" t="s">
        <v>394</v>
      </c>
      <c r="U464" s="101" t="s">
        <v>83</v>
      </c>
      <c r="V464" s="245">
        <v>46371</v>
      </c>
      <c r="W464" s="101" t="s">
        <v>445</v>
      </c>
      <c r="X464" s="101" t="s">
        <v>76</v>
      </c>
      <c r="Y464" s="101" t="s">
        <v>392</v>
      </c>
      <c r="Z464" s="101" t="s">
        <v>412</v>
      </c>
      <c r="AA464" s="101" t="s">
        <v>478</v>
      </c>
      <c r="AB464" s="101">
        <v>3101053970</v>
      </c>
      <c r="AC464" s="101" t="s">
        <v>414</v>
      </c>
      <c r="AD464" s="101" t="s">
        <v>79</v>
      </c>
      <c r="AE464" s="101" t="s">
        <v>75</v>
      </c>
      <c r="AF464" s="101" t="s">
        <v>400</v>
      </c>
      <c r="AI464" s="101" t="s">
        <v>172</v>
      </c>
    </row>
    <row r="465" spans="1:35">
      <c r="A465" s="246" t="s">
        <v>109</v>
      </c>
      <c r="B465" s="246" t="s">
        <v>66</v>
      </c>
      <c r="C465" s="246" t="s">
        <v>126</v>
      </c>
      <c r="D465" s="246" t="s">
        <v>272</v>
      </c>
      <c r="E465" s="246"/>
      <c r="F465" s="246"/>
      <c r="G465" s="132" t="s">
        <v>573</v>
      </c>
      <c r="H465" s="132" t="s">
        <v>1300</v>
      </c>
      <c r="I465" s="132">
        <v>-189894.04</v>
      </c>
      <c r="J465" s="101" t="s">
        <v>889</v>
      </c>
      <c r="K465" s="245" t="s">
        <v>390</v>
      </c>
      <c r="L465" s="245">
        <v>42580</v>
      </c>
      <c r="M465" s="245" t="s">
        <v>391</v>
      </c>
      <c r="N465" s="101">
        <v>0</v>
      </c>
      <c r="O465" s="101" t="s">
        <v>392</v>
      </c>
      <c r="P465" s="101">
        <v>0</v>
      </c>
      <c r="Q465" s="101">
        <v>0</v>
      </c>
      <c r="R465" s="101" t="s">
        <v>422</v>
      </c>
      <c r="S465" s="101" t="s">
        <v>568</v>
      </c>
      <c r="T465" s="101" t="s">
        <v>394</v>
      </c>
      <c r="U465" s="101" t="s">
        <v>83</v>
      </c>
      <c r="V465" s="245">
        <v>46371</v>
      </c>
      <c r="W465" s="101" t="s">
        <v>445</v>
      </c>
      <c r="X465" s="101" t="s">
        <v>76</v>
      </c>
      <c r="Y465" s="101" t="s">
        <v>392</v>
      </c>
      <c r="Z465" s="101" t="s">
        <v>412</v>
      </c>
      <c r="AA465" s="101" t="s">
        <v>478</v>
      </c>
      <c r="AB465" s="101">
        <v>3101053970</v>
      </c>
      <c r="AC465" s="101" t="s">
        <v>414</v>
      </c>
      <c r="AD465" s="101" t="s">
        <v>79</v>
      </c>
      <c r="AE465" s="101" t="s">
        <v>75</v>
      </c>
      <c r="AF465" s="101" t="s">
        <v>400</v>
      </c>
      <c r="AI465" s="101" t="s">
        <v>172</v>
      </c>
    </row>
    <row r="466" spans="1:35">
      <c r="A466" s="246" t="s">
        <v>110</v>
      </c>
      <c r="B466" s="246" t="s">
        <v>66</v>
      </c>
      <c r="C466" s="246" t="s">
        <v>126</v>
      </c>
      <c r="D466" s="246" t="s">
        <v>281</v>
      </c>
      <c r="E466" s="246"/>
      <c r="F466" s="246"/>
      <c r="G466" s="132" t="s">
        <v>574</v>
      </c>
      <c r="H466" s="132" t="s">
        <v>1301</v>
      </c>
      <c r="I466" s="132">
        <v>-204237.94</v>
      </c>
      <c r="J466" s="101" t="s">
        <v>889</v>
      </c>
      <c r="K466" s="245" t="s">
        <v>390</v>
      </c>
      <c r="L466" s="245">
        <v>42613</v>
      </c>
      <c r="M466" s="245" t="s">
        <v>391</v>
      </c>
      <c r="N466" s="101">
        <v>0</v>
      </c>
      <c r="O466" s="101" t="s">
        <v>392</v>
      </c>
      <c r="P466" s="101">
        <v>0</v>
      </c>
      <c r="Q466" s="101">
        <v>0</v>
      </c>
      <c r="R466" s="101" t="s">
        <v>422</v>
      </c>
      <c r="S466" s="101" t="s">
        <v>568</v>
      </c>
      <c r="T466" s="101" t="s">
        <v>394</v>
      </c>
      <c r="U466" s="101" t="s">
        <v>83</v>
      </c>
      <c r="V466" s="245">
        <v>46371</v>
      </c>
      <c r="W466" s="101" t="s">
        <v>445</v>
      </c>
      <c r="X466" s="101" t="s">
        <v>76</v>
      </c>
      <c r="Y466" s="101" t="s">
        <v>392</v>
      </c>
      <c r="Z466" s="101" t="s">
        <v>412</v>
      </c>
      <c r="AA466" s="101" t="s">
        <v>478</v>
      </c>
      <c r="AB466" s="101">
        <v>3101053970</v>
      </c>
      <c r="AC466" s="101" t="s">
        <v>414</v>
      </c>
      <c r="AD466" s="101" t="s">
        <v>79</v>
      </c>
      <c r="AE466" s="101" t="s">
        <v>75</v>
      </c>
      <c r="AF466" s="101" t="s">
        <v>400</v>
      </c>
      <c r="AI466" s="101" t="s">
        <v>172</v>
      </c>
    </row>
    <row r="467" spans="1:35">
      <c r="A467" s="246" t="s">
        <v>110</v>
      </c>
      <c r="B467" s="246" t="s">
        <v>66</v>
      </c>
      <c r="C467" s="246" t="s">
        <v>264</v>
      </c>
      <c r="D467" s="246" t="s">
        <v>289</v>
      </c>
      <c r="E467" s="246"/>
      <c r="F467" s="246"/>
      <c r="G467" s="132" t="s">
        <v>575</v>
      </c>
      <c r="H467" s="132" t="s">
        <v>1302</v>
      </c>
      <c r="I467" s="132">
        <v>4062574.94</v>
      </c>
      <c r="J467" s="101" t="s">
        <v>889</v>
      </c>
      <c r="K467" s="245" t="s">
        <v>390</v>
      </c>
      <c r="L467" s="245">
        <v>42613</v>
      </c>
      <c r="M467" s="245" t="s">
        <v>421</v>
      </c>
      <c r="N467" s="101">
        <v>0</v>
      </c>
      <c r="O467" s="101" t="s">
        <v>392</v>
      </c>
      <c r="P467" s="101">
        <v>0</v>
      </c>
      <c r="Q467" s="101">
        <v>0</v>
      </c>
      <c r="R467" s="101" t="s">
        <v>410</v>
      </c>
      <c r="S467" s="101" t="s">
        <v>568</v>
      </c>
      <c r="T467" s="101" t="s">
        <v>394</v>
      </c>
      <c r="U467" s="101" t="s">
        <v>83</v>
      </c>
      <c r="V467" s="245">
        <v>46371</v>
      </c>
      <c r="W467" s="101" t="s">
        <v>445</v>
      </c>
      <c r="X467" s="101" t="s">
        <v>76</v>
      </c>
      <c r="Y467" s="101" t="s">
        <v>392</v>
      </c>
      <c r="Z467" s="101" t="s">
        <v>412</v>
      </c>
      <c r="AA467" s="101" t="s">
        <v>478</v>
      </c>
      <c r="AB467" s="101">
        <v>3101053970</v>
      </c>
      <c r="AC467" s="101" t="s">
        <v>414</v>
      </c>
      <c r="AD467" s="101" t="s">
        <v>79</v>
      </c>
      <c r="AE467" s="101" t="s">
        <v>75</v>
      </c>
      <c r="AF467" s="101" t="s">
        <v>400</v>
      </c>
      <c r="AI467" s="101" t="s">
        <v>172</v>
      </c>
    </row>
    <row r="468" spans="1:35">
      <c r="A468" s="246" t="s">
        <v>110</v>
      </c>
      <c r="B468" s="246" t="s">
        <v>66</v>
      </c>
      <c r="C468" s="246" t="s">
        <v>126</v>
      </c>
      <c r="D468" s="246" t="s">
        <v>281</v>
      </c>
      <c r="E468" s="246"/>
      <c r="F468" s="246"/>
      <c r="G468" s="132" t="s">
        <v>576</v>
      </c>
      <c r="H468" s="132" t="s">
        <v>1303</v>
      </c>
      <c r="I468" s="132">
        <v>-213603.56</v>
      </c>
      <c r="J468" s="101" t="s">
        <v>889</v>
      </c>
      <c r="K468" s="245" t="s">
        <v>390</v>
      </c>
      <c r="L468" s="245">
        <v>42643</v>
      </c>
      <c r="M468" s="245" t="s">
        <v>391</v>
      </c>
      <c r="N468" s="101">
        <v>0</v>
      </c>
      <c r="O468" s="101" t="s">
        <v>392</v>
      </c>
      <c r="P468" s="101">
        <v>0</v>
      </c>
      <c r="Q468" s="101">
        <v>0</v>
      </c>
      <c r="R468" s="101" t="s">
        <v>422</v>
      </c>
      <c r="S468" s="101" t="s">
        <v>568</v>
      </c>
      <c r="T468" s="101" t="s">
        <v>394</v>
      </c>
      <c r="U468" s="101" t="s">
        <v>83</v>
      </c>
      <c r="V468" s="245">
        <v>46371</v>
      </c>
      <c r="W468" s="101" t="s">
        <v>445</v>
      </c>
      <c r="X468" s="101" t="s">
        <v>76</v>
      </c>
      <c r="Y468" s="101" t="s">
        <v>392</v>
      </c>
      <c r="Z468" s="101" t="s">
        <v>412</v>
      </c>
      <c r="AA468" s="101" t="s">
        <v>478</v>
      </c>
      <c r="AB468" s="101">
        <v>3101053970</v>
      </c>
      <c r="AC468" s="101" t="s">
        <v>414</v>
      </c>
      <c r="AD468" s="101" t="s">
        <v>79</v>
      </c>
      <c r="AE468" s="101" t="s">
        <v>75</v>
      </c>
      <c r="AF468" s="101" t="s">
        <v>400</v>
      </c>
      <c r="AI468" s="101" t="s">
        <v>172</v>
      </c>
    </row>
    <row r="469" spans="1:35">
      <c r="A469" s="246" t="s">
        <v>110</v>
      </c>
      <c r="B469" s="246" t="s">
        <v>66</v>
      </c>
      <c r="C469" s="246" t="s">
        <v>264</v>
      </c>
      <c r="D469" s="246" t="s">
        <v>289</v>
      </c>
      <c r="E469" s="246"/>
      <c r="F469" s="246"/>
      <c r="G469" s="132" t="s">
        <v>577</v>
      </c>
      <c r="H469" s="132" t="s">
        <v>1304</v>
      </c>
      <c r="I469" s="132">
        <v>4118115.57</v>
      </c>
      <c r="J469" s="101" t="s">
        <v>889</v>
      </c>
      <c r="K469" s="245" t="s">
        <v>390</v>
      </c>
      <c r="L469" s="245">
        <v>42643</v>
      </c>
      <c r="M469" s="245" t="s">
        <v>421</v>
      </c>
      <c r="N469" s="101">
        <v>0</v>
      </c>
      <c r="O469" s="101" t="s">
        <v>392</v>
      </c>
      <c r="P469" s="101">
        <v>0</v>
      </c>
      <c r="Q469" s="101">
        <v>0</v>
      </c>
      <c r="R469" s="101" t="s">
        <v>410</v>
      </c>
      <c r="S469" s="101" t="s">
        <v>568</v>
      </c>
      <c r="T469" s="101" t="s">
        <v>394</v>
      </c>
      <c r="U469" s="101" t="s">
        <v>83</v>
      </c>
      <c r="V469" s="245">
        <v>46371</v>
      </c>
      <c r="W469" s="101" t="s">
        <v>445</v>
      </c>
      <c r="X469" s="101" t="s">
        <v>76</v>
      </c>
      <c r="Y469" s="101" t="s">
        <v>392</v>
      </c>
      <c r="Z469" s="101" t="s">
        <v>412</v>
      </c>
      <c r="AA469" s="101" t="s">
        <v>478</v>
      </c>
      <c r="AB469" s="101">
        <v>3101053970</v>
      </c>
      <c r="AC469" s="101" t="s">
        <v>414</v>
      </c>
      <c r="AD469" s="101" t="s">
        <v>79</v>
      </c>
      <c r="AE469" s="101" t="s">
        <v>75</v>
      </c>
      <c r="AF469" s="101" t="s">
        <v>400</v>
      </c>
      <c r="AI469" s="101" t="s">
        <v>172</v>
      </c>
    </row>
    <row r="470" spans="1:35">
      <c r="A470" s="246" t="s">
        <v>101</v>
      </c>
      <c r="B470" s="246" t="s">
        <v>66</v>
      </c>
      <c r="C470" s="246" t="s">
        <v>126</v>
      </c>
      <c r="D470" s="246" t="s">
        <v>282</v>
      </c>
      <c r="E470" s="246"/>
      <c r="F470" s="246" t="s">
        <v>312</v>
      </c>
      <c r="G470" s="132">
        <v>0</v>
      </c>
      <c r="H470" s="132">
        <v>0</v>
      </c>
      <c r="I470" s="132">
        <v>0</v>
      </c>
      <c r="J470" s="101" t="s">
        <v>889</v>
      </c>
      <c r="K470" s="245" t="s">
        <v>390</v>
      </c>
      <c r="L470" s="245">
        <v>42501</v>
      </c>
      <c r="M470" s="245" t="s">
        <v>391</v>
      </c>
      <c r="N470" s="101">
        <v>0</v>
      </c>
      <c r="O470" s="101" t="s">
        <v>392</v>
      </c>
      <c r="P470" s="101">
        <v>0</v>
      </c>
      <c r="Q470" s="101">
        <v>0</v>
      </c>
      <c r="R470" s="101" t="s">
        <v>393</v>
      </c>
      <c r="S470" s="101" t="s">
        <v>545</v>
      </c>
      <c r="T470" s="101" t="s">
        <v>394</v>
      </c>
      <c r="V470" s="245">
        <v>36525</v>
      </c>
      <c r="W470" s="101" t="s">
        <v>417</v>
      </c>
      <c r="X470" s="101" t="s">
        <v>77</v>
      </c>
      <c r="Y470" s="101" t="s">
        <v>396</v>
      </c>
      <c r="Z470" s="101" t="s">
        <v>426</v>
      </c>
      <c r="AA470" s="101" t="s">
        <v>397</v>
      </c>
      <c r="AB470" s="101">
        <v>5101000018</v>
      </c>
      <c r="AC470" s="101" t="s">
        <v>419</v>
      </c>
      <c r="AD470" s="101" t="s">
        <v>94</v>
      </c>
      <c r="AE470" s="101" t="s">
        <v>6</v>
      </c>
      <c r="AF470" s="101" t="s">
        <v>400</v>
      </c>
      <c r="AG470" s="101" t="s">
        <v>546</v>
      </c>
      <c r="AI470" s="101" t="s">
        <v>760</v>
      </c>
    </row>
    <row r="471" spans="1:35">
      <c r="A471" s="246" t="s">
        <v>101</v>
      </c>
      <c r="B471" s="246" t="s">
        <v>66</v>
      </c>
      <c r="C471" s="246" t="s">
        <v>126</v>
      </c>
      <c r="D471" s="246" t="s">
        <v>282</v>
      </c>
      <c r="E471" s="246"/>
      <c r="F471" s="246" t="s">
        <v>312</v>
      </c>
      <c r="G471" s="132">
        <v>0</v>
      </c>
      <c r="H471" s="132">
        <v>0</v>
      </c>
      <c r="I471" s="132">
        <v>0</v>
      </c>
      <c r="J471" s="101" t="s">
        <v>889</v>
      </c>
      <c r="K471" s="245" t="s">
        <v>390</v>
      </c>
      <c r="L471" s="245">
        <v>42501</v>
      </c>
      <c r="M471" s="245" t="s">
        <v>391</v>
      </c>
      <c r="N471" s="101">
        <v>0</v>
      </c>
      <c r="O471" s="101" t="s">
        <v>392</v>
      </c>
      <c r="P471" s="101">
        <v>0</v>
      </c>
      <c r="Q471" s="101">
        <v>0</v>
      </c>
      <c r="R471" s="101" t="s">
        <v>393</v>
      </c>
      <c r="S471" s="101" t="s">
        <v>545</v>
      </c>
      <c r="T471" s="101" t="s">
        <v>394</v>
      </c>
      <c r="V471" s="245">
        <v>36525</v>
      </c>
      <c r="W471" s="101" t="s">
        <v>417</v>
      </c>
      <c r="X471" s="101" t="s">
        <v>77</v>
      </c>
      <c r="Y471" s="101" t="s">
        <v>396</v>
      </c>
      <c r="Z471" s="101" t="s">
        <v>426</v>
      </c>
      <c r="AA471" s="101" t="s">
        <v>397</v>
      </c>
      <c r="AB471" s="101">
        <v>5101000018</v>
      </c>
      <c r="AC471" s="101" t="s">
        <v>419</v>
      </c>
      <c r="AD471" s="101" t="s">
        <v>94</v>
      </c>
      <c r="AE471" s="101" t="s">
        <v>6</v>
      </c>
      <c r="AF471" s="101" t="s">
        <v>400</v>
      </c>
      <c r="AG471" s="101" t="s">
        <v>547</v>
      </c>
      <c r="AI471" s="101" t="s">
        <v>760</v>
      </c>
    </row>
    <row r="472" spans="1:35">
      <c r="A472" s="246" t="s">
        <v>101</v>
      </c>
      <c r="B472" s="246" t="s">
        <v>66</v>
      </c>
      <c r="C472" s="246" t="s">
        <v>126</v>
      </c>
      <c r="D472" s="246" t="s">
        <v>282</v>
      </c>
      <c r="E472" s="246"/>
      <c r="F472" s="246" t="s">
        <v>312</v>
      </c>
      <c r="G472" s="132">
        <v>0</v>
      </c>
      <c r="H472" s="132">
        <v>0</v>
      </c>
      <c r="I472" s="132">
        <v>0</v>
      </c>
      <c r="J472" s="101" t="s">
        <v>889</v>
      </c>
      <c r="K472" s="245" t="s">
        <v>390</v>
      </c>
      <c r="L472" s="245">
        <v>42501</v>
      </c>
      <c r="M472" s="245" t="s">
        <v>391</v>
      </c>
      <c r="N472" s="101">
        <v>0</v>
      </c>
      <c r="O472" s="101" t="s">
        <v>392</v>
      </c>
      <c r="P472" s="101">
        <v>0</v>
      </c>
      <c r="Q472" s="101">
        <v>0</v>
      </c>
      <c r="R472" s="101" t="s">
        <v>393</v>
      </c>
      <c r="S472" s="101" t="s">
        <v>545</v>
      </c>
      <c r="T472" s="101" t="s">
        <v>394</v>
      </c>
      <c r="V472" s="245">
        <v>36525</v>
      </c>
      <c r="W472" s="101" t="s">
        <v>417</v>
      </c>
      <c r="X472" s="101" t="s">
        <v>77</v>
      </c>
      <c r="Y472" s="101" t="s">
        <v>396</v>
      </c>
      <c r="Z472" s="101" t="s">
        <v>426</v>
      </c>
      <c r="AA472" s="101" t="s">
        <v>397</v>
      </c>
      <c r="AB472" s="101">
        <v>5101000018</v>
      </c>
      <c r="AC472" s="101" t="s">
        <v>419</v>
      </c>
      <c r="AD472" s="101" t="s">
        <v>94</v>
      </c>
      <c r="AE472" s="101" t="s">
        <v>6</v>
      </c>
      <c r="AF472" s="101" t="s">
        <v>400</v>
      </c>
      <c r="AG472" s="101" t="s">
        <v>548</v>
      </c>
      <c r="AI472" s="101" t="s">
        <v>760</v>
      </c>
    </row>
    <row r="473" spans="1:35">
      <c r="A473" s="246" t="s">
        <v>101</v>
      </c>
      <c r="B473" s="246" t="s">
        <v>66</v>
      </c>
      <c r="C473" s="246" t="s">
        <v>126</v>
      </c>
      <c r="D473" s="246" t="s">
        <v>282</v>
      </c>
      <c r="E473" s="246"/>
      <c r="F473" s="246" t="s">
        <v>312</v>
      </c>
      <c r="G473" s="132">
        <v>0</v>
      </c>
      <c r="H473" s="132">
        <v>0</v>
      </c>
      <c r="I473" s="132">
        <v>0</v>
      </c>
      <c r="J473" s="101" t="s">
        <v>889</v>
      </c>
      <c r="K473" s="245" t="s">
        <v>390</v>
      </c>
      <c r="L473" s="245">
        <v>42501</v>
      </c>
      <c r="M473" s="245" t="s">
        <v>391</v>
      </c>
      <c r="N473" s="101">
        <v>0</v>
      </c>
      <c r="O473" s="101" t="s">
        <v>392</v>
      </c>
      <c r="P473" s="101">
        <v>0</v>
      </c>
      <c r="Q473" s="101">
        <v>0</v>
      </c>
      <c r="R473" s="101" t="s">
        <v>393</v>
      </c>
      <c r="S473" s="101" t="s">
        <v>545</v>
      </c>
      <c r="T473" s="101" t="s">
        <v>394</v>
      </c>
      <c r="V473" s="245">
        <v>36525</v>
      </c>
      <c r="W473" s="101" t="s">
        <v>417</v>
      </c>
      <c r="X473" s="101" t="s">
        <v>77</v>
      </c>
      <c r="Y473" s="101" t="s">
        <v>396</v>
      </c>
      <c r="Z473" s="101" t="s">
        <v>426</v>
      </c>
      <c r="AA473" s="101" t="s">
        <v>397</v>
      </c>
      <c r="AB473" s="101">
        <v>5101000018</v>
      </c>
      <c r="AC473" s="101" t="s">
        <v>419</v>
      </c>
      <c r="AD473" s="101" t="s">
        <v>94</v>
      </c>
      <c r="AE473" s="101" t="s">
        <v>6</v>
      </c>
      <c r="AF473" s="101" t="s">
        <v>400</v>
      </c>
      <c r="AG473" s="101" t="s">
        <v>549</v>
      </c>
      <c r="AI473" s="101" t="s">
        <v>760</v>
      </c>
    </row>
    <row r="474" spans="1:35">
      <c r="A474" s="246" t="s">
        <v>101</v>
      </c>
      <c r="B474" s="246" t="s">
        <v>66</v>
      </c>
      <c r="C474" s="246" t="s">
        <v>126</v>
      </c>
      <c r="D474" s="246" t="s">
        <v>282</v>
      </c>
      <c r="E474" s="246"/>
      <c r="F474" s="246" t="s">
        <v>312</v>
      </c>
      <c r="G474" s="132">
        <v>0</v>
      </c>
      <c r="H474" s="132">
        <v>0</v>
      </c>
      <c r="I474" s="132">
        <v>0</v>
      </c>
      <c r="J474" s="101" t="s">
        <v>889</v>
      </c>
      <c r="K474" s="245" t="s">
        <v>390</v>
      </c>
      <c r="L474" s="245">
        <v>42501</v>
      </c>
      <c r="M474" s="245" t="s">
        <v>391</v>
      </c>
      <c r="N474" s="101">
        <v>0</v>
      </c>
      <c r="O474" s="101" t="s">
        <v>392</v>
      </c>
      <c r="P474" s="101">
        <v>0</v>
      </c>
      <c r="Q474" s="101">
        <v>0</v>
      </c>
      <c r="R474" s="101" t="s">
        <v>393</v>
      </c>
      <c r="S474" s="101" t="s">
        <v>545</v>
      </c>
      <c r="T474" s="101" t="s">
        <v>394</v>
      </c>
      <c r="V474" s="245">
        <v>36525</v>
      </c>
      <c r="W474" s="101" t="s">
        <v>417</v>
      </c>
      <c r="X474" s="101" t="s">
        <v>77</v>
      </c>
      <c r="Y474" s="101" t="s">
        <v>396</v>
      </c>
      <c r="Z474" s="101" t="s">
        <v>426</v>
      </c>
      <c r="AA474" s="101" t="s">
        <v>397</v>
      </c>
      <c r="AB474" s="101">
        <v>5101000018</v>
      </c>
      <c r="AC474" s="101" t="s">
        <v>419</v>
      </c>
      <c r="AD474" s="101" t="s">
        <v>94</v>
      </c>
      <c r="AE474" s="101" t="s">
        <v>6</v>
      </c>
      <c r="AF474" s="101" t="s">
        <v>400</v>
      </c>
      <c r="AG474" s="101" t="s">
        <v>550</v>
      </c>
      <c r="AI474" s="101" t="s">
        <v>760</v>
      </c>
    </row>
    <row r="475" spans="1:35">
      <c r="A475" s="246" t="s">
        <v>101</v>
      </c>
      <c r="B475" s="246" t="s">
        <v>66</v>
      </c>
      <c r="C475" s="246" t="s">
        <v>126</v>
      </c>
      <c r="D475" s="246" t="s">
        <v>282</v>
      </c>
      <c r="E475" s="246"/>
      <c r="F475" s="246" t="s">
        <v>312</v>
      </c>
      <c r="G475" s="132">
        <v>0</v>
      </c>
      <c r="H475" s="132">
        <v>0</v>
      </c>
      <c r="I475" s="132">
        <v>0</v>
      </c>
      <c r="J475" s="101" t="s">
        <v>889</v>
      </c>
      <c r="K475" s="245" t="s">
        <v>390</v>
      </c>
      <c r="L475" s="245">
        <v>42501</v>
      </c>
      <c r="M475" s="245" t="s">
        <v>391</v>
      </c>
      <c r="N475" s="101">
        <v>0</v>
      </c>
      <c r="O475" s="101" t="s">
        <v>392</v>
      </c>
      <c r="P475" s="101">
        <v>0</v>
      </c>
      <c r="Q475" s="101">
        <v>0</v>
      </c>
      <c r="R475" s="101" t="s">
        <v>393</v>
      </c>
      <c r="S475" s="101" t="s">
        <v>545</v>
      </c>
      <c r="T475" s="101" t="s">
        <v>394</v>
      </c>
      <c r="V475" s="245">
        <v>36525</v>
      </c>
      <c r="W475" s="101" t="s">
        <v>417</v>
      </c>
      <c r="X475" s="101" t="s">
        <v>77</v>
      </c>
      <c r="Y475" s="101" t="s">
        <v>396</v>
      </c>
      <c r="Z475" s="101" t="s">
        <v>426</v>
      </c>
      <c r="AA475" s="101" t="s">
        <v>397</v>
      </c>
      <c r="AB475" s="101">
        <v>5101000018</v>
      </c>
      <c r="AC475" s="101" t="s">
        <v>419</v>
      </c>
      <c r="AD475" s="101" t="s">
        <v>94</v>
      </c>
      <c r="AE475" s="101" t="s">
        <v>6</v>
      </c>
      <c r="AF475" s="101" t="s">
        <v>400</v>
      </c>
      <c r="AG475" s="101" t="s">
        <v>551</v>
      </c>
      <c r="AI475" s="101" t="s">
        <v>760</v>
      </c>
    </row>
    <row r="476" spans="1:35">
      <c r="A476" s="246" t="s">
        <v>101</v>
      </c>
      <c r="B476" s="246" t="s">
        <v>66</v>
      </c>
      <c r="C476" s="246" t="s">
        <v>126</v>
      </c>
      <c r="D476" s="246" t="s">
        <v>282</v>
      </c>
      <c r="E476" s="246"/>
      <c r="F476" s="246" t="s">
        <v>312</v>
      </c>
      <c r="G476" s="132">
        <v>0</v>
      </c>
      <c r="H476" s="132">
        <v>0</v>
      </c>
      <c r="I476" s="132">
        <v>0</v>
      </c>
      <c r="J476" s="101" t="s">
        <v>889</v>
      </c>
      <c r="K476" s="245" t="s">
        <v>390</v>
      </c>
      <c r="L476" s="245">
        <v>42501</v>
      </c>
      <c r="M476" s="245" t="s">
        <v>391</v>
      </c>
      <c r="N476" s="101">
        <v>0</v>
      </c>
      <c r="O476" s="101" t="s">
        <v>392</v>
      </c>
      <c r="P476" s="101">
        <v>0</v>
      </c>
      <c r="Q476" s="101">
        <v>0</v>
      </c>
      <c r="R476" s="101" t="s">
        <v>393</v>
      </c>
      <c r="S476" s="101" t="s">
        <v>545</v>
      </c>
      <c r="T476" s="101" t="s">
        <v>394</v>
      </c>
      <c r="V476" s="245">
        <v>36525</v>
      </c>
      <c r="W476" s="101" t="s">
        <v>417</v>
      </c>
      <c r="X476" s="101" t="s">
        <v>77</v>
      </c>
      <c r="Y476" s="101" t="s">
        <v>396</v>
      </c>
      <c r="Z476" s="101" t="s">
        <v>426</v>
      </c>
      <c r="AA476" s="101" t="s">
        <v>397</v>
      </c>
      <c r="AB476" s="101">
        <v>5101000018</v>
      </c>
      <c r="AC476" s="101" t="s">
        <v>419</v>
      </c>
      <c r="AD476" s="101" t="s">
        <v>94</v>
      </c>
      <c r="AE476" s="101" t="s">
        <v>6</v>
      </c>
      <c r="AF476" s="101" t="s">
        <v>400</v>
      </c>
      <c r="AG476" s="101" t="s">
        <v>552</v>
      </c>
      <c r="AI476" s="101" t="s">
        <v>760</v>
      </c>
    </row>
    <row r="477" spans="1:35">
      <c r="A477" s="246" t="s">
        <v>101</v>
      </c>
      <c r="B477" s="246" t="s">
        <v>66</v>
      </c>
      <c r="C477" s="246" t="s">
        <v>126</v>
      </c>
      <c r="D477" s="246" t="s">
        <v>282</v>
      </c>
      <c r="E477" s="246"/>
      <c r="F477" s="246" t="s">
        <v>312</v>
      </c>
      <c r="G477" s="132">
        <v>0</v>
      </c>
      <c r="H477" s="132">
        <v>0</v>
      </c>
      <c r="I477" s="132">
        <v>0</v>
      </c>
      <c r="J477" s="101" t="s">
        <v>889</v>
      </c>
      <c r="K477" s="245" t="s">
        <v>390</v>
      </c>
      <c r="L477" s="245">
        <v>42501</v>
      </c>
      <c r="M477" s="245" t="s">
        <v>391</v>
      </c>
      <c r="N477" s="101">
        <v>0</v>
      </c>
      <c r="O477" s="101" t="s">
        <v>392</v>
      </c>
      <c r="P477" s="101">
        <v>0</v>
      </c>
      <c r="Q477" s="101">
        <v>0</v>
      </c>
      <c r="R477" s="101" t="s">
        <v>393</v>
      </c>
      <c r="S477" s="101" t="s">
        <v>545</v>
      </c>
      <c r="T477" s="101" t="s">
        <v>394</v>
      </c>
      <c r="V477" s="245">
        <v>36525</v>
      </c>
      <c r="W477" s="101" t="s">
        <v>417</v>
      </c>
      <c r="X477" s="101" t="s">
        <v>77</v>
      </c>
      <c r="Y477" s="101" t="s">
        <v>396</v>
      </c>
      <c r="Z477" s="101" t="s">
        <v>426</v>
      </c>
      <c r="AA477" s="101" t="s">
        <v>397</v>
      </c>
      <c r="AB477" s="101">
        <v>5101000018</v>
      </c>
      <c r="AC477" s="101" t="s">
        <v>419</v>
      </c>
      <c r="AD477" s="101" t="s">
        <v>94</v>
      </c>
      <c r="AE477" s="101" t="s">
        <v>6</v>
      </c>
      <c r="AF477" s="101" t="s">
        <v>400</v>
      </c>
      <c r="AG477" s="101" t="s">
        <v>553</v>
      </c>
      <c r="AI477" s="101" t="s">
        <v>760</v>
      </c>
    </row>
    <row r="478" spans="1:35">
      <c r="A478" s="246" t="s">
        <v>101</v>
      </c>
      <c r="B478" s="246" t="s">
        <v>66</v>
      </c>
      <c r="C478" s="246" t="s">
        <v>126</v>
      </c>
      <c r="D478" s="246" t="s">
        <v>282</v>
      </c>
      <c r="E478" s="246"/>
      <c r="F478" s="246" t="s">
        <v>312</v>
      </c>
      <c r="G478" s="132">
        <v>0</v>
      </c>
      <c r="H478" s="132">
        <v>0</v>
      </c>
      <c r="I478" s="132">
        <v>0</v>
      </c>
      <c r="J478" s="101" t="s">
        <v>889</v>
      </c>
      <c r="K478" s="245" t="s">
        <v>390</v>
      </c>
      <c r="L478" s="245">
        <v>42501</v>
      </c>
      <c r="M478" s="245" t="s">
        <v>391</v>
      </c>
      <c r="N478" s="101">
        <v>0</v>
      </c>
      <c r="O478" s="101" t="s">
        <v>392</v>
      </c>
      <c r="P478" s="101">
        <v>0</v>
      </c>
      <c r="Q478" s="101">
        <v>0</v>
      </c>
      <c r="R478" s="101" t="s">
        <v>393</v>
      </c>
      <c r="S478" s="101" t="s">
        <v>545</v>
      </c>
      <c r="T478" s="101" t="s">
        <v>394</v>
      </c>
      <c r="V478" s="245">
        <v>36525</v>
      </c>
      <c r="W478" s="101" t="s">
        <v>417</v>
      </c>
      <c r="X478" s="101" t="s">
        <v>77</v>
      </c>
      <c r="Y478" s="101" t="s">
        <v>396</v>
      </c>
      <c r="Z478" s="101" t="s">
        <v>426</v>
      </c>
      <c r="AA478" s="101" t="s">
        <v>397</v>
      </c>
      <c r="AB478" s="101">
        <v>5101000018</v>
      </c>
      <c r="AC478" s="101" t="s">
        <v>419</v>
      </c>
      <c r="AD478" s="101" t="s">
        <v>94</v>
      </c>
      <c r="AE478" s="101" t="s">
        <v>6</v>
      </c>
      <c r="AF478" s="101" t="s">
        <v>400</v>
      </c>
      <c r="AG478" s="101" t="s">
        <v>554</v>
      </c>
      <c r="AI478" s="101" t="s">
        <v>760</v>
      </c>
    </row>
    <row r="479" spans="1:35">
      <c r="A479" s="246" t="s">
        <v>101</v>
      </c>
      <c r="B479" s="246" t="s">
        <v>66</v>
      </c>
      <c r="C479" s="246" t="s">
        <v>126</v>
      </c>
      <c r="D479" s="246" t="s">
        <v>282</v>
      </c>
      <c r="E479" s="246"/>
      <c r="F479" s="246" t="s">
        <v>312</v>
      </c>
      <c r="G479" s="132">
        <v>0</v>
      </c>
      <c r="H479" s="132">
        <v>0</v>
      </c>
      <c r="I479" s="132">
        <v>0</v>
      </c>
      <c r="J479" s="101" t="s">
        <v>889</v>
      </c>
      <c r="K479" s="245" t="s">
        <v>390</v>
      </c>
      <c r="L479" s="245">
        <v>42501</v>
      </c>
      <c r="M479" s="245" t="s">
        <v>391</v>
      </c>
      <c r="N479" s="101">
        <v>0</v>
      </c>
      <c r="O479" s="101" t="s">
        <v>392</v>
      </c>
      <c r="P479" s="101">
        <v>0</v>
      </c>
      <c r="Q479" s="101">
        <v>0</v>
      </c>
      <c r="R479" s="101" t="s">
        <v>393</v>
      </c>
      <c r="S479" s="101" t="s">
        <v>545</v>
      </c>
      <c r="T479" s="101" t="s">
        <v>394</v>
      </c>
      <c r="V479" s="245">
        <v>36525</v>
      </c>
      <c r="W479" s="101" t="s">
        <v>417</v>
      </c>
      <c r="X479" s="101" t="s">
        <v>77</v>
      </c>
      <c r="Y479" s="101" t="s">
        <v>396</v>
      </c>
      <c r="Z479" s="101" t="s">
        <v>426</v>
      </c>
      <c r="AA479" s="101" t="s">
        <v>397</v>
      </c>
      <c r="AB479" s="101">
        <v>5101000018</v>
      </c>
      <c r="AC479" s="101" t="s">
        <v>419</v>
      </c>
      <c r="AD479" s="101" t="s">
        <v>94</v>
      </c>
      <c r="AE479" s="101" t="s">
        <v>6</v>
      </c>
      <c r="AF479" s="101" t="s">
        <v>400</v>
      </c>
      <c r="AG479" s="101" t="s">
        <v>555</v>
      </c>
      <c r="AI479" s="101" t="s">
        <v>760</v>
      </c>
    </row>
    <row r="480" spans="1:35">
      <c r="A480" s="246" t="s">
        <v>110</v>
      </c>
      <c r="B480" s="246" t="s">
        <v>66</v>
      </c>
      <c r="C480" s="246" t="s">
        <v>126</v>
      </c>
      <c r="D480" s="246" t="s">
        <v>281</v>
      </c>
      <c r="E480" s="246"/>
      <c r="F480" s="246" t="s">
        <v>276</v>
      </c>
      <c r="G480" s="132">
        <v>0</v>
      </c>
      <c r="H480" s="132">
        <v>0</v>
      </c>
      <c r="I480" s="132">
        <v>0</v>
      </c>
      <c r="J480" s="101" t="s">
        <v>889</v>
      </c>
      <c r="K480" s="245" t="s">
        <v>390</v>
      </c>
      <c r="L480" s="245">
        <v>42674</v>
      </c>
      <c r="M480" s="245" t="s">
        <v>391</v>
      </c>
      <c r="N480" s="101">
        <v>0</v>
      </c>
      <c r="O480" s="101" t="s">
        <v>392</v>
      </c>
      <c r="P480" s="101">
        <v>0</v>
      </c>
      <c r="Q480" s="101">
        <v>0</v>
      </c>
      <c r="R480" s="101" t="s">
        <v>393</v>
      </c>
      <c r="S480" s="101" t="s">
        <v>1305</v>
      </c>
      <c r="T480" s="101" t="s">
        <v>394</v>
      </c>
      <c r="V480" s="245">
        <v>36525</v>
      </c>
      <c r="W480" s="101" t="s">
        <v>424</v>
      </c>
      <c r="X480" s="101" t="s">
        <v>425</v>
      </c>
      <c r="Y480" s="101" t="s">
        <v>396</v>
      </c>
      <c r="Z480" s="101" t="s">
        <v>426</v>
      </c>
      <c r="AA480" s="101" t="s">
        <v>397</v>
      </c>
      <c r="AB480" s="101">
        <v>5101000018</v>
      </c>
      <c r="AC480" s="101" t="s">
        <v>419</v>
      </c>
      <c r="AD480" s="101" t="s">
        <v>94</v>
      </c>
      <c r="AE480" s="101" t="s">
        <v>6</v>
      </c>
      <c r="AF480" s="101" t="s">
        <v>400</v>
      </c>
      <c r="AG480" s="101" t="s">
        <v>567</v>
      </c>
      <c r="AI480" s="101" t="s">
        <v>760</v>
      </c>
    </row>
    <row r="481" spans="1:35">
      <c r="A481" s="246" t="s">
        <v>107</v>
      </c>
      <c r="B481" s="246" t="s">
        <v>78</v>
      </c>
      <c r="C481" s="246" t="s">
        <v>126</v>
      </c>
      <c r="D481" s="246" t="s">
        <v>772</v>
      </c>
      <c r="E481" s="246" t="s">
        <v>773</v>
      </c>
      <c r="F481" s="246" t="s">
        <v>334</v>
      </c>
      <c r="G481" s="132" t="s">
        <v>854</v>
      </c>
      <c r="H481" s="132" t="s">
        <v>1306</v>
      </c>
      <c r="I481" s="132">
        <v>-587.09</v>
      </c>
      <c r="J481" s="101" t="s">
        <v>889</v>
      </c>
      <c r="K481" s="245" t="s">
        <v>390</v>
      </c>
      <c r="L481" s="245">
        <v>42522</v>
      </c>
      <c r="M481" s="245" t="s">
        <v>391</v>
      </c>
      <c r="N481" s="101">
        <v>0</v>
      </c>
      <c r="O481" s="101" t="s">
        <v>392</v>
      </c>
      <c r="P481" s="101">
        <v>0</v>
      </c>
      <c r="Q481" s="101">
        <v>0</v>
      </c>
      <c r="R481" s="101" t="s">
        <v>393</v>
      </c>
      <c r="S481" s="101" t="s">
        <v>855</v>
      </c>
      <c r="T481" s="101" t="s">
        <v>394</v>
      </c>
      <c r="V481" s="245">
        <v>13697</v>
      </c>
      <c r="W481" s="101" t="s">
        <v>395</v>
      </c>
      <c r="X481" s="101" t="s">
        <v>795</v>
      </c>
      <c r="Y481" s="101" t="s">
        <v>396</v>
      </c>
      <c r="Z481" s="101" t="s">
        <v>402</v>
      </c>
      <c r="AA481" s="101" t="s">
        <v>78</v>
      </c>
      <c r="AB481" s="101">
        <v>4101000279</v>
      </c>
      <c r="AC481" s="101" t="s">
        <v>398</v>
      </c>
      <c r="AD481" s="101" t="s">
        <v>403</v>
      </c>
      <c r="AE481" s="101" t="s">
        <v>6</v>
      </c>
      <c r="AF481" s="101" t="s">
        <v>400</v>
      </c>
      <c r="AI481" s="101" t="s">
        <v>760</v>
      </c>
    </row>
    <row r="482" spans="1:35">
      <c r="A482" s="246" t="s">
        <v>109</v>
      </c>
      <c r="B482" s="246" t="s">
        <v>78</v>
      </c>
      <c r="C482" s="246" t="s">
        <v>126</v>
      </c>
      <c r="D482" s="246" t="s">
        <v>337</v>
      </c>
      <c r="E482" s="246" t="s">
        <v>336</v>
      </c>
      <c r="F482" s="246" t="s">
        <v>275</v>
      </c>
      <c r="G482" s="132" t="s">
        <v>1307</v>
      </c>
      <c r="H482" s="132" t="s">
        <v>1308</v>
      </c>
      <c r="I482" s="132">
        <v>-641.92999999999995</v>
      </c>
      <c r="J482" s="101" t="s">
        <v>889</v>
      </c>
      <c r="K482" s="245" t="s">
        <v>390</v>
      </c>
      <c r="L482" s="245">
        <v>42552</v>
      </c>
      <c r="M482" s="245" t="s">
        <v>391</v>
      </c>
      <c r="N482" s="101">
        <v>0</v>
      </c>
      <c r="O482" s="101" t="s">
        <v>392</v>
      </c>
      <c r="P482" s="101">
        <v>0</v>
      </c>
      <c r="Q482" s="101">
        <v>0</v>
      </c>
      <c r="R482" s="101" t="s">
        <v>393</v>
      </c>
      <c r="S482" s="101" t="s">
        <v>855</v>
      </c>
      <c r="T482" s="101" t="s">
        <v>394</v>
      </c>
      <c r="V482" s="245">
        <v>13697</v>
      </c>
      <c r="W482" s="101" t="s">
        <v>395</v>
      </c>
      <c r="X482" s="101" t="s">
        <v>795</v>
      </c>
      <c r="Y482" s="101" t="s">
        <v>396</v>
      </c>
      <c r="Z482" s="101" t="s">
        <v>402</v>
      </c>
      <c r="AA482" s="101" t="s">
        <v>78</v>
      </c>
      <c r="AB482" s="101">
        <v>4101000279</v>
      </c>
      <c r="AC482" s="101" t="s">
        <v>398</v>
      </c>
      <c r="AD482" s="101" t="s">
        <v>403</v>
      </c>
      <c r="AE482" s="101" t="s">
        <v>6</v>
      </c>
      <c r="AF482" s="101" t="s">
        <v>400</v>
      </c>
      <c r="AI482" s="101" t="s">
        <v>760</v>
      </c>
    </row>
    <row r="483" spans="1:35">
      <c r="A483" s="246" t="s">
        <v>109</v>
      </c>
      <c r="B483" s="246" t="s">
        <v>78</v>
      </c>
      <c r="C483" s="246" t="s">
        <v>126</v>
      </c>
      <c r="D483" s="246" t="s">
        <v>337</v>
      </c>
      <c r="E483" s="246" t="s">
        <v>336</v>
      </c>
      <c r="F483" s="246" t="s">
        <v>275</v>
      </c>
      <c r="G483" s="132" t="s">
        <v>1309</v>
      </c>
      <c r="H483" s="132" t="s">
        <v>1310</v>
      </c>
      <c r="I483" s="132">
        <v>-693.66</v>
      </c>
      <c r="J483" s="101" t="s">
        <v>889</v>
      </c>
      <c r="K483" s="245" t="s">
        <v>390</v>
      </c>
      <c r="L483" s="245">
        <v>42583</v>
      </c>
      <c r="M483" s="245" t="s">
        <v>391</v>
      </c>
      <c r="N483" s="101">
        <v>0</v>
      </c>
      <c r="O483" s="101" t="s">
        <v>392</v>
      </c>
      <c r="P483" s="101">
        <v>0</v>
      </c>
      <c r="Q483" s="101">
        <v>0</v>
      </c>
      <c r="R483" s="101" t="s">
        <v>393</v>
      </c>
      <c r="S483" s="101" t="s">
        <v>855</v>
      </c>
      <c r="T483" s="101" t="s">
        <v>394</v>
      </c>
      <c r="V483" s="245">
        <v>13697</v>
      </c>
      <c r="W483" s="101" t="s">
        <v>395</v>
      </c>
      <c r="X483" s="101" t="s">
        <v>795</v>
      </c>
      <c r="Y483" s="101" t="s">
        <v>396</v>
      </c>
      <c r="Z483" s="101" t="s">
        <v>402</v>
      </c>
      <c r="AA483" s="101" t="s">
        <v>78</v>
      </c>
      <c r="AB483" s="101">
        <v>4101000279</v>
      </c>
      <c r="AC483" s="101" t="s">
        <v>398</v>
      </c>
      <c r="AD483" s="101" t="s">
        <v>403</v>
      </c>
      <c r="AE483" s="101" t="s">
        <v>6</v>
      </c>
      <c r="AF483" s="101" t="s">
        <v>400</v>
      </c>
      <c r="AI483" s="101" t="s">
        <v>760</v>
      </c>
    </row>
    <row r="484" spans="1:35">
      <c r="A484" s="246" t="s">
        <v>110</v>
      </c>
      <c r="B484" s="246" t="s">
        <v>78</v>
      </c>
      <c r="C484" s="246" t="s">
        <v>126</v>
      </c>
      <c r="D484" s="246" t="s">
        <v>770</v>
      </c>
      <c r="E484" s="246" t="s">
        <v>771</v>
      </c>
      <c r="F484" s="246" t="s">
        <v>276</v>
      </c>
      <c r="G484" s="132" t="s">
        <v>1311</v>
      </c>
      <c r="H484" s="132" t="s">
        <v>1312</v>
      </c>
      <c r="I484" s="132">
        <v>-954.64</v>
      </c>
      <c r="J484" s="101" t="s">
        <v>889</v>
      </c>
      <c r="K484" s="245" t="s">
        <v>390</v>
      </c>
      <c r="L484" s="245">
        <v>42614</v>
      </c>
      <c r="M484" s="245" t="s">
        <v>391</v>
      </c>
      <c r="N484" s="101">
        <v>0</v>
      </c>
      <c r="O484" s="101" t="s">
        <v>392</v>
      </c>
      <c r="P484" s="101">
        <v>0</v>
      </c>
      <c r="Q484" s="101">
        <v>0</v>
      </c>
      <c r="R484" s="101" t="s">
        <v>393</v>
      </c>
      <c r="S484" s="101" t="s">
        <v>855</v>
      </c>
      <c r="T484" s="101" t="s">
        <v>394</v>
      </c>
      <c r="V484" s="245">
        <v>13697</v>
      </c>
      <c r="W484" s="101" t="s">
        <v>395</v>
      </c>
      <c r="X484" s="101" t="s">
        <v>795</v>
      </c>
      <c r="Y484" s="101" t="s">
        <v>396</v>
      </c>
      <c r="Z484" s="101" t="s">
        <v>402</v>
      </c>
      <c r="AA484" s="101" t="s">
        <v>78</v>
      </c>
      <c r="AB484" s="101">
        <v>4101000279</v>
      </c>
      <c r="AC484" s="101" t="s">
        <v>398</v>
      </c>
      <c r="AD484" s="101" t="s">
        <v>403</v>
      </c>
      <c r="AE484" s="101" t="s">
        <v>6</v>
      </c>
      <c r="AF484" s="101" t="s">
        <v>400</v>
      </c>
      <c r="AI484" s="101" t="s">
        <v>760</v>
      </c>
    </row>
    <row r="485" spans="1:35">
      <c r="A485" s="246" t="s">
        <v>110</v>
      </c>
      <c r="B485" s="246" t="s">
        <v>78</v>
      </c>
      <c r="C485" s="246" t="s">
        <v>126</v>
      </c>
      <c r="D485" s="246" t="s">
        <v>770</v>
      </c>
      <c r="E485" s="246" t="s">
        <v>771</v>
      </c>
      <c r="F485" s="246" t="s">
        <v>276</v>
      </c>
      <c r="G485" s="132" t="s">
        <v>1313</v>
      </c>
      <c r="H485" s="132" t="s">
        <v>1314</v>
      </c>
      <c r="I485" s="132">
        <v>-1131.3399999999999</v>
      </c>
      <c r="J485" s="101" t="s">
        <v>889</v>
      </c>
      <c r="K485" s="245" t="s">
        <v>390</v>
      </c>
      <c r="L485" s="245">
        <v>42646</v>
      </c>
      <c r="M485" s="245" t="s">
        <v>391</v>
      </c>
      <c r="N485" s="101">
        <v>0</v>
      </c>
      <c r="O485" s="101" t="s">
        <v>392</v>
      </c>
      <c r="P485" s="101">
        <v>0</v>
      </c>
      <c r="Q485" s="101">
        <v>0</v>
      </c>
      <c r="R485" s="101" t="s">
        <v>393</v>
      </c>
      <c r="S485" s="101" t="s">
        <v>855</v>
      </c>
      <c r="T485" s="101" t="s">
        <v>394</v>
      </c>
      <c r="V485" s="245">
        <v>13697</v>
      </c>
      <c r="W485" s="101" t="s">
        <v>395</v>
      </c>
      <c r="X485" s="101" t="s">
        <v>795</v>
      </c>
      <c r="Y485" s="101" t="s">
        <v>396</v>
      </c>
      <c r="Z485" s="101" t="s">
        <v>402</v>
      </c>
      <c r="AA485" s="101" t="s">
        <v>78</v>
      </c>
      <c r="AB485" s="101">
        <v>4101000279</v>
      </c>
      <c r="AC485" s="101" t="s">
        <v>398</v>
      </c>
      <c r="AD485" s="101" t="s">
        <v>403</v>
      </c>
      <c r="AE485" s="101" t="s">
        <v>6</v>
      </c>
      <c r="AF485" s="101" t="s">
        <v>400</v>
      </c>
      <c r="AI485" s="101" t="s">
        <v>760</v>
      </c>
    </row>
    <row r="486" spans="1:35">
      <c r="A486" s="246" t="s">
        <v>110</v>
      </c>
      <c r="B486" s="246" t="s">
        <v>78</v>
      </c>
      <c r="C486" s="246" t="s">
        <v>126</v>
      </c>
      <c r="D486" s="246" t="s">
        <v>770</v>
      </c>
      <c r="E486" s="246" t="s">
        <v>771</v>
      </c>
      <c r="F486" s="246" t="s">
        <v>276</v>
      </c>
      <c r="G486" s="132" t="s">
        <v>1315</v>
      </c>
      <c r="H486" s="132" t="s">
        <v>1316</v>
      </c>
      <c r="I486" s="132">
        <v>-1025.2199999999998</v>
      </c>
      <c r="J486" s="101" t="s">
        <v>889</v>
      </c>
      <c r="K486" s="245" t="s">
        <v>390</v>
      </c>
      <c r="L486" s="245">
        <v>42675</v>
      </c>
      <c r="M486" s="245" t="s">
        <v>391</v>
      </c>
      <c r="N486" s="101">
        <v>0</v>
      </c>
      <c r="O486" s="101" t="s">
        <v>392</v>
      </c>
      <c r="P486" s="101">
        <v>0</v>
      </c>
      <c r="Q486" s="101">
        <v>0</v>
      </c>
      <c r="R486" s="101" t="s">
        <v>393</v>
      </c>
      <c r="S486" s="101" t="s">
        <v>855</v>
      </c>
      <c r="T486" s="101" t="s">
        <v>394</v>
      </c>
      <c r="V486" s="245">
        <v>13697</v>
      </c>
      <c r="W486" s="101" t="s">
        <v>395</v>
      </c>
      <c r="X486" s="101" t="s">
        <v>795</v>
      </c>
      <c r="Y486" s="101" t="s">
        <v>396</v>
      </c>
      <c r="Z486" s="101" t="s">
        <v>402</v>
      </c>
      <c r="AA486" s="101" t="s">
        <v>78</v>
      </c>
      <c r="AB486" s="101">
        <v>4101000279</v>
      </c>
      <c r="AC486" s="101" t="s">
        <v>398</v>
      </c>
      <c r="AD486" s="101" t="s">
        <v>403</v>
      </c>
      <c r="AE486" s="101" t="s">
        <v>6</v>
      </c>
      <c r="AF486" s="101" t="s">
        <v>400</v>
      </c>
      <c r="AI486" s="101" t="s">
        <v>760</v>
      </c>
    </row>
    <row r="487" spans="1:35">
      <c r="A487" s="246" t="s">
        <v>111</v>
      </c>
      <c r="B487" s="246" t="s">
        <v>78</v>
      </c>
      <c r="C487" s="246" t="s">
        <v>126</v>
      </c>
      <c r="D487" s="246" t="s">
        <v>768</v>
      </c>
      <c r="E487" s="246" t="s">
        <v>769</v>
      </c>
      <c r="F487" s="246" t="s">
        <v>277</v>
      </c>
      <c r="G487" s="132" t="s">
        <v>1317</v>
      </c>
      <c r="H487" s="132" t="s">
        <v>1318</v>
      </c>
      <c r="I487" s="132">
        <v>-1328.35</v>
      </c>
      <c r="J487" s="101" t="s">
        <v>889</v>
      </c>
      <c r="K487" s="245" t="s">
        <v>390</v>
      </c>
      <c r="L487" s="245">
        <v>42705</v>
      </c>
      <c r="M487" s="245" t="s">
        <v>391</v>
      </c>
      <c r="N487" s="101">
        <v>0</v>
      </c>
      <c r="O487" s="101" t="s">
        <v>392</v>
      </c>
      <c r="P487" s="101">
        <v>0</v>
      </c>
      <c r="Q487" s="101">
        <v>0</v>
      </c>
      <c r="R487" s="101" t="s">
        <v>393</v>
      </c>
      <c r="S487" s="101" t="s">
        <v>855</v>
      </c>
      <c r="T487" s="101" t="s">
        <v>394</v>
      </c>
      <c r="V487" s="245">
        <v>13697</v>
      </c>
      <c r="W487" s="101" t="s">
        <v>395</v>
      </c>
      <c r="X487" s="101" t="s">
        <v>795</v>
      </c>
      <c r="Y487" s="101" t="s">
        <v>396</v>
      </c>
      <c r="Z487" s="101" t="s">
        <v>402</v>
      </c>
      <c r="AA487" s="101" t="s">
        <v>78</v>
      </c>
      <c r="AB487" s="101">
        <v>4101000279</v>
      </c>
      <c r="AC487" s="101" t="s">
        <v>398</v>
      </c>
      <c r="AD487" s="101" t="s">
        <v>403</v>
      </c>
      <c r="AE487" s="101" t="s">
        <v>6</v>
      </c>
      <c r="AF487" s="101" t="s">
        <v>400</v>
      </c>
      <c r="AI487" s="101" t="s">
        <v>760</v>
      </c>
    </row>
    <row r="488" spans="1:35">
      <c r="A488" s="246" t="s">
        <v>111</v>
      </c>
      <c r="B488" s="246" t="s">
        <v>78</v>
      </c>
      <c r="C488" s="246" t="s">
        <v>126</v>
      </c>
      <c r="D488" s="246" t="s">
        <v>768</v>
      </c>
      <c r="E488" s="246" t="s">
        <v>769</v>
      </c>
      <c r="F488" s="246" t="s">
        <v>277</v>
      </c>
      <c r="G488" s="132" t="s">
        <v>1319</v>
      </c>
      <c r="H488" s="132" t="s">
        <v>1320</v>
      </c>
      <c r="I488" s="132">
        <v>-1686.52</v>
      </c>
      <c r="J488" s="101" t="s">
        <v>889</v>
      </c>
      <c r="K488" s="245" t="s">
        <v>390</v>
      </c>
      <c r="L488" s="245">
        <v>42738</v>
      </c>
      <c r="M488" s="245" t="s">
        <v>391</v>
      </c>
      <c r="N488" s="101">
        <v>0</v>
      </c>
      <c r="O488" s="101" t="s">
        <v>392</v>
      </c>
      <c r="P488" s="101">
        <v>0</v>
      </c>
      <c r="Q488" s="101">
        <v>0</v>
      </c>
      <c r="R488" s="101" t="s">
        <v>393</v>
      </c>
      <c r="S488" s="101" t="s">
        <v>855</v>
      </c>
      <c r="T488" s="101" t="s">
        <v>394</v>
      </c>
      <c r="V488" s="245">
        <v>13697</v>
      </c>
      <c r="W488" s="101" t="s">
        <v>395</v>
      </c>
      <c r="X488" s="101" t="s">
        <v>795</v>
      </c>
      <c r="Y488" s="101" t="s">
        <v>396</v>
      </c>
      <c r="Z488" s="101" t="s">
        <v>402</v>
      </c>
      <c r="AA488" s="101" t="s">
        <v>78</v>
      </c>
      <c r="AB488" s="101">
        <v>4101000279</v>
      </c>
      <c r="AC488" s="101" t="s">
        <v>398</v>
      </c>
      <c r="AD488" s="101" t="s">
        <v>403</v>
      </c>
      <c r="AE488" s="101" t="s">
        <v>6</v>
      </c>
      <c r="AF488" s="101" t="s">
        <v>400</v>
      </c>
      <c r="AI488" s="101" t="s">
        <v>760</v>
      </c>
    </row>
    <row r="489" spans="1:35">
      <c r="A489" s="246" t="s">
        <v>111</v>
      </c>
      <c r="B489" s="246" t="s">
        <v>78</v>
      </c>
      <c r="C489" s="246" t="s">
        <v>126</v>
      </c>
      <c r="D489" s="246" t="s">
        <v>768</v>
      </c>
      <c r="E489" s="246" t="s">
        <v>769</v>
      </c>
      <c r="F489" s="246" t="s">
        <v>277</v>
      </c>
      <c r="G489" s="132" t="s">
        <v>1321</v>
      </c>
      <c r="H489" s="132" t="s">
        <v>1322</v>
      </c>
      <c r="I489" s="132">
        <v>-1481.98</v>
      </c>
      <c r="J489" s="101" t="s">
        <v>889</v>
      </c>
      <c r="K489" s="245" t="s">
        <v>390</v>
      </c>
      <c r="L489" s="245">
        <v>42767</v>
      </c>
      <c r="M489" s="245" t="s">
        <v>391</v>
      </c>
      <c r="N489" s="101">
        <v>0</v>
      </c>
      <c r="O489" s="101" t="s">
        <v>392</v>
      </c>
      <c r="P489" s="101">
        <v>0</v>
      </c>
      <c r="Q489" s="101">
        <v>0</v>
      </c>
      <c r="R489" s="101" t="s">
        <v>393</v>
      </c>
      <c r="S489" s="101" t="s">
        <v>855</v>
      </c>
      <c r="T489" s="101" t="s">
        <v>394</v>
      </c>
      <c r="V489" s="245">
        <v>13697</v>
      </c>
      <c r="W489" s="101" t="s">
        <v>395</v>
      </c>
      <c r="X489" s="101" t="s">
        <v>795</v>
      </c>
      <c r="Y489" s="101" t="s">
        <v>396</v>
      </c>
      <c r="Z489" s="101" t="s">
        <v>402</v>
      </c>
      <c r="AA489" s="101" t="s">
        <v>78</v>
      </c>
      <c r="AB489" s="101">
        <v>4101000279</v>
      </c>
      <c r="AC489" s="101" t="s">
        <v>398</v>
      </c>
      <c r="AD489" s="101" t="s">
        <v>403</v>
      </c>
      <c r="AE489" s="101" t="s">
        <v>6</v>
      </c>
      <c r="AF489" s="101" t="s">
        <v>400</v>
      </c>
      <c r="AI489" s="101" t="s">
        <v>760</v>
      </c>
    </row>
    <row r="490" spans="1:35">
      <c r="A490" s="246" t="s">
        <v>111</v>
      </c>
      <c r="B490" s="246" t="s">
        <v>78</v>
      </c>
      <c r="C490" s="246" t="s">
        <v>126</v>
      </c>
      <c r="D490" s="246" t="s">
        <v>768</v>
      </c>
      <c r="E490" s="246" t="s">
        <v>769</v>
      </c>
      <c r="F490" s="246" t="s">
        <v>277</v>
      </c>
      <c r="G490" s="132" t="s">
        <v>1323</v>
      </c>
      <c r="H490" s="132" t="s">
        <v>1324</v>
      </c>
      <c r="I490" s="132">
        <v>-1724.8700000000001</v>
      </c>
      <c r="J490" s="101" t="s">
        <v>889</v>
      </c>
      <c r="K490" s="245" t="s">
        <v>390</v>
      </c>
      <c r="L490" s="245">
        <v>42795</v>
      </c>
      <c r="M490" s="245" t="s">
        <v>391</v>
      </c>
      <c r="N490" s="101">
        <v>0</v>
      </c>
      <c r="O490" s="101" t="s">
        <v>392</v>
      </c>
      <c r="P490" s="101">
        <v>0</v>
      </c>
      <c r="Q490" s="101">
        <v>0</v>
      </c>
      <c r="R490" s="101" t="s">
        <v>393</v>
      </c>
      <c r="S490" s="101" t="s">
        <v>855</v>
      </c>
      <c r="T490" s="101" t="s">
        <v>394</v>
      </c>
      <c r="V490" s="245">
        <v>13697</v>
      </c>
      <c r="W490" s="101" t="s">
        <v>395</v>
      </c>
      <c r="X490" s="101" t="s">
        <v>795</v>
      </c>
      <c r="Y490" s="101" t="s">
        <v>396</v>
      </c>
      <c r="Z490" s="101" t="s">
        <v>402</v>
      </c>
      <c r="AA490" s="101" t="s">
        <v>78</v>
      </c>
      <c r="AB490" s="101">
        <v>4101000279</v>
      </c>
      <c r="AC490" s="101" t="s">
        <v>398</v>
      </c>
      <c r="AD490" s="101" t="s">
        <v>403</v>
      </c>
      <c r="AE490" s="101" t="s">
        <v>6</v>
      </c>
      <c r="AF490" s="101" t="s">
        <v>400</v>
      </c>
      <c r="AI490" s="101" t="s">
        <v>760</v>
      </c>
    </row>
    <row r="491" spans="1:35">
      <c r="A491" s="246" t="s">
        <v>111</v>
      </c>
      <c r="B491" s="246" t="s">
        <v>78</v>
      </c>
      <c r="C491" s="246" t="s">
        <v>126</v>
      </c>
      <c r="D491" s="246" t="s">
        <v>768</v>
      </c>
      <c r="E491" s="246" t="s">
        <v>769</v>
      </c>
      <c r="F491" s="246" t="s">
        <v>277</v>
      </c>
      <c r="G491" s="132" t="s">
        <v>1325</v>
      </c>
      <c r="H491" s="132" t="s">
        <v>1326</v>
      </c>
      <c r="I491" s="132">
        <v>-2292.98</v>
      </c>
      <c r="J491" s="101" t="s">
        <v>889</v>
      </c>
      <c r="K491" s="245" t="s">
        <v>390</v>
      </c>
      <c r="L491" s="245">
        <v>42828</v>
      </c>
      <c r="M491" s="245" t="s">
        <v>391</v>
      </c>
      <c r="N491" s="101">
        <v>0</v>
      </c>
      <c r="O491" s="101" t="s">
        <v>392</v>
      </c>
      <c r="P491" s="101">
        <v>0</v>
      </c>
      <c r="Q491" s="101">
        <v>0</v>
      </c>
      <c r="R491" s="101" t="s">
        <v>393</v>
      </c>
      <c r="S491" s="101" t="s">
        <v>855</v>
      </c>
      <c r="T491" s="101" t="s">
        <v>394</v>
      </c>
      <c r="V491" s="245">
        <v>13697</v>
      </c>
      <c r="W491" s="101" t="s">
        <v>395</v>
      </c>
      <c r="X491" s="101" t="s">
        <v>795</v>
      </c>
      <c r="Y491" s="101" t="s">
        <v>396</v>
      </c>
      <c r="Z491" s="101" t="s">
        <v>402</v>
      </c>
      <c r="AA491" s="101" t="s">
        <v>78</v>
      </c>
      <c r="AB491" s="101">
        <v>4101000279</v>
      </c>
      <c r="AC491" s="101" t="s">
        <v>398</v>
      </c>
      <c r="AD491" s="101" t="s">
        <v>403</v>
      </c>
      <c r="AE491" s="101" t="s">
        <v>6</v>
      </c>
      <c r="AF491" s="101" t="s">
        <v>400</v>
      </c>
      <c r="AI491" s="101" t="s">
        <v>760</v>
      </c>
    </row>
    <row r="492" spans="1:35">
      <c r="A492" s="246" t="s">
        <v>111</v>
      </c>
      <c r="B492" s="246" t="s">
        <v>78</v>
      </c>
      <c r="C492" s="246" t="s">
        <v>126</v>
      </c>
      <c r="D492" s="246" t="s">
        <v>768</v>
      </c>
      <c r="E492" s="246" t="s">
        <v>769</v>
      </c>
      <c r="F492" s="246" t="s">
        <v>277</v>
      </c>
      <c r="G492" s="132" t="s">
        <v>1327</v>
      </c>
      <c r="H492" s="132" t="s">
        <v>1328</v>
      </c>
      <c r="I492" s="132">
        <v>-2014.8999999999999</v>
      </c>
      <c r="J492" s="101" t="s">
        <v>889</v>
      </c>
      <c r="K492" s="245" t="s">
        <v>390</v>
      </c>
      <c r="L492" s="245">
        <v>42857</v>
      </c>
      <c r="M492" s="245" t="s">
        <v>391</v>
      </c>
      <c r="N492" s="101">
        <v>0</v>
      </c>
      <c r="O492" s="101" t="s">
        <v>392</v>
      </c>
      <c r="P492" s="101">
        <v>0</v>
      </c>
      <c r="Q492" s="101">
        <v>0</v>
      </c>
      <c r="R492" s="101" t="s">
        <v>393</v>
      </c>
      <c r="S492" s="101" t="s">
        <v>855</v>
      </c>
      <c r="T492" s="101" t="s">
        <v>394</v>
      </c>
      <c r="V492" s="245">
        <v>13697</v>
      </c>
      <c r="W492" s="101" t="s">
        <v>395</v>
      </c>
      <c r="X492" s="101" t="s">
        <v>795</v>
      </c>
      <c r="Y492" s="101" t="s">
        <v>396</v>
      </c>
      <c r="Z492" s="101" t="s">
        <v>402</v>
      </c>
      <c r="AA492" s="101" t="s">
        <v>78</v>
      </c>
      <c r="AB492" s="101">
        <v>4101000279</v>
      </c>
      <c r="AC492" s="101" t="s">
        <v>398</v>
      </c>
      <c r="AD492" s="101" t="s">
        <v>403</v>
      </c>
      <c r="AE492" s="101" t="s">
        <v>6</v>
      </c>
      <c r="AF492" s="101" t="s">
        <v>400</v>
      </c>
      <c r="AI492" s="101" t="s">
        <v>760</v>
      </c>
    </row>
    <row r="493" spans="1:35">
      <c r="A493" s="246" t="s">
        <v>112</v>
      </c>
      <c r="B493" s="246" t="s">
        <v>78</v>
      </c>
      <c r="C493" s="246" t="s">
        <v>126</v>
      </c>
      <c r="D493" s="246" t="s">
        <v>341</v>
      </c>
      <c r="E493" s="246" t="s">
        <v>342</v>
      </c>
      <c r="F493" s="246" t="s">
        <v>278</v>
      </c>
      <c r="G493" s="132" t="s">
        <v>1329</v>
      </c>
      <c r="H493" s="132" t="s">
        <v>1330</v>
      </c>
      <c r="I493" s="132">
        <v>-2445.5699999999997</v>
      </c>
      <c r="J493" s="101" t="s">
        <v>889</v>
      </c>
      <c r="K493" s="245" t="s">
        <v>390</v>
      </c>
      <c r="L493" s="245">
        <v>42887</v>
      </c>
      <c r="M493" s="245" t="s">
        <v>391</v>
      </c>
      <c r="N493" s="101">
        <v>0</v>
      </c>
      <c r="O493" s="101" t="s">
        <v>392</v>
      </c>
      <c r="P493" s="101">
        <v>0</v>
      </c>
      <c r="Q493" s="101">
        <v>0</v>
      </c>
      <c r="R493" s="101" t="s">
        <v>393</v>
      </c>
      <c r="S493" s="101" t="s">
        <v>855</v>
      </c>
      <c r="T493" s="101" t="s">
        <v>394</v>
      </c>
      <c r="V493" s="245">
        <v>13697</v>
      </c>
      <c r="W493" s="101" t="s">
        <v>395</v>
      </c>
      <c r="X493" s="101" t="s">
        <v>795</v>
      </c>
      <c r="Y493" s="101" t="s">
        <v>396</v>
      </c>
      <c r="Z493" s="101" t="s">
        <v>402</v>
      </c>
      <c r="AA493" s="101" t="s">
        <v>78</v>
      </c>
      <c r="AB493" s="101">
        <v>4101000279</v>
      </c>
      <c r="AC493" s="101" t="s">
        <v>398</v>
      </c>
      <c r="AD493" s="101" t="s">
        <v>403</v>
      </c>
      <c r="AE493" s="101" t="s">
        <v>6</v>
      </c>
      <c r="AF493" s="101" t="s">
        <v>400</v>
      </c>
      <c r="AI493" s="101" t="s">
        <v>760</v>
      </c>
    </row>
    <row r="494" spans="1:35">
      <c r="A494" s="246" t="s">
        <v>112</v>
      </c>
      <c r="B494" s="246" t="s">
        <v>78</v>
      </c>
      <c r="C494" s="246" t="s">
        <v>126</v>
      </c>
      <c r="D494" s="246" t="s">
        <v>341</v>
      </c>
      <c r="E494" s="246" t="s">
        <v>342</v>
      </c>
      <c r="F494" s="246" t="s">
        <v>278</v>
      </c>
      <c r="G494" s="132" t="s">
        <v>1331</v>
      </c>
      <c r="H494" s="132" t="s">
        <v>1332</v>
      </c>
      <c r="I494" s="132">
        <v>-2801.34</v>
      </c>
      <c r="J494" s="101" t="s">
        <v>889</v>
      </c>
      <c r="K494" s="245" t="s">
        <v>390</v>
      </c>
      <c r="L494" s="245">
        <v>42919</v>
      </c>
      <c r="M494" s="245" t="s">
        <v>391</v>
      </c>
      <c r="N494" s="101">
        <v>0</v>
      </c>
      <c r="O494" s="101" t="s">
        <v>392</v>
      </c>
      <c r="P494" s="101">
        <v>0</v>
      </c>
      <c r="Q494" s="101">
        <v>0</v>
      </c>
      <c r="R494" s="101" t="s">
        <v>393</v>
      </c>
      <c r="S494" s="101" t="s">
        <v>855</v>
      </c>
      <c r="T494" s="101" t="s">
        <v>394</v>
      </c>
      <c r="V494" s="245">
        <v>13697</v>
      </c>
      <c r="W494" s="101" t="s">
        <v>395</v>
      </c>
      <c r="X494" s="101" t="s">
        <v>795</v>
      </c>
      <c r="Y494" s="101" t="s">
        <v>396</v>
      </c>
      <c r="Z494" s="101" t="s">
        <v>402</v>
      </c>
      <c r="AA494" s="101" t="s">
        <v>78</v>
      </c>
      <c r="AB494" s="101">
        <v>4101000279</v>
      </c>
      <c r="AC494" s="101" t="s">
        <v>398</v>
      </c>
      <c r="AD494" s="101" t="s">
        <v>403</v>
      </c>
      <c r="AE494" s="101" t="s">
        <v>6</v>
      </c>
      <c r="AF494" s="101" t="s">
        <v>400</v>
      </c>
      <c r="AI494" s="101" t="s">
        <v>760</v>
      </c>
    </row>
    <row r="495" spans="1:35">
      <c r="A495" s="246" t="s">
        <v>110</v>
      </c>
      <c r="B495" s="246" t="s">
        <v>78</v>
      </c>
      <c r="C495" s="246" t="s">
        <v>126</v>
      </c>
      <c r="D495" s="246" t="s">
        <v>770</v>
      </c>
      <c r="E495" s="246" t="s">
        <v>771</v>
      </c>
      <c r="F495" s="246" t="s">
        <v>276</v>
      </c>
      <c r="G495" s="132" t="s">
        <v>611</v>
      </c>
      <c r="H495" s="132" t="s">
        <v>1333</v>
      </c>
      <c r="I495" s="132">
        <v>12.129999999999999</v>
      </c>
      <c r="J495" s="101" t="s">
        <v>889</v>
      </c>
      <c r="K495" s="245" t="s">
        <v>390</v>
      </c>
      <c r="L495" s="245">
        <v>42643</v>
      </c>
      <c r="M495" s="245" t="s">
        <v>391</v>
      </c>
      <c r="N495" s="101">
        <v>0</v>
      </c>
      <c r="O495" s="101" t="s">
        <v>392</v>
      </c>
      <c r="P495" s="101">
        <v>0</v>
      </c>
      <c r="Q495" s="101">
        <v>0</v>
      </c>
      <c r="R495" s="101" t="s">
        <v>393</v>
      </c>
      <c r="S495" s="101" t="s">
        <v>876</v>
      </c>
      <c r="T495" s="101" t="s">
        <v>394</v>
      </c>
      <c r="V495" s="245">
        <v>14521</v>
      </c>
      <c r="W495" s="101" t="s">
        <v>395</v>
      </c>
      <c r="X495" s="101" t="s">
        <v>795</v>
      </c>
      <c r="Y495" s="101" t="s">
        <v>396</v>
      </c>
      <c r="Z495" s="101" t="s">
        <v>402</v>
      </c>
      <c r="AA495" s="101" t="s">
        <v>78</v>
      </c>
      <c r="AB495" s="101">
        <v>4101000279</v>
      </c>
      <c r="AC495" s="101" t="s">
        <v>398</v>
      </c>
      <c r="AD495" s="101" t="s">
        <v>403</v>
      </c>
      <c r="AE495" s="101" t="s">
        <v>6</v>
      </c>
      <c r="AF495" s="101" t="s">
        <v>400</v>
      </c>
      <c r="AI495" s="101" t="s">
        <v>760</v>
      </c>
    </row>
    <row r="496" spans="1:35">
      <c r="A496" s="246" t="s">
        <v>110</v>
      </c>
      <c r="B496" s="246" t="s">
        <v>78</v>
      </c>
      <c r="C496" s="246" t="s">
        <v>126</v>
      </c>
      <c r="D496" s="246" t="s">
        <v>770</v>
      </c>
      <c r="E496" s="246" t="s">
        <v>771</v>
      </c>
      <c r="F496" s="246" t="s">
        <v>276</v>
      </c>
      <c r="G496" s="132" t="s">
        <v>612</v>
      </c>
      <c r="H496" s="132" t="s">
        <v>1334</v>
      </c>
      <c r="I496" s="132">
        <v>81.929999999999993</v>
      </c>
      <c r="J496" s="101" t="s">
        <v>889</v>
      </c>
      <c r="K496" s="245" t="s">
        <v>390</v>
      </c>
      <c r="L496" s="245">
        <v>42643</v>
      </c>
      <c r="M496" s="245" t="s">
        <v>391</v>
      </c>
      <c r="N496" s="101">
        <v>0</v>
      </c>
      <c r="O496" s="101" t="s">
        <v>392</v>
      </c>
      <c r="P496" s="101">
        <v>0</v>
      </c>
      <c r="Q496" s="101">
        <v>0</v>
      </c>
      <c r="R496" s="101" t="s">
        <v>393</v>
      </c>
      <c r="S496" s="101" t="s">
        <v>876</v>
      </c>
      <c r="T496" s="101" t="s">
        <v>394</v>
      </c>
      <c r="V496" s="245">
        <v>14521</v>
      </c>
      <c r="W496" s="101" t="s">
        <v>395</v>
      </c>
      <c r="X496" s="101" t="s">
        <v>795</v>
      </c>
      <c r="Y496" s="101" t="s">
        <v>396</v>
      </c>
      <c r="Z496" s="101" t="s">
        <v>402</v>
      </c>
      <c r="AA496" s="101" t="s">
        <v>78</v>
      </c>
      <c r="AB496" s="101">
        <v>4101000279</v>
      </c>
      <c r="AC496" s="101" t="s">
        <v>398</v>
      </c>
      <c r="AD496" s="101" t="s">
        <v>403</v>
      </c>
      <c r="AE496" s="101" t="s">
        <v>6</v>
      </c>
      <c r="AF496" s="101" t="s">
        <v>400</v>
      </c>
      <c r="AI496" s="101" t="s">
        <v>760</v>
      </c>
    </row>
    <row r="497" spans="1:35">
      <c r="A497" s="246" t="s">
        <v>111</v>
      </c>
      <c r="B497" s="246" t="s">
        <v>78</v>
      </c>
      <c r="C497" s="246" t="s">
        <v>126</v>
      </c>
      <c r="D497" s="246" t="s">
        <v>768</v>
      </c>
      <c r="E497" s="246" t="s">
        <v>769</v>
      </c>
      <c r="F497" s="246" t="s">
        <v>277</v>
      </c>
      <c r="G497" s="132">
        <v>8375</v>
      </c>
      <c r="H497" s="132" t="s">
        <v>1335</v>
      </c>
      <c r="I497" s="132">
        <v>8375</v>
      </c>
      <c r="J497" s="101" t="s">
        <v>889</v>
      </c>
      <c r="K497" s="245" t="s">
        <v>390</v>
      </c>
      <c r="L497" s="245">
        <v>42825</v>
      </c>
      <c r="M497" s="245" t="s">
        <v>391</v>
      </c>
      <c r="N497" s="101">
        <v>0</v>
      </c>
      <c r="O497" s="101" t="s">
        <v>392</v>
      </c>
      <c r="P497" s="101">
        <v>0</v>
      </c>
      <c r="Q497" s="101">
        <v>0</v>
      </c>
      <c r="R497" s="101" t="s">
        <v>393</v>
      </c>
      <c r="S497" s="101" t="s">
        <v>876</v>
      </c>
      <c r="T497" s="101" t="s">
        <v>394</v>
      </c>
      <c r="V497" s="245">
        <v>14521</v>
      </c>
      <c r="W497" s="101" t="s">
        <v>395</v>
      </c>
      <c r="X497" s="101" t="s">
        <v>795</v>
      </c>
      <c r="Y497" s="101" t="s">
        <v>396</v>
      </c>
      <c r="Z497" s="101" t="s">
        <v>402</v>
      </c>
      <c r="AA497" s="101" t="s">
        <v>78</v>
      </c>
      <c r="AB497" s="101">
        <v>4101000279</v>
      </c>
      <c r="AC497" s="101" t="s">
        <v>398</v>
      </c>
      <c r="AD497" s="101" t="s">
        <v>403</v>
      </c>
      <c r="AE497" s="101" t="s">
        <v>6</v>
      </c>
      <c r="AF497" s="101" t="s">
        <v>400</v>
      </c>
      <c r="AI497" s="101" t="s">
        <v>760</v>
      </c>
    </row>
    <row r="498" spans="1:35">
      <c r="A498" s="246" t="s">
        <v>112</v>
      </c>
      <c r="B498" s="246" t="s">
        <v>78</v>
      </c>
      <c r="C498" s="246" t="s">
        <v>126</v>
      </c>
      <c r="D498" s="246" t="s">
        <v>341</v>
      </c>
      <c r="E498" s="246" t="s">
        <v>342</v>
      </c>
      <c r="F498" s="246" t="s">
        <v>278</v>
      </c>
      <c r="G498" s="132" t="s">
        <v>613</v>
      </c>
      <c r="H498" s="132" t="s">
        <v>1336</v>
      </c>
      <c r="I498" s="132">
        <v>8328.4699999999993</v>
      </c>
      <c r="J498" s="101" t="s">
        <v>889</v>
      </c>
      <c r="K498" s="245" t="s">
        <v>390</v>
      </c>
      <c r="L498" s="245">
        <v>43007</v>
      </c>
      <c r="M498" s="245" t="s">
        <v>391</v>
      </c>
      <c r="N498" s="101">
        <v>0</v>
      </c>
      <c r="O498" s="101" t="s">
        <v>392</v>
      </c>
      <c r="P498" s="101">
        <v>0</v>
      </c>
      <c r="Q498" s="101">
        <v>0</v>
      </c>
      <c r="R498" s="101" t="s">
        <v>393</v>
      </c>
      <c r="S498" s="101" t="s">
        <v>876</v>
      </c>
      <c r="T498" s="101" t="s">
        <v>394</v>
      </c>
      <c r="V498" s="245">
        <v>14521</v>
      </c>
      <c r="W498" s="101" t="s">
        <v>395</v>
      </c>
      <c r="X498" s="101" t="s">
        <v>795</v>
      </c>
      <c r="Y498" s="101" t="s">
        <v>396</v>
      </c>
      <c r="Z498" s="101" t="s">
        <v>402</v>
      </c>
      <c r="AA498" s="101" t="s">
        <v>78</v>
      </c>
      <c r="AB498" s="101">
        <v>4101000279</v>
      </c>
      <c r="AC498" s="101" t="s">
        <v>398</v>
      </c>
      <c r="AD498" s="101" t="s">
        <v>403</v>
      </c>
      <c r="AE498" s="101" t="s">
        <v>6</v>
      </c>
      <c r="AF498" s="101" t="s">
        <v>400</v>
      </c>
      <c r="AI498" s="101" t="s">
        <v>760</v>
      </c>
    </row>
    <row r="499" spans="1:35">
      <c r="A499" s="246" t="s">
        <v>113</v>
      </c>
      <c r="B499" s="246" t="s">
        <v>78</v>
      </c>
      <c r="C499" s="246" t="s">
        <v>126</v>
      </c>
      <c r="D499" s="246" t="s">
        <v>339</v>
      </c>
      <c r="E499" s="246" t="s">
        <v>340</v>
      </c>
      <c r="F499" s="246" t="s">
        <v>279</v>
      </c>
      <c r="G499" s="132" t="s">
        <v>614</v>
      </c>
      <c r="H499" s="132" t="s">
        <v>1337</v>
      </c>
      <c r="I499" s="132">
        <v>8421.5300000000007</v>
      </c>
      <c r="J499" s="101" t="s">
        <v>889</v>
      </c>
      <c r="K499" s="245" t="s">
        <v>390</v>
      </c>
      <c r="L499" s="245">
        <v>43189</v>
      </c>
      <c r="M499" s="245" t="s">
        <v>391</v>
      </c>
      <c r="N499" s="101">
        <v>0</v>
      </c>
      <c r="O499" s="101" t="s">
        <v>392</v>
      </c>
      <c r="P499" s="101">
        <v>0</v>
      </c>
      <c r="Q499" s="101">
        <v>0</v>
      </c>
      <c r="R499" s="101" t="s">
        <v>393</v>
      </c>
      <c r="S499" s="101" t="s">
        <v>876</v>
      </c>
      <c r="T499" s="101" t="s">
        <v>394</v>
      </c>
      <c r="V499" s="245">
        <v>14521</v>
      </c>
      <c r="W499" s="101" t="s">
        <v>395</v>
      </c>
      <c r="X499" s="101" t="s">
        <v>795</v>
      </c>
      <c r="Y499" s="101" t="s">
        <v>396</v>
      </c>
      <c r="Z499" s="101" t="s">
        <v>402</v>
      </c>
      <c r="AA499" s="101" t="s">
        <v>78</v>
      </c>
      <c r="AB499" s="101">
        <v>4101000279</v>
      </c>
      <c r="AC499" s="101" t="s">
        <v>398</v>
      </c>
      <c r="AD499" s="101" t="s">
        <v>403</v>
      </c>
      <c r="AE499" s="101" t="s">
        <v>6</v>
      </c>
      <c r="AF499" s="101" t="s">
        <v>400</v>
      </c>
      <c r="AI499" s="101" t="s">
        <v>760</v>
      </c>
    </row>
    <row r="500" spans="1:35">
      <c r="A500" s="246" t="s">
        <v>109</v>
      </c>
      <c r="B500" s="246" t="s">
        <v>78</v>
      </c>
      <c r="C500" s="246" t="s">
        <v>126</v>
      </c>
      <c r="D500" s="246" t="s">
        <v>337</v>
      </c>
      <c r="E500" s="246" t="s">
        <v>336</v>
      </c>
      <c r="F500" s="246" t="s">
        <v>275</v>
      </c>
      <c r="G500" s="132" t="s">
        <v>702</v>
      </c>
      <c r="H500" s="132" t="s">
        <v>1338</v>
      </c>
      <c r="I500" s="132">
        <v>4116.51</v>
      </c>
      <c r="J500" s="101" t="s">
        <v>889</v>
      </c>
      <c r="K500" s="245" t="s">
        <v>390</v>
      </c>
      <c r="L500" s="245">
        <v>42551</v>
      </c>
      <c r="M500" s="245" t="s">
        <v>391</v>
      </c>
      <c r="N500" s="101">
        <v>0</v>
      </c>
      <c r="O500" s="101" t="s">
        <v>392</v>
      </c>
      <c r="P500" s="101">
        <v>0</v>
      </c>
      <c r="Q500" s="101">
        <v>0</v>
      </c>
      <c r="R500" s="101" t="s">
        <v>393</v>
      </c>
      <c r="S500" s="101" t="s">
        <v>867</v>
      </c>
      <c r="T500" s="101" t="s">
        <v>394</v>
      </c>
      <c r="V500" s="245">
        <v>14248</v>
      </c>
      <c r="W500" s="101" t="s">
        <v>395</v>
      </c>
      <c r="X500" s="101" t="s">
        <v>795</v>
      </c>
      <c r="Y500" s="101" t="s">
        <v>396</v>
      </c>
      <c r="Z500" s="101" t="s">
        <v>402</v>
      </c>
      <c r="AA500" s="101" t="s">
        <v>78</v>
      </c>
      <c r="AB500" s="101">
        <v>4101000279</v>
      </c>
      <c r="AC500" s="101" t="s">
        <v>398</v>
      </c>
      <c r="AD500" s="101" t="s">
        <v>403</v>
      </c>
      <c r="AE500" s="101" t="s">
        <v>6</v>
      </c>
      <c r="AF500" s="101" t="s">
        <v>400</v>
      </c>
      <c r="AI500" s="101" t="s">
        <v>760</v>
      </c>
    </row>
    <row r="501" spans="1:35">
      <c r="A501" s="246" t="s">
        <v>109</v>
      </c>
      <c r="B501" s="246" t="s">
        <v>78</v>
      </c>
      <c r="C501" s="246" t="s">
        <v>126</v>
      </c>
      <c r="D501" s="246" t="s">
        <v>337</v>
      </c>
      <c r="E501" s="246" t="s">
        <v>336</v>
      </c>
      <c r="F501" s="246" t="s">
        <v>275</v>
      </c>
      <c r="G501" s="132" t="s">
        <v>868</v>
      </c>
      <c r="H501" s="132" t="s">
        <v>1339</v>
      </c>
      <c r="I501" s="132">
        <v>743.91</v>
      </c>
      <c r="J501" s="101" t="s">
        <v>889</v>
      </c>
      <c r="K501" s="245" t="s">
        <v>390</v>
      </c>
      <c r="L501" s="245">
        <v>42551</v>
      </c>
      <c r="M501" s="245" t="s">
        <v>391</v>
      </c>
      <c r="N501" s="101">
        <v>0</v>
      </c>
      <c r="O501" s="101" t="s">
        <v>392</v>
      </c>
      <c r="P501" s="101">
        <v>0</v>
      </c>
      <c r="Q501" s="101">
        <v>0</v>
      </c>
      <c r="R501" s="101" t="s">
        <v>393</v>
      </c>
      <c r="S501" s="101" t="s">
        <v>867</v>
      </c>
      <c r="T501" s="101" t="s">
        <v>394</v>
      </c>
      <c r="V501" s="245">
        <v>14248</v>
      </c>
      <c r="W501" s="101" t="s">
        <v>395</v>
      </c>
      <c r="X501" s="101" t="s">
        <v>795</v>
      </c>
      <c r="Y501" s="101" t="s">
        <v>396</v>
      </c>
      <c r="Z501" s="101" t="s">
        <v>402</v>
      </c>
      <c r="AA501" s="101" t="s">
        <v>78</v>
      </c>
      <c r="AB501" s="101">
        <v>4101000279</v>
      </c>
      <c r="AC501" s="101" t="s">
        <v>398</v>
      </c>
      <c r="AD501" s="101" t="s">
        <v>403</v>
      </c>
      <c r="AE501" s="101" t="s">
        <v>6</v>
      </c>
      <c r="AF501" s="101" t="s">
        <v>400</v>
      </c>
      <c r="AI501" s="101" t="s">
        <v>760</v>
      </c>
    </row>
    <row r="502" spans="1:35">
      <c r="A502" s="246" t="s">
        <v>109</v>
      </c>
      <c r="B502" s="246" t="s">
        <v>78</v>
      </c>
      <c r="C502" s="246" t="s">
        <v>126</v>
      </c>
      <c r="D502" s="246" t="s">
        <v>337</v>
      </c>
      <c r="E502" s="246" t="s">
        <v>336</v>
      </c>
      <c r="F502" s="246" t="s">
        <v>275</v>
      </c>
      <c r="G502" s="132" t="s">
        <v>869</v>
      </c>
      <c r="H502" s="132" t="s">
        <v>1340</v>
      </c>
      <c r="I502" s="132">
        <v>13235.009999999998</v>
      </c>
      <c r="J502" s="101" t="s">
        <v>889</v>
      </c>
      <c r="K502" s="245" t="s">
        <v>390</v>
      </c>
      <c r="L502" s="245">
        <v>42551</v>
      </c>
      <c r="M502" s="245" t="s">
        <v>391</v>
      </c>
      <c r="N502" s="101">
        <v>0</v>
      </c>
      <c r="O502" s="101" t="s">
        <v>392</v>
      </c>
      <c r="P502" s="101">
        <v>0</v>
      </c>
      <c r="Q502" s="101">
        <v>0</v>
      </c>
      <c r="R502" s="101" t="s">
        <v>393</v>
      </c>
      <c r="S502" s="101" t="s">
        <v>867</v>
      </c>
      <c r="T502" s="101" t="s">
        <v>394</v>
      </c>
      <c r="V502" s="245">
        <v>14248</v>
      </c>
      <c r="W502" s="101" t="s">
        <v>395</v>
      </c>
      <c r="X502" s="101" t="s">
        <v>795</v>
      </c>
      <c r="Y502" s="101" t="s">
        <v>396</v>
      </c>
      <c r="Z502" s="101" t="s">
        <v>402</v>
      </c>
      <c r="AA502" s="101" t="s">
        <v>78</v>
      </c>
      <c r="AB502" s="101">
        <v>4101000279</v>
      </c>
      <c r="AC502" s="101" t="s">
        <v>398</v>
      </c>
      <c r="AD502" s="101" t="s">
        <v>403</v>
      </c>
      <c r="AE502" s="101" t="s">
        <v>6</v>
      </c>
      <c r="AF502" s="101" t="s">
        <v>400</v>
      </c>
      <c r="AI502" s="101" t="s">
        <v>760</v>
      </c>
    </row>
    <row r="503" spans="1:35">
      <c r="A503" s="246" t="s">
        <v>109</v>
      </c>
      <c r="B503" s="246" t="s">
        <v>78</v>
      </c>
      <c r="C503" s="246" t="s">
        <v>126</v>
      </c>
      <c r="D503" s="246" t="s">
        <v>337</v>
      </c>
      <c r="E503" s="246" t="s">
        <v>336</v>
      </c>
      <c r="F503" s="246" t="s">
        <v>275</v>
      </c>
      <c r="G503" s="132" t="s">
        <v>870</v>
      </c>
      <c r="H503" s="132" t="s">
        <v>1341</v>
      </c>
      <c r="I503" s="132">
        <v>6800.3499999999995</v>
      </c>
      <c r="J503" s="101" t="s">
        <v>889</v>
      </c>
      <c r="K503" s="245" t="s">
        <v>390</v>
      </c>
      <c r="L503" s="245">
        <v>42551</v>
      </c>
      <c r="M503" s="245" t="s">
        <v>391</v>
      </c>
      <c r="N503" s="101">
        <v>0</v>
      </c>
      <c r="O503" s="101" t="s">
        <v>392</v>
      </c>
      <c r="P503" s="101">
        <v>0</v>
      </c>
      <c r="Q503" s="101">
        <v>0</v>
      </c>
      <c r="R503" s="101" t="s">
        <v>393</v>
      </c>
      <c r="S503" s="101" t="s">
        <v>867</v>
      </c>
      <c r="T503" s="101" t="s">
        <v>394</v>
      </c>
      <c r="V503" s="245">
        <v>14248</v>
      </c>
      <c r="W503" s="101" t="s">
        <v>395</v>
      </c>
      <c r="X503" s="101" t="s">
        <v>795</v>
      </c>
      <c r="Y503" s="101" t="s">
        <v>396</v>
      </c>
      <c r="Z503" s="101" t="s">
        <v>402</v>
      </c>
      <c r="AA503" s="101" t="s">
        <v>78</v>
      </c>
      <c r="AB503" s="101">
        <v>4101000279</v>
      </c>
      <c r="AC503" s="101" t="s">
        <v>398</v>
      </c>
      <c r="AD503" s="101" t="s">
        <v>403</v>
      </c>
      <c r="AE503" s="101" t="s">
        <v>6</v>
      </c>
      <c r="AF503" s="101" t="s">
        <v>400</v>
      </c>
      <c r="AI503" s="101" t="s">
        <v>760</v>
      </c>
    </row>
    <row r="504" spans="1:35">
      <c r="A504" s="246" t="s">
        <v>111</v>
      </c>
      <c r="B504" s="246" t="s">
        <v>78</v>
      </c>
      <c r="C504" s="246" t="s">
        <v>126</v>
      </c>
      <c r="D504" s="246" t="s">
        <v>768</v>
      </c>
      <c r="E504" s="246" t="s">
        <v>769</v>
      </c>
      <c r="F504" s="246" t="s">
        <v>277</v>
      </c>
      <c r="G504" s="132">
        <v>19485</v>
      </c>
      <c r="H504" s="132" t="s">
        <v>1342</v>
      </c>
      <c r="I504" s="132">
        <v>19485</v>
      </c>
      <c r="J504" s="101" t="s">
        <v>889</v>
      </c>
      <c r="K504" s="245" t="s">
        <v>390</v>
      </c>
      <c r="L504" s="245">
        <v>42734</v>
      </c>
      <c r="M504" s="245" t="s">
        <v>391</v>
      </c>
      <c r="N504" s="101">
        <v>0</v>
      </c>
      <c r="O504" s="101" t="s">
        <v>392</v>
      </c>
      <c r="P504" s="101">
        <v>0</v>
      </c>
      <c r="Q504" s="101">
        <v>0</v>
      </c>
      <c r="R504" s="101" t="s">
        <v>393</v>
      </c>
      <c r="S504" s="101" t="s">
        <v>867</v>
      </c>
      <c r="T504" s="101" t="s">
        <v>394</v>
      </c>
      <c r="V504" s="245">
        <v>14248</v>
      </c>
      <c r="W504" s="101" t="s">
        <v>395</v>
      </c>
      <c r="X504" s="101" t="s">
        <v>795</v>
      </c>
      <c r="Y504" s="101" t="s">
        <v>396</v>
      </c>
      <c r="Z504" s="101" t="s">
        <v>402</v>
      </c>
      <c r="AA504" s="101" t="s">
        <v>78</v>
      </c>
      <c r="AB504" s="101">
        <v>4101000279</v>
      </c>
      <c r="AC504" s="101" t="s">
        <v>398</v>
      </c>
      <c r="AD504" s="101" t="s">
        <v>403</v>
      </c>
      <c r="AE504" s="101" t="s">
        <v>6</v>
      </c>
      <c r="AF504" s="101" t="s">
        <v>400</v>
      </c>
      <c r="AI504" s="101" t="s">
        <v>760</v>
      </c>
    </row>
    <row r="505" spans="1:35">
      <c r="A505" s="246" t="s">
        <v>112</v>
      </c>
      <c r="B505" s="246" t="s">
        <v>78</v>
      </c>
      <c r="C505" s="246" t="s">
        <v>126</v>
      </c>
      <c r="D505" s="246" t="s">
        <v>341</v>
      </c>
      <c r="E505" s="246" t="s">
        <v>342</v>
      </c>
      <c r="F505" s="246" t="s">
        <v>278</v>
      </c>
      <c r="G505" s="132">
        <v>19485</v>
      </c>
      <c r="H505" s="132" t="s">
        <v>1342</v>
      </c>
      <c r="I505" s="132">
        <v>19485</v>
      </c>
      <c r="J505" s="101" t="s">
        <v>889</v>
      </c>
      <c r="K505" s="245" t="s">
        <v>390</v>
      </c>
      <c r="L505" s="245">
        <v>42916</v>
      </c>
      <c r="M505" s="245" t="s">
        <v>391</v>
      </c>
      <c r="N505" s="101">
        <v>0</v>
      </c>
      <c r="O505" s="101" t="s">
        <v>392</v>
      </c>
      <c r="P505" s="101">
        <v>0</v>
      </c>
      <c r="Q505" s="101">
        <v>0</v>
      </c>
      <c r="R505" s="101" t="s">
        <v>393</v>
      </c>
      <c r="S505" s="101" t="s">
        <v>867</v>
      </c>
      <c r="T505" s="101" t="s">
        <v>394</v>
      </c>
      <c r="V505" s="245">
        <v>14248</v>
      </c>
      <c r="W505" s="101" t="s">
        <v>395</v>
      </c>
      <c r="X505" s="101" t="s">
        <v>795</v>
      </c>
      <c r="Y505" s="101" t="s">
        <v>396</v>
      </c>
      <c r="Z505" s="101" t="s">
        <v>402</v>
      </c>
      <c r="AA505" s="101" t="s">
        <v>78</v>
      </c>
      <c r="AB505" s="101">
        <v>4101000279</v>
      </c>
      <c r="AC505" s="101" t="s">
        <v>398</v>
      </c>
      <c r="AD505" s="101" t="s">
        <v>403</v>
      </c>
      <c r="AE505" s="101" t="s">
        <v>6</v>
      </c>
      <c r="AF505" s="101" t="s">
        <v>400</v>
      </c>
      <c r="AI505" s="101" t="s">
        <v>760</v>
      </c>
    </row>
    <row r="506" spans="1:35">
      <c r="A506" s="246" t="s">
        <v>113</v>
      </c>
      <c r="B506" s="246" t="s">
        <v>78</v>
      </c>
      <c r="C506" s="246" t="s">
        <v>126</v>
      </c>
      <c r="D506" s="246" t="s">
        <v>339</v>
      </c>
      <c r="E506" s="246" t="s">
        <v>340</v>
      </c>
      <c r="F506" s="246" t="s">
        <v>279</v>
      </c>
      <c r="G506" s="132" t="s">
        <v>703</v>
      </c>
      <c r="H506" s="132" t="s">
        <v>1343</v>
      </c>
      <c r="I506" s="132">
        <v>19376.75</v>
      </c>
      <c r="J506" s="101" t="s">
        <v>889</v>
      </c>
      <c r="K506" s="245" t="s">
        <v>390</v>
      </c>
      <c r="L506" s="245">
        <v>43098</v>
      </c>
      <c r="M506" s="245" t="s">
        <v>391</v>
      </c>
      <c r="N506" s="101">
        <v>0</v>
      </c>
      <c r="O506" s="101" t="s">
        <v>392</v>
      </c>
      <c r="P506" s="101">
        <v>0</v>
      </c>
      <c r="Q506" s="101">
        <v>0</v>
      </c>
      <c r="R506" s="101" t="s">
        <v>393</v>
      </c>
      <c r="S506" s="101" t="s">
        <v>867</v>
      </c>
      <c r="T506" s="101" t="s">
        <v>394</v>
      </c>
      <c r="V506" s="245">
        <v>14248</v>
      </c>
      <c r="W506" s="101" t="s">
        <v>395</v>
      </c>
      <c r="X506" s="101" t="s">
        <v>795</v>
      </c>
      <c r="Y506" s="101" t="s">
        <v>396</v>
      </c>
      <c r="Z506" s="101" t="s">
        <v>402</v>
      </c>
      <c r="AA506" s="101" t="s">
        <v>78</v>
      </c>
      <c r="AB506" s="101">
        <v>4101000279</v>
      </c>
      <c r="AC506" s="101" t="s">
        <v>398</v>
      </c>
      <c r="AD506" s="101" t="s">
        <v>403</v>
      </c>
      <c r="AE506" s="101" t="s">
        <v>6</v>
      </c>
      <c r="AF506" s="101" t="s">
        <v>400</v>
      </c>
      <c r="AI506" s="101" t="s">
        <v>760</v>
      </c>
    </row>
    <row r="507" spans="1:35">
      <c r="A507" s="246" t="s">
        <v>109</v>
      </c>
      <c r="B507" s="246" t="s">
        <v>78</v>
      </c>
      <c r="C507" s="246" t="s">
        <v>126</v>
      </c>
      <c r="D507" s="246" t="s">
        <v>337</v>
      </c>
      <c r="E507" s="246" t="s">
        <v>336</v>
      </c>
      <c r="F507" s="246" t="s">
        <v>275</v>
      </c>
      <c r="G507" s="132" t="s">
        <v>433</v>
      </c>
      <c r="H507" s="132" t="s">
        <v>1344</v>
      </c>
      <c r="I507" s="132">
        <v>149193.83000000002</v>
      </c>
      <c r="J507" s="101" t="s">
        <v>889</v>
      </c>
      <c r="K507" s="245" t="s">
        <v>390</v>
      </c>
      <c r="L507" s="245">
        <v>42552</v>
      </c>
      <c r="M507" s="245" t="s">
        <v>391</v>
      </c>
      <c r="N507" s="101">
        <v>0</v>
      </c>
      <c r="O507" s="101" t="s">
        <v>392</v>
      </c>
      <c r="P507" s="101">
        <v>0</v>
      </c>
      <c r="Q507" s="101">
        <v>0</v>
      </c>
      <c r="R507" s="101" t="s">
        <v>393</v>
      </c>
      <c r="S507" s="101" t="s">
        <v>855</v>
      </c>
      <c r="T507" s="101" t="s">
        <v>394</v>
      </c>
      <c r="V507" s="245">
        <v>13697</v>
      </c>
      <c r="W507" s="101" t="s">
        <v>395</v>
      </c>
      <c r="X507" s="101" t="s">
        <v>795</v>
      </c>
      <c r="Y507" s="101" t="s">
        <v>396</v>
      </c>
      <c r="Z507" s="101" t="s">
        <v>402</v>
      </c>
      <c r="AA507" s="101" t="s">
        <v>78</v>
      </c>
      <c r="AB507" s="101">
        <v>4101000279</v>
      </c>
      <c r="AC507" s="101" t="s">
        <v>398</v>
      </c>
      <c r="AD507" s="101" t="s">
        <v>403</v>
      </c>
      <c r="AE507" s="101" t="s">
        <v>6</v>
      </c>
      <c r="AF507" s="101" t="s">
        <v>400</v>
      </c>
      <c r="AI507" s="101" t="s">
        <v>760</v>
      </c>
    </row>
    <row r="508" spans="1:35">
      <c r="A508" s="246" t="s">
        <v>111</v>
      </c>
      <c r="B508" s="246" t="s">
        <v>78</v>
      </c>
      <c r="C508" s="246" t="s">
        <v>126</v>
      </c>
      <c r="D508" s="246" t="s">
        <v>768</v>
      </c>
      <c r="E508" s="246" t="s">
        <v>769</v>
      </c>
      <c r="F508" s="246" t="s">
        <v>277</v>
      </c>
      <c r="G508" s="132" t="s">
        <v>434</v>
      </c>
      <c r="H508" s="132" t="s">
        <v>1345</v>
      </c>
      <c r="I508" s="132">
        <v>153408.34</v>
      </c>
      <c r="J508" s="101" t="s">
        <v>889</v>
      </c>
      <c r="K508" s="245" t="s">
        <v>390</v>
      </c>
      <c r="L508" s="245">
        <v>42738</v>
      </c>
      <c r="M508" s="245" t="s">
        <v>391</v>
      </c>
      <c r="N508" s="101">
        <v>0</v>
      </c>
      <c r="O508" s="101" t="s">
        <v>392</v>
      </c>
      <c r="P508" s="101">
        <v>0</v>
      </c>
      <c r="Q508" s="101">
        <v>0</v>
      </c>
      <c r="R508" s="101" t="s">
        <v>393</v>
      </c>
      <c r="S508" s="101" t="s">
        <v>855</v>
      </c>
      <c r="T508" s="101" t="s">
        <v>394</v>
      </c>
      <c r="V508" s="245">
        <v>13697</v>
      </c>
      <c r="W508" s="101" t="s">
        <v>395</v>
      </c>
      <c r="X508" s="101" t="s">
        <v>795</v>
      </c>
      <c r="Y508" s="101" t="s">
        <v>396</v>
      </c>
      <c r="Z508" s="101" t="s">
        <v>402</v>
      </c>
      <c r="AA508" s="101" t="s">
        <v>78</v>
      </c>
      <c r="AB508" s="101">
        <v>4101000279</v>
      </c>
      <c r="AC508" s="101" t="s">
        <v>398</v>
      </c>
      <c r="AD508" s="101" t="s">
        <v>403</v>
      </c>
      <c r="AE508" s="101" t="s">
        <v>6</v>
      </c>
      <c r="AF508" s="101" t="s">
        <v>400</v>
      </c>
      <c r="AI508" s="101" t="s">
        <v>760</v>
      </c>
    </row>
    <row r="509" spans="1:35">
      <c r="A509" s="246" t="s">
        <v>112</v>
      </c>
      <c r="B509" s="246" t="s">
        <v>78</v>
      </c>
      <c r="C509" s="246" t="s">
        <v>126</v>
      </c>
      <c r="D509" s="246" t="s">
        <v>341</v>
      </c>
      <c r="E509" s="246" t="s">
        <v>342</v>
      </c>
      <c r="F509" s="246" t="s">
        <v>278</v>
      </c>
      <c r="G509" s="132" t="s">
        <v>435</v>
      </c>
      <c r="H509" s="132" t="s">
        <v>1346</v>
      </c>
      <c r="I509" s="132">
        <v>151722.53999999998</v>
      </c>
      <c r="J509" s="101" t="s">
        <v>889</v>
      </c>
      <c r="K509" s="245" t="s">
        <v>390</v>
      </c>
      <c r="L509" s="245">
        <v>42919</v>
      </c>
      <c r="M509" s="245" t="s">
        <v>391</v>
      </c>
      <c r="N509" s="101">
        <v>0</v>
      </c>
      <c r="O509" s="101" t="s">
        <v>392</v>
      </c>
      <c r="P509" s="101">
        <v>0</v>
      </c>
      <c r="Q509" s="101">
        <v>0</v>
      </c>
      <c r="R509" s="101" t="s">
        <v>393</v>
      </c>
      <c r="S509" s="101" t="s">
        <v>855</v>
      </c>
      <c r="T509" s="101" t="s">
        <v>394</v>
      </c>
      <c r="V509" s="245">
        <v>13697</v>
      </c>
      <c r="W509" s="101" t="s">
        <v>395</v>
      </c>
      <c r="X509" s="101" t="s">
        <v>795</v>
      </c>
      <c r="Y509" s="101" t="s">
        <v>396</v>
      </c>
      <c r="Z509" s="101" t="s">
        <v>402</v>
      </c>
      <c r="AA509" s="101" t="s">
        <v>78</v>
      </c>
      <c r="AB509" s="101">
        <v>4101000279</v>
      </c>
      <c r="AC509" s="101" t="s">
        <v>398</v>
      </c>
      <c r="AD509" s="101" t="s">
        <v>403</v>
      </c>
      <c r="AE509" s="101" t="s">
        <v>6</v>
      </c>
      <c r="AF509" s="101" t="s">
        <v>400</v>
      </c>
      <c r="AI509" s="101" t="s">
        <v>760</v>
      </c>
    </row>
    <row r="510" spans="1:35">
      <c r="A510" s="246" t="s">
        <v>113</v>
      </c>
      <c r="B510" s="246" t="s">
        <v>78</v>
      </c>
      <c r="C510" s="246" t="s">
        <v>126</v>
      </c>
      <c r="D510" s="246" t="s">
        <v>339</v>
      </c>
      <c r="E510" s="246" t="s">
        <v>340</v>
      </c>
      <c r="F510" s="246" t="s">
        <v>279</v>
      </c>
      <c r="G510" s="132" t="s">
        <v>436</v>
      </c>
      <c r="H510" s="132" t="s">
        <v>1347</v>
      </c>
      <c r="I510" s="132">
        <v>150879.63</v>
      </c>
      <c r="J510" s="101" t="s">
        <v>889</v>
      </c>
      <c r="K510" s="245" t="s">
        <v>390</v>
      </c>
      <c r="L510" s="245">
        <v>43102</v>
      </c>
      <c r="M510" s="245" t="s">
        <v>391</v>
      </c>
      <c r="N510" s="101">
        <v>0</v>
      </c>
      <c r="O510" s="101" t="s">
        <v>392</v>
      </c>
      <c r="P510" s="101">
        <v>0</v>
      </c>
      <c r="Q510" s="101">
        <v>0</v>
      </c>
      <c r="R510" s="101" t="s">
        <v>393</v>
      </c>
      <c r="S510" s="101" t="s">
        <v>855</v>
      </c>
      <c r="T510" s="101" t="s">
        <v>394</v>
      </c>
      <c r="V510" s="245">
        <v>13697</v>
      </c>
      <c r="W510" s="101" t="s">
        <v>395</v>
      </c>
      <c r="X510" s="101" t="s">
        <v>795</v>
      </c>
      <c r="Y510" s="101" t="s">
        <v>396</v>
      </c>
      <c r="Z510" s="101" t="s">
        <v>402</v>
      </c>
      <c r="AA510" s="101" t="s">
        <v>78</v>
      </c>
      <c r="AB510" s="101">
        <v>4101000279</v>
      </c>
      <c r="AC510" s="101" t="s">
        <v>398</v>
      </c>
      <c r="AD510" s="101" t="s">
        <v>403</v>
      </c>
      <c r="AE510" s="101" t="s">
        <v>6</v>
      </c>
      <c r="AF510" s="101" t="s">
        <v>400</v>
      </c>
      <c r="AI510" s="101" t="s">
        <v>760</v>
      </c>
    </row>
    <row r="511" spans="1:35">
      <c r="A511" s="246" t="s">
        <v>109</v>
      </c>
      <c r="B511" s="246" t="s">
        <v>66</v>
      </c>
      <c r="C511" s="246" t="s">
        <v>126</v>
      </c>
      <c r="D511" s="246" t="s">
        <v>272</v>
      </c>
      <c r="E511" s="246"/>
      <c r="F511" s="246"/>
      <c r="G511" s="132">
        <v>0</v>
      </c>
      <c r="H511" s="132">
        <v>0</v>
      </c>
      <c r="I511" s="132">
        <v>0</v>
      </c>
      <c r="J511" s="101" t="s">
        <v>889</v>
      </c>
      <c r="K511" s="245" t="s">
        <v>390</v>
      </c>
      <c r="L511" s="245">
        <v>42576</v>
      </c>
      <c r="M511" s="245" t="s">
        <v>391</v>
      </c>
      <c r="N511" s="101">
        <v>0</v>
      </c>
      <c r="O511" s="101" t="s">
        <v>392</v>
      </c>
      <c r="P511" s="101">
        <v>0</v>
      </c>
      <c r="Q511" s="101">
        <v>0</v>
      </c>
      <c r="R511" s="101" t="s">
        <v>428</v>
      </c>
      <c r="S511" s="101">
        <v>148685</v>
      </c>
      <c r="T511" s="101" t="s">
        <v>394</v>
      </c>
      <c r="V511" s="245">
        <v>42668</v>
      </c>
      <c r="W511" s="101" t="s">
        <v>424</v>
      </c>
      <c r="X511" s="101" t="s">
        <v>556</v>
      </c>
      <c r="Y511" s="101" t="s">
        <v>392</v>
      </c>
      <c r="Z511" s="101" t="s">
        <v>430</v>
      </c>
      <c r="AA511" s="101" t="s">
        <v>397</v>
      </c>
      <c r="AB511" s="101">
        <v>5101000018</v>
      </c>
      <c r="AC511" s="101" t="s">
        <v>431</v>
      </c>
      <c r="AD511" s="101" t="s">
        <v>431</v>
      </c>
      <c r="AE511" s="101" t="s">
        <v>75</v>
      </c>
      <c r="AF511" s="101" t="s">
        <v>400</v>
      </c>
      <c r="AG511" s="101" t="s">
        <v>557</v>
      </c>
      <c r="AI511" s="101" t="s">
        <v>760</v>
      </c>
    </row>
    <row r="512" spans="1:35">
      <c r="A512" s="246" t="s">
        <v>110</v>
      </c>
      <c r="B512" s="246" t="s">
        <v>66</v>
      </c>
      <c r="C512" s="246" t="s">
        <v>126</v>
      </c>
      <c r="D512" s="246" t="s">
        <v>281</v>
      </c>
      <c r="E512" s="246"/>
      <c r="F512" s="246"/>
      <c r="G512" s="132">
        <v>0</v>
      </c>
      <c r="H512" s="132">
        <v>0</v>
      </c>
      <c r="I512" s="132">
        <v>0</v>
      </c>
      <c r="J512" s="101" t="s">
        <v>889</v>
      </c>
      <c r="K512" s="245" t="s">
        <v>390</v>
      </c>
      <c r="L512" s="245">
        <v>42668</v>
      </c>
      <c r="M512" s="245" t="s">
        <v>391</v>
      </c>
      <c r="N512" s="101">
        <v>0</v>
      </c>
      <c r="O512" s="101" t="s">
        <v>392</v>
      </c>
      <c r="P512" s="101">
        <v>0</v>
      </c>
      <c r="Q512" s="101">
        <v>0</v>
      </c>
      <c r="R512" s="101" t="s">
        <v>428</v>
      </c>
      <c r="S512" s="101">
        <v>148685</v>
      </c>
      <c r="T512" s="101" t="s">
        <v>394</v>
      </c>
      <c r="V512" s="245">
        <v>42668</v>
      </c>
      <c r="W512" s="101" t="s">
        <v>424</v>
      </c>
      <c r="X512" s="101" t="s">
        <v>556</v>
      </c>
      <c r="Y512" s="101" t="s">
        <v>392</v>
      </c>
      <c r="Z512" s="101" t="s">
        <v>430</v>
      </c>
      <c r="AA512" s="101" t="s">
        <v>397</v>
      </c>
      <c r="AB512" s="101">
        <v>5101000018</v>
      </c>
      <c r="AC512" s="101" t="s">
        <v>431</v>
      </c>
      <c r="AD512" s="101" t="s">
        <v>431</v>
      </c>
      <c r="AE512" s="101" t="s">
        <v>75</v>
      </c>
      <c r="AF512" s="101" t="s">
        <v>400</v>
      </c>
      <c r="AG512" s="101" t="s">
        <v>557</v>
      </c>
      <c r="AI512" s="101" t="s">
        <v>760</v>
      </c>
    </row>
    <row r="513" spans="1:35">
      <c r="A513" s="246" t="s">
        <v>110</v>
      </c>
      <c r="B513" s="246" t="s">
        <v>66</v>
      </c>
      <c r="C513" s="246" t="s">
        <v>116</v>
      </c>
      <c r="D513" s="246" t="s">
        <v>885</v>
      </c>
      <c r="E513" s="246"/>
      <c r="F513" s="246"/>
      <c r="G513" s="132">
        <v>0</v>
      </c>
      <c r="H513" s="132">
        <v>0</v>
      </c>
      <c r="I513" s="132">
        <v>0</v>
      </c>
      <c r="J513" s="101" t="s">
        <v>889</v>
      </c>
      <c r="K513" s="245" t="s">
        <v>390</v>
      </c>
      <c r="L513" s="245">
        <v>42668</v>
      </c>
      <c r="M513" s="245" t="s">
        <v>421</v>
      </c>
      <c r="N513" s="101">
        <v>0</v>
      </c>
      <c r="O513" s="101" t="s">
        <v>392</v>
      </c>
      <c r="P513" s="101">
        <v>0</v>
      </c>
      <c r="Q513" s="101">
        <v>0</v>
      </c>
      <c r="R513" s="101" t="s">
        <v>428</v>
      </c>
      <c r="S513" s="101">
        <v>148685</v>
      </c>
      <c r="T513" s="101" t="s">
        <v>394</v>
      </c>
      <c r="V513" s="245">
        <v>42668</v>
      </c>
      <c r="W513" s="101" t="s">
        <v>424</v>
      </c>
      <c r="X513" s="101" t="s">
        <v>556</v>
      </c>
      <c r="Y513" s="101" t="s">
        <v>392</v>
      </c>
      <c r="Z513" s="101" t="s">
        <v>430</v>
      </c>
      <c r="AA513" s="101" t="s">
        <v>397</v>
      </c>
      <c r="AB513" s="101">
        <v>5101000018</v>
      </c>
      <c r="AC513" s="101" t="s">
        <v>431</v>
      </c>
      <c r="AD513" s="101" t="s">
        <v>431</v>
      </c>
      <c r="AE513" s="101" t="s">
        <v>75</v>
      </c>
      <c r="AF513" s="101" t="s">
        <v>400</v>
      </c>
      <c r="AG513" s="101" t="s">
        <v>557</v>
      </c>
      <c r="AI513" s="101" t="s">
        <v>760</v>
      </c>
    </row>
    <row r="514" spans="1:35">
      <c r="A514" s="246" t="s">
        <v>107</v>
      </c>
      <c r="B514" s="246" t="s">
        <v>66</v>
      </c>
      <c r="C514" s="246" t="s">
        <v>126</v>
      </c>
      <c r="D514" s="246" t="s">
        <v>1769</v>
      </c>
      <c r="E514" s="246"/>
      <c r="F514" s="246"/>
      <c r="G514" s="132">
        <v>0</v>
      </c>
      <c r="H514" s="132">
        <v>0</v>
      </c>
      <c r="I514" s="132">
        <v>0</v>
      </c>
      <c r="J514" s="101" t="s">
        <v>889</v>
      </c>
      <c r="K514" s="245" t="s">
        <v>390</v>
      </c>
      <c r="L514" s="245">
        <v>42522</v>
      </c>
      <c r="M514" s="245" t="s">
        <v>391</v>
      </c>
      <c r="N514" s="101">
        <v>0</v>
      </c>
      <c r="O514" s="101" t="s">
        <v>392</v>
      </c>
      <c r="P514" s="101">
        <v>0</v>
      </c>
      <c r="Q514" s="101">
        <v>0</v>
      </c>
      <c r="R514" s="101" t="s">
        <v>428</v>
      </c>
      <c r="S514" s="101">
        <v>157751</v>
      </c>
      <c r="T514" s="101" t="s">
        <v>394</v>
      </c>
      <c r="V514" s="245">
        <v>42932</v>
      </c>
      <c r="W514" s="101" t="s">
        <v>627</v>
      </c>
      <c r="X514" s="101" t="s">
        <v>429</v>
      </c>
      <c r="Y514" s="101" t="s">
        <v>392</v>
      </c>
      <c r="Z514" s="101" t="s">
        <v>430</v>
      </c>
      <c r="AA514" s="101" t="s">
        <v>628</v>
      </c>
      <c r="AB514" s="101">
        <v>3101055606</v>
      </c>
      <c r="AC514" s="101" t="s">
        <v>431</v>
      </c>
      <c r="AD514" s="101" t="s">
        <v>431</v>
      </c>
      <c r="AE514" s="101" t="s">
        <v>75</v>
      </c>
      <c r="AF514" s="101" t="s">
        <v>400</v>
      </c>
      <c r="AG514" s="101" t="s">
        <v>432</v>
      </c>
      <c r="AI514" s="101" t="s">
        <v>760</v>
      </c>
    </row>
    <row r="515" spans="1:35">
      <c r="A515" s="246" t="s">
        <v>109</v>
      </c>
      <c r="B515" s="246" t="s">
        <v>66</v>
      </c>
      <c r="C515" s="246" t="s">
        <v>126</v>
      </c>
      <c r="D515" s="246" t="s">
        <v>272</v>
      </c>
      <c r="E515" s="246"/>
      <c r="F515" s="246"/>
      <c r="G515" s="132">
        <v>0</v>
      </c>
      <c r="H515" s="132">
        <v>0</v>
      </c>
      <c r="I515" s="132">
        <v>0</v>
      </c>
      <c r="J515" s="101" t="s">
        <v>889</v>
      </c>
      <c r="K515" s="245" t="s">
        <v>390</v>
      </c>
      <c r="L515" s="245">
        <v>42552</v>
      </c>
      <c r="M515" s="245" t="s">
        <v>391</v>
      </c>
      <c r="N515" s="101">
        <v>0</v>
      </c>
      <c r="O515" s="101" t="s">
        <v>392</v>
      </c>
      <c r="P515" s="101">
        <v>0</v>
      </c>
      <c r="Q515" s="101">
        <v>0</v>
      </c>
      <c r="R515" s="101" t="s">
        <v>428</v>
      </c>
      <c r="S515" s="101">
        <v>157751</v>
      </c>
      <c r="T515" s="101" t="s">
        <v>394</v>
      </c>
      <c r="V515" s="245">
        <v>42932</v>
      </c>
      <c r="W515" s="101" t="s">
        <v>627</v>
      </c>
      <c r="X515" s="101" t="s">
        <v>429</v>
      </c>
      <c r="Y515" s="101" t="s">
        <v>392</v>
      </c>
      <c r="Z515" s="101" t="s">
        <v>430</v>
      </c>
      <c r="AA515" s="101" t="s">
        <v>628</v>
      </c>
      <c r="AB515" s="101">
        <v>3101055606</v>
      </c>
      <c r="AC515" s="101" t="s">
        <v>431</v>
      </c>
      <c r="AD515" s="101" t="s">
        <v>431</v>
      </c>
      <c r="AE515" s="101" t="s">
        <v>75</v>
      </c>
      <c r="AF515" s="101" t="s">
        <v>400</v>
      </c>
      <c r="AG515" s="101" t="s">
        <v>432</v>
      </c>
      <c r="AI515" s="101" t="s">
        <v>760</v>
      </c>
    </row>
    <row r="516" spans="1:35">
      <c r="A516" s="246" t="s">
        <v>109</v>
      </c>
      <c r="B516" s="246" t="s">
        <v>66</v>
      </c>
      <c r="C516" s="246" t="s">
        <v>126</v>
      </c>
      <c r="D516" s="246" t="s">
        <v>272</v>
      </c>
      <c r="E516" s="246"/>
      <c r="F516" s="246"/>
      <c r="G516" s="132">
        <v>0</v>
      </c>
      <c r="H516" s="132">
        <v>0</v>
      </c>
      <c r="I516" s="132">
        <v>0</v>
      </c>
      <c r="J516" s="101" t="s">
        <v>889</v>
      </c>
      <c r="K516" s="245" t="s">
        <v>390</v>
      </c>
      <c r="L516" s="245">
        <v>42583</v>
      </c>
      <c r="M516" s="245" t="s">
        <v>391</v>
      </c>
      <c r="N516" s="101">
        <v>0</v>
      </c>
      <c r="O516" s="101" t="s">
        <v>392</v>
      </c>
      <c r="P516" s="101">
        <v>0</v>
      </c>
      <c r="Q516" s="101">
        <v>0</v>
      </c>
      <c r="R516" s="101" t="s">
        <v>428</v>
      </c>
      <c r="S516" s="101">
        <v>157751</v>
      </c>
      <c r="T516" s="101" t="s">
        <v>394</v>
      </c>
      <c r="V516" s="245">
        <v>42932</v>
      </c>
      <c r="W516" s="101" t="s">
        <v>627</v>
      </c>
      <c r="X516" s="101" t="s">
        <v>429</v>
      </c>
      <c r="Y516" s="101" t="s">
        <v>392</v>
      </c>
      <c r="Z516" s="101" t="s">
        <v>430</v>
      </c>
      <c r="AA516" s="101" t="s">
        <v>628</v>
      </c>
      <c r="AB516" s="101">
        <v>3101055606</v>
      </c>
      <c r="AC516" s="101" t="s">
        <v>431</v>
      </c>
      <c r="AD516" s="101" t="s">
        <v>431</v>
      </c>
      <c r="AE516" s="101" t="s">
        <v>75</v>
      </c>
      <c r="AF516" s="101" t="s">
        <v>400</v>
      </c>
      <c r="AG516" s="101" t="s">
        <v>432</v>
      </c>
      <c r="AI516" s="101" t="s">
        <v>760</v>
      </c>
    </row>
    <row r="517" spans="1:35">
      <c r="A517" s="246" t="s">
        <v>110</v>
      </c>
      <c r="B517" s="246" t="s">
        <v>66</v>
      </c>
      <c r="C517" s="246" t="s">
        <v>126</v>
      </c>
      <c r="D517" s="246" t="s">
        <v>281</v>
      </c>
      <c r="E517" s="246"/>
      <c r="F517" s="246"/>
      <c r="G517" s="132">
        <v>0</v>
      </c>
      <c r="H517" s="132">
        <v>0</v>
      </c>
      <c r="I517" s="132">
        <v>0</v>
      </c>
      <c r="J517" s="101" t="s">
        <v>889</v>
      </c>
      <c r="K517" s="245" t="s">
        <v>390</v>
      </c>
      <c r="L517" s="245">
        <v>42614</v>
      </c>
      <c r="M517" s="245" t="s">
        <v>391</v>
      </c>
      <c r="N517" s="101">
        <v>0</v>
      </c>
      <c r="O517" s="101" t="s">
        <v>392</v>
      </c>
      <c r="P517" s="101">
        <v>0</v>
      </c>
      <c r="Q517" s="101">
        <v>0</v>
      </c>
      <c r="R517" s="101" t="s">
        <v>428</v>
      </c>
      <c r="S517" s="101">
        <v>157751</v>
      </c>
      <c r="T517" s="101" t="s">
        <v>394</v>
      </c>
      <c r="V517" s="245">
        <v>42932</v>
      </c>
      <c r="W517" s="101" t="s">
        <v>627</v>
      </c>
      <c r="X517" s="101" t="s">
        <v>429</v>
      </c>
      <c r="Y517" s="101" t="s">
        <v>392</v>
      </c>
      <c r="Z517" s="101" t="s">
        <v>430</v>
      </c>
      <c r="AA517" s="101" t="s">
        <v>628</v>
      </c>
      <c r="AB517" s="101">
        <v>3101055606</v>
      </c>
      <c r="AC517" s="101" t="s">
        <v>431</v>
      </c>
      <c r="AD517" s="101" t="s">
        <v>431</v>
      </c>
      <c r="AE517" s="101" t="s">
        <v>75</v>
      </c>
      <c r="AF517" s="101" t="s">
        <v>400</v>
      </c>
      <c r="AG517" s="101" t="s">
        <v>432</v>
      </c>
      <c r="AI517" s="101" t="s">
        <v>760</v>
      </c>
    </row>
    <row r="518" spans="1:35">
      <c r="A518" s="246" t="s">
        <v>110</v>
      </c>
      <c r="B518" s="246" t="s">
        <v>66</v>
      </c>
      <c r="C518" s="246" t="s">
        <v>126</v>
      </c>
      <c r="D518" s="246" t="s">
        <v>281</v>
      </c>
      <c r="E518" s="246"/>
      <c r="F518" s="246"/>
      <c r="G518" s="132">
        <v>0</v>
      </c>
      <c r="H518" s="132">
        <v>0</v>
      </c>
      <c r="I518" s="132">
        <v>0</v>
      </c>
      <c r="J518" s="101" t="s">
        <v>889</v>
      </c>
      <c r="K518" s="245" t="s">
        <v>390</v>
      </c>
      <c r="L518" s="245">
        <v>42646</v>
      </c>
      <c r="M518" s="245" t="s">
        <v>391</v>
      </c>
      <c r="N518" s="101">
        <v>0</v>
      </c>
      <c r="O518" s="101" t="s">
        <v>392</v>
      </c>
      <c r="P518" s="101">
        <v>0</v>
      </c>
      <c r="Q518" s="101">
        <v>0</v>
      </c>
      <c r="R518" s="101" t="s">
        <v>428</v>
      </c>
      <c r="S518" s="101">
        <v>157751</v>
      </c>
      <c r="T518" s="101" t="s">
        <v>394</v>
      </c>
      <c r="V518" s="245">
        <v>42932</v>
      </c>
      <c r="W518" s="101" t="s">
        <v>627</v>
      </c>
      <c r="X518" s="101" t="s">
        <v>429</v>
      </c>
      <c r="Y518" s="101" t="s">
        <v>392</v>
      </c>
      <c r="Z518" s="101" t="s">
        <v>430</v>
      </c>
      <c r="AA518" s="101" t="s">
        <v>628</v>
      </c>
      <c r="AB518" s="101">
        <v>3101055606</v>
      </c>
      <c r="AC518" s="101" t="s">
        <v>431</v>
      </c>
      <c r="AD518" s="101" t="s">
        <v>431</v>
      </c>
      <c r="AE518" s="101" t="s">
        <v>75</v>
      </c>
      <c r="AF518" s="101" t="s">
        <v>400</v>
      </c>
      <c r="AG518" s="101" t="s">
        <v>432</v>
      </c>
      <c r="AI518" s="101" t="s">
        <v>760</v>
      </c>
    </row>
    <row r="519" spans="1:35">
      <c r="A519" s="246" t="s">
        <v>110</v>
      </c>
      <c r="B519" s="246" t="s">
        <v>66</v>
      </c>
      <c r="C519" s="246" t="s">
        <v>126</v>
      </c>
      <c r="D519" s="246" t="s">
        <v>281</v>
      </c>
      <c r="E519" s="246"/>
      <c r="F519" s="246"/>
      <c r="G519" s="132">
        <v>0</v>
      </c>
      <c r="H519" s="132">
        <v>0</v>
      </c>
      <c r="I519" s="132">
        <v>0</v>
      </c>
      <c r="J519" s="101" t="s">
        <v>889</v>
      </c>
      <c r="K519" s="245" t="s">
        <v>390</v>
      </c>
      <c r="L519" s="245">
        <v>42675</v>
      </c>
      <c r="M519" s="245" t="s">
        <v>391</v>
      </c>
      <c r="N519" s="101">
        <v>0</v>
      </c>
      <c r="O519" s="101" t="s">
        <v>392</v>
      </c>
      <c r="P519" s="101">
        <v>0</v>
      </c>
      <c r="Q519" s="101">
        <v>0</v>
      </c>
      <c r="R519" s="101" t="s">
        <v>428</v>
      </c>
      <c r="S519" s="101">
        <v>157751</v>
      </c>
      <c r="T519" s="101" t="s">
        <v>394</v>
      </c>
      <c r="V519" s="245">
        <v>42932</v>
      </c>
      <c r="W519" s="101" t="s">
        <v>627</v>
      </c>
      <c r="X519" s="101" t="s">
        <v>429</v>
      </c>
      <c r="Y519" s="101" t="s">
        <v>392</v>
      </c>
      <c r="Z519" s="101" t="s">
        <v>430</v>
      </c>
      <c r="AA519" s="101" t="s">
        <v>628</v>
      </c>
      <c r="AB519" s="101">
        <v>3101055606</v>
      </c>
      <c r="AC519" s="101" t="s">
        <v>431</v>
      </c>
      <c r="AD519" s="101" t="s">
        <v>431</v>
      </c>
      <c r="AE519" s="101" t="s">
        <v>75</v>
      </c>
      <c r="AF519" s="101" t="s">
        <v>400</v>
      </c>
      <c r="AG519" s="101" t="s">
        <v>432</v>
      </c>
      <c r="AI519" s="101" t="s">
        <v>760</v>
      </c>
    </row>
    <row r="520" spans="1:35">
      <c r="A520" s="246" t="s">
        <v>111</v>
      </c>
      <c r="B520" s="246" t="s">
        <v>66</v>
      </c>
      <c r="C520" s="246" t="s">
        <v>126</v>
      </c>
      <c r="D520" s="246" t="s">
        <v>273</v>
      </c>
      <c r="E520" s="246"/>
      <c r="F520" s="246"/>
      <c r="G520" s="132">
        <v>0</v>
      </c>
      <c r="H520" s="132">
        <v>0</v>
      </c>
      <c r="I520" s="132">
        <v>0</v>
      </c>
      <c r="J520" s="101" t="s">
        <v>889</v>
      </c>
      <c r="K520" s="245" t="s">
        <v>390</v>
      </c>
      <c r="L520" s="245">
        <v>42705</v>
      </c>
      <c r="M520" s="245" t="s">
        <v>391</v>
      </c>
      <c r="N520" s="101">
        <v>0</v>
      </c>
      <c r="O520" s="101" t="s">
        <v>392</v>
      </c>
      <c r="P520" s="101">
        <v>0</v>
      </c>
      <c r="Q520" s="101">
        <v>0</v>
      </c>
      <c r="R520" s="101" t="s">
        <v>428</v>
      </c>
      <c r="S520" s="101">
        <v>157751</v>
      </c>
      <c r="T520" s="101" t="s">
        <v>394</v>
      </c>
      <c r="V520" s="245">
        <v>42932</v>
      </c>
      <c r="W520" s="101" t="s">
        <v>627</v>
      </c>
      <c r="X520" s="101" t="s">
        <v>429</v>
      </c>
      <c r="Y520" s="101" t="s">
        <v>392</v>
      </c>
      <c r="Z520" s="101" t="s">
        <v>430</v>
      </c>
      <c r="AA520" s="101" t="s">
        <v>628</v>
      </c>
      <c r="AB520" s="101">
        <v>3101055606</v>
      </c>
      <c r="AC520" s="101" t="s">
        <v>431</v>
      </c>
      <c r="AD520" s="101" t="s">
        <v>431</v>
      </c>
      <c r="AE520" s="101" t="s">
        <v>75</v>
      </c>
      <c r="AF520" s="101" t="s">
        <v>400</v>
      </c>
      <c r="AG520" s="101" t="s">
        <v>432</v>
      </c>
      <c r="AI520" s="101" t="s">
        <v>760</v>
      </c>
    </row>
    <row r="521" spans="1:35">
      <c r="A521" s="246" t="s">
        <v>111</v>
      </c>
      <c r="B521" s="246" t="s">
        <v>66</v>
      </c>
      <c r="C521" s="246" t="s">
        <v>126</v>
      </c>
      <c r="D521" s="246" t="s">
        <v>273</v>
      </c>
      <c r="E521" s="246"/>
      <c r="F521" s="246"/>
      <c r="G521" s="132">
        <v>0</v>
      </c>
      <c r="H521" s="132">
        <v>0</v>
      </c>
      <c r="I521" s="132">
        <v>0</v>
      </c>
      <c r="J521" s="101" t="s">
        <v>889</v>
      </c>
      <c r="K521" s="245" t="s">
        <v>390</v>
      </c>
      <c r="L521" s="245">
        <v>42738</v>
      </c>
      <c r="M521" s="245" t="s">
        <v>391</v>
      </c>
      <c r="N521" s="101">
        <v>0</v>
      </c>
      <c r="O521" s="101" t="s">
        <v>392</v>
      </c>
      <c r="P521" s="101">
        <v>0</v>
      </c>
      <c r="Q521" s="101">
        <v>0</v>
      </c>
      <c r="R521" s="101" t="s">
        <v>428</v>
      </c>
      <c r="S521" s="101">
        <v>157751</v>
      </c>
      <c r="T521" s="101" t="s">
        <v>394</v>
      </c>
      <c r="V521" s="245">
        <v>42932</v>
      </c>
      <c r="W521" s="101" t="s">
        <v>627</v>
      </c>
      <c r="X521" s="101" t="s">
        <v>429</v>
      </c>
      <c r="Y521" s="101" t="s">
        <v>392</v>
      </c>
      <c r="Z521" s="101" t="s">
        <v>430</v>
      </c>
      <c r="AA521" s="101" t="s">
        <v>628</v>
      </c>
      <c r="AB521" s="101">
        <v>3101055606</v>
      </c>
      <c r="AC521" s="101" t="s">
        <v>431</v>
      </c>
      <c r="AD521" s="101" t="s">
        <v>431</v>
      </c>
      <c r="AE521" s="101" t="s">
        <v>75</v>
      </c>
      <c r="AF521" s="101" t="s">
        <v>400</v>
      </c>
      <c r="AG521" s="101" t="s">
        <v>432</v>
      </c>
      <c r="AI521" s="101" t="s">
        <v>760</v>
      </c>
    </row>
    <row r="522" spans="1:35">
      <c r="A522" s="246" t="s">
        <v>111</v>
      </c>
      <c r="B522" s="246" t="s">
        <v>66</v>
      </c>
      <c r="C522" s="246" t="s">
        <v>126</v>
      </c>
      <c r="D522" s="246" t="s">
        <v>273</v>
      </c>
      <c r="E522" s="246"/>
      <c r="F522" s="246"/>
      <c r="G522" s="132">
        <v>0</v>
      </c>
      <c r="H522" s="132">
        <v>0</v>
      </c>
      <c r="I522" s="132">
        <v>0</v>
      </c>
      <c r="J522" s="101" t="s">
        <v>889</v>
      </c>
      <c r="K522" s="245" t="s">
        <v>390</v>
      </c>
      <c r="L522" s="245">
        <v>42767</v>
      </c>
      <c r="M522" s="245" t="s">
        <v>391</v>
      </c>
      <c r="N522" s="101">
        <v>0</v>
      </c>
      <c r="O522" s="101" t="s">
        <v>392</v>
      </c>
      <c r="P522" s="101">
        <v>0</v>
      </c>
      <c r="Q522" s="101">
        <v>0</v>
      </c>
      <c r="R522" s="101" t="s">
        <v>428</v>
      </c>
      <c r="S522" s="101">
        <v>157751</v>
      </c>
      <c r="T522" s="101" t="s">
        <v>394</v>
      </c>
      <c r="V522" s="245">
        <v>42932</v>
      </c>
      <c r="W522" s="101" t="s">
        <v>627</v>
      </c>
      <c r="X522" s="101" t="s">
        <v>429</v>
      </c>
      <c r="Y522" s="101" t="s">
        <v>392</v>
      </c>
      <c r="Z522" s="101" t="s">
        <v>430</v>
      </c>
      <c r="AA522" s="101" t="s">
        <v>628</v>
      </c>
      <c r="AB522" s="101">
        <v>3101055606</v>
      </c>
      <c r="AC522" s="101" t="s">
        <v>431</v>
      </c>
      <c r="AD522" s="101" t="s">
        <v>431</v>
      </c>
      <c r="AE522" s="101" t="s">
        <v>75</v>
      </c>
      <c r="AF522" s="101" t="s">
        <v>400</v>
      </c>
      <c r="AG522" s="101" t="s">
        <v>432</v>
      </c>
      <c r="AI522" s="101" t="s">
        <v>760</v>
      </c>
    </row>
    <row r="523" spans="1:35">
      <c r="A523" s="246" t="s">
        <v>111</v>
      </c>
      <c r="B523" s="246" t="s">
        <v>66</v>
      </c>
      <c r="C523" s="246" t="s">
        <v>126</v>
      </c>
      <c r="D523" s="246" t="s">
        <v>273</v>
      </c>
      <c r="E523" s="246"/>
      <c r="F523" s="246"/>
      <c r="G523" s="132">
        <v>0</v>
      </c>
      <c r="H523" s="132">
        <v>0</v>
      </c>
      <c r="I523" s="132">
        <v>0</v>
      </c>
      <c r="J523" s="101" t="s">
        <v>889</v>
      </c>
      <c r="K523" s="245" t="s">
        <v>390</v>
      </c>
      <c r="L523" s="245">
        <v>42795</v>
      </c>
      <c r="M523" s="245" t="s">
        <v>391</v>
      </c>
      <c r="N523" s="101">
        <v>0</v>
      </c>
      <c r="O523" s="101" t="s">
        <v>392</v>
      </c>
      <c r="P523" s="101">
        <v>0</v>
      </c>
      <c r="Q523" s="101">
        <v>0</v>
      </c>
      <c r="R523" s="101" t="s">
        <v>428</v>
      </c>
      <c r="S523" s="101">
        <v>157751</v>
      </c>
      <c r="T523" s="101" t="s">
        <v>394</v>
      </c>
      <c r="V523" s="245">
        <v>42932</v>
      </c>
      <c r="W523" s="101" t="s">
        <v>627</v>
      </c>
      <c r="X523" s="101" t="s">
        <v>429</v>
      </c>
      <c r="Y523" s="101" t="s">
        <v>392</v>
      </c>
      <c r="Z523" s="101" t="s">
        <v>430</v>
      </c>
      <c r="AA523" s="101" t="s">
        <v>628</v>
      </c>
      <c r="AB523" s="101">
        <v>3101055606</v>
      </c>
      <c r="AC523" s="101" t="s">
        <v>431</v>
      </c>
      <c r="AD523" s="101" t="s">
        <v>431</v>
      </c>
      <c r="AE523" s="101" t="s">
        <v>75</v>
      </c>
      <c r="AF523" s="101" t="s">
        <v>400</v>
      </c>
      <c r="AG523" s="101" t="s">
        <v>432</v>
      </c>
      <c r="AI523" s="101" t="s">
        <v>760</v>
      </c>
    </row>
    <row r="524" spans="1:35">
      <c r="A524" s="246" t="s">
        <v>111</v>
      </c>
      <c r="B524" s="246" t="s">
        <v>66</v>
      </c>
      <c r="C524" s="246" t="s">
        <v>126</v>
      </c>
      <c r="D524" s="246" t="s">
        <v>273</v>
      </c>
      <c r="E524" s="246"/>
      <c r="F524" s="246"/>
      <c r="G524" s="132">
        <v>0</v>
      </c>
      <c r="H524" s="132">
        <v>0</v>
      </c>
      <c r="I524" s="132">
        <v>0</v>
      </c>
      <c r="J524" s="101" t="s">
        <v>889</v>
      </c>
      <c r="K524" s="245" t="s">
        <v>390</v>
      </c>
      <c r="L524" s="245">
        <v>42828</v>
      </c>
      <c r="M524" s="245" t="s">
        <v>391</v>
      </c>
      <c r="N524" s="101">
        <v>0</v>
      </c>
      <c r="O524" s="101" t="s">
        <v>392</v>
      </c>
      <c r="P524" s="101">
        <v>0</v>
      </c>
      <c r="Q524" s="101">
        <v>0</v>
      </c>
      <c r="R524" s="101" t="s">
        <v>428</v>
      </c>
      <c r="S524" s="101">
        <v>157751</v>
      </c>
      <c r="T524" s="101" t="s">
        <v>394</v>
      </c>
      <c r="V524" s="245">
        <v>42932</v>
      </c>
      <c r="W524" s="101" t="s">
        <v>627</v>
      </c>
      <c r="X524" s="101" t="s">
        <v>429</v>
      </c>
      <c r="Y524" s="101" t="s">
        <v>392</v>
      </c>
      <c r="Z524" s="101" t="s">
        <v>430</v>
      </c>
      <c r="AA524" s="101" t="s">
        <v>628</v>
      </c>
      <c r="AB524" s="101">
        <v>3101055606</v>
      </c>
      <c r="AC524" s="101" t="s">
        <v>431</v>
      </c>
      <c r="AD524" s="101" t="s">
        <v>431</v>
      </c>
      <c r="AE524" s="101" t="s">
        <v>75</v>
      </c>
      <c r="AF524" s="101" t="s">
        <v>400</v>
      </c>
      <c r="AG524" s="101" t="s">
        <v>432</v>
      </c>
      <c r="AI524" s="101" t="s">
        <v>760</v>
      </c>
    </row>
    <row r="525" spans="1:35">
      <c r="A525" s="246" t="s">
        <v>112</v>
      </c>
      <c r="B525" s="246" t="s">
        <v>78</v>
      </c>
      <c r="C525" s="246" t="s">
        <v>126</v>
      </c>
      <c r="D525" s="246" t="s">
        <v>341</v>
      </c>
      <c r="E525" s="246" t="s">
        <v>342</v>
      </c>
      <c r="F525" s="246" t="s">
        <v>278</v>
      </c>
      <c r="G525" s="132" t="s">
        <v>1348</v>
      </c>
      <c r="H525" s="132" t="s">
        <v>1349</v>
      </c>
      <c r="I525" s="132">
        <v>-2538.5700000000002</v>
      </c>
      <c r="J525" s="101" t="s">
        <v>889</v>
      </c>
      <c r="K525" s="245" t="s">
        <v>390</v>
      </c>
      <c r="L525" s="245">
        <v>42948</v>
      </c>
      <c r="M525" s="245" t="s">
        <v>391</v>
      </c>
      <c r="N525" s="101">
        <v>0</v>
      </c>
      <c r="O525" s="101" t="s">
        <v>392</v>
      </c>
      <c r="P525" s="101">
        <v>0</v>
      </c>
      <c r="Q525" s="101">
        <v>0</v>
      </c>
      <c r="R525" s="101" t="s">
        <v>393</v>
      </c>
      <c r="S525" s="101" t="s">
        <v>855</v>
      </c>
      <c r="T525" s="101" t="s">
        <v>394</v>
      </c>
      <c r="V525" s="245">
        <v>13697</v>
      </c>
      <c r="W525" s="101" t="s">
        <v>395</v>
      </c>
      <c r="X525" s="101" t="s">
        <v>795</v>
      </c>
      <c r="Y525" s="101" t="s">
        <v>396</v>
      </c>
      <c r="Z525" s="101" t="s">
        <v>402</v>
      </c>
      <c r="AA525" s="101" t="s">
        <v>78</v>
      </c>
      <c r="AB525" s="101">
        <v>4101000279</v>
      </c>
      <c r="AC525" s="101" t="s">
        <v>398</v>
      </c>
      <c r="AD525" s="101" t="s">
        <v>403</v>
      </c>
      <c r="AE525" s="101" t="s">
        <v>6</v>
      </c>
      <c r="AF525" s="101" t="s">
        <v>400</v>
      </c>
      <c r="AI525" s="101" t="s">
        <v>760</v>
      </c>
    </row>
    <row r="526" spans="1:35">
      <c r="A526" s="246" t="s">
        <v>112</v>
      </c>
      <c r="B526" s="246" t="s">
        <v>78</v>
      </c>
      <c r="C526" s="246" t="s">
        <v>126</v>
      </c>
      <c r="D526" s="246" t="s">
        <v>341</v>
      </c>
      <c r="E526" s="246" t="s">
        <v>342</v>
      </c>
      <c r="F526" s="246" t="s">
        <v>278</v>
      </c>
      <c r="G526" s="132" t="s">
        <v>1350</v>
      </c>
      <c r="H526" s="132" t="s">
        <v>1351</v>
      </c>
      <c r="I526" s="132">
        <v>-2713.75</v>
      </c>
      <c r="J526" s="101" t="s">
        <v>889</v>
      </c>
      <c r="K526" s="245" t="s">
        <v>390</v>
      </c>
      <c r="L526" s="245">
        <v>42979</v>
      </c>
      <c r="M526" s="245" t="s">
        <v>391</v>
      </c>
      <c r="N526" s="101">
        <v>0</v>
      </c>
      <c r="O526" s="101" t="s">
        <v>392</v>
      </c>
      <c r="P526" s="101">
        <v>0</v>
      </c>
      <c r="Q526" s="101">
        <v>0</v>
      </c>
      <c r="R526" s="101" t="s">
        <v>393</v>
      </c>
      <c r="S526" s="101" t="s">
        <v>855</v>
      </c>
      <c r="T526" s="101" t="s">
        <v>394</v>
      </c>
      <c r="V526" s="245">
        <v>13697</v>
      </c>
      <c r="W526" s="101" t="s">
        <v>395</v>
      </c>
      <c r="X526" s="101" t="s">
        <v>795</v>
      </c>
      <c r="Y526" s="101" t="s">
        <v>396</v>
      </c>
      <c r="Z526" s="101" t="s">
        <v>402</v>
      </c>
      <c r="AA526" s="101" t="s">
        <v>78</v>
      </c>
      <c r="AB526" s="101">
        <v>4101000279</v>
      </c>
      <c r="AC526" s="101" t="s">
        <v>398</v>
      </c>
      <c r="AD526" s="101" t="s">
        <v>403</v>
      </c>
      <c r="AE526" s="101" t="s">
        <v>6</v>
      </c>
      <c r="AF526" s="101" t="s">
        <v>400</v>
      </c>
      <c r="AI526" s="101" t="s">
        <v>760</v>
      </c>
    </row>
    <row r="527" spans="1:35">
      <c r="A527" s="246" t="s">
        <v>112</v>
      </c>
      <c r="B527" s="246" t="s">
        <v>78</v>
      </c>
      <c r="C527" s="246" t="s">
        <v>126</v>
      </c>
      <c r="D527" s="246" t="s">
        <v>341</v>
      </c>
      <c r="E527" s="246" t="s">
        <v>342</v>
      </c>
      <c r="F527" s="246" t="s">
        <v>278</v>
      </c>
      <c r="G527" s="132" t="s">
        <v>1350</v>
      </c>
      <c r="H527" s="132" t="s">
        <v>1351</v>
      </c>
      <c r="I527" s="132">
        <v>-2713.75</v>
      </c>
      <c r="J527" s="101" t="s">
        <v>889</v>
      </c>
      <c r="K527" s="245" t="s">
        <v>390</v>
      </c>
      <c r="L527" s="245">
        <v>43010</v>
      </c>
      <c r="M527" s="245" t="s">
        <v>391</v>
      </c>
      <c r="N527" s="101">
        <v>0</v>
      </c>
      <c r="O527" s="101" t="s">
        <v>392</v>
      </c>
      <c r="P527" s="101">
        <v>0</v>
      </c>
      <c r="Q527" s="101">
        <v>0</v>
      </c>
      <c r="R527" s="101" t="s">
        <v>393</v>
      </c>
      <c r="S527" s="101" t="s">
        <v>855</v>
      </c>
      <c r="T527" s="101" t="s">
        <v>394</v>
      </c>
      <c r="V527" s="245">
        <v>13697</v>
      </c>
      <c r="W527" s="101" t="s">
        <v>395</v>
      </c>
      <c r="X527" s="101" t="s">
        <v>795</v>
      </c>
      <c r="Y527" s="101" t="s">
        <v>396</v>
      </c>
      <c r="Z527" s="101" t="s">
        <v>402</v>
      </c>
      <c r="AA527" s="101" t="s">
        <v>78</v>
      </c>
      <c r="AB527" s="101">
        <v>4101000279</v>
      </c>
      <c r="AC527" s="101" t="s">
        <v>398</v>
      </c>
      <c r="AD527" s="101" t="s">
        <v>403</v>
      </c>
      <c r="AE527" s="101" t="s">
        <v>6</v>
      </c>
      <c r="AF527" s="101" t="s">
        <v>400</v>
      </c>
      <c r="AI527" s="101" t="s">
        <v>760</v>
      </c>
    </row>
    <row r="528" spans="1:35">
      <c r="A528" s="246" t="s">
        <v>112</v>
      </c>
      <c r="B528" s="246" t="s">
        <v>78</v>
      </c>
      <c r="C528" s="246" t="s">
        <v>126</v>
      </c>
      <c r="D528" s="246" t="s">
        <v>341</v>
      </c>
      <c r="E528" s="246" t="s">
        <v>342</v>
      </c>
      <c r="F528" s="246" t="s">
        <v>278</v>
      </c>
      <c r="G528" s="132" t="s">
        <v>1352</v>
      </c>
      <c r="H528" s="132" t="s">
        <v>1353</v>
      </c>
      <c r="I528" s="132">
        <v>-2626.16</v>
      </c>
      <c r="J528" s="101" t="s">
        <v>889</v>
      </c>
      <c r="K528" s="245" t="s">
        <v>390</v>
      </c>
      <c r="L528" s="245">
        <v>43040</v>
      </c>
      <c r="M528" s="245" t="s">
        <v>391</v>
      </c>
      <c r="N528" s="101">
        <v>0</v>
      </c>
      <c r="O528" s="101" t="s">
        <v>392</v>
      </c>
      <c r="P528" s="101">
        <v>0</v>
      </c>
      <c r="Q528" s="101">
        <v>0</v>
      </c>
      <c r="R528" s="101" t="s">
        <v>393</v>
      </c>
      <c r="S528" s="101" t="s">
        <v>855</v>
      </c>
      <c r="T528" s="101" t="s">
        <v>394</v>
      </c>
      <c r="V528" s="245">
        <v>13697</v>
      </c>
      <c r="W528" s="101" t="s">
        <v>395</v>
      </c>
      <c r="X528" s="101" t="s">
        <v>795</v>
      </c>
      <c r="Y528" s="101" t="s">
        <v>396</v>
      </c>
      <c r="Z528" s="101" t="s">
        <v>402</v>
      </c>
      <c r="AA528" s="101" t="s">
        <v>78</v>
      </c>
      <c r="AB528" s="101">
        <v>4101000279</v>
      </c>
      <c r="AC528" s="101" t="s">
        <v>398</v>
      </c>
      <c r="AD528" s="101" t="s">
        <v>403</v>
      </c>
      <c r="AE528" s="101" t="s">
        <v>6</v>
      </c>
      <c r="AF528" s="101" t="s">
        <v>400</v>
      </c>
      <c r="AI528" s="101" t="s">
        <v>760</v>
      </c>
    </row>
    <row r="529" spans="1:35">
      <c r="A529" s="246" t="s">
        <v>113</v>
      </c>
      <c r="B529" s="246" t="s">
        <v>78</v>
      </c>
      <c r="C529" s="246" t="s">
        <v>126</v>
      </c>
      <c r="D529" s="246" t="s">
        <v>339</v>
      </c>
      <c r="E529" s="246" t="s">
        <v>340</v>
      </c>
      <c r="F529" s="246" t="s">
        <v>279</v>
      </c>
      <c r="G529" s="132" t="s">
        <v>1352</v>
      </c>
      <c r="H529" s="132" t="s">
        <v>1353</v>
      </c>
      <c r="I529" s="132">
        <v>-2626.16</v>
      </c>
      <c r="J529" s="101" t="s">
        <v>889</v>
      </c>
      <c r="K529" s="245" t="s">
        <v>390</v>
      </c>
      <c r="L529" s="245">
        <v>43070</v>
      </c>
      <c r="M529" s="245" t="s">
        <v>391</v>
      </c>
      <c r="N529" s="101">
        <v>0</v>
      </c>
      <c r="O529" s="101" t="s">
        <v>392</v>
      </c>
      <c r="P529" s="101">
        <v>0</v>
      </c>
      <c r="Q529" s="101">
        <v>0</v>
      </c>
      <c r="R529" s="101" t="s">
        <v>393</v>
      </c>
      <c r="S529" s="101" t="s">
        <v>855</v>
      </c>
      <c r="T529" s="101" t="s">
        <v>394</v>
      </c>
      <c r="V529" s="245">
        <v>13697</v>
      </c>
      <c r="W529" s="101" t="s">
        <v>395</v>
      </c>
      <c r="X529" s="101" t="s">
        <v>795</v>
      </c>
      <c r="Y529" s="101" t="s">
        <v>396</v>
      </c>
      <c r="Z529" s="101" t="s">
        <v>402</v>
      </c>
      <c r="AA529" s="101" t="s">
        <v>78</v>
      </c>
      <c r="AB529" s="101">
        <v>4101000279</v>
      </c>
      <c r="AC529" s="101" t="s">
        <v>398</v>
      </c>
      <c r="AD529" s="101" t="s">
        <v>403</v>
      </c>
      <c r="AE529" s="101" t="s">
        <v>6</v>
      </c>
      <c r="AF529" s="101" t="s">
        <v>400</v>
      </c>
      <c r="AI529" s="101" t="s">
        <v>760</v>
      </c>
    </row>
    <row r="530" spans="1:35">
      <c r="A530" s="246" t="s">
        <v>113</v>
      </c>
      <c r="B530" s="246" t="s">
        <v>78</v>
      </c>
      <c r="C530" s="246" t="s">
        <v>126</v>
      </c>
      <c r="D530" s="246" t="s">
        <v>339</v>
      </c>
      <c r="E530" s="246" t="s">
        <v>340</v>
      </c>
      <c r="F530" s="246" t="s">
        <v>279</v>
      </c>
      <c r="G530" s="132" t="s">
        <v>1331</v>
      </c>
      <c r="H530" s="132" t="s">
        <v>1332</v>
      </c>
      <c r="I530" s="132">
        <v>-2801.34</v>
      </c>
      <c r="J530" s="101" t="s">
        <v>889</v>
      </c>
      <c r="K530" s="245" t="s">
        <v>390</v>
      </c>
      <c r="L530" s="245">
        <v>43102</v>
      </c>
      <c r="M530" s="245" t="s">
        <v>391</v>
      </c>
      <c r="N530" s="101">
        <v>0</v>
      </c>
      <c r="O530" s="101" t="s">
        <v>392</v>
      </c>
      <c r="P530" s="101">
        <v>0</v>
      </c>
      <c r="Q530" s="101">
        <v>0</v>
      </c>
      <c r="R530" s="101" t="s">
        <v>393</v>
      </c>
      <c r="S530" s="101" t="s">
        <v>855</v>
      </c>
      <c r="T530" s="101" t="s">
        <v>394</v>
      </c>
      <c r="V530" s="245">
        <v>13697</v>
      </c>
      <c r="W530" s="101" t="s">
        <v>395</v>
      </c>
      <c r="X530" s="101" t="s">
        <v>795</v>
      </c>
      <c r="Y530" s="101" t="s">
        <v>396</v>
      </c>
      <c r="Z530" s="101" t="s">
        <v>402</v>
      </c>
      <c r="AA530" s="101" t="s">
        <v>78</v>
      </c>
      <c r="AB530" s="101">
        <v>4101000279</v>
      </c>
      <c r="AC530" s="101" t="s">
        <v>398</v>
      </c>
      <c r="AD530" s="101" t="s">
        <v>403</v>
      </c>
      <c r="AE530" s="101" t="s">
        <v>6</v>
      </c>
      <c r="AF530" s="101" t="s">
        <v>400</v>
      </c>
      <c r="AI530" s="101" t="s">
        <v>760</v>
      </c>
    </row>
    <row r="531" spans="1:35">
      <c r="A531" s="246" t="s">
        <v>113</v>
      </c>
      <c r="B531" s="246" t="s">
        <v>78</v>
      </c>
      <c r="C531" s="246" t="s">
        <v>126</v>
      </c>
      <c r="D531" s="246" t="s">
        <v>339</v>
      </c>
      <c r="E531" s="246" t="s">
        <v>340</v>
      </c>
      <c r="F531" s="246" t="s">
        <v>279</v>
      </c>
      <c r="G531" s="132" t="s">
        <v>1352</v>
      </c>
      <c r="H531" s="132" t="s">
        <v>1353</v>
      </c>
      <c r="I531" s="132">
        <v>-2626.16</v>
      </c>
      <c r="J531" s="101" t="s">
        <v>889</v>
      </c>
      <c r="K531" s="245" t="s">
        <v>390</v>
      </c>
      <c r="L531" s="245">
        <v>43132</v>
      </c>
      <c r="M531" s="245" t="s">
        <v>391</v>
      </c>
      <c r="N531" s="101">
        <v>0</v>
      </c>
      <c r="O531" s="101" t="s">
        <v>392</v>
      </c>
      <c r="P531" s="101">
        <v>0</v>
      </c>
      <c r="Q531" s="101">
        <v>0</v>
      </c>
      <c r="R531" s="101" t="s">
        <v>393</v>
      </c>
      <c r="S531" s="101" t="s">
        <v>855</v>
      </c>
      <c r="T531" s="101" t="s">
        <v>394</v>
      </c>
      <c r="V531" s="245">
        <v>13697</v>
      </c>
      <c r="W531" s="101" t="s">
        <v>395</v>
      </c>
      <c r="X531" s="101" t="s">
        <v>795</v>
      </c>
      <c r="Y531" s="101" t="s">
        <v>396</v>
      </c>
      <c r="Z531" s="101" t="s">
        <v>402</v>
      </c>
      <c r="AA531" s="101" t="s">
        <v>78</v>
      </c>
      <c r="AB531" s="101">
        <v>4101000279</v>
      </c>
      <c r="AC531" s="101" t="s">
        <v>398</v>
      </c>
      <c r="AD531" s="101" t="s">
        <v>403</v>
      </c>
      <c r="AE531" s="101" t="s">
        <v>6</v>
      </c>
      <c r="AF531" s="101" t="s">
        <v>400</v>
      </c>
      <c r="AI531" s="101" t="s">
        <v>760</v>
      </c>
    </row>
    <row r="532" spans="1:35">
      <c r="A532" s="246" t="s">
        <v>113</v>
      </c>
      <c r="B532" s="246" t="s">
        <v>78</v>
      </c>
      <c r="C532" s="246" t="s">
        <v>126</v>
      </c>
      <c r="D532" s="246" t="s">
        <v>339</v>
      </c>
      <c r="E532" s="246" t="s">
        <v>340</v>
      </c>
      <c r="F532" s="246" t="s">
        <v>279</v>
      </c>
      <c r="G532" s="132" t="s">
        <v>1354</v>
      </c>
      <c r="H532" s="132" t="s">
        <v>1355</v>
      </c>
      <c r="I532" s="132">
        <v>-2450.9899999999998</v>
      </c>
      <c r="J532" s="101" t="s">
        <v>889</v>
      </c>
      <c r="K532" s="245" t="s">
        <v>390</v>
      </c>
      <c r="L532" s="245">
        <v>43160</v>
      </c>
      <c r="M532" s="245" t="s">
        <v>391</v>
      </c>
      <c r="N532" s="101">
        <v>0</v>
      </c>
      <c r="O532" s="101" t="s">
        <v>392</v>
      </c>
      <c r="P532" s="101">
        <v>0</v>
      </c>
      <c r="Q532" s="101">
        <v>0</v>
      </c>
      <c r="R532" s="101" t="s">
        <v>393</v>
      </c>
      <c r="S532" s="101" t="s">
        <v>855</v>
      </c>
      <c r="T532" s="101" t="s">
        <v>394</v>
      </c>
      <c r="V532" s="245">
        <v>13697</v>
      </c>
      <c r="W532" s="101" t="s">
        <v>395</v>
      </c>
      <c r="X532" s="101" t="s">
        <v>795</v>
      </c>
      <c r="Y532" s="101" t="s">
        <v>396</v>
      </c>
      <c r="Z532" s="101" t="s">
        <v>402</v>
      </c>
      <c r="AA532" s="101" t="s">
        <v>78</v>
      </c>
      <c r="AB532" s="101">
        <v>4101000279</v>
      </c>
      <c r="AC532" s="101" t="s">
        <v>398</v>
      </c>
      <c r="AD532" s="101" t="s">
        <v>403</v>
      </c>
      <c r="AE532" s="101" t="s">
        <v>6</v>
      </c>
      <c r="AF532" s="101" t="s">
        <v>400</v>
      </c>
      <c r="AI532" s="101" t="s">
        <v>760</v>
      </c>
    </row>
    <row r="533" spans="1:35">
      <c r="A533" s="246" t="s">
        <v>113</v>
      </c>
      <c r="B533" s="246" t="s">
        <v>78</v>
      </c>
      <c r="C533" s="246" t="s">
        <v>126</v>
      </c>
      <c r="D533" s="246" t="s">
        <v>339</v>
      </c>
      <c r="E533" s="246" t="s">
        <v>340</v>
      </c>
      <c r="F533" s="246" t="s">
        <v>279</v>
      </c>
      <c r="G533" s="132" t="s">
        <v>1356</v>
      </c>
      <c r="H533" s="132" t="s">
        <v>1357</v>
      </c>
      <c r="I533" s="132">
        <v>-2888.9399999999996</v>
      </c>
      <c r="J533" s="101" t="s">
        <v>889</v>
      </c>
      <c r="K533" s="245" t="s">
        <v>390</v>
      </c>
      <c r="L533" s="245">
        <v>43193</v>
      </c>
      <c r="M533" s="245" t="s">
        <v>391</v>
      </c>
      <c r="N533" s="101">
        <v>0</v>
      </c>
      <c r="O533" s="101" t="s">
        <v>392</v>
      </c>
      <c r="P533" s="101">
        <v>0</v>
      </c>
      <c r="Q533" s="101">
        <v>0</v>
      </c>
      <c r="R533" s="101" t="s">
        <v>393</v>
      </c>
      <c r="S533" s="101" t="s">
        <v>855</v>
      </c>
      <c r="T533" s="101" t="s">
        <v>394</v>
      </c>
      <c r="V533" s="245">
        <v>13697</v>
      </c>
      <c r="W533" s="101" t="s">
        <v>395</v>
      </c>
      <c r="X533" s="101" t="s">
        <v>795</v>
      </c>
      <c r="Y533" s="101" t="s">
        <v>396</v>
      </c>
      <c r="Z533" s="101" t="s">
        <v>402</v>
      </c>
      <c r="AA533" s="101" t="s">
        <v>78</v>
      </c>
      <c r="AB533" s="101">
        <v>4101000279</v>
      </c>
      <c r="AC533" s="101" t="s">
        <v>398</v>
      </c>
      <c r="AD533" s="101" t="s">
        <v>403</v>
      </c>
      <c r="AE533" s="101" t="s">
        <v>6</v>
      </c>
      <c r="AF533" s="101" t="s">
        <v>400</v>
      </c>
      <c r="AI533" s="101" t="s">
        <v>760</v>
      </c>
    </row>
    <row r="534" spans="1:35">
      <c r="A534" s="246" t="s">
        <v>113</v>
      </c>
      <c r="B534" s="246" t="s">
        <v>78</v>
      </c>
      <c r="C534" s="246" t="s">
        <v>126</v>
      </c>
      <c r="D534" s="246" t="s">
        <v>339</v>
      </c>
      <c r="E534" s="246" t="s">
        <v>340</v>
      </c>
      <c r="F534" s="246" t="s">
        <v>279</v>
      </c>
      <c r="G534" s="132" t="s">
        <v>1354</v>
      </c>
      <c r="H534" s="132" t="s">
        <v>1355</v>
      </c>
      <c r="I534" s="132">
        <v>-2450.9899999999998</v>
      </c>
      <c r="J534" s="101" t="s">
        <v>889</v>
      </c>
      <c r="K534" s="245" t="s">
        <v>390</v>
      </c>
      <c r="L534" s="245">
        <v>43221</v>
      </c>
      <c r="M534" s="245" t="s">
        <v>391</v>
      </c>
      <c r="N534" s="101">
        <v>0</v>
      </c>
      <c r="O534" s="101" t="s">
        <v>392</v>
      </c>
      <c r="P534" s="101">
        <v>0</v>
      </c>
      <c r="Q534" s="101">
        <v>0</v>
      </c>
      <c r="R534" s="101" t="s">
        <v>393</v>
      </c>
      <c r="S534" s="101" t="s">
        <v>855</v>
      </c>
      <c r="T534" s="101" t="s">
        <v>394</v>
      </c>
      <c r="V534" s="245">
        <v>13697</v>
      </c>
      <c r="W534" s="101" t="s">
        <v>395</v>
      </c>
      <c r="X534" s="101" t="s">
        <v>795</v>
      </c>
      <c r="Y534" s="101" t="s">
        <v>396</v>
      </c>
      <c r="Z534" s="101" t="s">
        <v>402</v>
      </c>
      <c r="AA534" s="101" t="s">
        <v>78</v>
      </c>
      <c r="AB534" s="101">
        <v>4101000279</v>
      </c>
      <c r="AC534" s="101" t="s">
        <v>398</v>
      </c>
      <c r="AD534" s="101" t="s">
        <v>403</v>
      </c>
      <c r="AE534" s="101" t="s">
        <v>6</v>
      </c>
      <c r="AF534" s="101" t="s">
        <v>400</v>
      </c>
      <c r="AI534" s="101" t="s">
        <v>760</v>
      </c>
    </row>
    <row r="535" spans="1:35">
      <c r="A535" s="246" t="s">
        <v>107</v>
      </c>
      <c r="B535" s="246" t="s">
        <v>78</v>
      </c>
      <c r="C535" s="246" t="s">
        <v>126</v>
      </c>
      <c r="D535" s="246" t="s">
        <v>772</v>
      </c>
      <c r="E535" s="246" t="s">
        <v>773</v>
      </c>
      <c r="F535" s="246" t="s">
        <v>334</v>
      </c>
      <c r="G535" s="132" t="s">
        <v>875</v>
      </c>
      <c r="H535" s="132" t="s">
        <v>1358</v>
      </c>
      <c r="I535" s="132">
        <v>392.53</v>
      </c>
      <c r="J535" s="101" t="s">
        <v>889</v>
      </c>
      <c r="K535" s="245" t="s">
        <v>390</v>
      </c>
      <c r="L535" s="245">
        <v>42521</v>
      </c>
      <c r="M535" s="245" t="s">
        <v>391</v>
      </c>
      <c r="N535" s="101">
        <v>0</v>
      </c>
      <c r="O535" s="101" t="s">
        <v>392</v>
      </c>
      <c r="P535" s="101">
        <v>0</v>
      </c>
      <c r="Q535" s="101">
        <v>0</v>
      </c>
      <c r="R535" s="101" t="s">
        <v>393</v>
      </c>
      <c r="S535" s="101" t="s">
        <v>867</v>
      </c>
      <c r="T535" s="101" t="s">
        <v>394</v>
      </c>
      <c r="V535" s="245">
        <v>14248</v>
      </c>
      <c r="W535" s="101" t="s">
        <v>395</v>
      </c>
      <c r="X535" s="101" t="s">
        <v>795</v>
      </c>
      <c r="Y535" s="101" t="s">
        <v>396</v>
      </c>
      <c r="Z535" s="101" t="s">
        <v>402</v>
      </c>
      <c r="AA535" s="101" t="s">
        <v>78</v>
      </c>
      <c r="AB535" s="101">
        <v>4101000279</v>
      </c>
      <c r="AC535" s="101" t="s">
        <v>398</v>
      </c>
      <c r="AD535" s="101" t="s">
        <v>403</v>
      </c>
      <c r="AE535" s="101" t="s">
        <v>6</v>
      </c>
      <c r="AF535" s="101" t="s">
        <v>400</v>
      </c>
      <c r="AI535" s="101" t="s">
        <v>760</v>
      </c>
    </row>
    <row r="536" spans="1:35">
      <c r="A536" s="246" t="s">
        <v>109</v>
      </c>
      <c r="B536" s="246" t="s">
        <v>78</v>
      </c>
      <c r="C536" s="246" t="s">
        <v>126</v>
      </c>
      <c r="D536" s="246" t="s">
        <v>337</v>
      </c>
      <c r="E536" s="246" t="s">
        <v>336</v>
      </c>
      <c r="F536" s="246" t="s">
        <v>275</v>
      </c>
      <c r="G536" s="132" t="s">
        <v>1359</v>
      </c>
      <c r="H536" s="132" t="s">
        <v>1360</v>
      </c>
      <c r="I536" s="132">
        <v>353.75999999999993</v>
      </c>
      <c r="J536" s="101" t="s">
        <v>889</v>
      </c>
      <c r="K536" s="245" t="s">
        <v>390</v>
      </c>
      <c r="L536" s="245">
        <v>42551</v>
      </c>
      <c r="M536" s="245" t="s">
        <v>391</v>
      </c>
      <c r="N536" s="101">
        <v>0</v>
      </c>
      <c r="O536" s="101" t="s">
        <v>392</v>
      </c>
      <c r="P536" s="101">
        <v>0</v>
      </c>
      <c r="Q536" s="101">
        <v>0</v>
      </c>
      <c r="R536" s="101" t="s">
        <v>393</v>
      </c>
      <c r="S536" s="101" t="s">
        <v>867</v>
      </c>
      <c r="T536" s="101" t="s">
        <v>394</v>
      </c>
      <c r="V536" s="245">
        <v>14248</v>
      </c>
      <c r="W536" s="101" t="s">
        <v>395</v>
      </c>
      <c r="X536" s="101" t="s">
        <v>795</v>
      </c>
      <c r="Y536" s="101" t="s">
        <v>396</v>
      </c>
      <c r="Z536" s="101" t="s">
        <v>402</v>
      </c>
      <c r="AA536" s="101" t="s">
        <v>78</v>
      </c>
      <c r="AB536" s="101">
        <v>4101000279</v>
      </c>
      <c r="AC536" s="101" t="s">
        <v>398</v>
      </c>
      <c r="AD536" s="101" t="s">
        <v>403</v>
      </c>
      <c r="AE536" s="101" t="s">
        <v>6</v>
      </c>
      <c r="AF536" s="101" t="s">
        <v>400</v>
      </c>
      <c r="AI536" s="101" t="s">
        <v>760</v>
      </c>
    </row>
    <row r="537" spans="1:35">
      <c r="A537" s="246" t="s">
        <v>109</v>
      </c>
      <c r="B537" s="246" t="s">
        <v>78</v>
      </c>
      <c r="C537" s="246" t="s">
        <v>126</v>
      </c>
      <c r="D537" s="246" t="s">
        <v>337</v>
      </c>
      <c r="E537" s="246" t="s">
        <v>336</v>
      </c>
      <c r="F537" s="246" t="s">
        <v>275</v>
      </c>
      <c r="G537" s="132" t="s">
        <v>1361</v>
      </c>
      <c r="H537" s="132" t="s">
        <v>1362</v>
      </c>
      <c r="I537" s="132">
        <v>166.65</v>
      </c>
      <c r="J537" s="101" t="s">
        <v>889</v>
      </c>
      <c r="K537" s="245" t="s">
        <v>390</v>
      </c>
      <c r="L537" s="245">
        <v>42580</v>
      </c>
      <c r="M537" s="245" t="s">
        <v>391</v>
      </c>
      <c r="N537" s="101">
        <v>0</v>
      </c>
      <c r="O537" s="101" t="s">
        <v>392</v>
      </c>
      <c r="P537" s="101">
        <v>0</v>
      </c>
      <c r="Q537" s="101">
        <v>0</v>
      </c>
      <c r="R537" s="101" t="s">
        <v>393</v>
      </c>
      <c r="S537" s="101" t="s">
        <v>867</v>
      </c>
      <c r="T537" s="101" t="s">
        <v>394</v>
      </c>
      <c r="V537" s="245">
        <v>14248</v>
      </c>
      <c r="W537" s="101" t="s">
        <v>395</v>
      </c>
      <c r="X537" s="101" t="s">
        <v>795</v>
      </c>
      <c r="Y537" s="101" t="s">
        <v>396</v>
      </c>
      <c r="Z537" s="101" t="s">
        <v>402</v>
      </c>
      <c r="AA537" s="101" t="s">
        <v>78</v>
      </c>
      <c r="AB537" s="101">
        <v>4101000279</v>
      </c>
      <c r="AC537" s="101" t="s">
        <v>398</v>
      </c>
      <c r="AD537" s="101" t="s">
        <v>403</v>
      </c>
      <c r="AE537" s="101" t="s">
        <v>6</v>
      </c>
      <c r="AF537" s="101" t="s">
        <v>400</v>
      </c>
      <c r="AI537" s="101" t="s">
        <v>760</v>
      </c>
    </row>
    <row r="538" spans="1:35">
      <c r="A538" s="246" t="s">
        <v>110</v>
      </c>
      <c r="B538" s="246" t="s">
        <v>78</v>
      </c>
      <c r="C538" s="246" t="s">
        <v>126</v>
      </c>
      <c r="D538" s="246" t="s">
        <v>770</v>
      </c>
      <c r="E538" s="246" t="s">
        <v>771</v>
      </c>
      <c r="F538" s="246" t="s">
        <v>276</v>
      </c>
      <c r="G538" s="132" t="s">
        <v>1363</v>
      </c>
      <c r="H538" s="132" t="s">
        <v>1364</v>
      </c>
      <c r="I538" s="132">
        <v>156.16</v>
      </c>
      <c r="J538" s="101" t="s">
        <v>889</v>
      </c>
      <c r="K538" s="245" t="s">
        <v>390</v>
      </c>
      <c r="L538" s="245">
        <v>42613</v>
      </c>
      <c r="M538" s="245" t="s">
        <v>391</v>
      </c>
      <c r="N538" s="101">
        <v>0</v>
      </c>
      <c r="O538" s="101" t="s">
        <v>392</v>
      </c>
      <c r="P538" s="101">
        <v>0</v>
      </c>
      <c r="Q538" s="101">
        <v>0</v>
      </c>
      <c r="R538" s="101" t="s">
        <v>393</v>
      </c>
      <c r="S538" s="101" t="s">
        <v>867</v>
      </c>
      <c r="T538" s="101" t="s">
        <v>394</v>
      </c>
      <c r="V538" s="245">
        <v>14248</v>
      </c>
      <c r="W538" s="101" t="s">
        <v>395</v>
      </c>
      <c r="X538" s="101" t="s">
        <v>795</v>
      </c>
      <c r="Y538" s="101" t="s">
        <v>396</v>
      </c>
      <c r="Z538" s="101" t="s">
        <v>402</v>
      </c>
      <c r="AA538" s="101" t="s">
        <v>78</v>
      </c>
      <c r="AB538" s="101">
        <v>4101000279</v>
      </c>
      <c r="AC538" s="101" t="s">
        <v>398</v>
      </c>
      <c r="AD538" s="101" t="s">
        <v>403</v>
      </c>
      <c r="AE538" s="101" t="s">
        <v>6</v>
      </c>
      <c r="AF538" s="101" t="s">
        <v>400</v>
      </c>
      <c r="AI538" s="101" t="s">
        <v>760</v>
      </c>
    </row>
    <row r="539" spans="1:35">
      <c r="A539" s="246" t="s">
        <v>110</v>
      </c>
      <c r="B539" s="246" t="s">
        <v>78</v>
      </c>
      <c r="C539" s="246" t="s">
        <v>126</v>
      </c>
      <c r="D539" s="246" t="s">
        <v>770</v>
      </c>
      <c r="E539" s="246" t="s">
        <v>771</v>
      </c>
      <c r="F539" s="246" t="s">
        <v>276</v>
      </c>
      <c r="G539" s="132">
        <v>120</v>
      </c>
      <c r="H539" s="132" t="s">
        <v>1365</v>
      </c>
      <c r="I539" s="132">
        <v>119.99999999999999</v>
      </c>
      <c r="J539" s="101" t="s">
        <v>889</v>
      </c>
      <c r="K539" s="245" t="s">
        <v>390</v>
      </c>
      <c r="L539" s="245">
        <v>42643</v>
      </c>
      <c r="M539" s="245" t="s">
        <v>391</v>
      </c>
      <c r="N539" s="101">
        <v>0</v>
      </c>
      <c r="O539" s="101" t="s">
        <v>392</v>
      </c>
      <c r="P539" s="101">
        <v>0</v>
      </c>
      <c r="Q539" s="101">
        <v>0</v>
      </c>
      <c r="R539" s="101" t="s">
        <v>393</v>
      </c>
      <c r="S539" s="101" t="s">
        <v>867</v>
      </c>
      <c r="T539" s="101" t="s">
        <v>394</v>
      </c>
      <c r="V539" s="245">
        <v>14248</v>
      </c>
      <c r="W539" s="101" t="s">
        <v>395</v>
      </c>
      <c r="X539" s="101" t="s">
        <v>795</v>
      </c>
      <c r="Y539" s="101" t="s">
        <v>396</v>
      </c>
      <c r="Z539" s="101" t="s">
        <v>402</v>
      </c>
      <c r="AA539" s="101" t="s">
        <v>78</v>
      </c>
      <c r="AB539" s="101">
        <v>4101000279</v>
      </c>
      <c r="AC539" s="101" t="s">
        <v>398</v>
      </c>
      <c r="AD539" s="101" t="s">
        <v>403</v>
      </c>
      <c r="AE539" s="101" t="s">
        <v>6</v>
      </c>
      <c r="AF539" s="101" t="s">
        <v>400</v>
      </c>
      <c r="AI539" s="101" t="s">
        <v>760</v>
      </c>
    </row>
    <row r="540" spans="1:35">
      <c r="A540" s="246" t="s">
        <v>110</v>
      </c>
      <c r="B540" s="246" t="s">
        <v>78</v>
      </c>
      <c r="C540" s="246" t="s">
        <v>126</v>
      </c>
      <c r="D540" s="246" t="s">
        <v>770</v>
      </c>
      <c r="E540" s="246" t="s">
        <v>771</v>
      </c>
      <c r="F540" s="246" t="s">
        <v>276</v>
      </c>
      <c r="G540" s="132">
        <v>124</v>
      </c>
      <c r="H540" s="132" t="s">
        <v>1366</v>
      </c>
      <c r="I540" s="132">
        <v>123.99999999999999</v>
      </c>
      <c r="J540" s="101" t="s">
        <v>889</v>
      </c>
      <c r="K540" s="245" t="s">
        <v>390</v>
      </c>
      <c r="L540" s="245">
        <v>42674</v>
      </c>
      <c r="M540" s="245" t="s">
        <v>391</v>
      </c>
      <c r="N540" s="101">
        <v>0</v>
      </c>
      <c r="O540" s="101" t="s">
        <v>392</v>
      </c>
      <c r="P540" s="101">
        <v>0</v>
      </c>
      <c r="Q540" s="101">
        <v>0</v>
      </c>
      <c r="R540" s="101" t="s">
        <v>393</v>
      </c>
      <c r="S540" s="101" t="s">
        <v>867</v>
      </c>
      <c r="T540" s="101" t="s">
        <v>394</v>
      </c>
      <c r="V540" s="245">
        <v>14248</v>
      </c>
      <c r="W540" s="101" t="s">
        <v>395</v>
      </c>
      <c r="X540" s="101" t="s">
        <v>795</v>
      </c>
      <c r="Y540" s="101" t="s">
        <v>396</v>
      </c>
      <c r="Z540" s="101" t="s">
        <v>402</v>
      </c>
      <c r="AA540" s="101" t="s">
        <v>78</v>
      </c>
      <c r="AB540" s="101">
        <v>4101000279</v>
      </c>
      <c r="AC540" s="101" t="s">
        <v>398</v>
      </c>
      <c r="AD540" s="101" t="s">
        <v>403</v>
      </c>
      <c r="AE540" s="101" t="s">
        <v>6</v>
      </c>
      <c r="AF540" s="101" t="s">
        <v>400</v>
      </c>
      <c r="AI540" s="101" t="s">
        <v>760</v>
      </c>
    </row>
    <row r="541" spans="1:35">
      <c r="A541" s="246" t="s">
        <v>111</v>
      </c>
      <c r="B541" s="246" t="s">
        <v>78</v>
      </c>
      <c r="C541" s="246" t="s">
        <v>126</v>
      </c>
      <c r="D541" s="246" t="s">
        <v>768</v>
      </c>
      <c r="E541" s="246" t="s">
        <v>769</v>
      </c>
      <c r="F541" s="246" t="s">
        <v>277</v>
      </c>
      <c r="G541" s="132" t="s">
        <v>1367</v>
      </c>
      <c r="H541" s="132" t="s">
        <v>1368</v>
      </c>
      <c r="I541" s="132">
        <v>86.14</v>
      </c>
      <c r="J541" s="101" t="s">
        <v>889</v>
      </c>
      <c r="K541" s="245" t="s">
        <v>390</v>
      </c>
      <c r="L541" s="245">
        <v>42704</v>
      </c>
      <c r="M541" s="245" t="s">
        <v>391</v>
      </c>
      <c r="N541" s="101">
        <v>0</v>
      </c>
      <c r="O541" s="101" t="s">
        <v>392</v>
      </c>
      <c r="P541" s="101">
        <v>0</v>
      </c>
      <c r="Q541" s="101">
        <v>0</v>
      </c>
      <c r="R541" s="101" t="s">
        <v>393</v>
      </c>
      <c r="S541" s="101" t="s">
        <v>867</v>
      </c>
      <c r="T541" s="101" t="s">
        <v>394</v>
      </c>
      <c r="V541" s="245">
        <v>14248</v>
      </c>
      <c r="W541" s="101" t="s">
        <v>395</v>
      </c>
      <c r="X541" s="101" t="s">
        <v>795</v>
      </c>
      <c r="Y541" s="101" t="s">
        <v>396</v>
      </c>
      <c r="Z541" s="101" t="s">
        <v>402</v>
      </c>
      <c r="AA541" s="101" t="s">
        <v>78</v>
      </c>
      <c r="AB541" s="101">
        <v>4101000279</v>
      </c>
      <c r="AC541" s="101" t="s">
        <v>398</v>
      </c>
      <c r="AD541" s="101" t="s">
        <v>403</v>
      </c>
      <c r="AE541" s="101" t="s">
        <v>6</v>
      </c>
      <c r="AF541" s="101" t="s">
        <v>400</v>
      </c>
      <c r="AI541" s="101" t="s">
        <v>760</v>
      </c>
    </row>
    <row r="542" spans="1:35">
      <c r="A542" s="246" t="s">
        <v>111</v>
      </c>
      <c r="B542" s="246" t="s">
        <v>78</v>
      </c>
      <c r="C542" s="246" t="s">
        <v>126</v>
      </c>
      <c r="D542" s="246" t="s">
        <v>768</v>
      </c>
      <c r="E542" s="246" t="s">
        <v>769</v>
      </c>
      <c r="F542" s="246" t="s">
        <v>277</v>
      </c>
      <c r="G542" s="132" t="s">
        <v>1369</v>
      </c>
      <c r="H542" s="132" t="s">
        <v>1370</v>
      </c>
      <c r="I542" s="132">
        <v>56.519999999999996</v>
      </c>
      <c r="J542" s="101" t="s">
        <v>889</v>
      </c>
      <c r="K542" s="245" t="s">
        <v>390</v>
      </c>
      <c r="L542" s="245">
        <v>42734</v>
      </c>
      <c r="M542" s="245" t="s">
        <v>391</v>
      </c>
      <c r="N542" s="101">
        <v>0</v>
      </c>
      <c r="O542" s="101" t="s">
        <v>392</v>
      </c>
      <c r="P542" s="101">
        <v>0</v>
      </c>
      <c r="Q542" s="101">
        <v>0</v>
      </c>
      <c r="R542" s="101" t="s">
        <v>393</v>
      </c>
      <c r="S542" s="101" t="s">
        <v>867</v>
      </c>
      <c r="T542" s="101" t="s">
        <v>394</v>
      </c>
      <c r="V542" s="245">
        <v>14248</v>
      </c>
      <c r="W542" s="101" t="s">
        <v>395</v>
      </c>
      <c r="X542" s="101" t="s">
        <v>795</v>
      </c>
      <c r="Y542" s="101" t="s">
        <v>396</v>
      </c>
      <c r="Z542" s="101" t="s">
        <v>402</v>
      </c>
      <c r="AA542" s="101" t="s">
        <v>78</v>
      </c>
      <c r="AB542" s="101">
        <v>4101000279</v>
      </c>
      <c r="AC542" s="101" t="s">
        <v>398</v>
      </c>
      <c r="AD542" s="101" t="s">
        <v>403</v>
      </c>
      <c r="AE542" s="101" t="s">
        <v>6</v>
      </c>
      <c r="AF542" s="101" t="s">
        <v>400</v>
      </c>
      <c r="AI542" s="101" t="s">
        <v>760</v>
      </c>
    </row>
    <row r="543" spans="1:35">
      <c r="A543" s="246" t="s">
        <v>111</v>
      </c>
      <c r="B543" s="246" t="s">
        <v>78</v>
      </c>
      <c r="C543" s="246" t="s">
        <v>126</v>
      </c>
      <c r="D543" s="246" t="s">
        <v>768</v>
      </c>
      <c r="E543" s="246" t="s">
        <v>769</v>
      </c>
      <c r="F543" s="246" t="s">
        <v>277</v>
      </c>
      <c r="G543" s="132" t="s">
        <v>1371</v>
      </c>
      <c r="H543" s="132" t="s">
        <v>1372</v>
      </c>
      <c r="I543" s="132">
        <v>60.269999999999996</v>
      </c>
      <c r="J543" s="101" t="s">
        <v>889</v>
      </c>
      <c r="K543" s="245" t="s">
        <v>390</v>
      </c>
      <c r="L543" s="245">
        <v>42766</v>
      </c>
      <c r="M543" s="245" t="s">
        <v>391</v>
      </c>
      <c r="N543" s="101">
        <v>0</v>
      </c>
      <c r="O543" s="101" t="s">
        <v>392</v>
      </c>
      <c r="P543" s="101">
        <v>0</v>
      </c>
      <c r="Q543" s="101">
        <v>0</v>
      </c>
      <c r="R543" s="101" t="s">
        <v>393</v>
      </c>
      <c r="S543" s="101" t="s">
        <v>867</v>
      </c>
      <c r="T543" s="101" t="s">
        <v>394</v>
      </c>
      <c r="V543" s="245">
        <v>14248</v>
      </c>
      <c r="W543" s="101" t="s">
        <v>395</v>
      </c>
      <c r="X543" s="101" t="s">
        <v>795</v>
      </c>
      <c r="Y543" s="101" t="s">
        <v>396</v>
      </c>
      <c r="Z543" s="101" t="s">
        <v>402</v>
      </c>
      <c r="AA543" s="101" t="s">
        <v>78</v>
      </c>
      <c r="AB543" s="101">
        <v>4101000279</v>
      </c>
      <c r="AC543" s="101" t="s">
        <v>398</v>
      </c>
      <c r="AD543" s="101" t="s">
        <v>403</v>
      </c>
      <c r="AE543" s="101" t="s">
        <v>6</v>
      </c>
      <c r="AF543" s="101" t="s">
        <v>400</v>
      </c>
      <c r="AI543" s="101" t="s">
        <v>760</v>
      </c>
    </row>
    <row r="544" spans="1:35">
      <c r="A544" s="246" t="s">
        <v>111</v>
      </c>
      <c r="B544" s="246" t="s">
        <v>78</v>
      </c>
      <c r="C544" s="246" t="s">
        <v>126</v>
      </c>
      <c r="D544" s="246" t="s">
        <v>768</v>
      </c>
      <c r="E544" s="246" t="s">
        <v>769</v>
      </c>
      <c r="F544" s="246" t="s">
        <v>277</v>
      </c>
      <c r="G544" s="132" t="s">
        <v>1373</v>
      </c>
      <c r="H544" s="132" t="s">
        <v>1374</v>
      </c>
      <c r="I544" s="132">
        <v>15.72</v>
      </c>
      <c r="J544" s="101" t="s">
        <v>889</v>
      </c>
      <c r="K544" s="245" t="s">
        <v>390</v>
      </c>
      <c r="L544" s="245">
        <v>42794</v>
      </c>
      <c r="M544" s="245" t="s">
        <v>391</v>
      </c>
      <c r="N544" s="101">
        <v>0</v>
      </c>
      <c r="O544" s="101" t="s">
        <v>392</v>
      </c>
      <c r="P544" s="101">
        <v>0</v>
      </c>
      <c r="Q544" s="101">
        <v>0</v>
      </c>
      <c r="R544" s="101" t="s">
        <v>393</v>
      </c>
      <c r="S544" s="101" t="s">
        <v>867</v>
      </c>
      <c r="T544" s="101" t="s">
        <v>394</v>
      </c>
      <c r="V544" s="245">
        <v>14248</v>
      </c>
      <c r="W544" s="101" t="s">
        <v>395</v>
      </c>
      <c r="X544" s="101" t="s">
        <v>795</v>
      </c>
      <c r="Y544" s="101" t="s">
        <v>396</v>
      </c>
      <c r="Z544" s="101" t="s">
        <v>402</v>
      </c>
      <c r="AA544" s="101" t="s">
        <v>78</v>
      </c>
      <c r="AB544" s="101">
        <v>4101000279</v>
      </c>
      <c r="AC544" s="101" t="s">
        <v>398</v>
      </c>
      <c r="AD544" s="101" t="s">
        <v>403</v>
      </c>
      <c r="AE544" s="101" t="s">
        <v>6</v>
      </c>
      <c r="AF544" s="101" t="s">
        <v>400</v>
      </c>
      <c r="AI544" s="101" t="s">
        <v>760</v>
      </c>
    </row>
    <row r="545" spans="1:35">
      <c r="A545" s="246" t="s">
        <v>111</v>
      </c>
      <c r="B545" s="246" t="s">
        <v>78</v>
      </c>
      <c r="C545" s="246" t="s">
        <v>126</v>
      </c>
      <c r="D545" s="246" t="s">
        <v>768</v>
      </c>
      <c r="E545" s="246" t="s">
        <v>769</v>
      </c>
      <c r="F545" s="246" t="s">
        <v>277</v>
      </c>
      <c r="G545" s="132" t="s">
        <v>1375</v>
      </c>
      <c r="H545" s="132" t="s">
        <v>1376</v>
      </c>
      <c r="I545" s="132">
        <v>-18.149999999999999</v>
      </c>
      <c r="J545" s="101" t="s">
        <v>889</v>
      </c>
      <c r="K545" s="245" t="s">
        <v>390</v>
      </c>
      <c r="L545" s="245">
        <v>42825</v>
      </c>
      <c r="M545" s="245" t="s">
        <v>391</v>
      </c>
      <c r="N545" s="101">
        <v>0</v>
      </c>
      <c r="O545" s="101" t="s">
        <v>392</v>
      </c>
      <c r="P545" s="101">
        <v>0</v>
      </c>
      <c r="Q545" s="101">
        <v>0</v>
      </c>
      <c r="R545" s="101" t="s">
        <v>393</v>
      </c>
      <c r="S545" s="101" t="s">
        <v>867</v>
      </c>
      <c r="T545" s="101" t="s">
        <v>394</v>
      </c>
      <c r="V545" s="245">
        <v>14248</v>
      </c>
      <c r="W545" s="101" t="s">
        <v>395</v>
      </c>
      <c r="X545" s="101" t="s">
        <v>795</v>
      </c>
      <c r="Y545" s="101" t="s">
        <v>396</v>
      </c>
      <c r="Z545" s="101" t="s">
        <v>402</v>
      </c>
      <c r="AA545" s="101" t="s">
        <v>78</v>
      </c>
      <c r="AB545" s="101">
        <v>4101000279</v>
      </c>
      <c r="AC545" s="101" t="s">
        <v>398</v>
      </c>
      <c r="AD545" s="101" t="s">
        <v>403</v>
      </c>
      <c r="AE545" s="101" t="s">
        <v>6</v>
      </c>
      <c r="AF545" s="101" t="s">
        <v>400</v>
      </c>
      <c r="AI545" s="101" t="s">
        <v>760</v>
      </c>
    </row>
    <row r="546" spans="1:35">
      <c r="A546" s="246" t="s">
        <v>111</v>
      </c>
      <c r="B546" s="246" t="s">
        <v>78</v>
      </c>
      <c r="C546" s="246" t="s">
        <v>126</v>
      </c>
      <c r="D546" s="246" t="s">
        <v>768</v>
      </c>
      <c r="E546" s="246" t="s">
        <v>769</v>
      </c>
      <c r="F546" s="246" t="s">
        <v>277</v>
      </c>
      <c r="G546" s="132" t="s">
        <v>1377</v>
      </c>
      <c r="H546" s="132" t="s">
        <v>1378</v>
      </c>
      <c r="I546" s="132">
        <v>-16.38</v>
      </c>
      <c r="J546" s="101" t="s">
        <v>889</v>
      </c>
      <c r="K546" s="245" t="s">
        <v>390</v>
      </c>
      <c r="L546" s="245">
        <v>42853</v>
      </c>
      <c r="M546" s="245" t="s">
        <v>391</v>
      </c>
      <c r="N546" s="101">
        <v>0</v>
      </c>
      <c r="O546" s="101" t="s">
        <v>392</v>
      </c>
      <c r="P546" s="101">
        <v>0</v>
      </c>
      <c r="Q546" s="101">
        <v>0</v>
      </c>
      <c r="R546" s="101" t="s">
        <v>393</v>
      </c>
      <c r="S546" s="101" t="s">
        <v>867</v>
      </c>
      <c r="T546" s="101" t="s">
        <v>394</v>
      </c>
      <c r="V546" s="245">
        <v>14248</v>
      </c>
      <c r="W546" s="101" t="s">
        <v>395</v>
      </c>
      <c r="X546" s="101" t="s">
        <v>795</v>
      </c>
      <c r="Y546" s="101" t="s">
        <v>396</v>
      </c>
      <c r="Z546" s="101" t="s">
        <v>402</v>
      </c>
      <c r="AA546" s="101" t="s">
        <v>78</v>
      </c>
      <c r="AB546" s="101">
        <v>4101000279</v>
      </c>
      <c r="AC546" s="101" t="s">
        <v>398</v>
      </c>
      <c r="AD546" s="101" t="s">
        <v>403</v>
      </c>
      <c r="AE546" s="101" t="s">
        <v>6</v>
      </c>
      <c r="AF546" s="101" t="s">
        <v>400</v>
      </c>
      <c r="AI546" s="101" t="s">
        <v>760</v>
      </c>
    </row>
    <row r="547" spans="1:35">
      <c r="A547" s="246" t="s">
        <v>112</v>
      </c>
      <c r="B547" s="246" t="s">
        <v>78</v>
      </c>
      <c r="C547" s="246" t="s">
        <v>126</v>
      </c>
      <c r="D547" s="246" t="s">
        <v>341</v>
      </c>
      <c r="E547" s="246" t="s">
        <v>342</v>
      </c>
      <c r="F547" s="246" t="s">
        <v>278</v>
      </c>
      <c r="G547" s="132" t="s">
        <v>1379</v>
      </c>
      <c r="H547" s="132" t="s">
        <v>1380</v>
      </c>
      <c r="I547" s="132">
        <v>-65.429999999999993</v>
      </c>
      <c r="J547" s="101" t="s">
        <v>889</v>
      </c>
      <c r="K547" s="245" t="s">
        <v>390</v>
      </c>
      <c r="L547" s="245">
        <v>42886</v>
      </c>
      <c r="M547" s="245" t="s">
        <v>391</v>
      </c>
      <c r="N547" s="101">
        <v>0</v>
      </c>
      <c r="O547" s="101" t="s">
        <v>392</v>
      </c>
      <c r="P547" s="101">
        <v>0</v>
      </c>
      <c r="Q547" s="101">
        <v>0</v>
      </c>
      <c r="R547" s="101" t="s">
        <v>393</v>
      </c>
      <c r="S547" s="101" t="s">
        <v>867</v>
      </c>
      <c r="T547" s="101" t="s">
        <v>394</v>
      </c>
      <c r="V547" s="245">
        <v>14248</v>
      </c>
      <c r="W547" s="101" t="s">
        <v>395</v>
      </c>
      <c r="X547" s="101" t="s">
        <v>795</v>
      </c>
      <c r="Y547" s="101" t="s">
        <v>396</v>
      </c>
      <c r="Z547" s="101" t="s">
        <v>402</v>
      </c>
      <c r="AA547" s="101" t="s">
        <v>78</v>
      </c>
      <c r="AB547" s="101">
        <v>4101000279</v>
      </c>
      <c r="AC547" s="101" t="s">
        <v>398</v>
      </c>
      <c r="AD547" s="101" t="s">
        <v>403</v>
      </c>
      <c r="AE547" s="101" t="s">
        <v>6</v>
      </c>
      <c r="AF547" s="101" t="s">
        <v>400</v>
      </c>
      <c r="AI547" s="101" t="s">
        <v>760</v>
      </c>
    </row>
    <row r="548" spans="1:35">
      <c r="A548" s="246" t="s">
        <v>112</v>
      </c>
      <c r="B548" s="246" t="s">
        <v>78</v>
      </c>
      <c r="C548" s="246" t="s">
        <v>126</v>
      </c>
      <c r="D548" s="246" t="s">
        <v>341</v>
      </c>
      <c r="E548" s="246" t="s">
        <v>342</v>
      </c>
      <c r="F548" s="246" t="s">
        <v>278</v>
      </c>
      <c r="G548" s="132" t="s">
        <v>1381</v>
      </c>
      <c r="H548" s="132" t="s">
        <v>1382</v>
      </c>
      <c r="I548" s="132">
        <v>-90.34</v>
      </c>
      <c r="J548" s="101" t="s">
        <v>889</v>
      </c>
      <c r="K548" s="245" t="s">
        <v>390</v>
      </c>
      <c r="L548" s="245">
        <v>42916</v>
      </c>
      <c r="M548" s="245" t="s">
        <v>391</v>
      </c>
      <c r="N548" s="101">
        <v>0</v>
      </c>
      <c r="O548" s="101" t="s">
        <v>392</v>
      </c>
      <c r="P548" s="101">
        <v>0</v>
      </c>
      <c r="Q548" s="101">
        <v>0</v>
      </c>
      <c r="R548" s="101" t="s">
        <v>393</v>
      </c>
      <c r="S548" s="101" t="s">
        <v>867</v>
      </c>
      <c r="T548" s="101" t="s">
        <v>394</v>
      </c>
      <c r="V548" s="245">
        <v>14248</v>
      </c>
      <c r="W548" s="101" t="s">
        <v>395</v>
      </c>
      <c r="X548" s="101" t="s">
        <v>795</v>
      </c>
      <c r="Y548" s="101" t="s">
        <v>396</v>
      </c>
      <c r="Z548" s="101" t="s">
        <v>402</v>
      </c>
      <c r="AA548" s="101" t="s">
        <v>78</v>
      </c>
      <c r="AB548" s="101">
        <v>4101000279</v>
      </c>
      <c r="AC548" s="101" t="s">
        <v>398</v>
      </c>
      <c r="AD548" s="101" t="s">
        <v>403</v>
      </c>
      <c r="AE548" s="101" t="s">
        <v>6</v>
      </c>
      <c r="AF548" s="101" t="s">
        <v>400</v>
      </c>
      <c r="AI548" s="101" t="s">
        <v>760</v>
      </c>
    </row>
    <row r="549" spans="1:35">
      <c r="A549" s="246" t="s">
        <v>112</v>
      </c>
      <c r="B549" s="246" t="s">
        <v>78</v>
      </c>
      <c r="C549" s="246" t="s">
        <v>126</v>
      </c>
      <c r="D549" s="246" t="s">
        <v>341</v>
      </c>
      <c r="E549" s="246" t="s">
        <v>342</v>
      </c>
      <c r="F549" s="246" t="s">
        <v>278</v>
      </c>
      <c r="G549" s="132" t="s">
        <v>1383</v>
      </c>
      <c r="H549" s="132" t="s">
        <v>1384</v>
      </c>
      <c r="I549" s="132">
        <v>-93.36</v>
      </c>
      <c r="J549" s="101" t="s">
        <v>889</v>
      </c>
      <c r="K549" s="245" t="s">
        <v>390</v>
      </c>
      <c r="L549" s="245">
        <v>42947</v>
      </c>
      <c r="M549" s="245" t="s">
        <v>391</v>
      </c>
      <c r="N549" s="101">
        <v>0</v>
      </c>
      <c r="O549" s="101" t="s">
        <v>392</v>
      </c>
      <c r="P549" s="101">
        <v>0</v>
      </c>
      <c r="Q549" s="101">
        <v>0</v>
      </c>
      <c r="R549" s="101" t="s">
        <v>393</v>
      </c>
      <c r="S549" s="101" t="s">
        <v>867</v>
      </c>
      <c r="T549" s="101" t="s">
        <v>394</v>
      </c>
      <c r="V549" s="245">
        <v>14248</v>
      </c>
      <c r="W549" s="101" t="s">
        <v>395</v>
      </c>
      <c r="X549" s="101" t="s">
        <v>795</v>
      </c>
      <c r="Y549" s="101" t="s">
        <v>396</v>
      </c>
      <c r="Z549" s="101" t="s">
        <v>402</v>
      </c>
      <c r="AA549" s="101" t="s">
        <v>78</v>
      </c>
      <c r="AB549" s="101">
        <v>4101000279</v>
      </c>
      <c r="AC549" s="101" t="s">
        <v>398</v>
      </c>
      <c r="AD549" s="101" t="s">
        <v>403</v>
      </c>
      <c r="AE549" s="101" t="s">
        <v>6</v>
      </c>
      <c r="AF549" s="101" t="s">
        <v>400</v>
      </c>
      <c r="AI549" s="101" t="s">
        <v>760</v>
      </c>
    </row>
    <row r="550" spans="1:35">
      <c r="A550" s="246" t="s">
        <v>112</v>
      </c>
      <c r="B550" s="246" t="s">
        <v>78</v>
      </c>
      <c r="C550" s="246" t="s">
        <v>126</v>
      </c>
      <c r="D550" s="246" t="s">
        <v>341</v>
      </c>
      <c r="E550" s="246" t="s">
        <v>342</v>
      </c>
      <c r="F550" s="246" t="s">
        <v>278</v>
      </c>
      <c r="G550" s="132" t="s">
        <v>1383</v>
      </c>
      <c r="H550" s="132" t="s">
        <v>1384</v>
      </c>
      <c r="I550" s="132">
        <v>-93.36</v>
      </c>
      <c r="J550" s="101" t="s">
        <v>889</v>
      </c>
      <c r="K550" s="245" t="s">
        <v>390</v>
      </c>
      <c r="L550" s="245">
        <v>42978</v>
      </c>
      <c r="M550" s="245" t="s">
        <v>391</v>
      </c>
      <c r="N550" s="101">
        <v>0</v>
      </c>
      <c r="O550" s="101" t="s">
        <v>392</v>
      </c>
      <c r="P550" s="101">
        <v>0</v>
      </c>
      <c r="Q550" s="101">
        <v>0</v>
      </c>
      <c r="R550" s="101" t="s">
        <v>393</v>
      </c>
      <c r="S550" s="101" t="s">
        <v>867</v>
      </c>
      <c r="T550" s="101" t="s">
        <v>394</v>
      </c>
      <c r="V550" s="245">
        <v>14248</v>
      </c>
      <c r="W550" s="101" t="s">
        <v>395</v>
      </c>
      <c r="X550" s="101" t="s">
        <v>795</v>
      </c>
      <c r="Y550" s="101" t="s">
        <v>396</v>
      </c>
      <c r="Z550" s="101" t="s">
        <v>402</v>
      </c>
      <c r="AA550" s="101" t="s">
        <v>78</v>
      </c>
      <c r="AB550" s="101">
        <v>4101000279</v>
      </c>
      <c r="AC550" s="101" t="s">
        <v>398</v>
      </c>
      <c r="AD550" s="101" t="s">
        <v>403</v>
      </c>
      <c r="AE550" s="101" t="s">
        <v>6</v>
      </c>
      <c r="AF550" s="101" t="s">
        <v>400</v>
      </c>
      <c r="AI550" s="101" t="s">
        <v>760</v>
      </c>
    </row>
    <row r="551" spans="1:35">
      <c r="A551" s="246" t="s">
        <v>112</v>
      </c>
      <c r="B551" s="246" t="s">
        <v>78</v>
      </c>
      <c r="C551" s="246" t="s">
        <v>126</v>
      </c>
      <c r="D551" s="246" t="s">
        <v>341</v>
      </c>
      <c r="E551" s="246" t="s">
        <v>342</v>
      </c>
      <c r="F551" s="246" t="s">
        <v>278</v>
      </c>
      <c r="G551" s="132" t="s">
        <v>1385</v>
      </c>
      <c r="H551" s="132" t="s">
        <v>1386</v>
      </c>
      <c r="I551" s="132">
        <v>-87.33</v>
      </c>
      <c r="J551" s="101" t="s">
        <v>889</v>
      </c>
      <c r="K551" s="245" t="s">
        <v>390</v>
      </c>
      <c r="L551" s="245">
        <v>43007</v>
      </c>
      <c r="M551" s="245" t="s">
        <v>391</v>
      </c>
      <c r="N551" s="101">
        <v>0</v>
      </c>
      <c r="O551" s="101" t="s">
        <v>392</v>
      </c>
      <c r="P551" s="101">
        <v>0</v>
      </c>
      <c r="Q551" s="101">
        <v>0</v>
      </c>
      <c r="R551" s="101" t="s">
        <v>393</v>
      </c>
      <c r="S551" s="101" t="s">
        <v>867</v>
      </c>
      <c r="T551" s="101" t="s">
        <v>394</v>
      </c>
      <c r="V551" s="245">
        <v>14248</v>
      </c>
      <c r="W551" s="101" t="s">
        <v>395</v>
      </c>
      <c r="X551" s="101" t="s">
        <v>795</v>
      </c>
      <c r="Y551" s="101" t="s">
        <v>396</v>
      </c>
      <c r="Z551" s="101" t="s">
        <v>402</v>
      </c>
      <c r="AA551" s="101" t="s">
        <v>78</v>
      </c>
      <c r="AB551" s="101">
        <v>4101000279</v>
      </c>
      <c r="AC551" s="101" t="s">
        <v>398</v>
      </c>
      <c r="AD551" s="101" t="s">
        <v>403</v>
      </c>
      <c r="AE551" s="101" t="s">
        <v>6</v>
      </c>
      <c r="AF551" s="101" t="s">
        <v>400</v>
      </c>
      <c r="AI551" s="101" t="s">
        <v>760</v>
      </c>
    </row>
    <row r="552" spans="1:35">
      <c r="A552" s="246" t="s">
        <v>112</v>
      </c>
      <c r="B552" s="246" t="s">
        <v>78</v>
      </c>
      <c r="C552" s="246" t="s">
        <v>126</v>
      </c>
      <c r="D552" s="246" t="s">
        <v>341</v>
      </c>
      <c r="E552" s="246" t="s">
        <v>342</v>
      </c>
      <c r="F552" s="246" t="s">
        <v>278</v>
      </c>
      <c r="G552" s="132" t="s">
        <v>1387</v>
      </c>
      <c r="H552" s="132" t="s">
        <v>1388</v>
      </c>
      <c r="I552" s="132">
        <v>-96.38</v>
      </c>
      <c r="J552" s="101" t="s">
        <v>889</v>
      </c>
      <c r="K552" s="245" t="s">
        <v>390</v>
      </c>
      <c r="L552" s="245">
        <v>43039</v>
      </c>
      <c r="M552" s="245" t="s">
        <v>391</v>
      </c>
      <c r="N552" s="101">
        <v>0</v>
      </c>
      <c r="O552" s="101" t="s">
        <v>392</v>
      </c>
      <c r="P552" s="101">
        <v>0</v>
      </c>
      <c r="Q552" s="101">
        <v>0</v>
      </c>
      <c r="R552" s="101" t="s">
        <v>393</v>
      </c>
      <c r="S552" s="101" t="s">
        <v>867</v>
      </c>
      <c r="T552" s="101" t="s">
        <v>394</v>
      </c>
      <c r="V552" s="245">
        <v>14248</v>
      </c>
      <c r="W552" s="101" t="s">
        <v>395</v>
      </c>
      <c r="X552" s="101" t="s">
        <v>795</v>
      </c>
      <c r="Y552" s="101" t="s">
        <v>396</v>
      </c>
      <c r="Z552" s="101" t="s">
        <v>402</v>
      </c>
      <c r="AA552" s="101" t="s">
        <v>78</v>
      </c>
      <c r="AB552" s="101">
        <v>4101000279</v>
      </c>
      <c r="AC552" s="101" t="s">
        <v>398</v>
      </c>
      <c r="AD552" s="101" t="s">
        <v>403</v>
      </c>
      <c r="AE552" s="101" t="s">
        <v>6</v>
      </c>
      <c r="AF552" s="101" t="s">
        <v>400</v>
      </c>
      <c r="AI552" s="101" t="s">
        <v>760</v>
      </c>
    </row>
    <row r="553" spans="1:35">
      <c r="A553" s="246" t="s">
        <v>113</v>
      </c>
      <c r="B553" s="246" t="s">
        <v>78</v>
      </c>
      <c r="C553" s="246" t="s">
        <v>126</v>
      </c>
      <c r="D553" s="246" t="s">
        <v>339</v>
      </c>
      <c r="E553" s="246" t="s">
        <v>340</v>
      </c>
      <c r="F553" s="246" t="s">
        <v>279</v>
      </c>
      <c r="G553" s="132" t="s">
        <v>1381</v>
      </c>
      <c r="H553" s="132" t="s">
        <v>1382</v>
      </c>
      <c r="I553" s="132">
        <v>-90.34</v>
      </c>
      <c r="J553" s="101" t="s">
        <v>889</v>
      </c>
      <c r="K553" s="245" t="s">
        <v>390</v>
      </c>
      <c r="L553" s="245">
        <v>43069</v>
      </c>
      <c r="M553" s="245" t="s">
        <v>391</v>
      </c>
      <c r="N553" s="101">
        <v>0</v>
      </c>
      <c r="O553" s="101" t="s">
        <v>392</v>
      </c>
      <c r="P553" s="101">
        <v>0</v>
      </c>
      <c r="Q553" s="101">
        <v>0</v>
      </c>
      <c r="R553" s="101" t="s">
        <v>393</v>
      </c>
      <c r="S553" s="101" t="s">
        <v>867</v>
      </c>
      <c r="T553" s="101" t="s">
        <v>394</v>
      </c>
      <c r="V553" s="245">
        <v>14248</v>
      </c>
      <c r="W553" s="101" t="s">
        <v>395</v>
      </c>
      <c r="X553" s="101" t="s">
        <v>795</v>
      </c>
      <c r="Y553" s="101" t="s">
        <v>396</v>
      </c>
      <c r="Z553" s="101" t="s">
        <v>402</v>
      </c>
      <c r="AA553" s="101" t="s">
        <v>78</v>
      </c>
      <c r="AB553" s="101">
        <v>4101000279</v>
      </c>
      <c r="AC553" s="101" t="s">
        <v>398</v>
      </c>
      <c r="AD553" s="101" t="s">
        <v>403</v>
      </c>
      <c r="AE553" s="101" t="s">
        <v>6</v>
      </c>
      <c r="AF553" s="101" t="s">
        <v>400</v>
      </c>
      <c r="AI553" s="101" t="s">
        <v>760</v>
      </c>
    </row>
    <row r="554" spans="1:35">
      <c r="A554" s="246" t="s">
        <v>113</v>
      </c>
      <c r="B554" s="246" t="s">
        <v>78</v>
      </c>
      <c r="C554" s="246" t="s">
        <v>126</v>
      </c>
      <c r="D554" s="246" t="s">
        <v>339</v>
      </c>
      <c r="E554" s="246" t="s">
        <v>340</v>
      </c>
      <c r="F554" s="246" t="s">
        <v>279</v>
      </c>
      <c r="G554" s="132" t="s">
        <v>1385</v>
      </c>
      <c r="H554" s="132" t="s">
        <v>1386</v>
      </c>
      <c r="I554" s="132">
        <v>-87.33</v>
      </c>
      <c r="J554" s="101" t="s">
        <v>889</v>
      </c>
      <c r="K554" s="245" t="s">
        <v>390</v>
      </c>
      <c r="L554" s="245">
        <v>43098</v>
      </c>
      <c r="M554" s="245" t="s">
        <v>391</v>
      </c>
      <c r="N554" s="101">
        <v>0</v>
      </c>
      <c r="O554" s="101" t="s">
        <v>392</v>
      </c>
      <c r="P554" s="101">
        <v>0</v>
      </c>
      <c r="Q554" s="101">
        <v>0</v>
      </c>
      <c r="R554" s="101" t="s">
        <v>393</v>
      </c>
      <c r="S554" s="101" t="s">
        <v>867</v>
      </c>
      <c r="T554" s="101" t="s">
        <v>394</v>
      </c>
      <c r="V554" s="245">
        <v>14248</v>
      </c>
      <c r="W554" s="101" t="s">
        <v>395</v>
      </c>
      <c r="X554" s="101" t="s">
        <v>795</v>
      </c>
      <c r="Y554" s="101" t="s">
        <v>396</v>
      </c>
      <c r="Z554" s="101" t="s">
        <v>402</v>
      </c>
      <c r="AA554" s="101" t="s">
        <v>78</v>
      </c>
      <c r="AB554" s="101">
        <v>4101000279</v>
      </c>
      <c r="AC554" s="101" t="s">
        <v>398</v>
      </c>
      <c r="AD554" s="101" t="s">
        <v>403</v>
      </c>
      <c r="AE554" s="101" t="s">
        <v>6</v>
      </c>
      <c r="AF554" s="101" t="s">
        <v>400</v>
      </c>
      <c r="AI554" s="101" t="s">
        <v>760</v>
      </c>
    </row>
    <row r="555" spans="1:35">
      <c r="A555" s="246" t="s">
        <v>113</v>
      </c>
      <c r="B555" s="246" t="s">
        <v>78</v>
      </c>
      <c r="C555" s="246" t="s">
        <v>126</v>
      </c>
      <c r="D555" s="246" t="s">
        <v>339</v>
      </c>
      <c r="E555" s="246" t="s">
        <v>340</v>
      </c>
      <c r="F555" s="246" t="s">
        <v>279</v>
      </c>
      <c r="G555" s="132" t="s">
        <v>1389</v>
      </c>
      <c r="H555" s="132" t="s">
        <v>1390</v>
      </c>
      <c r="I555" s="132">
        <v>-99.4</v>
      </c>
      <c r="J555" s="101" t="s">
        <v>889</v>
      </c>
      <c r="K555" s="245" t="s">
        <v>390</v>
      </c>
      <c r="L555" s="245">
        <v>43131</v>
      </c>
      <c r="M555" s="245" t="s">
        <v>391</v>
      </c>
      <c r="N555" s="101">
        <v>0</v>
      </c>
      <c r="O555" s="101" t="s">
        <v>392</v>
      </c>
      <c r="P555" s="101">
        <v>0</v>
      </c>
      <c r="Q555" s="101">
        <v>0</v>
      </c>
      <c r="R555" s="101" t="s">
        <v>393</v>
      </c>
      <c r="S555" s="101" t="s">
        <v>867</v>
      </c>
      <c r="T555" s="101" t="s">
        <v>394</v>
      </c>
      <c r="V555" s="245">
        <v>14248</v>
      </c>
      <c r="W555" s="101" t="s">
        <v>395</v>
      </c>
      <c r="X555" s="101" t="s">
        <v>795</v>
      </c>
      <c r="Y555" s="101" t="s">
        <v>396</v>
      </c>
      <c r="Z555" s="101" t="s">
        <v>402</v>
      </c>
      <c r="AA555" s="101" t="s">
        <v>78</v>
      </c>
      <c r="AB555" s="101">
        <v>4101000279</v>
      </c>
      <c r="AC555" s="101" t="s">
        <v>398</v>
      </c>
      <c r="AD555" s="101" t="s">
        <v>403</v>
      </c>
      <c r="AE555" s="101" t="s">
        <v>6</v>
      </c>
      <c r="AF555" s="101" t="s">
        <v>400</v>
      </c>
      <c r="AI555" s="101" t="s">
        <v>760</v>
      </c>
    </row>
    <row r="556" spans="1:35">
      <c r="A556" s="246" t="s">
        <v>113</v>
      </c>
      <c r="B556" s="246" t="s">
        <v>78</v>
      </c>
      <c r="C556" s="246" t="s">
        <v>126</v>
      </c>
      <c r="D556" s="246" t="s">
        <v>339</v>
      </c>
      <c r="E556" s="246" t="s">
        <v>340</v>
      </c>
      <c r="F556" s="246" t="s">
        <v>279</v>
      </c>
      <c r="G556" s="132" t="s">
        <v>1391</v>
      </c>
      <c r="H556" s="132" t="s">
        <v>1392</v>
      </c>
      <c r="I556" s="132">
        <v>-84.31</v>
      </c>
      <c r="J556" s="101" t="s">
        <v>889</v>
      </c>
      <c r="K556" s="245" t="s">
        <v>390</v>
      </c>
      <c r="L556" s="245">
        <v>43159</v>
      </c>
      <c r="M556" s="245" t="s">
        <v>391</v>
      </c>
      <c r="N556" s="101">
        <v>0</v>
      </c>
      <c r="O556" s="101" t="s">
        <v>392</v>
      </c>
      <c r="P556" s="101">
        <v>0</v>
      </c>
      <c r="Q556" s="101">
        <v>0</v>
      </c>
      <c r="R556" s="101" t="s">
        <v>393</v>
      </c>
      <c r="S556" s="101" t="s">
        <v>867</v>
      </c>
      <c r="T556" s="101" t="s">
        <v>394</v>
      </c>
      <c r="V556" s="245">
        <v>14248</v>
      </c>
      <c r="W556" s="101" t="s">
        <v>395</v>
      </c>
      <c r="X556" s="101" t="s">
        <v>795</v>
      </c>
      <c r="Y556" s="101" t="s">
        <v>396</v>
      </c>
      <c r="Z556" s="101" t="s">
        <v>402</v>
      </c>
      <c r="AA556" s="101" t="s">
        <v>78</v>
      </c>
      <c r="AB556" s="101">
        <v>4101000279</v>
      </c>
      <c r="AC556" s="101" t="s">
        <v>398</v>
      </c>
      <c r="AD556" s="101" t="s">
        <v>403</v>
      </c>
      <c r="AE556" s="101" t="s">
        <v>6</v>
      </c>
      <c r="AF556" s="101" t="s">
        <v>400</v>
      </c>
      <c r="AI556" s="101" t="s">
        <v>760</v>
      </c>
    </row>
    <row r="557" spans="1:35">
      <c r="A557" s="246" t="s">
        <v>113</v>
      </c>
      <c r="B557" s="246" t="s">
        <v>78</v>
      </c>
      <c r="C557" s="246" t="s">
        <v>126</v>
      </c>
      <c r="D557" s="246" t="s">
        <v>339</v>
      </c>
      <c r="E557" s="246" t="s">
        <v>340</v>
      </c>
      <c r="F557" s="246" t="s">
        <v>279</v>
      </c>
      <c r="G557" s="132" t="s">
        <v>1385</v>
      </c>
      <c r="H557" s="132" t="s">
        <v>1386</v>
      </c>
      <c r="I557" s="132">
        <v>-87.33</v>
      </c>
      <c r="J557" s="101" t="s">
        <v>889</v>
      </c>
      <c r="K557" s="245" t="s">
        <v>390</v>
      </c>
      <c r="L557" s="245">
        <v>43188</v>
      </c>
      <c r="M557" s="245" t="s">
        <v>391</v>
      </c>
      <c r="N557" s="101">
        <v>0</v>
      </c>
      <c r="O557" s="101" t="s">
        <v>392</v>
      </c>
      <c r="P557" s="101">
        <v>0</v>
      </c>
      <c r="Q557" s="101">
        <v>0</v>
      </c>
      <c r="R557" s="101" t="s">
        <v>393</v>
      </c>
      <c r="S557" s="101" t="s">
        <v>867</v>
      </c>
      <c r="T557" s="101" t="s">
        <v>394</v>
      </c>
      <c r="V557" s="245">
        <v>14248</v>
      </c>
      <c r="W557" s="101" t="s">
        <v>395</v>
      </c>
      <c r="X557" s="101" t="s">
        <v>795</v>
      </c>
      <c r="Y557" s="101" t="s">
        <v>396</v>
      </c>
      <c r="Z557" s="101" t="s">
        <v>402</v>
      </c>
      <c r="AA557" s="101" t="s">
        <v>78</v>
      </c>
      <c r="AB557" s="101">
        <v>4101000279</v>
      </c>
      <c r="AC557" s="101" t="s">
        <v>398</v>
      </c>
      <c r="AD557" s="101" t="s">
        <v>403</v>
      </c>
      <c r="AE557" s="101" t="s">
        <v>6</v>
      </c>
      <c r="AF557" s="101" t="s">
        <v>400</v>
      </c>
      <c r="AI557" s="101" t="s">
        <v>760</v>
      </c>
    </row>
    <row r="558" spans="1:35">
      <c r="A558" s="246" t="s">
        <v>113</v>
      </c>
      <c r="B558" s="246" t="s">
        <v>78</v>
      </c>
      <c r="C558" s="246" t="s">
        <v>126</v>
      </c>
      <c r="D558" s="246" t="s">
        <v>339</v>
      </c>
      <c r="E558" s="246" t="s">
        <v>340</v>
      </c>
      <c r="F558" s="246" t="s">
        <v>279</v>
      </c>
      <c r="G558" s="132" t="s">
        <v>1387</v>
      </c>
      <c r="H558" s="132" t="s">
        <v>1388</v>
      </c>
      <c r="I558" s="132">
        <v>-96.38</v>
      </c>
      <c r="J558" s="101" t="s">
        <v>889</v>
      </c>
      <c r="K558" s="245" t="s">
        <v>390</v>
      </c>
      <c r="L558" s="245">
        <v>43220</v>
      </c>
      <c r="M558" s="245" t="s">
        <v>391</v>
      </c>
      <c r="N558" s="101">
        <v>0</v>
      </c>
      <c r="O558" s="101" t="s">
        <v>392</v>
      </c>
      <c r="P558" s="101">
        <v>0</v>
      </c>
      <c r="Q558" s="101">
        <v>0</v>
      </c>
      <c r="R558" s="101" t="s">
        <v>393</v>
      </c>
      <c r="S558" s="101" t="s">
        <v>867</v>
      </c>
      <c r="T558" s="101" t="s">
        <v>394</v>
      </c>
      <c r="V558" s="245">
        <v>14248</v>
      </c>
      <c r="W558" s="101" t="s">
        <v>395</v>
      </c>
      <c r="X558" s="101" t="s">
        <v>795</v>
      </c>
      <c r="Y558" s="101" t="s">
        <v>396</v>
      </c>
      <c r="Z558" s="101" t="s">
        <v>402</v>
      </c>
      <c r="AA558" s="101" t="s">
        <v>78</v>
      </c>
      <c r="AB558" s="101">
        <v>4101000279</v>
      </c>
      <c r="AC558" s="101" t="s">
        <v>398</v>
      </c>
      <c r="AD558" s="101" t="s">
        <v>403</v>
      </c>
      <c r="AE558" s="101" t="s">
        <v>6</v>
      </c>
      <c r="AF558" s="101" t="s">
        <v>400</v>
      </c>
      <c r="AI558" s="101" t="s">
        <v>760</v>
      </c>
    </row>
    <row r="559" spans="1:35">
      <c r="A559" s="246" t="s">
        <v>110</v>
      </c>
      <c r="B559" s="246" t="s">
        <v>78</v>
      </c>
      <c r="C559" s="246" t="s">
        <v>126</v>
      </c>
      <c r="D559" s="246" t="s">
        <v>770</v>
      </c>
      <c r="E559" s="246" t="s">
        <v>771</v>
      </c>
      <c r="F559" s="246"/>
      <c r="G559" s="132" t="s">
        <v>467</v>
      </c>
      <c r="H559" s="132" t="s">
        <v>1393</v>
      </c>
      <c r="I559" s="132">
        <v>-602622.22</v>
      </c>
      <c r="J559" s="101" t="s">
        <v>889</v>
      </c>
      <c r="K559" s="245" t="s">
        <v>390</v>
      </c>
      <c r="L559" s="245">
        <v>42674</v>
      </c>
      <c r="M559" s="245" t="s">
        <v>391</v>
      </c>
      <c r="N559" s="101">
        <v>0</v>
      </c>
      <c r="O559" s="101" t="s">
        <v>392</v>
      </c>
      <c r="P559" s="101">
        <v>0</v>
      </c>
      <c r="Q559" s="101">
        <v>0</v>
      </c>
      <c r="R559" s="101" t="s">
        <v>393</v>
      </c>
      <c r="S559" s="101" t="s">
        <v>468</v>
      </c>
      <c r="T559" s="101" t="s">
        <v>394</v>
      </c>
      <c r="V559" s="245">
        <v>11077</v>
      </c>
      <c r="W559" s="101" t="s">
        <v>469</v>
      </c>
      <c r="X559" s="101" t="s">
        <v>470</v>
      </c>
      <c r="Y559" s="101" t="s">
        <v>471</v>
      </c>
      <c r="Z559" s="101" t="s">
        <v>402</v>
      </c>
      <c r="AA559" s="101" t="s">
        <v>78</v>
      </c>
      <c r="AB559" s="101">
        <v>4101000279</v>
      </c>
      <c r="AC559" s="101" t="s">
        <v>398</v>
      </c>
      <c r="AD559" s="101" t="s">
        <v>403</v>
      </c>
      <c r="AE559" s="101" t="s">
        <v>75</v>
      </c>
      <c r="AF559" s="101" t="s">
        <v>400</v>
      </c>
      <c r="AI559" s="101" t="s">
        <v>760</v>
      </c>
    </row>
    <row r="560" spans="1:35">
      <c r="A560" s="246" t="s">
        <v>111</v>
      </c>
      <c r="B560" s="246" t="s">
        <v>78</v>
      </c>
      <c r="C560" s="246" t="s">
        <v>126</v>
      </c>
      <c r="D560" s="246" t="s">
        <v>768</v>
      </c>
      <c r="E560" s="246" t="s">
        <v>769</v>
      </c>
      <c r="F560" s="246"/>
      <c r="G560" s="132" t="s">
        <v>472</v>
      </c>
      <c r="H560" s="132" t="s">
        <v>1394</v>
      </c>
      <c r="I560" s="132">
        <v>-589377.78</v>
      </c>
      <c r="J560" s="101" t="s">
        <v>889</v>
      </c>
      <c r="K560" s="245" t="s">
        <v>390</v>
      </c>
      <c r="L560" s="245">
        <v>42853</v>
      </c>
      <c r="M560" s="245" t="s">
        <v>391</v>
      </c>
      <c r="N560" s="101">
        <v>0</v>
      </c>
      <c r="O560" s="101" t="s">
        <v>392</v>
      </c>
      <c r="P560" s="101">
        <v>0</v>
      </c>
      <c r="Q560" s="101">
        <v>0</v>
      </c>
      <c r="R560" s="101" t="s">
        <v>393</v>
      </c>
      <c r="S560" s="101" t="s">
        <v>468</v>
      </c>
      <c r="T560" s="101" t="s">
        <v>394</v>
      </c>
      <c r="V560" s="245">
        <v>11077</v>
      </c>
      <c r="W560" s="101" t="s">
        <v>469</v>
      </c>
      <c r="X560" s="101" t="s">
        <v>470</v>
      </c>
      <c r="Y560" s="101" t="s">
        <v>471</v>
      </c>
      <c r="Z560" s="101" t="s">
        <v>402</v>
      </c>
      <c r="AA560" s="101" t="s">
        <v>78</v>
      </c>
      <c r="AB560" s="101">
        <v>4101000279</v>
      </c>
      <c r="AC560" s="101" t="s">
        <v>398</v>
      </c>
      <c r="AD560" s="101" t="s">
        <v>403</v>
      </c>
      <c r="AE560" s="101" t="s">
        <v>75</v>
      </c>
      <c r="AF560" s="101" t="s">
        <v>400</v>
      </c>
      <c r="AI560" s="101" t="s">
        <v>760</v>
      </c>
    </row>
    <row r="561" spans="1:35">
      <c r="A561" s="246" t="s">
        <v>112</v>
      </c>
      <c r="B561" s="246" t="s">
        <v>78</v>
      </c>
      <c r="C561" s="246" t="s">
        <v>126</v>
      </c>
      <c r="D561" s="246" t="s">
        <v>341</v>
      </c>
      <c r="E561" s="246" t="s">
        <v>342</v>
      </c>
      <c r="F561" s="246"/>
      <c r="G561" s="132" t="s">
        <v>467</v>
      </c>
      <c r="H561" s="132" t="s">
        <v>1393</v>
      </c>
      <c r="I561" s="132">
        <v>-602622.22</v>
      </c>
      <c r="J561" s="101" t="s">
        <v>889</v>
      </c>
      <c r="K561" s="245" t="s">
        <v>390</v>
      </c>
      <c r="L561" s="245">
        <v>43038</v>
      </c>
      <c r="M561" s="245" t="s">
        <v>391</v>
      </c>
      <c r="N561" s="101">
        <v>0</v>
      </c>
      <c r="O561" s="101" t="s">
        <v>392</v>
      </c>
      <c r="P561" s="101">
        <v>0</v>
      </c>
      <c r="Q561" s="101">
        <v>0</v>
      </c>
      <c r="R561" s="101" t="s">
        <v>393</v>
      </c>
      <c r="S561" s="101" t="s">
        <v>468</v>
      </c>
      <c r="T561" s="101" t="s">
        <v>394</v>
      </c>
      <c r="V561" s="245">
        <v>11077</v>
      </c>
      <c r="W561" s="101" t="s">
        <v>469</v>
      </c>
      <c r="X561" s="101" t="s">
        <v>470</v>
      </c>
      <c r="Y561" s="101" t="s">
        <v>471</v>
      </c>
      <c r="Z561" s="101" t="s">
        <v>402</v>
      </c>
      <c r="AA561" s="101" t="s">
        <v>78</v>
      </c>
      <c r="AB561" s="101">
        <v>4101000279</v>
      </c>
      <c r="AC561" s="101" t="s">
        <v>398</v>
      </c>
      <c r="AD561" s="101" t="s">
        <v>403</v>
      </c>
      <c r="AE561" s="101" t="s">
        <v>75</v>
      </c>
      <c r="AF561" s="101" t="s">
        <v>400</v>
      </c>
      <c r="AI561" s="101" t="s">
        <v>760</v>
      </c>
    </row>
    <row r="562" spans="1:35">
      <c r="A562" s="246" t="s">
        <v>113</v>
      </c>
      <c r="B562" s="246" t="s">
        <v>78</v>
      </c>
      <c r="C562" s="246" t="s">
        <v>126</v>
      </c>
      <c r="D562" s="246" t="s">
        <v>339</v>
      </c>
      <c r="E562" s="246" t="s">
        <v>340</v>
      </c>
      <c r="F562" s="246"/>
      <c r="G562" s="132">
        <v>-596000</v>
      </c>
      <c r="H562" s="132" t="s">
        <v>1395</v>
      </c>
      <c r="I562" s="132">
        <v>-596000</v>
      </c>
      <c r="J562" s="101" t="s">
        <v>889</v>
      </c>
      <c r="K562" s="245" t="s">
        <v>390</v>
      </c>
      <c r="L562" s="245">
        <v>43220</v>
      </c>
      <c r="M562" s="245" t="s">
        <v>391</v>
      </c>
      <c r="N562" s="101">
        <v>0</v>
      </c>
      <c r="O562" s="101" t="s">
        <v>392</v>
      </c>
      <c r="P562" s="101">
        <v>0</v>
      </c>
      <c r="Q562" s="101">
        <v>0</v>
      </c>
      <c r="R562" s="101" t="s">
        <v>393</v>
      </c>
      <c r="S562" s="101" t="s">
        <v>468</v>
      </c>
      <c r="T562" s="101" t="s">
        <v>394</v>
      </c>
      <c r="V562" s="245">
        <v>11077</v>
      </c>
      <c r="W562" s="101" t="s">
        <v>469</v>
      </c>
      <c r="X562" s="101" t="s">
        <v>470</v>
      </c>
      <c r="Y562" s="101" t="s">
        <v>471</v>
      </c>
      <c r="Z562" s="101" t="s">
        <v>402</v>
      </c>
      <c r="AA562" s="101" t="s">
        <v>78</v>
      </c>
      <c r="AB562" s="101">
        <v>4101000279</v>
      </c>
      <c r="AC562" s="101" t="s">
        <v>398</v>
      </c>
      <c r="AD562" s="101" t="s">
        <v>403</v>
      </c>
      <c r="AE562" s="101" t="s">
        <v>75</v>
      </c>
      <c r="AF562" s="101" t="s">
        <v>400</v>
      </c>
      <c r="AI562" s="101" t="s">
        <v>760</v>
      </c>
    </row>
    <row r="563" spans="1:35">
      <c r="A563" s="246" t="s">
        <v>109</v>
      </c>
      <c r="B563" s="246" t="s">
        <v>78</v>
      </c>
      <c r="C563" s="246" t="s">
        <v>126</v>
      </c>
      <c r="D563" s="246" t="s">
        <v>337</v>
      </c>
      <c r="E563" s="246" t="s">
        <v>336</v>
      </c>
      <c r="F563" s="246"/>
      <c r="G563" s="132" t="s">
        <v>856</v>
      </c>
      <c r="H563" s="132" t="s">
        <v>1396</v>
      </c>
      <c r="I563" s="132">
        <v>80680.350000000006</v>
      </c>
      <c r="J563" s="101" t="s">
        <v>889</v>
      </c>
      <c r="K563" s="245" t="s">
        <v>390</v>
      </c>
      <c r="L563" s="245">
        <v>42580</v>
      </c>
      <c r="M563" s="245" t="s">
        <v>391</v>
      </c>
      <c r="N563" s="101">
        <v>0</v>
      </c>
      <c r="O563" s="101" t="s">
        <v>392</v>
      </c>
      <c r="P563" s="101">
        <v>0</v>
      </c>
      <c r="Q563" s="101">
        <v>0</v>
      </c>
      <c r="R563" s="101" t="s">
        <v>393</v>
      </c>
      <c r="S563" s="101" t="s">
        <v>468</v>
      </c>
      <c r="T563" s="101" t="s">
        <v>394</v>
      </c>
      <c r="V563" s="245">
        <v>11077</v>
      </c>
      <c r="W563" s="101" t="s">
        <v>469</v>
      </c>
      <c r="X563" s="101" t="s">
        <v>470</v>
      </c>
      <c r="Y563" s="101" t="s">
        <v>471</v>
      </c>
      <c r="Z563" s="101" t="s">
        <v>402</v>
      </c>
      <c r="AA563" s="101" t="s">
        <v>78</v>
      </c>
      <c r="AB563" s="101">
        <v>4101000279</v>
      </c>
      <c r="AC563" s="101" t="s">
        <v>398</v>
      </c>
      <c r="AD563" s="101" t="s">
        <v>403</v>
      </c>
      <c r="AE563" s="101" t="s">
        <v>75</v>
      </c>
      <c r="AF563" s="101" t="s">
        <v>400</v>
      </c>
      <c r="AI563" s="101" t="s">
        <v>760</v>
      </c>
    </row>
    <row r="564" spans="1:35">
      <c r="A564" s="246" t="s">
        <v>110</v>
      </c>
      <c r="B564" s="246" t="s">
        <v>78</v>
      </c>
      <c r="C564" s="246" t="s">
        <v>126</v>
      </c>
      <c r="D564" s="246" t="s">
        <v>770</v>
      </c>
      <c r="E564" s="246" t="s">
        <v>771</v>
      </c>
      <c r="F564" s="246"/>
      <c r="G564" s="132" t="s">
        <v>1397</v>
      </c>
      <c r="H564" s="132" t="s">
        <v>1398</v>
      </c>
      <c r="I564" s="132">
        <v>96140.24</v>
      </c>
      <c r="J564" s="101" t="s">
        <v>889</v>
      </c>
      <c r="K564" s="245" t="s">
        <v>390</v>
      </c>
      <c r="L564" s="245">
        <v>42674</v>
      </c>
      <c r="M564" s="245" t="s">
        <v>391</v>
      </c>
      <c r="N564" s="101">
        <v>0</v>
      </c>
      <c r="O564" s="101" t="s">
        <v>392</v>
      </c>
      <c r="P564" s="101">
        <v>0</v>
      </c>
      <c r="Q564" s="101">
        <v>0</v>
      </c>
      <c r="R564" s="101" t="s">
        <v>393</v>
      </c>
      <c r="S564" s="101" t="s">
        <v>468</v>
      </c>
      <c r="T564" s="101" t="s">
        <v>394</v>
      </c>
      <c r="V564" s="245">
        <v>11077</v>
      </c>
      <c r="W564" s="101" t="s">
        <v>469</v>
      </c>
      <c r="X564" s="101" t="s">
        <v>470</v>
      </c>
      <c r="Y564" s="101" t="s">
        <v>471</v>
      </c>
      <c r="Z564" s="101" t="s">
        <v>402</v>
      </c>
      <c r="AA564" s="101" t="s">
        <v>78</v>
      </c>
      <c r="AB564" s="101">
        <v>4101000279</v>
      </c>
      <c r="AC564" s="101" t="s">
        <v>398</v>
      </c>
      <c r="AD564" s="101" t="s">
        <v>403</v>
      </c>
      <c r="AE564" s="101" t="s">
        <v>75</v>
      </c>
      <c r="AF564" s="101" t="s">
        <v>400</v>
      </c>
      <c r="AI564" s="101" t="s">
        <v>760</v>
      </c>
    </row>
    <row r="565" spans="1:35">
      <c r="A565" s="246" t="s">
        <v>111</v>
      </c>
      <c r="B565" s="246" t="s">
        <v>78</v>
      </c>
      <c r="C565" s="246" t="s">
        <v>126</v>
      </c>
      <c r="D565" s="246" t="s">
        <v>768</v>
      </c>
      <c r="E565" s="246" t="s">
        <v>769</v>
      </c>
      <c r="F565" s="246"/>
      <c r="G565" s="132" t="s">
        <v>1399</v>
      </c>
      <c r="H565" s="132" t="s">
        <v>1400</v>
      </c>
      <c r="I565" s="132">
        <v>98448.11</v>
      </c>
      <c r="J565" s="101" t="s">
        <v>889</v>
      </c>
      <c r="K565" s="245" t="s">
        <v>390</v>
      </c>
      <c r="L565" s="245">
        <v>42765</v>
      </c>
      <c r="M565" s="245" t="s">
        <v>391</v>
      </c>
      <c r="N565" s="101">
        <v>0</v>
      </c>
      <c r="O565" s="101" t="s">
        <v>392</v>
      </c>
      <c r="P565" s="101">
        <v>0</v>
      </c>
      <c r="Q565" s="101">
        <v>0</v>
      </c>
      <c r="R565" s="101" t="s">
        <v>393</v>
      </c>
      <c r="S565" s="101" t="s">
        <v>468</v>
      </c>
      <c r="T565" s="101" t="s">
        <v>394</v>
      </c>
      <c r="V565" s="245">
        <v>11077</v>
      </c>
      <c r="W565" s="101" t="s">
        <v>469</v>
      </c>
      <c r="X565" s="101" t="s">
        <v>470</v>
      </c>
      <c r="Y565" s="101" t="s">
        <v>471</v>
      </c>
      <c r="Z565" s="101" t="s">
        <v>402</v>
      </c>
      <c r="AA565" s="101" t="s">
        <v>78</v>
      </c>
      <c r="AB565" s="101">
        <v>4101000279</v>
      </c>
      <c r="AC565" s="101" t="s">
        <v>398</v>
      </c>
      <c r="AD565" s="101" t="s">
        <v>403</v>
      </c>
      <c r="AE565" s="101" t="s">
        <v>75</v>
      </c>
      <c r="AF565" s="101" t="s">
        <v>400</v>
      </c>
      <c r="AI565" s="101" t="s">
        <v>760</v>
      </c>
    </row>
    <row r="566" spans="1:35">
      <c r="A566" s="246" t="s">
        <v>111</v>
      </c>
      <c r="B566" s="246" t="s">
        <v>78</v>
      </c>
      <c r="C566" s="246" t="s">
        <v>126</v>
      </c>
      <c r="D566" s="246" t="s">
        <v>768</v>
      </c>
      <c r="E566" s="246" t="s">
        <v>769</v>
      </c>
      <c r="F566" s="246"/>
      <c r="G566" s="132" t="s">
        <v>1401</v>
      </c>
      <c r="H566" s="132" t="s">
        <v>1402</v>
      </c>
      <c r="I566" s="132">
        <v>98179.540000000008</v>
      </c>
      <c r="J566" s="101" t="s">
        <v>889</v>
      </c>
      <c r="K566" s="245" t="s">
        <v>390</v>
      </c>
      <c r="L566" s="245">
        <v>42853</v>
      </c>
      <c r="M566" s="245" t="s">
        <v>391</v>
      </c>
      <c r="N566" s="101">
        <v>0</v>
      </c>
      <c r="O566" s="101" t="s">
        <v>392</v>
      </c>
      <c r="P566" s="101">
        <v>0</v>
      </c>
      <c r="Q566" s="101">
        <v>0</v>
      </c>
      <c r="R566" s="101" t="s">
        <v>393</v>
      </c>
      <c r="S566" s="101" t="s">
        <v>468</v>
      </c>
      <c r="T566" s="101" t="s">
        <v>394</v>
      </c>
      <c r="V566" s="245">
        <v>11077</v>
      </c>
      <c r="W566" s="101" t="s">
        <v>469</v>
      </c>
      <c r="X566" s="101" t="s">
        <v>470</v>
      </c>
      <c r="Y566" s="101" t="s">
        <v>471</v>
      </c>
      <c r="Z566" s="101" t="s">
        <v>402</v>
      </c>
      <c r="AA566" s="101" t="s">
        <v>78</v>
      </c>
      <c r="AB566" s="101">
        <v>4101000279</v>
      </c>
      <c r="AC566" s="101" t="s">
        <v>398</v>
      </c>
      <c r="AD566" s="101" t="s">
        <v>403</v>
      </c>
      <c r="AE566" s="101" t="s">
        <v>75</v>
      </c>
      <c r="AF566" s="101" t="s">
        <v>400</v>
      </c>
      <c r="AI566" s="101" t="s">
        <v>760</v>
      </c>
    </row>
    <row r="567" spans="1:35">
      <c r="A567" s="246" t="s">
        <v>112</v>
      </c>
      <c r="B567" s="246" t="s">
        <v>78</v>
      </c>
      <c r="C567" s="246" t="s">
        <v>126</v>
      </c>
      <c r="D567" s="246" t="s">
        <v>341</v>
      </c>
      <c r="E567" s="246" t="s">
        <v>342</v>
      </c>
      <c r="F567" s="246"/>
      <c r="G567" s="132" t="s">
        <v>1403</v>
      </c>
      <c r="H567" s="132" t="s">
        <v>1404</v>
      </c>
      <c r="I567" s="132">
        <v>123114.97</v>
      </c>
      <c r="J567" s="101" t="s">
        <v>889</v>
      </c>
      <c r="K567" s="245" t="s">
        <v>390</v>
      </c>
      <c r="L567" s="245">
        <v>42947</v>
      </c>
      <c r="M567" s="245" t="s">
        <v>391</v>
      </c>
      <c r="N567" s="101">
        <v>0</v>
      </c>
      <c r="O567" s="101" t="s">
        <v>392</v>
      </c>
      <c r="P567" s="101">
        <v>0</v>
      </c>
      <c r="Q567" s="101">
        <v>0</v>
      </c>
      <c r="R567" s="101" t="s">
        <v>393</v>
      </c>
      <c r="S567" s="101" t="s">
        <v>468</v>
      </c>
      <c r="T567" s="101" t="s">
        <v>394</v>
      </c>
      <c r="V567" s="245">
        <v>11077</v>
      </c>
      <c r="W567" s="101" t="s">
        <v>469</v>
      </c>
      <c r="X567" s="101" t="s">
        <v>470</v>
      </c>
      <c r="Y567" s="101" t="s">
        <v>471</v>
      </c>
      <c r="Z567" s="101" t="s">
        <v>402</v>
      </c>
      <c r="AA567" s="101" t="s">
        <v>78</v>
      </c>
      <c r="AB567" s="101">
        <v>4101000279</v>
      </c>
      <c r="AC567" s="101" t="s">
        <v>398</v>
      </c>
      <c r="AD567" s="101" t="s">
        <v>403</v>
      </c>
      <c r="AE567" s="101" t="s">
        <v>75</v>
      </c>
      <c r="AF567" s="101" t="s">
        <v>400</v>
      </c>
      <c r="AI567" s="101" t="s">
        <v>760</v>
      </c>
    </row>
    <row r="568" spans="1:35">
      <c r="A568" s="246" t="s">
        <v>112</v>
      </c>
      <c r="B568" s="246" t="s">
        <v>78</v>
      </c>
      <c r="C568" s="246" t="s">
        <v>126</v>
      </c>
      <c r="D568" s="246" t="s">
        <v>341</v>
      </c>
      <c r="E568" s="246" t="s">
        <v>342</v>
      </c>
      <c r="F568" s="246"/>
      <c r="G568" s="132" t="s">
        <v>1405</v>
      </c>
      <c r="H568" s="132" t="s">
        <v>1406</v>
      </c>
      <c r="I568" s="132">
        <v>122218.39</v>
      </c>
      <c r="J568" s="101" t="s">
        <v>889</v>
      </c>
      <c r="K568" s="245" t="s">
        <v>390</v>
      </c>
      <c r="L568" s="245">
        <v>43038</v>
      </c>
      <c r="M568" s="245" t="s">
        <v>391</v>
      </c>
      <c r="N568" s="101">
        <v>0</v>
      </c>
      <c r="O568" s="101" t="s">
        <v>392</v>
      </c>
      <c r="P568" s="101">
        <v>0</v>
      </c>
      <c r="Q568" s="101">
        <v>0</v>
      </c>
      <c r="R568" s="101" t="s">
        <v>393</v>
      </c>
      <c r="S568" s="101" t="s">
        <v>468</v>
      </c>
      <c r="T568" s="101" t="s">
        <v>394</v>
      </c>
      <c r="V568" s="245">
        <v>11077</v>
      </c>
      <c r="W568" s="101" t="s">
        <v>469</v>
      </c>
      <c r="X568" s="101" t="s">
        <v>470</v>
      </c>
      <c r="Y568" s="101" t="s">
        <v>471</v>
      </c>
      <c r="Z568" s="101" t="s">
        <v>402</v>
      </c>
      <c r="AA568" s="101" t="s">
        <v>78</v>
      </c>
      <c r="AB568" s="101">
        <v>4101000279</v>
      </c>
      <c r="AC568" s="101" t="s">
        <v>398</v>
      </c>
      <c r="AD568" s="101" t="s">
        <v>403</v>
      </c>
      <c r="AE568" s="101" t="s">
        <v>75</v>
      </c>
      <c r="AF568" s="101" t="s">
        <v>400</v>
      </c>
      <c r="AI568" s="101" t="s">
        <v>760</v>
      </c>
    </row>
    <row r="569" spans="1:35">
      <c r="A569" s="246" t="s">
        <v>113</v>
      </c>
      <c r="B569" s="246" t="s">
        <v>78</v>
      </c>
      <c r="C569" s="246" t="s">
        <v>126</v>
      </c>
      <c r="D569" s="246" t="s">
        <v>339</v>
      </c>
      <c r="E569" s="246" t="s">
        <v>340</v>
      </c>
      <c r="F569" s="246"/>
      <c r="G569" s="132" t="s">
        <v>1405</v>
      </c>
      <c r="H569" s="132" t="s">
        <v>1406</v>
      </c>
      <c r="I569" s="132">
        <v>122218.39</v>
      </c>
      <c r="J569" s="101" t="s">
        <v>889</v>
      </c>
      <c r="K569" s="245" t="s">
        <v>390</v>
      </c>
      <c r="L569" s="245">
        <v>43129</v>
      </c>
      <c r="M569" s="245" t="s">
        <v>391</v>
      </c>
      <c r="N569" s="101">
        <v>0</v>
      </c>
      <c r="O569" s="101" t="s">
        <v>392</v>
      </c>
      <c r="P569" s="101">
        <v>0</v>
      </c>
      <c r="Q569" s="101">
        <v>0</v>
      </c>
      <c r="R569" s="101" t="s">
        <v>393</v>
      </c>
      <c r="S569" s="101" t="s">
        <v>468</v>
      </c>
      <c r="T569" s="101" t="s">
        <v>394</v>
      </c>
      <c r="V569" s="245">
        <v>11077</v>
      </c>
      <c r="W569" s="101" t="s">
        <v>469</v>
      </c>
      <c r="X569" s="101" t="s">
        <v>470</v>
      </c>
      <c r="Y569" s="101" t="s">
        <v>471</v>
      </c>
      <c r="Z569" s="101" t="s">
        <v>402</v>
      </c>
      <c r="AA569" s="101" t="s">
        <v>78</v>
      </c>
      <c r="AB569" s="101">
        <v>4101000279</v>
      </c>
      <c r="AC569" s="101" t="s">
        <v>398</v>
      </c>
      <c r="AD569" s="101" t="s">
        <v>403</v>
      </c>
      <c r="AE569" s="101" t="s">
        <v>75</v>
      </c>
      <c r="AF569" s="101" t="s">
        <v>400</v>
      </c>
      <c r="AI569" s="101" t="s">
        <v>760</v>
      </c>
    </row>
    <row r="570" spans="1:35">
      <c r="A570" s="246" t="s">
        <v>113</v>
      </c>
      <c r="B570" s="246" t="s">
        <v>78</v>
      </c>
      <c r="C570" s="246" t="s">
        <v>126</v>
      </c>
      <c r="D570" s="246" t="s">
        <v>339</v>
      </c>
      <c r="E570" s="246" t="s">
        <v>340</v>
      </c>
      <c r="F570" s="246"/>
      <c r="G570" s="132" t="s">
        <v>1405</v>
      </c>
      <c r="H570" s="132" t="s">
        <v>1406</v>
      </c>
      <c r="I570" s="132">
        <v>122218.39</v>
      </c>
      <c r="J570" s="101" t="s">
        <v>889</v>
      </c>
      <c r="K570" s="245" t="s">
        <v>390</v>
      </c>
      <c r="L570" s="245">
        <v>43220</v>
      </c>
      <c r="M570" s="245" t="s">
        <v>391</v>
      </c>
      <c r="N570" s="101">
        <v>0</v>
      </c>
      <c r="O570" s="101" t="s">
        <v>392</v>
      </c>
      <c r="P570" s="101">
        <v>0</v>
      </c>
      <c r="Q570" s="101">
        <v>0</v>
      </c>
      <c r="R570" s="101" t="s">
        <v>393</v>
      </c>
      <c r="S570" s="101" t="s">
        <v>468</v>
      </c>
      <c r="T570" s="101" t="s">
        <v>394</v>
      </c>
      <c r="V570" s="245">
        <v>11077</v>
      </c>
      <c r="W570" s="101" t="s">
        <v>469</v>
      </c>
      <c r="X570" s="101" t="s">
        <v>470</v>
      </c>
      <c r="Y570" s="101" t="s">
        <v>471</v>
      </c>
      <c r="Z570" s="101" t="s">
        <v>402</v>
      </c>
      <c r="AA570" s="101" t="s">
        <v>78</v>
      </c>
      <c r="AB570" s="101">
        <v>4101000279</v>
      </c>
      <c r="AC570" s="101" t="s">
        <v>398</v>
      </c>
      <c r="AD570" s="101" t="s">
        <v>403</v>
      </c>
      <c r="AE570" s="101" t="s">
        <v>75</v>
      </c>
      <c r="AF570" s="101" t="s">
        <v>400</v>
      </c>
      <c r="AI570" s="101" t="s">
        <v>760</v>
      </c>
    </row>
    <row r="571" spans="1:35">
      <c r="A571" s="246" t="s">
        <v>109</v>
      </c>
      <c r="B571" s="246" t="s">
        <v>263</v>
      </c>
      <c r="C571" s="246" t="s">
        <v>126</v>
      </c>
      <c r="D571" s="246" t="s">
        <v>274</v>
      </c>
      <c r="E571" s="246" t="s">
        <v>275</v>
      </c>
      <c r="F571" s="246"/>
      <c r="G571" s="132">
        <v>9375</v>
      </c>
      <c r="H571" s="132" t="s">
        <v>1407</v>
      </c>
      <c r="I571" s="132">
        <v>9375</v>
      </c>
      <c r="J571" s="101" t="s">
        <v>889</v>
      </c>
      <c r="K571" s="245" t="s">
        <v>390</v>
      </c>
      <c r="L571" s="245">
        <v>42549</v>
      </c>
      <c r="M571" s="245" t="s">
        <v>391</v>
      </c>
      <c r="N571" s="101">
        <v>0</v>
      </c>
      <c r="O571" s="101" t="s">
        <v>392</v>
      </c>
      <c r="P571" s="101">
        <v>0</v>
      </c>
      <c r="Q571" s="101">
        <v>0</v>
      </c>
      <c r="R571" s="101" t="s">
        <v>393</v>
      </c>
      <c r="S571" s="101" t="s">
        <v>454</v>
      </c>
      <c r="T571" s="101" t="s">
        <v>394</v>
      </c>
      <c r="U571" s="101" t="s">
        <v>455</v>
      </c>
      <c r="V571" s="245">
        <v>42549</v>
      </c>
      <c r="W571" s="101" t="s">
        <v>424</v>
      </c>
      <c r="X571" s="101" t="s">
        <v>77</v>
      </c>
      <c r="Y571" s="101" t="s">
        <v>396</v>
      </c>
      <c r="Z571" s="101" t="s">
        <v>456</v>
      </c>
      <c r="AA571" s="101" t="s">
        <v>91</v>
      </c>
      <c r="AB571" s="101">
        <v>3101005792</v>
      </c>
      <c r="AC571" s="101" t="s">
        <v>419</v>
      </c>
      <c r="AD571" s="101" t="s">
        <v>457</v>
      </c>
      <c r="AE571" s="101" t="s">
        <v>75</v>
      </c>
      <c r="AF571" s="101" t="s">
        <v>400</v>
      </c>
      <c r="AI571" s="101" t="s">
        <v>760</v>
      </c>
    </row>
    <row r="572" spans="1:35">
      <c r="A572" s="246" t="s">
        <v>108</v>
      </c>
      <c r="B572" s="246" t="s">
        <v>66</v>
      </c>
      <c r="C572" s="246" t="s">
        <v>126</v>
      </c>
      <c r="D572" s="246" t="s">
        <v>280</v>
      </c>
      <c r="E572" s="246"/>
      <c r="F572" s="246"/>
      <c r="G572" s="132">
        <v>577500</v>
      </c>
      <c r="H572" s="132" t="s">
        <v>1408</v>
      </c>
      <c r="I572" s="132">
        <v>577500</v>
      </c>
      <c r="J572" s="101" t="s">
        <v>889</v>
      </c>
      <c r="K572" s="245" t="s">
        <v>390</v>
      </c>
      <c r="L572" s="245">
        <v>42530</v>
      </c>
      <c r="M572" s="245" t="s">
        <v>391</v>
      </c>
      <c r="N572" s="101">
        <v>0</v>
      </c>
      <c r="O572" s="101" t="s">
        <v>392</v>
      </c>
      <c r="P572" s="101">
        <v>0</v>
      </c>
      <c r="Q572" s="101">
        <v>0</v>
      </c>
      <c r="R572" s="101" t="s">
        <v>438</v>
      </c>
      <c r="S572" s="101">
        <v>148885</v>
      </c>
      <c r="T572" s="101" t="s">
        <v>394</v>
      </c>
      <c r="V572" s="245">
        <v>44904</v>
      </c>
      <c r="W572" s="101" t="s">
        <v>439</v>
      </c>
      <c r="X572" s="101" t="s">
        <v>76</v>
      </c>
      <c r="Y572" s="101" t="s">
        <v>392</v>
      </c>
      <c r="Z572" s="101" t="s">
        <v>430</v>
      </c>
      <c r="AA572" s="101" t="s">
        <v>397</v>
      </c>
      <c r="AB572" s="101">
        <v>5101000018</v>
      </c>
      <c r="AC572" s="101" t="s">
        <v>431</v>
      </c>
      <c r="AD572" s="101" t="s">
        <v>431</v>
      </c>
      <c r="AE572" s="101" t="s">
        <v>75</v>
      </c>
      <c r="AF572" s="101" t="s">
        <v>400</v>
      </c>
      <c r="AG572" s="101" t="s">
        <v>567</v>
      </c>
      <c r="AI572" s="101" t="s">
        <v>760</v>
      </c>
    </row>
    <row r="573" spans="1:35">
      <c r="A573" s="246" t="s">
        <v>111</v>
      </c>
      <c r="B573" s="246" t="s">
        <v>66</v>
      </c>
      <c r="C573" s="246" t="s">
        <v>126</v>
      </c>
      <c r="D573" s="246" t="s">
        <v>273</v>
      </c>
      <c r="E573" s="246"/>
      <c r="F573" s="246"/>
      <c r="G573" s="132">
        <v>577500</v>
      </c>
      <c r="H573" s="132" t="s">
        <v>1408</v>
      </c>
      <c r="I573" s="132">
        <v>577500</v>
      </c>
      <c r="J573" s="101" t="s">
        <v>889</v>
      </c>
      <c r="K573" s="245" t="s">
        <v>390</v>
      </c>
      <c r="L573" s="245">
        <v>42713</v>
      </c>
      <c r="M573" s="245" t="s">
        <v>391</v>
      </c>
      <c r="N573" s="101">
        <v>0</v>
      </c>
      <c r="O573" s="101" t="s">
        <v>392</v>
      </c>
      <c r="P573" s="101">
        <v>0</v>
      </c>
      <c r="Q573" s="101">
        <v>0</v>
      </c>
      <c r="R573" s="101" t="s">
        <v>438</v>
      </c>
      <c r="S573" s="101">
        <v>148885</v>
      </c>
      <c r="T573" s="101" t="s">
        <v>394</v>
      </c>
      <c r="V573" s="245">
        <v>44904</v>
      </c>
      <c r="W573" s="101" t="s">
        <v>439</v>
      </c>
      <c r="X573" s="101" t="s">
        <v>76</v>
      </c>
      <c r="Y573" s="101" t="s">
        <v>392</v>
      </c>
      <c r="Z573" s="101" t="s">
        <v>430</v>
      </c>
      <c r="AA573" s="101" t="s">
        <v>397</v>
      </c>
      <c r="AB573" s="101">
        <v>5101000018</v>
      </c>
      <c r="AC573" s="101" t="s">
        <v>431</v>
      </c>
      <c r="AD573" s="101" t="s">
        <v>431</v>
      </c>
      <c r="AE573" s="101" t="s">
        <v>75</v>
      </c>
      <c r="AF573" s="101" t="s">
        <v>400</v>
      </c>
      <c r="AG573" s="101" t="s">
        <v>567</v>
      </c>
      <c r="AI573" s="101" t="s">
        <v>760</v>
      </c>
    </row>
    <row r="574" spans="1:35">
      <c r="A574" s="246" t="s">
        <v>112</v>
      </c>
      <c r="B574" s="246" t="s">
        <v>66</v>
      </c>
      <c r="C574" s="246" t="s">
        <v>126</v>
      </c>
      <c r="D574" s="246" t="s">
        <v>270</v>
      </c>
      <c r="E574" s="246"/>
      <c r="F574" s="246"/>
      <c r="G574" s="132">
        <v>577500</v>
      </c>
      <c r="H574" s="132" t="s">
        <v>1408</v>
      </c>
      <c r="I574" s="132">
        <v>577500</v>
      </c>
      <c r="J574" s="101" t="s">
        <v>889</v>
      </c>
      <c r="K574" s="245" t="s">
        <v>390</v>
      </c>
      <c r="L574" s="245">
        <v>42895</v>
      </c>
      <c r="M574" s="245" t="s">
        <v>391</v>
      </c>
      <c r="N574" s="101">
        <v>0</v>
      </c>
      <c r="O574" s="101" t="s">
        <v>392</v>
      </c>
      <c r="P574" s="101">
        <v>0</v>
      </c>
      <c r="Q574" s="101">
        <v>0</v>
      </c>
      <c r="R574" s="101" t="s">
        <v>438</v>
      </c>
      <c r="S574" s="101">
        <v>148885</v>
      </c>
      <c r="T574" s="101" t="s">
        <v>394</v>
      </c>
      <c r="V574" s="245">
        <v>44904</v>
      </c>
      <c r="W574" s="101" t="s">
        <v>439</v>
      </c>
      <c r="X574" s="101" t="s">
        <v>76</v>
      </c>
      <c r="Y574" s="101" t="s">
        <v>392</v>
      </c>
      <c r="Z574" s="101" t="s">
        <v>430</v>
      </c>
      <c r="AA574" s="101" t="s">
        <v>397</v>
      </c>
      <c r="AB574" s="101">
        <v>5101000018</v>
      </c>
      <c r="AC574" s="101" t="s">
        <v>431</v>
      </c>
      <c r="AD574" s="101" t="s">
        <v>431</v>
      </c>
      <c r="AE574" s="101" t="s">
        <v>75</v>
      </c>
      <c r="AF574" s="101" t="s">
        <v>400</v>
      </c>
      <c r="AG574" s="101" t="s">
        <v>567</v>
      </c>
      <c r="AI574" s="101" t="s">
        <v>760</v>
      </c>
    </row>
    <row r="575" spans="1:35">
      <c r="A575" s="246" t="s">
        <v>113</v>
      </c>
      <c r="B575" s="246" t="s">
        <v>66</v>
      </c>
      <c r="C575" s="246" t="s">
        <v>126</v>
      </c>
      <c r="D575" s="246" t="s">
        <v>271</v>
      </c>
      <c r="E575" s="246"/>
      <c r="F575" s="246"/>
      <c r="G575" s="132">
        <v>577500</v>
      </c>
      <c r="H575" s="132" t="s">
        <v>1408</v>
      </c>
      <c r="I575" s="132">
        <v>577500</v>
      </c>
      <c r="J575" s="101" t="s">
        <v>889</v>
      </c>
      <c r="K575" s="245" t="s">
        <v>390</v>
      </c>
      <c r="L575" s="245">
        <v>43080</v>
      </c>
      <c r="M575" s="245" t="s">
        <v>391</v>
      </c>
      <c r="N575" s="101">
        <v>0</v>
      </c>
      <c r="O575" s="101" t="s">
        <v>392</v>
      </c>
      <c r="P575" s="101">
        <v>0</v>
      </c>
      <c r="Q575" s="101">
        <v>0</v>
      </c>
      <c r="R575" s="101" t="s">
        <v>438</v>
      </c>
      <c r="S575" s="101">
        <v>148885</v>
      </c>
      <c r="T575" s="101" t="s">
        <v>394</v>
      </c>
      <c r="V575" s="245">
        <v>44904</v>
      </c>
      <c r="W575" s="101" t="s">
        <v>439</v>
      </c>
      <c r="X575" s="101" t="s">
        <v>76</v>
      </c>
      <c r="Y575" s="101" t="s">
        <v>392</v>
      </c>
      <c r="Z575" s="101" t="s">
        <v>430</v>
      </c>
      <c r="AA575" s="101" t="s">
        <v>397</v>
      </c>
      <c r="AB575" s="101">
        <v>5101000018</v>
      </c>
      <c r="AC575" s="101" t="s">
        <v>431</v>
      </c>
      <c r="AD575" s="101" t="s">
        <v>431</v>
      </c>
      <c r="AE575" s="101" t="s">
        <v>75</v>
      </c>
      <c r="AF575" s="101" t="s">
        <v>400</v>
      </c>
      <c r="AG575" s="101" t="s">
        <v>567</v>
      </c>
      <c r="AI575" s="101" t="s">
        <v>760</v>
      </c>
    </row>
    <row r="576" spans="1:35">
      <c r="A576" s="246" t="s">
        <v>109</v>
      </c>
      <c r="B576" s="246" t="s">
        <v>66</v>
      </c>
      <c r="C576" s="246" t="s">
        <v>126</v>
      </c>
      <c r="D576" s="246" t="s">
        <v>272</v>
      </c>
      <c r="E576" s="246"/>
      <c r="F576" s="246"/>
      <c r="G576" s="132" t="s">
        <v>437</v>
      </c>
      <c r="H576" s="132" t="s">
        <v>1409</v>
      </c>
      <c r="I576" s="132">
        <v>32562.499999999996</v>
      </c>
      <c r="J576" s="101" t="s">
        <v>889</v>
      </c>
      <c r="K576" s="245" t="s">
        <v>390</v>
      </c>
      <c r="L576" s="245">
        <v>42541</v>
      </c>
      <c r="M576" s="245" t="s">
        <v>391</v>
      </c>
      <c r="N576" s="101">
        <v>1</v>
      </c>
      <c r="O576" s="101" t="s">
        <v>392</v>
      </c>
      <c r="P576" s="101">
        <v>0</v>
      </c>
      <c r="Q576" s="101">
        <v>0</v>
      </c>
      <c r="R576" s="101" t="s">
        <v>438</v>
      </c>
      <c r="S576" s="101">
        <v>148881</v>
      </c>
      <c r="T576" s="101" t="s">
        <v>394</v>
      </c>
      <c r="V576" s="245">
        <v>44914</v>
      </c>
      <c r="W576" s="101" t="s">
        <v>439</v>
      </c>
      <c r="X576" s="101" t="s">
        <v>76</v>
      </c>
      <c r="Y576" s="101" t="s">
        <v>392</v>
      </c>
      <c r="Z576" s="101" t="s">
        <v>430</v>
      </c>
      <c r="AA576" s="101" t="s">
        <v>397</v>
      </c>
      <c r="AB576" s="101">
        <v>5101000018</v>
      </c>
      <c r="AC576" s="101" t="s">
        <v>431</v>
      </c>
      <c r="AD576" s="101" t="s">
        <v>431</v>
      </c>
      <c r="AE576" s="101" t="s">
        <v>75</v>
      </c>
      <c r="AF576" s="101" t="s">
        <v>400</v>
      </c>
      <c r="AG576" s="101" t="s">
        <v>440</v>
      </c>
      <c r="AI576" s="101" t="s">
        <v>760</v>
      </c>
    </row>
    <row r="577" spans="1:35">
      <c r="A577" s="246" t="s">
        <v>111</v>
      </c>
      <c r="B577" s="246" t="s">
        <v>66</v>
      </c>
      <c r="C577" s="246" t="s">
        <v>126</v>
      </c>
      <c r="D577" s="246" t="s">
        <v>273</v>
      </c>
      <c r="E577" s="246"/>
      <c r="F577" s="246"/>
      <c r="G577" s="132" t="s">
        <v>437</v>
      </c>
      <c r="H577" s="132" t="s">
        <v>1409</v>
      </c>
      <c r="I577" s="132">
        <v>32562.499999999996</v>
      </c>
      <c r="J577" s="101" t="s">
        <v>889</v>
      </c>
      <c r="K577" s="245" t="s">
        <v>390</v>
      </c>
      <c r="L577" s="245">
        <v>42723</v>
      </c>
      <c r="M577" s="245" t="s">
        <v>391</v>
      </c>
      <c r="N577" s="101">
        <v>1</v>
      </c>
      <c r="O577" s="101" t="s">
        <v>392</v>
      </c>
      <c r="P577" s="101">
        <v>0</v>
      </c>
      <c r="Q577" s="101">
        <v>0</v>
      </c>
      <c r="R577" s="101" t="s">
        <v>438</v>
      </c>
      <c r="S577" s="101">
        <v>148881</v>
      </c>
      <c r="T577" s="101" t="s">
        <v>394</v>
      </c>
      <c r="V577" s="245">
        <v>44914</v>
      </c>
      <c r="W577" s="101" t="s">
        <v>439</v>
      </c>
      <c r="X577" s="101" t="s">
        <v>76</v>
      </c>
      <c r="Y577" s="101" t="s">
        <v>392</v>
      </c>
      <c r="Z577" s="101" t="s">
        <v>430</v>
      </c>
      <c r="AA577" s="101" t="s">
        <v>397</v>
      </c>
      <c r="AB577" s="101">
        <v>5101000018</v>
      </c>
      <c r="AC577" s="101" t="s">
        <v>431</v>
      </c>
      <c r="AD577" s="101" t="s">
        <v>431</v>
      </c>
      <c r="AE577" s="101" t="s">
        <v>75</v>
      </c>
      <c r="AF577" s="101" t="s">
        <v>400</v>
      </c>
      <c r="AG577" s="101" t="s">
        <v>440</v>
      </c>
      <c r="AI577" s="101" t="s">
        <v>760</v>
      </c>
    </row>
    <row r="578" spans="1:35">
      <c r="A578" s="246" t="s">
        <v>112</v>
      </c>
      <c r="B578" s="246" t="s">
        <v>66</v>
      </c>
      <c r="C578" s="246" t="s">
        <v>126</v>
      </c>
      <c r="D578" s="246" t="s">
        <v>270</v>
      </c>
      <c r="E578" s="246"/>
      <c r="F578" s="246"/>
      <c r="G578" s="132" t="s">
        <v>437</v>
      </c>
      <c r="H578" s="132" t="s">
        <v>1409</v>
      </c>
      <c r="I578" s="132">
        <v>32562.499999999996</v>
      </c>
      <c r="J578" s="101" t="s">
        <v>889</v>
      </c>
      <c r="K578" s="245" t="s">
        <v>390</v>
      </c>
      <c r="L578" s="245">
        <v>42905</v>
      </c>
      <c r="M578" s="245" t="s">
        <v>391</v>
      </c>
      <c r="N578" s="101">
        <v>1</v>
      </c>
      <c r="O578" s="101" t="s">
        <v>392</v>
      </c>
      <c r="P578" s="101">
        <v>0</v>
      </c>
      <c r="Q578" s="101">
        <v>0</v>
      </c>
      <c r="R578" s="101" t="s">
        <v>438</v>
      </c>
      <c r="S578" s="101">
        <v>148881</v>
      </c>
      <c r="T578" s="101" t="s">
        <v>394</v>
      </c>
      <c r="V578" s="245">
        <v>44914</v>
      </c>
      <c r="W578" s="101" t="s">
        <v>439</v>
      </c>
      <c r="X578" s="101" t="s">
        <v>76</v>
      </c>
      <c r="Y578" s="101" t="s">
        <v>392</v>
      </c>
      <c r="Z578" s="101" t="s">
        <v>430</v>
      </c>
      <c r="AA578" s="101" t="s">
        <v>397</v>
      </c>
      <c r="AB578" s="101">
        <v>5101000018</v>
      </c>
      <c r="AC578" s="101" t="s">
        <v>431</v>
      </c>
      <c r="AD578" s="101" t="s">
        <v>431</v>
      </c>
      <c r="AE578" s="101" t="s">
        <v>75</v>
      </c>
      <c r="AF578" s="101" t="s">
        <v>400</v>
      </c>
      <c r="AG578" s="101" t="s">
        <v>440</v>
      </c>
      <c r="AI578" s="101" t="s">
        <v>760</v>
      </c>
    </row>
    <row r="579" spans="1:35">
      <c r="A579" s="246" t="s">
        <v>113</v>
      </c>
      <c r="B579" s="246" t="s">
        <v>66</v>
      </c>
      <c r="C579" s="246" t="s">
        <v>126</v>
      </c>
      <c r="D579" s="246" t="s">
        <v>271</v>
      </c>
      <c r="E579" s="246"/>
      <c r="F579" s="246"/>
      <c r="G579" s="132" t="s">
        <v>437</v>
      </c>
      <c r="H579" s="132" t="s">
        <v>1409</v>
      </c>
      <c r="I579" s="132">
        <v>32562.499999999996</v>
      </c>
      <c r="J579" s="101" t="s">
        <v>889</v>
      </c>
      <c r="K579" s="245" t="s">
        <v>390</v>
      </c>
      <c r="L579" s="245">
        <v>43088</v>
      </c>
      <c r="M579" s="245" t="s">
        <v>391</v>
      </c>
      <c r="N579" s="101">
        <v>1</v>
      </c>
      <c r="O579" s="101" t="s">
        <v>392</v>
      </c>
      <c r="P579" s="101">
        <v>0</v>
      </c>
      <c r="Q579" s="101">
        <v>0</v>
      </c>
      <c r="R579" s="101" t="s">
        <v>438</v>
      </c>
      <c r="S579" s="101">
        <v>148881</v>
      </c>
      <c r="T579" s="101" t="s">
        <v>394</v>
      </c>
      <c r="V579" s="245">
        <v>44914</v>
      </c>
      <c r="W579" s="101" t="s">
        <v>439</v>
      </c>
      <c r="X579" s="101" t="s">
        <v>76</v>
      </c>
      <c r="Y579" s="101" t="s">
        <v>392</v>
      </c>
      <c r="Z579" s="101" t="s">
        <v>430</v>
      </c>
      <c r="AA579" s="101" t="s">
        <v>397</v>
      </c>
      <c r="AB579" s="101">
        <v>5101000018</v>
      </c>
      <c r="AC579" s="101" t="s">
        <v>431</v>
      </c>
      <c r="AD579" s="101" t="s">
        <v>431</v>
      </c>
      <c r="AE579" s="101" t="s">
        <v>75</v>
      </c>
      <c r="AF579" s="101" t="s">
        <v>400</v>
      </c>
      <c r="AG579" s="101" t="s">
        <v>440</v>
      </c>
      <c r="AI579" s="101" t="s">
        <v>760</v>
      </c>
    </row>
    <row r="580" spans="1:35">
      <c r="A580" s="246" t="s">
        <v>107</v>
      </c>
      <c r="B580" s="246" t="s">
        <v>78</v>
      </c>
      <c r="C580" s="246" t="s">
        <v>126</v>
      </c>
      <c r="D580" s="246" t="s">
        <v>772</v>
      </c>
      <c r="E580" s="246" t="s">
        <v>773</v>
      </c>
      <c r="F580" s="246" t="s">
        <v>334</v>
      </c>
      <c r="G580" s="132" t="s">
        <v>877</v>
      </c>
      <c r="H580" s="132" t="s">
        <v>1410</v>
      </c>
      <c r="I580" s="132">
        <v>2.54</v>
      </c>
      <c r="J580" s="101" t="s">
        <v>889</v>
      </c>
      <c r="K580" s="245" t="s">
        <v>390</v>
      </c>
      <c r="L580" s="245">
        <v>42521</v>
      </c>
      <c r="M580" s="245" t="s">
        <v>391</v>
      </c>
      <c r="N580" s="101">
        <v>0</v>
      </c>
      <c r="O580" s="101" t="s">
        <v>392</v>
      </c>
      <c r="P580" s="101">
        <v>0</v>
      </c>
      <c r="Q580" s="101">
        <v>0</v>
      </c>
      <c r="R580" s="101" t="s">
        <v>393</v>
      </c>
      <c r="S580" s="101" t="s">
        <v>876</v>
      </c>
      <c r="T580" s="101" t="s">
        <v>394</v>
      </c>
      <c r="V580" s="245">
        <v>14521</v>
      </c>
      <c r="W580" s="101" t="s">
        <v>395</v>
      </c>
      <c r="X580" s="101" t="s">
        <v>795</v>
      </c>
      <c r="Y580" s="101" t="s">
        <v>396</v>
      </c>
      <c r="Z580" s="101" t="s">
        <v>402</v>
      </c>
      <c r="AA580" s="101" t="s">
        <v>78</v>
      </c>
      <c r="AB580" s="101">
        <v>4101000279</v>
      </c>
      <c r="AC580" s="101" t="s">
        <v>398</v>
      </c>
      <c r="AD580" s="101" t="s">
        <v>403</v>
      </c>
      <c r="AE580" s="101" t="s">
        <v>6</v>
      </c>
      <c r="AF580" s="101" t="s">
        <v>400</v>
      </c>
      <c r="AI580" s="101" t="s">
        <v>760</v>
      </c>
    </row>
    <row r="581" spans="1:35">
      <c r="A581" s="246" t="s">
        <v>109</v>
      </c>
      <c r="B581" s="246" t="s">
        <v>78</v>
      </c>
      <c r="C581" s="246" t="s">
        <v>126</v>
      </c>
      <c r="D581" s="246" t="s">
        <v>337</v>
      </c>
      <c r="E581" s="246" t="s">
        <v>336</v>
      </c>
      <c r="F581" s="246" t="s">
        <v>275</v>
      </c>
      <c r="G581" s="132" t="s">
        <v>1411</v>
      </c>
      <c r="H581" s="132" t="s">
        <v>1412</v>
      </c>
      <c r="I581" s="132">
        <v>2.34</v>
      </c>
      <c r="J581" s="101" t="s">
        <v>889</v>
      </c>
      <c r="K581" s="245" t="s">
        <v>390</v>
      </c>
      <c r="L581" s="245">
        <v>42551</v>
      </c>
      <c r="M581" s="245" t="s">
        <v>391</v>
      </c>
      <c r="N581" s="101">
        <v>0</v>
      </c>
      <c r="O581" s="101" t="s">
        <v>392</v>
      </c>
      <c r="P581" s="101">
        <v>0</v>
      </c>
      <c r="Q581" s="101">
        <v>0</v>
      </c>
      <c r="R581" s="101" t="s">
        <v>393</v>
      </c>
      <c r="S581" s="101" t="s">
        <v>876</v>
      </c>
      <c r="T581" s="101" t="s">
        <v>394</v>
      </c>
      <c r="V581" s="245">
        <v>14521</v>
      </c>
      <c r="W581" s="101" t="s">
        <v>395</v>
      </c>
      <c r="X581" s="101" t="s">
        <v>795</v>
      </c>
      <c r="Y581" s="101" t="s">
        <v>396</v>
      </c>
      <c r="Z581" s="101" t="s">
        <v>402</v>
      </c>
      <c r="AA581" s="101" t="s">
        <v>78</v>
      </c>
      <c r="AB581" s="101">
        <v>4101000279</v>
      </c>
      <c r="AC581" s="101" t="s">
        <v>398</v>
      </c>
      <c r="AD581" s="101" t="s">
        <v>403</v>
      </c>
      <c r="AE581" s="101" t="s">
        <v>6</v>
      </c>
      <c r="AF581" s="101" t="s">
        <v>400</v>
      </c>
      <c r="AI581" s="101" t="s">
        <v>760</v>
      </c>
    </row>
    <row r="582" spans="1:35">
      <c r="A582" s="246" t="s">
        <v>109</v>
      </c>
      <c r="B582" s="246" t="s">
        <v>78</v>
      </c>
      <c r="C582" s="246" t="s">
        <v>126</v>
      </c>
      <c r="D582" s="246" t="s">
        <v>337</v>
      </c>
      <c r="E582" s="246" t="s">
        <v>336</v>
      </c>
      <c r="F582" s="246" t="s">
        <v>275</v>
      </c>
      <c r="G582" s="132" t="s">
        <v>1413</v>
      </c>
      <c r="H582" s="132" t="s">
        <v>1414</v>
      </c>
      <c r="I582" s="132">
        <v>2.2400000000000002</v>
      </c>
      <c r="J582" s="101" t="s">
        <v>889</v>
      </c>
      <c r="K582" s="245" t="s">
        <v>390</v>
      </c>
      <c r="L582" s="245">
        <v>42580</v>
      </c>
      <c r="M582" s="245" t="s">
        <v>391</v>
      </c>
      <c r="N582" s="101">
        <v>0</v>
      </c>
      <c r="O582" s="101" t="s">
        <v>392</v>
      </c>
      <c r="P582" s="101">
        <v>0</v>
      </c>
      <c r="Q582" s="101">
        <v>0</v>
      </c>
      <c r="R582" s="101" t="s">
        <v>393</v>
      </c>
      <c r="S582" s="101" t="s">
        <v>876</v>
      </c>
      <c r="T582" s="101" t="s">
        <v>394</v>
      </c>
      <c r="V582" s="245">
        <v>14521</v>
      </c>
      <c r="W582" s="101" t="s">
        <v>395</v>
      </c>
      <c r="X582" s="101" t="s">
        <v>795</v>
      </c>
      <c r="Y582" s="101" t="s">
        <v>396</v>
      </c>
      <c r="Z582" s="101" t="s">
        <v>402</v>
      </c>
      <c r="AA582" s="101" t="s">
        <v>78</v>
      </c>
      <c r="AB582" s="101">
        <v>4101000279</v>
      </c>
      <c r="AC582" s="101" t="s">
        <v>398</v>
      </c>
      <c r="AD582" s="101" t="s">
        <v>403</v>
      </c>
      <c r="AE582" s="101" t="s">
        <v>6</v>
      </c>
      <c r="AF582" s="101" t="s">
        <v>400</v>
      </c>
      <c r="AI582" s="101" t="s">
        <v>760</v>
      </c>
    </row>
    <row r="583" spans="1:35">
      <c r="A583" s="246" t="s">
        <v>110</v>
      </c>
      <c r="B583" s="246" t="s">
        <v>78</v>
      </c>
      <c r="C583" s="246" t="s">
        <v>126</v>
      </c>
      <c r="D583" s="246" t="s">
        <v>770</v>
      </c>
      <c r="E583" s="246" t="s">
        <v>771</v>
      </c>
      <c r="F583" s="246" t="s">
        <v>276</v>
      </c>
      <c r="G583" s="132" t="s">
        <v>1415</v>
      </c>
      <c r="H583" s="132" t="s">
        <v>1416</v>
      </c>
      <c r="I583" s="132">
        <v>2.3600000000000003</v>
      </c>
      <c r="J583" s="101" t="s">
        <v>889</v>
      </c>
      <c r="K583" s="245" t="s">
        <v>390</v>
      </c>
      <c r="L583" s="245">
        <v>42613</v>
      </c>
      <c r="M583" s="245" t="s">
        <v>391</v>
      </c>
      <c r="N583" s="101">
        <v>0</v>
      </c>
      <c r="O583" s="101" t="s">
        <v>392</v>
      </c>
      <c r="P583" s="101">
        <v>0</v>
      </c>
      <c r="Q583" s="101">
        <v>0</v>
      </c>
      <c r="R583" s="101" t="s">
        <v>393</v>
      </c>
      <c r="S583" s="101" t="s">
        <v>876</v>
      </c>
      <c r="T583" s="101" t="s">
        <v>394</v>
      </c>
      <c r="V583" s="245">
        <v>14521</v>
      </c>
      <c r="W583" s="101" t="s">
        <v>395</v>
      </c>
      <c r="X583" s="101" t="s">
        <v>795</v>
      </c>
      <c r="Y583" s="101" t="s">
        <v>396</v>
      </c>
      <c r="Z583" s="101" t="s">
        <v>402</v>
      </c>
      <c r="AA583" s="101" t="s">
        <v>78</v>
      </c>
      <c r="AB583" s="101">
        <v>4101000279</v>
      </c>
      <c r="AC583" s="101" t="s">
        <v>398</v>
      </c>
      <c r="AD583" s="101" t="s">
        <v>403</v>
      </c>
      <c r="AE583" s="101" t="s">
        <v>6</v>
      </c>
      <c r="AF583" s="101" t="s">
        <v>400</v>
      </c>
      <c r="AI583" s="101" t="s">
        <v>760</v>
      </c>
    </row>
    <row r="584" spans="1:35">
      <c r="A584" s="246" t="s">
        <v>110</v>
      </c>
      <c r="B584" s="246" t="s">
        <v>78</v>
      </c>
      <c r="C584" s="246" t="s">
        <v>126</v>
      </c>
      <c r="D584" s="246" t="s">
        <v>770</v>
      </c>
      <c r="E584" s="246" t="s">
        <v>771</v>
      </c>
      <c r="F584" s="246" t="s">
        <v>276</v>
      </c>
      <c r="G584" s="132" t="s">
        <v>1417</v>
      </c>
      <c r="H584" s="132" t="s">
        <v>1418</v>
      </c>
      <c r="I584" s="132">
        <v>2.02</v>
      </c>
      <c r="J584" s="101" t="s">
        <v>889</v>
      </c>
      <c r="K584" s="245" t="s">
        <v>390</v>
      </c>
      <c r="L584" s="245">
        <v>42643</v>
      </c>
      <c r="M584" s="245" t="s">
        <v>391</v>
      </c>
      <c r="N584" s="101">
        <v>0</v>
      </c>
      <c r="O584" s="101" t="s">
        <v>392</v>
      </c>
      <c r="P584" s="101">
        <v>0</v>
      </c>
      <c r="Q584" s="101">
        <v>0</v>
      </c>
      <c r="R584" s="101" t="s">
        <v>393</v>
      </c>
      <c r="S584" s="101" t="s">
        <v>876</v>
      </c>
      <c r="T584" s="101" t="s">
        <v>394</v>
      </c>
      <c r="V584" s="245">
        <v>14521</v>
      </c>
      <c r="W584" s="101" t="s">
        <v>395</v>
      </c>
      <c r="X584" s="101" t="s">
        <v>795</v>
      </c>
      <c r="Y584" s="101" t="s">
        <v>396</v>
      </c>
      <c r="Z584" s="101" t="s">
        <v>402</v>
      </c>
      <c r="AA584" s="101" t="s">
        <v>78</v>
      </c>
      <c r="AB584" s="101">
        <v>4101000279</v>
      </c>
      <c r="AC584" s="101" t="s">
        <v>398</v>
      </c>
      <c r="AD584" s="101" t="s">
        <v>403</v>
      </c>
      <c r="AE584" s="101" t="s">
        <v>6</v>
      </c>
      <c r="AF584" s="101" t="s">
        <v>400</v>
      </c>
      <c r="AI584" s="101" t="s">
        <v>760</v>
      </c>
    </row>
    <row r="585" spans="1:35">
      <c r="A585" s="246" t="s">
        <v>110</v>
      </c>
      <c r="B585" s="246" t="s">
        <v>78</v>
      </c>
      <c r="C585" s="246" t="s">
        <v>126</v>
      </c>
      <c r="D585" s="246" t="s">
        <v>770</v>
      </c>
      <c r="E585" s="246" t="s">
        <v>771</v>
      </c>
      <c r="F585" s="246" t="s">
        <v>276</v>
      </c>
      <c r="G585" s="132" t="s">
        <v>1419</v>
      </c>
      <c r="H585" s="132" t="s">
        <v>1420</v>
      </c>
      <c r="I585" s="132">
        <v>206.67</v>
      </c>
      <c r="J585" s="101" t="s">
        <v>889</v>
      </c>
      <c r="K585" s="245" t="s">
        <v>390</v>
      </c>
      <c r="L585" s="245">
        <v>42674</v>
      </c>
      <c r="M585" s="245" t="s">
        <v>391</v>
      </c>
      <c r="N585" s="101">
        <v>0</v>
      </c>
      <c r="O585" s="101" t="s">
        <v>392</v>
      </c>
      <c r="P585" s="101">
        <v>0</v>
      </c>
      <c r="Q585" s="101">
        <v>0</v>
      </c>
      <c r="R585" s="101" t="s">
        <v>393</v>
      </c>
      <c r="S585" s="101" t="s">
        <v>876</v>
      </c>
      <c r="T585" s="101" t="s">
        <v>394</v>
      </c>
      <c r="V585" s="245">
        <v>14521</v>
      </c>
      <c r="W585" s="101" t="s">
        <v>395</v>
      </c>
      <c r="X585" s="101" t="s">
        <v>795</v>
      </c>
      <c r="Y585" s="101" t="s">
        <v>396</v>
      </c>
      <c r="Z585" s="101" t="s">
        <v>402</v>
      </c>
      <c r="AA585" s="101" t="s">
        <v>78</v>
      </c>
      <c r="AB585" s="101">
        <v>4101000279</v>
      </c>
      <c r="AC585" s="101" t="s">
        <v>398</v>
      </c>
      <c r="AD585" s="101" t="s">
        <v>403</v>
      </c>
      <c r="AE585" s="101" t="s">
        <v>6</v>
      </c>
      <c r="AF585" s="101" t="s">
        <v>400</v>
      </c>
      <c r="AI585" s="101" t="s">
        <v>760</v>
      </c>
    </row>
    <row r="586" spans="1:35">
      <c r="A586" s="246" t="s">
        <v>111</v>
      </c>
      <c r="B586" s="246" t="s">
        <v>78</v>
      </c>
      <c r="C586" s="246" t="s">
        <v>126</v>
      </c>
      <c r="D586" s="246" t="s">
        <v>768</v>
      </c>
      <c r="E586" s="246" t="s">
        <v>769</v>
      </c>
      <c r="F586" s="246" t="s">
        <v>277</v>
      </c>
      <c r="G586" s="132" t="s">
        <v>1421</v>
      </c>
      <c r="H586" s="132" t="s">
        <v>1422</v>
      </c>
      <c r="I586" s="132">
        <v>181.18999999999997</v>
      </c>
      <c r="J586" s="101" t="s">
        <v>889</v>
      </c>
      <c r="K586" s="245" t="s">
        <v>390</v>
      </c>
      <c r="L586" s="245">
        <v>42704</v>
      </c>
      <c r="M586" s="245" t="s">
        <v>391</v>
      </c>
      <c r="N586" s="101">
        <v>0</v>
      </c>
      <c r="O586" s="101" t="s">
        <v>392</v>
      </c>
      <c r="P586" s="101">
        <v>0</v>
      </c>
      <c r="Q586" s="101">
        <v>0</v>
      </c>
      <c r="R586" s="101" t="s">
        <v>393</v>
      </c>
      <c r="S586" s="101" t="s">
        <v>876</v>
      </c>
      <c r="T586" s="101" t="s">
        <v>394</v>
      </c>
      <c r="V586" s="245">
        <v>14521</v>
      </c>
      <c r="W586" s="101" t="s">
        <v>395</v>
      </c>
      <c r="X586" s="101" t="s">
        <v>795</v>
      </c>
      <c r="Y586" s="101" t="s">
        <v>396</v>
      </c>
      <c r="Z586" s="101" t="s">
        <v>402</v>
      </c>
      <c r="AA586" s="101" t="s">
        <v>78</v>
      </c>
      <c r="AB586" s="101">
        <v>4101000279</v>
      </c>
      <c r="AC586" s="101" t="s">
        <v>398</v>
      </c>
      <c r="AD586" s="101" t="s">
        <v>403</v>
      </c>
      <c r="AE586" s="101" t="s">
        <v>6</v>
      </c>
      <c r="AF586" s="101" t="s">
        <v>400</v>
      </c>
      <c r="AI586" s="101" t="s">
        <v>760</v>
      </c>
    </row>
    <row r="587" spans="1:35">
      <c r="A587" s="246" t="s">
        <v>111</v>
      </c>
      <c r="B587" s="246" t="s">
        <v>78</v>
      </c>
      <c r="C587" s="246" t="s">
        <v>126</v>
      </c>
      <c r="D587" s="246" t="s">
        <v>768</v>
      </c>
      <c r="E587" s="246" t="s">
        <v>769</v>
      </c>
      <c r="F587" s="246" t="s">
        <v>277</v>
      </c>
      <c r="G587" s="132" t="s">
        <v>1423</v>
      </c>
      <c r="H587" s="132" t="s">
        <v>1424</v>
      </c>
      <c r="I587" s="132">
        <v>164.73000000000002</v>
      </c>
      <c r="J587" s="101" t="s">
        <v>889</v>
      </c>
      <c r="K587" s="245" t="s">
        <v>390</v>
      </c>
      <c r="L587" s="245">
        <v>42734</v>
      </c>
      <c r="M587" s="245" t="s">
        <v>391</v>
      </c>
      <c r="N587" s="101">
        <v>0</v>
      </c>
      <c r="O587" s="101" t="s">
        <v>392</v>
      </c>
      <c r="P587" s="101">
        <v>0</v>
      </c>
      <c r="Q587" s="101">
        <v>0</v>
      </c>
      <c r="R587" s="101" t="s">
        <v>393</v>
      </c>
      <c r="S587" s="101" t="s">
        <v>876</v>
      </c>
      <c r="T587" s="101" t="s">
        <v>394</v>
      </c>
      <c r="V587" s="245">
        <v>14521</v>
      </c>
      <c r="W587" s="101" t="s">
        <v>395</v>
      </c>
      <c r="X587" s="101" t="s">
        <v>795</v>
      </c>
      <c r="Y587" s="101" t="s">
        <v>396</v>
      </c>
      <c r="Z587" s="101" t="s">
        <v>402</v>
      </c>
      <c r="AA587" s="101" t="s">
        <v>78</v>
      </c>
      <c r="AB587" s="101">
        <v>4101000279</v>
      </c>
      <c r="AC587" s="101" t="s">
        <v>398</v>
      </c>
      <c r="AD587" s="101" t="s">
        <v>403</v>
      </c>
      <c r="AE587" s="101" t="s">
        <v>6</v>
      </c>
      <c r="AF587" s="101" t="s">
        <v>400</v>
      </c>
      <c r="AI587" s="101" t="s">
        <v>760</v>
      </c>
    </row>
    <row r="588" spans="1:35">
      <c r="A588" s="246" t="s">
        <v>111</v>
      </c>
      <c r="B588" s="246" t="s">
        <v>78</v>
      </c>
      <c r="C588" s="246" t="s">
        <v>126</v>
      </c>
      <c r="D588" s="246" t="s">
        <v>768</v>
      </c>
      <c r="E588" s="246" t="s">
        <v>769</v>
      </c>
      <c r="F588" s="246" t="s">
        <v>277</v>
      </c>
      <c r="G588" s="132" t="s">
        <v>1425</v>
      </c>
      <c r="H588" s="132" t="s">
        <v>1426</v>
      </c>
      <c r="I588" s="132">
        <v>175.71</v>
      </c>
      <c r="J588" s="101" t="s">
        <v>889</v>
      </c>
      <c r="K588" s="245" t="s">
        <v>390</v>
      </c>
      <c r="L588" s="245">
        <v>42766</v>
      </c>
      <c r="M588" s="245" t="s">
        <v>391</v>
      </c>
      <c r="N588" s="101">
        <v>0</v>
      </c>
      <c r="O588" s="101" t="s">
        <v>392</v>
      </c>
      <c r="P588" s="101">
        <v>0</v>
      </c>
      <c r="Q588" s="101">
        <v>0</v>
      </c>
      <c r="R588" s="101" t="s">
        <v>393</v>
      </c>
      <c r="S588" s="101" t="s">
        <v>876</v>
      </c>
      <c r="T588" s="101" t="s">
        <v>394</v>
      </c>
      <c r="V588" s="245">
        <v>14521</v>
      </c>
      <c r="W588" s="101" t="s">
        <v>395</v>
      </c>
      <c r="X588" s="101" t="s">
        <v>795</v>
      </c>
      <c r="Y588" s="101" t="s">
        <v>396</v>
      </c>
      <c r="Z588" s="101" t="s">
        <v>402</v>
      </c>
      <c r="AA588" s="101" t="s">
        <v>78</v>
      </c>
      <c r="AB588" s="101">
        <v>4101000279</v>
      </c>
      <c r="AC588" s="101" t="s">
        <v>398</v>
      </c>
      <c r="AD588" s="101" t="s">
        <v>403</v>
      </c>
      <c r="AE588" s="101" t="s">
        <v>6</v>
      </c>
      <c r="AF588" s="101" t="s">
        <v>400</v>
      </c>
      <c r="AI588" s="101" t="s">
        <v>760</v>
      </c>
    </row>
    <row r="589" spans="1:35">
      <c r="A589" s="246" t="s">
        <v>111</v>
      </c>
      <c r="B589" s="246" t="s">
        <v>78</v>
      </c>
      <c r="C589" s="246" t="s">
        <v>126</v>
      </c>
      <c r="D589" s="246" t="s">
        <v>768</v>
      </c>
      <c r="E589" s="246" t="s">
        <v>769</v>
      </c>
      <c r="F589" s="246" t="s">
        <v>277</v>
      </c>
      <c r="G589" s="132" t="s">
        <v>1427</v>
      </c>
      <c r="H589" s="132" t="s">
        <v>1428</v>
      </c>
      <c r="I589" s="132">
        <v>133.17999999999998</v>
      </c>
      <c r="J589" s="101" t="s">
        <v>889</v>
      </c>
      <c r="K589" s="245" t="s">
        <v>390</v>
      </c>
      <c r="L589" s="245">
        <v>42794</v>
      </c>
      <c r="M589" s="245" t="s">
        <v>391</v>
      </c>
      <c r="N589" s="101">
        <v>0</v>
      </c>
      <c r="O589" s="101" t="s">
        <v>392</v>
      </c>
      <c r="P589" s="101">
        <v>0</v>
      </c>
      <c r="Q589" s="101">
        <v>0</v>
      </c>
      <c r="R589" s="101" t="s">
        <v>393</v>
      </c>
      <c r="S589" s="101" t="s">
        <v>876</v>
      </c>
      <c r="T589" s="101" t="s">
        <v>394</v>
      </c>
      <c r="V589" s="245">
        <v>14521</v>
      </c>
      <c r="W589" s="101" t="s">
        <v>395</v>
      </c>
      <c r="X589" s="101" t="s">
        <v>795</v>
      </c>
      <c r="Y589" s="101" t="s">
        <v>396</v>
      </c>
      <c r="Z589" s="101" t="s">
        <v>402</v>
      </c>
      <c r="AA589" s="101" t="s">
        <v>78</v>
      </c>
      <c r="AB589" s="101">
        <v>4101000279</v>
      </c>
      <c r="AC589" s="101" t="s">
        <v>398</v>
      </c>
      <c r="AD589" s="101" t="s">
        <v>403</v>
      </c>
      <c r="AE589" s="101" t="s">
        <v>6</v>
      </c>
      <c r="AF589" s="101" t="s">
        <v>400</v>
      </c>
      <c r="AI589" s="101" t="s">
        <v>760</v>
      </c>
    </row>
    <row r="590" spans="1:35">
      <c r="A590" s="246" t="s">
        <v>111</v>
      </c>
      <c r="B590" s="246" t="s">
        <v>78</v>
      </c>
      <c r="C590" s="246" t="s">
        <v>126</v>
      </c>
      <c r="D590" s="246" t="s">
        <v>768</v>
      </c>
      <c r="E590" s="246" t="s">
        <v>769</v>
      </c>
      <c r="F590" s="246" t="s">
        <v>277</v>
      </c>
      <c r="G590" s="132" t="s">
        <v>1429</v>
      </c>
      <c r="H590" s="132" t="s">
        <v>1430</v>
      </c>
      <c r="I590" s="132">
        <v>127.69999999999999</v>
      </c>
      <c r="J590" s="101" t="s">
        <v>889</v>
      </c>
      <c r="K590" s="245" t="s">
        <v>390</v>
      </c>
      <c r="L590" s="245">
        <v>42825</v>
      </c>
      <c r="M590" s="245" t="s">
        <v>391</v>
      </c>
      <c r="N590" s="101">
        <v>0</v>
      </c>
      <c r="O590" s="101" t="s">
        <v>392</v>
      </c>
      <c r="P590" s="101">
        <v>0</v>
      </c>
      <c r="Q590" s="101">
        <v>0</v>
      </c>
      <c r="R590" s="101" t="s">
        <v>393</v>
      </c>
      <c r="S590" s="101" t="s">
        <v>876</v>
      </c>
      <c r="T590" s="101" t="s">
        <v>394</v>
      </c>
      <c r="V590" s="245">
        <v>14521</v>
      </c>
      <c r="W590" s="101" t="s">
        <v>395</v>
      </c>
      <c r="X590" s="101" t="s">
        <v>795</v>
      </c>
      <c r="Y590" s="101" t="s">
        <v>396</v>
      </c>
      <c r="Z590" s="101" t="s">
        <v>402</v>
      </c>
      <c r="AA590" s="101" t="s">
        <v>78</v>
      </c>
      <c r="AB590" s="101">
        <v>4101000279</v>
      </c>
      <c r="AC590" s="101" t="s">
        <v>398</v>
      </c>
      <c r="AD590" s="101" t="s">
        <v>403</v>
      </c>
      <c r="AE590" s="101" t="s">
        <v>6</v>
      </c>
      <c r="AF590" s="101" t="s">
        <v>400</v>
      </c>
      <c r="AI590" s="101" t="s">
        <v>760</v>
      </c>
    </row>
    <row r="591" spans="1:35">
      <c r="A591" s="246" t="s">
        <v>111</v>
      </c>
      <c r="B591" s="246" t="s">
        <v>78</v>
      </c>
      <c r="C591" s="246" t="s">
        <v>126</v>
      </c>
      <c r="D591" s="246" t="s">
        <v>768</v>
      </c>
      <c r="E591" s="246" t="s">
        <v>769</v>
      </c>
      <c r="F591" s="246" t="s">
        <v>277</v>
      </c>
      <c r="G591" s="132" t="s">
        <v>1431</v>
      </c>
      <c r="H591" s="132" t="s">
        <v>1432</v>
      </c>
      <c r="I591" s="132">
        <v>115.35</v>
      </c>
      <c r="J591" s="101" t="s">
        <v>889</v>
      </c>
      <c r="K591" s="245" t="s">
        <v>390</v>
      </c>
      <c r="L591" s="245">
        <v>42853</v>
      </c>
      <c r="M591" s="245" t="s">
        <v>391</v>
      </c>
      <c r="N591" s="101">
        <v>0</v>
      </c>
      <c r="O591" s="101" t="s">
        <v>392</v>
      </c>
      <c r="P591" s="101">
        <v>0</v>
      </c>
      <c r="Q591" s="101">
        <v>0</v>
      </c>
      <c r="R591" s="101" t="s">
        <v>393</v>
      </c>
      <c r="S591" s="101" t="s">
        <v>876</v>
      </c>
      <c r="T591" s="101" t="s">
        <v>394</v>
      </c>
      <c r="V591" s="245">
        <v>14521</v>
      </c>
      <c r="W591" s="101" t="s">
        <v>395</v>
      </c>
      <c r="X591" s="101" t="s">
        <v>795</v>
      </c>
      <c r="Y591" s="101" t="s">
        <v>396</v>
      </c>
      <c r="Z591" s="101" t="s">
        <v>402</v>
      </c>
      <c r="AA591" s="101" t="s">
        <v>78</v>
      </c>
      <c r="AB591" s="101">
        <v>4101000279</v>
      </c>
      <c r="AC591" s="101" t="s">
        <v>398</v>
      </c>
      <c r="AD591" s="101" t="s">
        <v>403</v>
      </c>
      <c r="AE591" s="101" t="s">
        <v>6</v>
      </c>
      <c r="AF591" s="101" t="s">
        <v>400</v>
      </c>
      <c r="AI591" s="101" t="s">
        <v>760</v>
      </c>
    </row>
    <row r="592" spans="1:35">
      <c r="A592" s="246" t="s">
        <v>112</v>
      </c>
      <c r="B592" s="246" t="s">
        <v>78</v>
      </c>
      <c r="C592" s="246" t="s">
        <v>126</v>
      </c>
      <c r="D592" s="246" t="s">
        <v>341</v>
      </c>
      <c r="E592" s="246" t="s">
        <v>342</v>
      </c>
      <c r="F592" s="246" t="s">
        <v>278</v>
      </c>
      <c r="G592" s="132" t="s">
        <v>1433</v>
      </c>
      <c r="H592" s="132" t="s">
        <v>1434</v>
      </c>
      <c r="I592" s="132">
        <v>110.32</v>
      </c>
      <c r="J592" s="101" t="s">
        <v>889</v>
      </c>
      <c r="K592" s="245" t="s">
        <v>390</v>
      </c>
      <c r="L592" s="245">
        <v>42886</v>
      </c>
      <c r="M592" s="245" t="s">
        <v>391</v>
      </c>
      <c r="N592" s="101">
        <v>0</v>
      </c>
      <c r="O592" s="101" t="s">
        <v>392</v>
      </c>
      <c r="P592" s="101">
        <v>0</v>
      </c>
      <c r="Q592" s="101">
        <v>0</v>
      </c>
      <c r="R592" s="101" t="s">
        <v>393</v>
      </c>
      <c r="S592" s="101" t="s">
        <v>876</v>
      </c>
      <c r="T592" s="101" t="s">
        <v>394</v>
      </c>
      <c r="V592" s="245">
        <v>14521</v>
      </c>
      <c r="W592" s="101" t="s">
        <v>395</v>
      </c>
      <c r="X592" s="101" t="s">
        <v>795</v>
      </c>
      <c r="Y592" s="101" t="s">
        <v>396</v>
      </c>
      <c r="Z592" s="101" t="s">
        <v>402</v>
      </c>
      <c r="AA592" s="101" t="s">
        <v>78</v>
      </c>
      <c r="AB592" s="101">
        <v>4101000279</v>
      </c>
      <c r="AC592" s="101" t="s">
        <v>398</v>
      </c>
      <c r="AD592" s="101" t="s">
        <v>403</v>
      </c>
      <c r="AE592" s="101" t="s">
        <v>6</v>
      </c>
      <c r="AF592" s="101" t="s">
        <v>400</v>
      </c>
      <c r="AI592" s="101" t="s">
        <v>760</v>
      </c>
    </row>
    <row r="593" spans="1:35">
      <c r="A593" s="246" t="s">
        <v>112</v>
      </c>
      <c r="B593" s="246" t="s">
        <v>78</v>
      </c>
      <c r="C593" s="246" t="s">
        <v>126</v>
      </c>
      <c r="D593" s="246" t="s">
        <v>341</v>
      </c>
      <c r="E593" s="246" t="s">
        <v>342</v>
      </c>
      <c r="F593" s="246" t="s">
        <v>278</v>
      </c>
      <c r="G593" s="132" t="s">
        <v>1435</v>
      </c>
      <c r="H593" s="132" t="s">
        <v>1436</v>
      </c>
      <c r="I593" s="132">
        <v>83.139999999999986</v>
      </c>
      <c r="J593" s="101" t="s">
        <v>889</v>
      </c>
      <c r="K593" s="245" t="s">
        <v>390</v>
      </c>
      <c r="L593" s="245">
        <v>42916</v>
      </c>
      <c r="M593" s="245" t="s">
        <v>391</v>
      </c>
      <c r="N593" s="101">
        <v>0</v>
      </c>
      <c r="O593" s="101" t="s">
        <v>392</v>
      </c>
      <c r="P593" s="101">
        <v>0</v>
      </c>
      <c r="Q593" s="101">
        <v>0</v>
      </c>
      <c r="R593" s="101" t="s">
        <v>393</v>
      </c>
      <c r="S593" s="101" t="s">
        <v>876</v>
      </c>
      <c r="T593" s="101" t="s">
        <v>394</v>
      </c>
      <c r="V593" s="245">
        <v>14521</v>
      </c>
      <c r="W593" s="101" t="s">
        <v>395</v>
      </c>
      <c r="X593" s="101" t="s">
        <v>795</v>
      </c>
      <c r="Y593" s="101" t="s">
        <v>396</v>
      </c>
      <c r="Z593" s="101" t="s">
        <v>402</v>
      </c>
      <c r="AA593" s="101" t="s">
        <v>78</v>
      </c>
      <c r="AB593" s="101">
        <v>4101000279</v>
      </c>
      <c r="AC593" s="101" t="s">
        <v>398</v>
      </c>
      <c r="AD593" s="101" t="s">
        <v>403</v>
      </c>
      <c r="AE593" s="101" t="s">
        <v>6</v>
      </c>
      <c r="AF593" s="101" t="s">
        <v>400</v>
      </c>
      <c r="AI593" s="101" t="s">
        <v>760</v>
      </c>
    </row>
    <row r="594" spans="1:35">
      <c r="A594" s="246" t="s">
        <v>112</v>
      </c>
      <c r="B594" s="246" t="s">
        <v>78</v>
      </c>
      <c r="C594" s="246" t="s">
        <v>126</v>
      </c>
      <c r="D594" s="246" t="s">
        <v>341</v>
      </c>
      <c r="E594" s="246" t="s">
        <v>342</v>
      </c>
      <c r="F594" s="246" t="s">
        <v>278</v>
      </c>
      <c r="G594" s="132" t="s">
        <v>1437</v>
      </c>
      <c r="H594" s="132" t="s">
        <v>1438</v>
      </c>
      <c r="I594" s="132">
        <v>85.91</v>
      </c>
      <c r="J594" s="101" t="s">
        <v>889</v>
      </c>
      <c r="K594" s="245" t="s">
        <v>390</v>
      </c>
      <c r="L594" s="245">
        <v>42947</v>
      </c>
      <c r="M594" s="245" t="s">
        <v>391</v>
      </c>
      <c r="N594" s="101">
        <v>0</v>
      </c>
      <c r="O594" s="101" t="s">
        <v>392</v>
      </c>
      <c r="P594" s="101">
        <v>0</v>
      </c>
      <c r="Q594" s="101">
        <v>0</v>
      </c>
      <c r="R594" s="101" t="s">
        <v>393</v>
      </c>
      <c r="S594" s="101" t="s">
        <v>876</v>
      </c>
      <c r="T594" s="101" t="s">
        <v>394</v>
      </c>
      <c r="V594" s="245">
        <v>14521</v>
      </c>
      <c r="W594" s="101" t="s">
        <v>395</v>
      </c>
      <c r="X594" s="101" t="s">
        <v>795</v>
      </c>
      <c r="Y594" s="101" t="s">
        <v>396</v>
      </c>
      <c r="Z594" s="101" t="s">
        <v>402</v>
      </c>
      <c r="AA594" s="101" t="s">
        <v>78</v>
      </c>
      <c r="AB594" s="101">
        <v>4101000279</v>
      </c>
      <c r="AC594" s="101" t="s">
        <v>398</v>
      </c>
      <c r="AD594" s="101" t="s">
        <v>403</v>
      </c>
      <c r="AE594" s="101" t="s">
        <v>6</v>
      </c>
      <c r="AF594" s="101" t="s">
        <v>400</v>
      </c>
      <c r="AI594" s="101" t="s">
        <v>760</v>
      </c>
    </row>
    <row r="595" spans="1:35">
      <c r="A595" s="246" t="s">
        <v>112</v>
      </c>
      <c r="B595" s="246" t="s">
        <v>78</v>
      </c>
      <c r="C595" s="246" t="s">
        <v>126</v>
      </c>
      <c r="D595" s="246" t="s">
        <v>341</v>
      </c>
      <c r="E595" s="246" t="s">
        <v>342</v>
      </c>
      <c r="F595" s="246" t="s">
        <v>278</v>
      </c>
      <c r="G595" s="132" t="s">
        <v>1437</v>
      </c>
      <c r="H595" s="132" t="s">
        <v>1438</v>
      </c>
      <c r="I595" s="132">
        <v>85.91</v>
      </c>
      <c r="J595" s="101" t="s">
        <v>889</v>
      </c>
      <c r="K595" s="245" t="s">
        <v>390</v>
      </c>
      <c r="L595" s="245">
        <v>42978</v>
      </c>
      <c r="M595" s="245" t="s">
        <v>391</v>
      </c>
      <c r="N595" s="101">
        <v>0</v>
      </c>
      <c r="O595" s="101" t="s">
        <v>392</v>
      </c>
      <c r="P595" s="101">
        <v>0</v>
      </c>
      <c r="Q595" s="101">
        <v>0</v>
      </c>
      <c r="R595" s="101" t="s">
        <v>393</v>
      </c>
      <c r="S595" s="101" t="s">
        <v>876</v>
      </c>
      <c r="T595" s="101" t="s">
        <v>394</v>
      </c>
      <c r="V595" s="245">
        <v>14521</v>
      </c>
      <c r="W595" s="101" t="s">
        <v>395</v>
      </c>
      <c r="X595" s="101" t="s">
        <v>795</v>
      </c>
      <c r="Y595" s="101" t="s">
        <v>396</v>
      </c>
      <c r="Z595" s="101" t="s">
        <v>402</v>
      </c>
      <c r="AA595" s="101" t="s">
        <v>78</v>
      </c>
      <c r="AB595" s="101">
        <v>4101000279</v>
      </c>
      <c r="AC595" s="101" t="s">
        <v>398</v>
      </c>
      <c r="AD595" s="101" t="s">
        <v>403</v>
      </c>
      <c r="AE595" s="101" t="s">
        <v>6</v>
      </c>
      <c r="AF595" s="101" t="s">
        <v>400</v>
      </c>
      <c r="AI595" s="101" t="s">
        <v>760</v>
      </c>
    </row>
    <row r="596" spans="1:35">
      <c r="A596" s="246" t="s">
        <v>112</v>
      </c>
      <c r="B596" s="246" t="s">
        <v>78</v>
      </c>
      <c r="C596" s="246" t="s">
        <v>126</v>
      </c>
      <c r="D596" s="246" t="s">
        <v>341</v>
      </c>
      <c r="E596" s="246" t="s">
        <v>342</v>
      </c>
      <c r="F596" s="246" t="s">
        <v>278</v>
      </c>
      <c r="G596" s="132" t="s">
        <v>1439</v>
      </c>
      <c r="H596" s="132" t="s">
        <v>1440</v>
      </c>
      <c r="I596" s="132">
        <v>80.37</v>
      </c>
      <c r="J596" s="101" t="s">
        <v>889</v>
      </c>
      <c r="K596" s="245" t="s">
        <v>390</v>
      </c>
      <c r="L596" s="245">
        <v>43007</v>
      </c>
      <c r="M596" s="245" t="s">
        <v>391</v>
      </c>
      <c r="N596" s="101">
        <v>0</v>
      </c>
      <c r="O596" s="101" t="s">
        <v>392</v>
      </c>
      <c r="P596" s="101">
        <v>0</v>
      </c>
      <c r="Q596" s="101">
        <v>0</v>
      </c>
      <c r="R596" s="101" t="s">
        <v>393</v>
      </c>
      <c r="S596" s="101" t="s">
        <v>876</v>
      </c>
      <c r="T596" s="101" t="s">
        <v>394</v>
      </c>
      <c r="V596" s="245">
        <v>14521</v>
      </c>
      <c r="W596" s="101" t="s">
        <v>395</v>
      </c>
      <c r="X596" s="101" t="s">
        <v>795</v>
      </c>
      <c r="Y596" s="101" t="s">
        <v>396</v>
      </c>
      <c r="Z596" s="101" t="s">
        <v>402</v>
      </c>
      <c r="AA596" s="101" t="s">
        <v>78</v>
      </c>
      <c r="AB596" s="101">
        <v>4101000279</v>
      </c>
      <c r="AC596" s="101" t="s">
        <v>398</v>
      </c>
      <c r="AD596" s="101" t="s">
        <v>403</v>
      </c>
      <c r="AE596" s="101" t="s">
        <v>6</v>
      </c>
      <c r="AF596" s="101" t="s">
        <v>400</v>
      </c>
      <c r="AI596" s="101" t="s">
        <v>760</v>
      </c>
    </row>
    <row r="597" spans="1:35">
      <c r="A597" s="246" t="s">
        <v>112</v>
      </c>
      <c r="B597" s="246" t="s">
        <v>78</v>
      </c>
      <c r="C597" s="246" t="s">
        <v>126</v>
      </c>
      <c r="D597" s="246" t="s">
        <v>341</v>
      </c>
      <c r="E597" s="246" t="s">
        <v>342</v>
      </c>
      <c r="F597" s="246" t="s">
        <v>278</v>
      </c>
      <c r="G597" s="132" t="s">
        <v>1441</v>
      </c>
      <c r="H597" s="132" t="s">
        <v>1442</v>
      </c>
      <c r="I597" s="132">
        <v>88.679999999999993</v>
      </c>
      <c r="J597" s="101" t="s">
        <v>889</v>
      </c>
      <c r="K597" s="245" t="s">
        <v>390</v>
      </c>
      <c r="L597" s="245">
        <v>43039</v>
      </c>
      <c r="M597" s="245" t="s">
        <v>391</v>
      </c>
      <c r="N597" s="101">
        <v>0</v>
      </c>
      <c r="O597" s="101" t="s">
        <v>392</v>
      </c>
      <c r="P597" s="101">
        <v>0</v>
      </c>
      <c r="Q597" s="101">
        <v>0</v>
      </c>
      <c r="R597" s="101" t="s">
        <v>393</v>
      </c>
      <c r="S597" s="101" t="s">
        <v>876</v>
      </c>
      <c r="T597" s="101" t="s">
        <v>394</v>
      </c>
      <c r="V597" s="245">
        <v>14521</v>
      </c>
      <c r="W597" s="101" t="s">
        <v>395</v>
      </c>
      <c r="X597" s="101" t="s">
        <v>795</v>
      </c>
      <c r="Y597" s="101" t="s">
        <v>396</v>
      </c>
      <c r="Z597" s="101" t="s">
        <v>402</v>
      </c>
      <c r="AA597" s="101" t="s">
        <v>78</v>
      </c>
      <c r="AB597" s="101">
        <v>4101000279</v>
      </c>
      <c r="AC597" s="101" t="s">
        <v>398</v>
      </c>
      <c r="AD597" s="101" t="s">
        <v>403</v>
      </c>
      <c r="AE597" s="101" t="s">
        <v>6</v>
      </c>
      <c r="AF597" s="101" t="s">
        <v>400</v>
      </c>
      <c r="AI597" s="101" t="s">
        <v>760</v>
      </c>
    </row>
    <row r="598" spans="1:35">
      <c r="A598" s="246" t="s">
        <v>113</v>
      </c>
      <c r="B598" s="246" t="s">
        <v>78</v>
      </c>
      <c r="C598" s="246" t="s">
        <v>126</v>
      </c>
      <c r="D598" s="246" t="s">
        <v>339</v>
      </c>
      <c r="E598" s="246" t="s">
        <v>340</v>
      </c>
      <c r="F598" s="246" t="s">
        <v>279</v>
      </c>
      <c r="G598" s="132" t="s">
        <v>1435</v>
      </c>
      <c r="H598" s="132" t="s">
        <v>1436</v>
      </c>
      <c r="I598" s="132">
        <v>83.139999999999986</v>
      </c>
      <c r="J598" s="101" t="s">
        <v>889</v>
      </c>
      <c r="K598" s="245" t="s">
        <v>390</v>
      </c>
      <c r="L598" s="245">
        <v>43069</v>
      </c>
      <c r="M598" s="245" t="s">
        <v>391</v>
      </c>
      <c r="N598" s="101">
        <v>0</v>
      </c>
      <c r="O598" s="101" t="s">
        <v>392</v>
      </c>
      <c r="P598" s="101">
        <v>0</v>
      </c>
      <c r="Q598" s="101">
        <v>0</v>
      </c>
      <c r="R598" s="101" t="s">
        <v>393</v>
      </c>
      <c r="S598" s="101" t="s">
        <v>876</v>
      </c>
      <c r="T598" s="101" t="s">
        <v>394</v>
      </c>
      <c r="V598" s="245">
        <v>14521</v>
      </c>
      <c r="W598" s="101" t="s">
        <v>395</v>
      </c>
      <c r="X598" s="101" t="s">
        <v>795</v>
      </c>
      <c r="Y598" s="101" t="s">
        <v>396</v>
      </c>
      <c r="Z598" s="101" t="s">
        <v>402</v>
      </c>
      <c r="AA598" s="101" t="s">
        <v>78</v>
      </c>
      <c r="AB598" s="101">
        <v>4101000279</v>
      </c>
      <c r="AC598" s="101" t="s">
        <v>398</v>
      </c>
      <c r="AD598" s="101" t="s">
        <v>403</v>
      </c>
      <c r="AE598" s="101" t="s">
        <v>6</v>
      </c>
      <c r="AF598" s="101" t="s">
        <v>400</v>
      </c>
      <c r="AI598" s="101" t="s">
        <v>760</v>
      </c>
    </row>
    <row r="599" spans="1:35">
      <c r="A599" s="246" t="s">
        <v>113</v>
      </c>
      <c r="B599" s="246" t="s">
        <v>78</v>
      </c>
      <c r="C599" s="246" t="s">
        <v>126</v>
      </c>
      <c r="D599" s="246" t="s">
        <v>339</v>
      </c>
      <c r="E599" s="246" t="s">
        <v>340</v>
      </c>
      <c r="F599" s="246" t="s">
        <v>279</v>
      </c>
      <c r="G599" s="132" t="s">
        <v>1439</v>
      </c>
      <c r="H599" s="132" t="s">
        <v>1440</v>
      </c>
      <c r="I599" s="132">
        <v>80.37</v>
      </c>
      <c r="J599" s="101" t="s">
        <v>889</v>
      </c>
      <c r="K599" s="245" t="s">
        <v>390</v>
      </c>
      <c r="L599" s="245">
        <v>43098</v>
      </c>
      <c r="M599" s="245" t="s">
        <v>391</v>
      </c>
      <c r="N599" s="101">
        <v>0</v>
      </c>
      <c r="O599" s="101" t="s">
        <v>392</v>
      </c>
      <c r="P599" s="101">
        <v>0</v>
      </c>
      <c r="Q599" s="101">
        <v>0</v>
      </c>
      <c r="R599" s="101" t="s">
        <v>393</v>
      </c>
      <c r="S599" s="101" t="s">
        <v>876</v>
      </c>
      <c r="T599" s="101" t="s">
        <v>394</v>
      </c>
      <c r="V599" s="245">
        <v>14521</v>
      </c>
      <c r="W599" s="101" t="s">
        <v>395</v>
      </c>
      <c r="X599" s="101" t="s">
        <v>795</v>
      </c>
      <c r="Y599" s="101" t="s">
        <v>396</v>
      </c>
      <c r="Z599" s="101" t="s">
        <v>402</v>
      </c>
      <c r="AA599" s="101" t="s">
        <v>78</v>
      </c>
      <c r="AB599" s="101">
        <v>4101000279</v>
      </c>
      <c r="AC599" s="101" t="s">
        <v>398</v>
      </c>
      <c r="AD599" s="101" t="s">
        <v>403</v>
      </c>
      <c r="AE599" s="101" t="s">
        <v>6</v>
      </c>
      <c r="AF599" s="101" t="s">
        <v>400</v>
      </c>
      <c r="AI599" s="101" t="s">
        <v>760</v>
      </c>
    </row>
    <row r="600" spans="1:35">
      <c r="A600" s="246" t="s">
        <v>113</v>
      </c>
      <c r="B600" s="246" t="s">
        <v>78</v>
      </c>
      <c r="C600" s="246" t="s">
        <v>126</v>
      </c>
      <c r="D600" s="246" t="s">
        <v>339</v>
      </c>
      <c r="E600" s="246" t="s">
        <v>340</v>
      </c>
      <c r="F600" s="246" t="s">
        <v>279</v>
      </c>
      <c r="G600" s="132" t="s">
        <v>1443</v>
      </c>
      <c r="H600" s="132" t="s">
        <v>1444</v>
      </c>
      <c r="I600" s="132">
        <v>91.44</v>
      </c>
      <c r="J600" s="101" t="s">
        <v>889</v>
      </c>
      <c r="K600" s="245" t="s">
        <v>390</v>
      </c>
      <c r="L600" s="245">
        <v>43131</v>
      </c>
      <c r="M600" s="245" t="s">
        <v>391</v>
      </c>
      <c r="N600" s="101">
        <v>0</v>
      </c>
      <c r="O600" s="101" t="s">
        <v>392</v>
      </c>
      <c r="P600" s="101">
        <v>0</v>
      </c>
      <c r="Q600" s="101">
        <v>0</v>
      </c>
      <c r="R600" s="101" t="s">
        <v>393</v>
      </c>
      <c r="S600" s="101" t="s">
        <v>876</v>
      </c>
      <c r="T600" s="101" t="s">
        <v>394</v>
      </c>
      <c r="V600" s="245">
        <v>14521</v>
      </c>
      <c r="W600" s="101" t="s">
        <v>395</v>
      </c>
      <c r="X600" s="101" t="s">
        <v>795</v>
      </c>
      <c r="Y600" s="101" t="s">
        <v>396</v>
      </c>
      <c r="Z600" s="101" t="s">
        <v>402</v>
      </c>
      <c r="AA600" s="101" t="s">
        <v>78</v>
      </c>
      <c r="AB600" s="101">
        <v>4101000279</v>
      </c>
      <c r="AC600" s="101" t="s">
        <v>398</v>
      </c>
      <c r="AD600" s="101" t="s">
        <v>403</v>
      </c>
      <c r="AE600" s="101" t="s">
        <v>6</v>
      </c>
      <c r="AF600" s="101" t="s">
        <v>400</v>
      </c>
      <c r="AI600" s="101" t="s">
        <v>760</v>
      </c>
    </row>
    <row r="601" spans="1:35">
      <c r="A601" s="246" t="s">
        <v>113</v>
      </c>
      <c r="B601" s="246" t="s">
        <v>78</v>
      </c>
      <c r="C601" s="246" t="s">
        <v>126</v>
      </c>
      <c r="D601" s="246" t="s">
        <v>339</v>
      </c>
      <c r="E601" s="246" t="s">
        <v>340</v>
      </c>
      <c r="F601" s="246" t="s">
        <v>279</v>
      </c>
      <c r="G601" s="132" t="s">
        <v>1445</v>
      </c>
      <c r="H601" s="132" t="s">
        <v>1446</v>
      </c>
      <c r="I601" s="132">
        <v>77.61</v>
      </c>
      <c r="J601" s="101" t="s">
        <v>889</v>
      </c>
      <c r="K601" s="245" t="s">
        <v>390</v>
      </c>
      <c r="L601" s="245">
        <v>43159</v>
      </c>
      <c r="M601" s="245" t="s">
        <v>391</v>
      </c>
      <c r="N601" s="101">
        <v>0</v>
      </c>
      <c r="O601" s="101" t="s">
        <v>392</v>
      </c>
      <c r="P601" s="101">
        <v>0</v>
      </c>
      <c r="Q601" s="101">
        <v>0</v>
      </c>
      <c r="R601" s="101" t="s">
        <v>393</v>
      </c>
      <c r="S601" s="101" t="s">
        <v>876</v>
      </c>
      <c r="T601" s="101" t="s">
        <v>394</v>
      </c>
      <c r="V601" s="245">
        <v>14521</v>
      </c>
      <c r="W601" s="101" t="s">
        <v>395</v>
      </c>
      <c r="X601" s="101" t="s">
        <v>795</v>
      </c>
      <c r="Y601" s="101" t="s">
        <v>396</v>
      </c>
      <c r="Z601" s="101" t="s">
        <v>402</v>
      </c>
      <c r="AA601" s="101" t="s">
        <v>78</v>
      </c>
      <c r="AB601" s="101">
        <v>4101000279</v>
      </c>
      <c r="AC601" s="101" t="s">
        <v>398</v>
      </c>
      <c r="AD601" s="101" t="s">
        <v>403</v>
      </c>
      <c r="AE601" s="101" t="s">
        <v>6</v>
      </c>
      <c r="AF601" s="101" t="s">
        <v>400</v>
      </c>
      <c r="AI601" s="101" t="s">
        <v>760</v>
      </c>
    </row>
    <row r="602" spans="1:35">
      <c r="A602" s="246" t="s">
        <v>113</v>
      </c>
      <c r="B602" s="246" t="s">
        <v>78</v>
      </c>
      <c r="C602" s="246" t="s">
        <v>126</v>
      </c>
      <c r="D602" s="246" t="s">
        <v>339</v>
      </c>
      <c r="E602" s="246" t="s">
        <v>340</v>
      </c>
      <c r="F602" s="246" t="s">
        <v>279</v>
      </c>
      <c r="G602" s="132" t="s">
        <v>1435</v>
      </c>
      <c r="H602" s="132" t="s">
        <v>1436</v>
      </c>
      <c r="I602" s="132">
        <v>83.139999999999986</v>
      </c>
      <c r="J602" s="101" t="s">
        <v>889</v>
      </c>
      <c r="K602" s="245" t="s">
        <v>390</v>
      </c>
      <c r="L602" s="245">
        <v>43189</v>
      </c>
      <c r="M602" s="245" t="s">
        <v>391</v>
      </c>
      <c r="N602" s="101">
        <v>0</v>
      </c>
      <c r="O602" s="101" t="s">
        <v>392</v>
      </c>
      <c r="P602" s="101">
        <v>0</v>
      </c>
      <c r="Q602" s="101">
        <v>0</v>
      </c>
      <c r="R602" s="101" t="s">
        <v>393</v>
      </c>
      <c r="S602" s="101" t="s">
        <v>876</v>
      </c>
      <c r="T602" s="101" t="s">
        <v>394</v>
      </c>
      <c r="V602" s="245">
        <v>14521</v>
      </c>
      <c r="W602" s="101" t="s">
        <v>395</v>
      </c>
      <c r="X602" s="101" t="s">
        <v>795</v>
      </c>
      <c r="Y602" s="101" t="s">
        <v>396</v>
      </c>
      <c r="Z602" s="101" t="s">
        <v>402</v>
      </c>
      <c r="AA602" s="101" t="s">
        <v>78</v>
      </c>
      <c r="AB602" s="101">
        <v>4101000279</v>
      </c>
      <c r="AC602" s="101" t="s">
        <v>398</v>
      </c>
      <c r="AD602" s="101" t="s">
        <v>403</v>
      </c>
      <c r="AE602" s="101" t="s">
        <v>6</v>
      </c>
      <c r="AF602" s="101" t="s">
        <v>400</v>
      </c>
      <c r="AI602" s="101" t="s">
        <v>760</v>
      </c>
    </row>
    <row r="603" spans="1:35">
      <c r="A603" s="246" t="s">
        <v>113</v>
      </c>
      <c r="B603" s="246" t="s">
        <v>78</v>
      </c>
      <c r="C603" s="246" t="s">
        <v>126</v>
      </c>
      <c r="D603" s="246" t="s">
        <v>339</v>
      </c>
      <c r="E603" s="246" t="s">
        <v>340</v>
      </c>
      <c r="F603" s="246" t="s">
        <v>279</v>
      </c>
      <c r="G603" s="132">
        <v>0</v>
      </c>
      <c r="H603" s="132">
        <v>0</v>
      </c>
      <c r="I603" s="132">
        <v>0</v>
      </c>
      <c r="J603" s="101" t="s">
        <v>889</v>
      </c>
      <c r="K603" s="245" t="s">
        <v>390</v>
      </c>
      <c r="L603" s="245">
        <v>43220</v>
      </c>
      <c r="M603" s="245" t="s">
        <v>391</v>
      </c>
      <c r="N603" s="101">
        <v>0</v>
      </c>
      <c r="O603" s="101" t="s">
        <v>392</v>
      </c>
      <c r="P603" s="101">
        <v>0</v>
      </c>
      <c r="Q603" s="101">
        <v>0</v>
      </c>
      <c r="R603" s="101" t="s">
        <v>393</v>
      </c>
      <c r="S603" s="101" t="s">
        <v>876</v>
      </c>
      <c r="T603" s="101" t="s">
        <v>394</v>
      </c>
      <c r="V603" s="245">
        <v>14521</v>
      </c>
      <c r="W603" s="101" t="s">
        <v>395</v>
      </c>
      <c r="X603" s="101" t="s">
        <v>795</v>
      </c>
      <c r="Y603" s="101" t="s">
        <v>396</v>
      </c>
      <c r="Z603" s="101" t="s">
        <v>402</v>
      </c>
      <c r="AA603" s="101" t="s">
        <v>78</v>
      </c>
      <c r="AB603" s="101">
        <v>4101000279</v>
      </c>
      <c r="AC603" s="101" t="s">
        <v>398</v>
      </c>
      <c r="AD603" s="101" t="s">
        <v>403</v>
      </c>
      <c r="AE603" s="101" t="s">
        <v>6</v>
      </c>
      <c r="AF603" s="101" t="s">
        <v>400</v>
      </c>
      <c r="AI603" s="101" t="s">
        <v>760</v>
      </c>
    </row>
    <row r="604" spans="1:35">
      <c r="A604" s="246" t="s">
        <v>107</v>
      </c>
      <c r="B604" s="246" t="s">
        <v>78</v>
      </c>
      <c r="C604" s="246" t="s">
        <v>126</v>
      </c>
      <c r="D604" s="246" t="s">
        <v>772</v>
      </c>
      <c r="E604" s="246" t="s">
        <v>773</v>
      </c>
      <c r="F604" s="246" t="s">
        <v>334</v>
      </c>
      <c r="G604" s="132" t="s">
        <v>865</v>
      </c>
      <c r="H604" s="132" t="s">
        <v>1447</v>
      </c>
      <c r="I604" s="132">
        <v>29.77</v>
      </c>
      <c r="J604" s="101" t="s">
        <v>889</v>
      </c>
      <c r="K604" s="245" t="s">
        <v>390</v>
      </c>
      <c r="L604" s="245">
        <v>42521</v>
      </c>
      <c r="M604" s="245" t="s">
        <v>391</v>
      </c>
      <c r="N604" s="101">
        <v>0</v>
      </c>
      <c r="O604" s="101" t="s">
        <v>392</v>
      </c>
      <c r="P604" s="101">
        <v>0</v>
      </c>
      <c r="Q604" s="101">
        <v>0</v>
      </c>
      <c r="R604" s="101" t="s">
        <v>393</v>
      </c>
      <c r="S604" s="101" t="s">
        <v>861</v>
      </c>
      <c r="T604" s="101" t="s">
        <v>394</v>
      </c>
      <c r="V604" s="245">
        <v>14427</v>
      </c>
      <c r="W604" s="101" t="s">
        <v>395</v>
      </c>
      <c r="X604" s="101" t="s">
        <v>795</v>
      </c>
      <c r="Y604" s="101" t="s">
        <v>396</v>
      </c>
      <c r="Z604" s="101" t="s">
        <v>402</v>
      </c>
      <c r="AA604" s="101" t="s">
        <v>78</v>
      </c>
      <c r="AB604" s="101">
        <v>4101000279</v>
      </c>
      <c r="AC604" s="101" t="s">
        <v>398</v>
      </c>
      <c r="AD604" s="101" t="s">
        <v>403</v>
      </c>
      <c r="AE604" s="101" t="s">
        <v>6</v>
      </c>
      <c r="AF604" s="101" t="s">
        <v>400</v>
      </c>
      <c r="AI604" s="101" t="s">
        <v>760</v>
      </c>
    </row>
    <row r="605" spans="1:35">
      <c r="A605" s="246" t="s">
        <v>109</v>
      </c>
      <c r="B605" s="246" t="s">
        <v>78</v>
      </c>
      <c r="C605" s="246" t="s">
        <v>126</v>
      </c>
      <c r="D605" s="246" t="s">
        <v>337</v>
      </c>
      <c r="E605" s="246" t="s">
        <v>336</v>
      </c>
      <c r="F605" s="246" t="s">
        <v>275</v>
      </c>
      <c r="G605" s="132" t="s">
        <v>1448</v>
      </c>
      <c r="H605" s="132" t="s">
        <v>1449</v>
      </c>
      <c r="I605" s="132">
        <v>24.93</v>
      </c>
      <c r="J605" s="101" t="s">
        <v>889</v>
      </c>
      <c r="K605" s="245" t="s">
        <v>390</v>
      </c>
      <c r="L605" s="245">
        <v>42551</v>
      </c>
      <c r="M605" s="245" t="s">
        <v>391</v>
      </c>
      <c r="N605" s="101">
        <v>0</v>
      </c>
      <c r="O605" s="101" t="s">
        <v>392</v>
      </c>
      <c r="P605" s="101">
        <v>0</v>
      </c>
      <c r="Q605" s="101">
        <v>0</v>
      </c>
      <c r="R605" s="101" t="s">
        <v>393</v>
      </c>
      <c r="S605" s="101" t="s">
        <v>861</v>
      </c>
      <c r="T605" s="101" t="s">
        <v>394</v>
      </c>
      <c r="V605" s="245">
        <v>14427</v>
      </c>
      <c r="W605" s="101" t="s">
        <v>395</v>
      </c>
      <c r="X605" s="101" t="s">
        <v>795</v>
      </c>
      <c r="Y605" s="101" t="s">
        <v>396</v>
      </c>
      <c r="Z605" s="101" t="s">
        <v>402</v>
      </c>
      <c r="AA605" s="101" t="s">
        <v>78</v>
      </c>
      <c r="AB605" s="101">
        <v>4101000279</v>
      </c>
      <c r="AC605" s="101" t="s">
        <v>398</v>
      </c>
      <c r="AD605" s="101" t="s">
        <v>403</v>
      </c>
      <c r="AE605" s="101" t="s">
        <v>6</v>
      </c>
      <c r="AF605" s="101" t="s">
        <v>400</v>
      </c>
      <c r="AI605" s="101" t="s">
        <v>760</v>
      </c>
    </row>
    <row r="606" spans="1:35">
      <c r="A606" s="246" t="s">
        <v>109</v>
      </c>
      <c r="B606" s="246" t="s">
        <v>78</v>
      </c>
      <c r="C606" s="246" t="s">
        <v>126</v>
      </c>
      <c r="D606" s="246" t="s">
        <v>337</v>
      </c>
      <c r="E606" s="246" t="s">
        <v>336</v>
      </c>
      <c r="F606" s="246" t="s">
        <v>275</v>
      </c>
      <c r="G606" s="132" t="s">
        <v>1450</v>
      </c>
      <c r="H606" s="132" t="s">
        <v>1451</v>
      </c>
      <c r="I606" s="132">
        <v>12.069999999999999</v>
      </c>
      <c r="J606" s="101" t="s">
        <v>889</v>
      </c>
      <c r="K606" s="245" t="s">
        <v>390</v>
      </c>
      <c r="L606" s="245">
        <v>42580</v>
      </c>
      <c r="M606" s="245" t="s">
        <v>391</v>
      </c>
      <c r="N606" s="101">
        <v>0</v>
      </c>
      <c r="O606" s="101" t="s">
        <v>392</v>
      </c>
      <c r="P606" s="101">
        <v>0</v>
      </c>
      <c r="Q606" s="101">
        <v>0</v>
      </c>
      <c r="R606" s="101" t="s">
        <v>393</v>
      </c>
      <c r="S606" s="101" t="s">
        <v>861</v>
      </c>
      <c r="T606" s="101" t="s">
        <v>394</v>
      </c>
      <c r="V606" s="245">
        <v>14427</v>
      </c>
      <c r="W606" s="101" t="s">
        <v>395</v>
      </c>
      <c r="X606" s="101" t="s">
        <v>795</v>
      </c>
      <c r="Y606" s="101" t="s">
        <v>396</v>
      </c>
      <c r="Z606" s="101" t="s">
        <v>402</v>
      </c>
      <c r="AA606" s="101" t="s">
        <v>78</v>
      </c>
      <c r="AB606" s="101">
        <v>4101000279</v>
      </c>
      <c r="AC606" s="101" t="s">
        <v>398</v>
      </c>
      <c r="AD606" s="101" t="s">
        <v>403</v>
      </c>
      <c r="AE606" s="101" t="s">
        <v>6</v>
      </c>
      <c r="AF606" s="101" t="s">
        <v>400</v>
      </c>
      <c r="AI606" s="101" t="s">
        <v>760</v>
      </c>
    </row>
    <row r="607" spans="1:35">
      <c r="A607" s="246" t="s">
        <v>110</v>
      </c>
      <c r="B607" s="246" t="s">
        <v>78</v>
      </c>
      <c r="C607" s="246" t="s">
        <v>126</v>
      </c>
      <c r="D607" s="246" t="s">
        <v>770</v>
      </c>
      <c r="E607" s="246" t="s">
        <v>771</v>
      </c>
      <c r="F607" s="246" t="s">
        <v>276</v>
      </c>
      <c r="G607" s="132" t="s">
        <v>1415</v>
      </c>
      <c r="H607" s="132" t="s">
        <v>1416</v>
      </c>
      <c r="I607" s="132">
        <v>2.3600000000000003</v>
      </c>
      <c r="J607" s="101" t="s">
        <v>889</v>
      </c>
      <c r="K607" s="245" t="s">
        <v>390</v>
      </c>
      <c r="L607" s="245">
        <v>42613</v>
      </c>
      <c r="M607" s="245" t="s">
        <v>391</v>
      </c>
      <c r="N607" s="101">
        <v>0</v>
      </c>
      <c r="O607" s="101" t="s">
        <v>392</v>
      </c>
      <c r="P607" s="101">
        <v>0</v>
      </c>
      <c r="Q607" s="101">
        <v>0</v>
      </c>
      <c r="R607" s="101" t="s">
        <v>393</v>
      </c>
      <c r="S607" s="101" t="s">
        <v>861</v>
      </c>
      <c r="T607" s="101" t="s">
        <v>394</v>
      </c>
      <c r="V607" s="245">
        <v>14427</v>
      </c>
      <c r="W607" s="101" t="s">
        <v>395</v>
      </c>
      <c r="X607" s="101" t="s">
        <v>795</v>
      </c>
      <c r="Y607" s="101" t="s">
        <v>396</v>
      </c>
      <c r="Z607" s="101" t="s">
        <v>402</v>
      </c>
      <c r="AA607" s="101" t="s">
        <v>78</v>
      </c>
      <c r="AB607" s="101">
        <v>4101000279</v>
      </c>
      <c r="AC607" s="101" t="s">
        <v>398</v>
      </c>
      <c r="AD607" s="101" t="s">
        <v>403</v>
      </c>
      <c r="AE607" s="101" t="s">
        <v>6</v>
      </c>
      <c r="AF607" s="101" t="s">
        <v>400</v>
      </c>
      <c r="AI607" s="101" t="s">
        <v>760</v>
      </c>
    </row>
    <row r="608" spans="1:35">
      <c r="A608" s="246" t="s">
        <v>110</v>
      </c>
      <c r="B608" s="246" t="s">
        <v>78</v>
      </c>
      <c r="C608" s="246" t="s">
        <v>126</v>
      </c>
      <c r="D608" s="246" t="s">
        <v>770</v>
      </c>
      <c r="E608" s="246" t="s">
        <v>771</v>
      </c>
      <c r="F608" s="246" t="s">
        <v>276</v>
      </c>
      <c r="G608" s="132" t="s">
        <v>1452</v>
      </c>
      <c r="H608" s="132" t="s">
        <v>1453</v>
      </c>
      <c r="I608" s="132">
        <v>-4.79</v>
      </c>
      <c r="J608" s="101" t="s">
        <v>889</v>
      </c>
      <c r="K608" s="245" t="s">
        <v>390</v>
      </c>
      <c r="L608" s="245">
        <v>42643</v>
      </c>
      <c r="M608" s="245" t="s">
        <v>391</v>
      </c>
      <c r="N608" s="101">
        <v>0</v>
      </c>
      <c r="O608" s="101" t="s">
        <v>392</v>
      </c>
      <c r="P608" s="101">
        <v>0</v>
      </c>
      <c r="Q608" s="101">
        <v>0</v>
      </c>
      <c r="R608" s="101" t="s">
        <v>393</v>
      </c>
      <c r="S608" s="101" t="s">
        <v>861</v>
      </c>
      <c r="T608" s="101" t="s">
        <v>394</v>
      </c>
      <c r="V608" s="245">
        <v>14427</v>
      </c>
      <c r="W608" s="101" t="s">
        <v>395</v>
      </c>
      <c r="X608" s="101" t="s">
        <v>795</v>
      </c>
      <c r="Y608" s="101" t="s">
        <v>396</v>
      </c>
      <c r="Z608" s="101" t="s">
        <v>402</v>
      </c>
      <c r="AA608" s="101" t="s">
        <v>78</v>
      </c>
      <c r="AB608" s="101">
        <v>4101000279</v>
      </c>
      <c r="AC608" s="101" t="s">
        <v>398</v>
      </c>
      <c r="AD608" s="101" t="s">
        <v>403</v>
      </c>
      <c r="AE608" s="101" t="s">
        <v>6</v>
      </c>
      <c r="AF608" s="101" t="s">
        <v>400</v>
      </c>
      <c r="AI608" s="101" t="s">
        <v>760</v>
      </c>
    </row>
    <row r="609" spans="1:35">
      <c r="A609" s="246" t="s">
        <v>102</v>
      </c>
      <c r="B609" s="246" t="s">
        <v>66</v>
      </c>
      <c r="C609" s="246" t="s">
        <v>126</v>
      </c>
      <c r="D609" s="246" t="s">
        <v>1776</v>
      </c>
      <c r="E609" s="246"/>
      <c r="F609" s="246" t="s">
        <v>1772</v>
      </c>
      <c r="G609" s="132">
        <v>21000</v>
      </c>
      <c r="H609" s="132" t="s">
        <v>1454</v>
      </c>
      <c r="I609" s="132">
        <v>21000</v>
      </c>
      <c r="J609" s="101" t="s">
        <v>889</v>
      </c>
      <c r="K609" s="245" t="s">
        <v>390</v>
      </c>
      <c r="L609" s="245">
        <v>42503</v>
      </c>
      <c r="M609" s="245" t="s">
        <v>391</v>
      </c>
      <c r="N609" s="101">
        <v>0</v>
      </c>
      <c r="O609" s="101" t="s">
        <v>392</v>
      </c>
      <c r="P609" s="101">
        <v>0</v>
      </c>
      <c r="Q609" s="101">
        <v>0</v>
      </c>
      <c r="R609" s="101" t="s">
        <v>393</v>
      </c>
      <c r="S609" s="101" t="s">
        <v>565</v>
      </c>
      <c r="T609" s="101" t="s">
        <v>394</v>
      </c>
      <c r="V609" s="245">
        <v>42503</v>
      </c>
      <c r="W609" s="101" t="s">
        <v>424</v>
      </c>
      <c r="X609" s="101" t="s">
        <v>77</v>
      </c>
      <c r="Y609" s="101" t="s">
        <v>396</v>
      </c>
      <c r="Z609" s="101" t="s">
        <v>566</v>
      </c>
      <c r="AA609" s="101" t="s">
        <v>397</v>
      </c>
      <c r="AB609" s="101">
        <v>5101000018</v>
      </c>
      <c r="AC609" s="101" t="s">
        <v>419</v>
      </c>
      <c r="AD609" s="101" t="s">
        <v>95</v>
      </c>
      <c r="AE609" s="101" t="s">
        <v>6</v>
      </c>
      <c r="AF609" s="101" t="s">
        <v>400</v>
      </c>
      <c r="AG609" s="101" t="s">
        <v>427</v>
      </c>
      <c r="AI609" s="101" t="s">
        <v>760</v>
      </c>
    </row>
    <row r="610" spans="1:35">
      <c r="A610" s="246" t="s">
        <v>102</v>
      </c>
      <c r="B610" s="246" t="s">
        <v>66</v>
      </c>
      <c r="C610" s="246" t="s">
        <v>67</v>
      </c>
      <c r="D610" s="246" t="s">
        <v>1777</v>
      </c>
      <c r="E610" s="246"/>
      <c r="F610" s="246" t="s">
        <v>1772</v>
      </c>
      <c r="G610" s="132">
        <v>9000000</v>
      </c>
      <c r="H610" s="132" t="s">
        <v>1455</v>
      </c>
      <c r="I610" s="132">
        <v>9000000</v>
      </c>
      <c r="J610" s="101" t="s">
        <v>889</v>
      </c>
      <c r="K610" s="245" t="s">
        <v>390</v>
      </c>
      <c r="L610" s="245">
        <v>42503</v>
      </c>
      <c r="M610" s="245" t="s">
        <v>421</v>
      </c>
      <c r="N610" s="101">
        <v>0</v>
      </c>
      <c r="O610" s="101" t="s">
        <v>392</v>
      </c>
      <c r="P610" s="101">
        <v>0</v>
      </c>
      <c r="Q610" s="101">
        <v>0</v>
      </c>
      <c r="R610" s="101" t="s">
        <v>393</v>
      </c>
      <c r="S610" s="101" t="s">
        <v>565</v>
      </c>
      <c r="T610" s="101" t="s">
        <v>394</v>
      </c>
      <c r="V610" s="245">
        <v>42503</v>
      </c>
      <c r="W610" s="101" t="s">
        <v>424</v>
      </c>
      <c r="X610" s="101" t="s">
        <v>77</v>
      </c>
      <c r="Y610" s="101" t="s">
        <v>396</v>
      </c>
      <c r="Z610" s="101" t="s">
        <v>566</v>
      </c>
      <c r="AA610" s="101" t="s">
        <v>397</v>
      </c>
      <c r="AB610" s="101">
        <v>5101000018</v>
      </c>
      <c r="AC610" s="101" t="s">
        <v>419</v>
      </c>
      <c r="AD610" s="101" t="s">
        <v>95</v>
      </c>
      <c r="AE610" s="101" t="s">
        <v>6</v>
      </c>
      <c r="AF610" s="101" t="s">
        <v>400</v>
      </c>
      <c r="AG610" s="101" t="s">
        <v>427</v>
      </c>
      <c r="AI610" s="101" t="s">
        <v>760</v>
      </c>
    </row>
    <row r="611" spans="1:35">
      <c r="A611" s="246" t="s">
        <v>109</v>
      </c>
      <c r="B611" s="246" t="s">
        <v>66</v>
      </c>
      <c r="C611" s="246" t="s">
        <v>126</v>
      </c>
      <c r="D611" s="246" t="s">
        <v>272</v>
      </c>
      <c r="E611" s="246"/>
      <c r="F611" s="246"/>
      <c r="G611" s="132">
        <v>715000</v>
      </c>
      <c r="H611" s="132" t="s">
        <v>1456</v>
      </c>
      <c r="I611" s="132">
        <v>714999.99999999988</v>
      </c>
      <c r="J611" s="101" t="s">
        <v>889</v>
      </c>
      <c r="K611" s="245" t="s">
        <v>390</v>
      </c>
      <c r="L611" s="245">
        <v>42569</v>
      </c>
      <c r="M611" s="245" t="s">
        <v>391</v>
      </c>
      <c r="N611" s="101">
        <v>0</v>
      </c>
      <c r="O611" s="101" t="s">
        <v>392</v>
      </c>
      <c r="P611" s="101">
        <v>0</v>
      </c>
      <c r="Q611" s="101">
        <v>0</v>
      </c>
      <c r="R611" s="101" t="s">
        <v>438</v>
      </c>
      <c r="S611" s="101">
        <v>148897</v>
      </c>
      <c r="T611" s="101" t="s">
        <v>394</v>
      </c>
      <c r="V611" s="245">
        <v>42569</v>
      </c>
      <c r="W611" s="101" t="s">
        <v>441</v>
      </c>
      <c r="X611" s="101" t="s">
        <v>76</v>
      </c>
      <c r="Y611" s="101" t="s">
        <v>392</v>
      </c>
      <c r="Z611" s="101" t="s">
        <v>430</v>
      </c>
      <c r="AA611" s="101" t="s">
        <v>397</v>
      </c>
      <c r="AB611" s="101">
        <v>5101000018</v>
      </c>
      <c r="AC611" s="101" t="s">
        <v>431</v>
      </c>
      <c r="AD611" s="101" t="s">
        <v>431</v>
      </c>
      <c r="AE611" s="101" t="s">
        <v>75</v>
      </c>
      <c r="AF611" s="101" t="s">
        <v>400</v>
      </c>
      <c r="AG611" s="101" t="s">
        <v>443</v>
      </c>
      <c r="AI611" s="101" t="s">
        <v>760</v>
      </c>
    </row>
    <row r="612" spans="1:35">
      <c r="A612" s="246" t="s">
        <v>109</v>
      </c>
      <c r="B612" s="246" t="s">
        <v>66</v>
      </c>
      <c r="C612" s="246" t="s">
        <v>116</v>
      </c>
      <c r="D612" s="246" t="s">
        <v>338</v>
      </c>
      <c r="E612" s="246"/>
      <c r="F612" s="246"/>
      <c r="G612" s="132">
        <v>26000000</v>
      </c>
      <c r="H612" s="132" t="s">
        <v>1457</v>
      </c>
      <c r="I612" s="132">
        <v>26000000</v>
      </c>
      <c r="J612" s="101" t="s">
        <v>889</v>
      </c>
      <c r="K612" s="245" t="s">
        <v>390</v>
      </c>
      <c r="L612" s="245">
        <v>42569</v>
      </c>
      <c r="M612" s="245" t="s">
        <v>421</v>
      </c>
      <c r="N612" s="101">
        <v>0</v>
      </c>
      <c r="O612" s="101" t="s">
        <v>392</v>
      </c>
      <c r="P612" s="101">
        <v>0</v>
      </c>
      <c r="Q612" s="101">
        <v>0</v>
      </c>
      <c r="R612" s="101" t="s">
        <v>438</v>
      </c>
      <c r="S612" s="101">
        <v>148897</v>
      </c>
      <c r="T612" s="101" t="s">
        <v>394</v>
      </c>
      <c r="V612" s="245">
        <v>42569</v>
      </c>
      <c r="W612" s="101" t="s">
        <v>441</v>
      </c>
      <c r="X612" s="101" t="s">
        <v>76</v>
      </c>
      <c r="Y612" s="101" t="s">
        <v>392</v>
      </c>
      <c r="Z612" s="101" t="s">
        <v>430</v>
      </c>
      <c r="AA612" s="101" t="s">
        <v>397</v>
      </c>
      <c r="AB612" s="101">
        <v>5101000018</v>
      </c>
      <c r="AC612" s="101" t="s">
        <v>431</v>
      </c>
      <c r="AD612" s="101" t="s">
        <v>431</v>
      </c>
      <c r="AE612" s="101" t="s">
        <v>75</v>
      </c>
      <c r="AF612" s="101" t="s">
        <v>400</v>
      </c>
      <c r="AG612" s="101" t="s">
        <v>443</v>
      </c>
      <c r="AI612" s="101" t="s">
        <v>760</v>
      </c>
    </row>
    <row r="613" spans="1:35">
      <c r="A613" s="246" t="s">
        <v>101</v>
      </c>
      <c r="B613" s="246" t="s">
        <v>78</v>
      </c>
      <c r="C613" s="246" t="s">
        <v>761</v>
      </c>
      <c r="D613" s="246" t="s">
        <v>1770</v>
      </c>
      <c r="E613" s="246" t="s">
        <v>765</v>
      </c>
      <c r="F613" s="246"/>
      <c r="G613" s="132">
        <v>100000000</v>
      </c>
      <c r="H613" s="132" t="s">
        <v>1458</v>
      </c>
      <c r="I613" s="132">
        <v>100000000</v>
      </c>
      <c r="J613" s="101" t="s">
        <v>889</v>
      </c>
      <c r="K613" s="245" t="s">
        <v>390</v>
      </c>
      <c r="L613" s="245">
        <v>42502</v>
      </c>
      <c r="M613" s="245" t="s">
        <v>421</v>
      </c>
      <c r="N613" s="101">
        <v>0</v>
      </c>
      <c r="O613" s="101" t="s">
        <v>392</v>
      </c>
      <c r="P613" s="101">
        <v>0</v>
      </c>
      <c r="Q613" s="101">
        <v>0</v>
      </c>
      <c r="R613" s="101" t="s">
        <v>393</v>
      </c>
      <c r="S613" s="101" t="s">
        <v>1459</v>
      </c>
      <c r="T613" s="101" t="s">
        <v>394</v>
      </c>
      <c r="V613" s="245">
        <v>42594</v>
      </c>
      <c r="W613" s="101" t="s">
        <v>417</v>
      </c>
      <c r="X613" s="101" t="s">
        <v>709</v>
      </c>
      <c r="Y613" s="101" t="s">
        <v>471</v>
      </c>
      <c r="Z613" s="101" t="s">
        <v>418</v>
      </c>
      <c r="AA613" s="101" t="s">
        <v>78</v>
      </c>
      <c r="AB613" s="101">
        <v>4101000279</v>
      </c>
      <c r="AC613" s="101" t="s">
        <v>419</v>
      </c>
      <c r="AD613" s="101" t="s">
        <v>420</v>
      </c>
      <c r="AE613" s="101" t="s">
        <v>75</v>
      </c>
      <c r="AF613" s="101" t="s">
        <v>400</v>
      </c>
      <c r="AI613" s="101" t="s">
        <v>760</v>
      </c>
    </row>
    <row r="614" spans="1:35">
      <c r="A614" s="246" t="s">
        <v>110</v>
      </c>
      <c r="B614" s="246" t="s">
        <v>78</v>
      </c>
      <c r="C614" s="246" t="s">
        <v>126</v>
      </c>
      <c r="D614" s="246" t="s">
        <v>770</v>
      </c>
      <c r="E614" s="246" t="s">
        <v>771</v>
      </c>
      <c r="F614" s="246"/>
      <c r="G614" s="132">
        <v>-220340</v>
      </c>
      <c r="H614" s="132" t="s">
        <v>1460</v>
      </c>
      <c r="I614" s="132">
        <v>-220340</v>
      </c>
      <c r="J614" s="101" t="s">
        <v>889</v>
      </c>
      <c r="K614" s="245" t="s">
        <v>390</v>
      </c>
      <c r="L614" s="245">
        <v>42594</v>
      </c>
      <c r="M614" s="245" t="s">
        <v>391</v>
      </c>
      <c r="N614" s="101">
        <v>0</v>
      </c>
      <c r="O614" s="101" t="s">
        <v>392</v>
      </c>
      <c r="P614" s="101">
        <v>0</v>
      </c>
      <c r="Q614" s="101">
        <v>0</v>
      </c>
      <c r="R614" s="101" t="s">
        <v>393</v>
      </c>
      <c r="S614" s="101" t="s">
        <v>1459</v>
      </c>
      <c r="T614" s="101" t="s">
        <v>394</v>
      </c>
      <c r="V614" s="245">
        <v>42594</v>
      </c>
      <c r="W614" s="101" t="s">
        <v>417</v>
      </c>
      <c r="X614" s="101" t="s">
        <v>709</v>
      </c>
      <c r="Y614" s="101" t="s">
        <v>471</v>
      </c>
      <c r="Z614" s="101" t="s">
        <v>418</v>
      </c>
      <c r="AA614" s="101" t="s">
        <v>78</v>
      </c>
      <c r="AB614" s="101">
        <v>4101000279</v>
      </c>
      <c r="AC614" s="101" t="s">
        <v>419</v>
      </c>
      <c r="AD614" s="101" t="s">
        <v>420</v>
      </c>
      <c r="AE614" s="101" t="s">
        <v>75</v>
      </c>
      <c r="AF614" s="101" t="s">
        <v>400</v>
      </c>
      <c r="AI614" s="101" t="s">
        <v>760</v>
      </c>
    </row>
    <row r="615" spans="1:35">
      <c r="A615" s="246" t="s">
        <v>110</v>
      </c>
      <c r="B615" s="246" t="s">
        <v>78</v>
      </c>
      <c r="C615" s="246" t="s">
        <v>761</v>
      </c>
      <c r="D615" s="246" t="s">
        <v>1778</v>
      </c>
      <c r="E615" s="246" t="s">
        <v>771</v>
      </c>
      <c r="F615" s="246"/>
      <c r="G615" s="132">
        <v>-100000000</v>
      </c>
      <c r="H615" s="132" t="s">
        <v>964</v>
      </c>
      <c r="I615" s="132">
        <v>-100000000</v>
      </c>
      <c r="J615" s="101" t="s">
        <v>889</v>
      </c>
      <c r="K615" s="245" t="s">
        <v>390</v>
      </c>
      <c r="L615" s="245">
        <v>42594</v>
      </c>
      <c r="M615" s="245" t="s">
        <v>421</v>
      </c>
      <c r="N615" s="101">
        <v>0</v>
      </c>
      <c r="O615" s="101" t="s">
        <v>392</v>
      </c>
      <c r="P615" s="101">
        <v>0</v>
      </c>
      <c r="Q615" s="101">
        <v>0</v>
      </c>
      <c r="R615" s="101" t="s">
        <v>393</v>
      </c>
      <c r="S615" s="101" t="s">
        <v>1459</v>
      </c>
      <c r="T615" s="101" t="s">
        <v>394</v>
      </c>
      <c r="V615" s="245">
        <v>42594</v>
      </c>
      <c r="W615" s="101" t="s">
        <v>417</v>
      </c>
      <c r="X615" s="101" t="s">
        <v>709</v>
      </c>
      <c r="Y615" s="101" t="s">
        <v>471</v>
      </c>
      <c r="Z615" s="101" t="s">
        <v>418</v>
      </c>
      <c r="AA615" s="101" t="s">
        <v>78</v>
      </c>
      <c r="AB615" s="101">
        <v>4101000279</v>
      </c>
      <c r="AC615" s="101" t="s">
        <v>419</v>
      </c>
      <c r="AD615" s="101" t="s">
        <v>420</v>
      </c>
      <c r="AE615" s="101" t="s">
        <v>75</v>
      </c>
      <c r="AF615" s="101" t="s">
        <v>400</v>
      </c>
      <c r="AI615" s="101" t="s">
        <v>760</v>
      </c>
    </row>
    <row r="616" spans="1:35">
      <c r="A616" s="246" t="s">
        <v>110</v>
      </c>
      <c r="B616" s="246" t="s">
        <v>78</v>
      </c>
      <c r="C616" s="246" t="s">
        <v>126</v>
      </c>
      <c r="D616" s="246" t="s">
        <v>770</v>
      </c>
      <c r="E616" s="246" t="s">
        <v>771</v>
      </c>
      <c r="F616" s="246"/>
      <c r="G616" s="132">
        <v>-291225</v>
      </c>
      <c r="H616" s="132" t="s">
        <v>1461</v>
      </c>
      <c r="I616" s="132">
        <v>-291225</v>
      </c>
      <c r="J616" s="101" t="s">
        <v>889</v>
      </c>
      <c r="K616" s="245" t="s">
        <v>390</v>
      </c>
      <c r="L616" s="245">
        <v>42597</v>
      </c>
      <c r="M616" s="245" t="s">
        <v>391</v>
      </c>
      <c r="N616" s="101">
        <v>0</v>
      </c>
      <c r="O616" s="101" t="s">
        <v>392</v>
      </c>
      <c r="P616" s="101">
        <v>0</v>
      </c>
      <c r="Q616" s="101">
        <v>0</v>
      </c>
      <c r="R616" s="101" t="s">
        <v>450</v>
      </c>
      <c r="S616" s="101">
        <v>194053</v>
      </c>
      <c r="T616" s="101" t="s">
        <v>394</v>
      </c>
      <c r="V616" s="245">
        <v>46980</v>
      </c>
      <c r="W616" s="101" t="s">
        <v>411</v>
      </c>
      <c r="X616" s="101" t="s">
        <v>77</v>
      </c>
      <c r="Y616" s="101" t="s">
        <v>392</v>
      </c>
      <c r="Z616" s="101" t="s">
        <v>430</v>
      </c>
      <c r="AA616" s="101" t="s">
        <v>78</v>
      </c>
      <c r="AB616" s="101">
        <v>4101000279</v>
      </c>
      <c r="AC616" s="101" t="s">
        <v>431</v>
      </c>
      <c r="AD616" s="101" t="s">
        <v>431</v>
      </c>
      <c r="AE616" s="101" t="s">
        <v>75</v>
      </c>
      <c r="AF616" s="101" t="s">
        <v>400</v>
      </c>
      <c r="AG616" s="101" t="s">
        <v>452</v>
      </c>
      <c r="AI616" s="101" t="s">
        <v>760</v>
      </c>
    </row>
    <row r="617" spans="1:35">
      <c r="A617" s="246" t="s">
        <v>111</v>
      </c>
      <c r="B617" s="246" t="s">
        <v>78</v>
      </c>
      <c r="C617" s="246" t="s">
        <v>126</v>
      </c>
      <c r="D617" s="246" t="s">
        <v>768</v>
      </c>
      <c r="E617" s="246" t="s">
        <v>769</v>
      </c>
      <c r="F617" s="246"/>
      <c r="G617" s="132">
        <v>-291225</v>
      </c>
      <c r="H617" s="132" t="s">
        <v>1461</v>
      </c>
      <c r="I617" s="132">
        <v>-291225</v>
      </c>
      <c r="J617" s="101" t="s">
        <v>889</v>
      </c>
      <c r="K617" s="245" t="s">
        <v>390</v>
      </c>
      <c r="L617" s="245">
        <v>42781</v>
      </c>
      <c r="M617" s="245" t="s">
        <v>391</v>
      </c>
      <c r="N617" s="101">
        <v>0</v>
      </c>
      <c r="O617" s="101" t="s">
        <v>392</v>
      </c>
      <c r="P617" s="101">
        <v>0</v>
      </c>
      <c r="Q617" s="101">
        <v>0</v>
      </c>
      <c r="R617" s="101" t="s">
        <v>450</v>
      </c>
      <c r="S617" s="101">
        <v>194053</v>
      </c>
      <c r="T617" s="101" t="s">
        <v>394</v>
      </c>
      <c r="V617" s="245">
        <v>46980</v>
      </c>
      <c r="W617" s="101" t="s">
        <v>411</v>
      </c>
      <c r="X617" s="101" t="s">
        <v>77</v>
      </c>
      <c r="Y617" s="101" t="s">
        <v>392</v>
      </c>
      <c r="Z617" s="101" t="s">
        <v>430</v>
      </c>
      <c r="AA617" s="101" t="s">
        <v>78</v>
      </c>
      <c r="AB617" s="101">
        <v>4101000279</v>
      </c>
      <c r="AC617" s="101" t="s">
        <v>431</v>
      </c>
      <c r="AD617" s="101" t="s">
        <v>431</v>
      </c>
      <c r="AE617" s="101" t="s">
        <v>75</v>
      </c>
      <c r="AF617" s="101" t="s">
        <v>400</v>
      </c>
      <c r="AG617" s="101" t="s">
        <v>452</v>
      </c>
      <c r="AI617" s="101" t="s">
        <v>760</v>
      </c>
    </row>
    <row r="618" spans="1:35">
      <c r="A618" s="246" t="s">
        <v>112</v>
      </c>
      <c r="B618" s="246" t="s">
        <v>78</v>
      </c>
      <c r="C618" s="246" t="s">
        <v>126</v>
      </c>
      <c r="D618" s="246" t="s">
        <v>341</v>
      </c>
      <c r="E618" s="246" t="s">
        <v>342</v>
      </c>
      <c r="F618" s="246"/>
      <c r="G618" s="132">
        <v>-291225</v>
      </c>
      <c r="H618" s="132" t="s">
        <v>1461</v>
      </c>
      <c r="I618" s="132">
        <v>-291225</v>
      </c>
      <c r="J618" s="101" t="s">
        <v>889</v>
      </c>
      <c r="K618" s="245" t="s">
        <v>390</v>
      </c>
      <c r="L618" s="245">
        <v>42962</v>
      </c>
      <c r="M618" s="245" t="s">
        <v>391</v>
      </c>
      <c r="N618" s="101">
        <v>0</v>
      </c>
      <c r="O618" s="101" t="s">
        <v>392</v>
      </c>
      <c r="P618" s="101">
        <v>0</v>
      </c>
      <c r="Q618" s="101">
        <v>0</v>
      </c>
      <c r="R618" s="101" t="s">
        <v>450</v>
      </c>
      <c r="S618" s="101">
        <v>194053</v>
      </c>
      <c r="T618" s="101" t="s">
        <v>394</v>
      </c>
      <c r="V618" s="245">
        <v>46980</v>
      </c>
      <c r="W618" s="101" t="s">
        <v>411</v>
      </c>
      <c r="X618" s="101" t="s">
        <v>77</v>
      </c>
      <c r="Y618" s="101" t="s">
        <v>392</v>
      </c>
      <c r="Z618" s="101" t="s">
        <v>430</v>
      </c>
      <c r="AA618" s="101" t="s">
        <v>78</v>
      </c>
      <c r="AB618" s="101">
        <v>4101000279</v>
      </c>
      <c r="AC618" s="101" t="s">
        <v>431</v>
      </c>
      <c r="AD618" s="101" t="s">
        <v>431</v>
      </c>
      <c r="AE618" s="101" t="s">
        <v>75</v>
      </c>
      <c r="AF618" s="101" t="s">
        <v>400</v>
      </c>
      <c r="AG618" s="101" t="s">
        <v>452</v>
      </c>
      <c r="AI618" s="101" t="s">
        <v>760</v>
      </c>
    </row>
    <row r="619" spans="1:35">
      <c r="A619" s="246" t="s">
        <v>113</v>
      </c>
      <c r="B619" s="246" t="s">
        <v>78</v>
      </c>
      <c r="C619" s="246" t="s">
        <v>126</v>
      </c>
      <c r="D619" s="246" t="s">
        <v>339</v>
      </c>
      <c r="E619" s="246" t="s">
        <v>340</v>
      </c>
      <c r="F619" s="246"/>
      <c r="G619" s="132">
        <v>-291225</v>
      </c>
      <c r="H619" s="132" t="s">
        <v>1461</v>
      </c>
      <c r="I619" s="132">
        <v>-291225</v>
      </c>
      <c r="J619" s="101" t="s">
        <v>889</v>
      </c>
      <c r="K619" s="245" t="s">
        <v>390</v>
      </c>
      <c r="L619" s="245">
        <v>43146</v>
      </c>
      <c r="M619" s="245" t="s">
        <v>391</v>
      </c>
      <c r="N619" s="101">
        <v>0</v>
      </c>
      <c r="O619" s="101" t="s">
        <v>392</v>
      </c>
      <c r="P619" s="101">
        <v>0</v>
      </c>
      <c r="Q619" s="101">
        <v>0</v>
      </c>
      <c r="R619" s="101" t="s">
        <v>450</v>
      </c>
      <c r="S619" s="101">
        <v>194053</v>
      </c>
      <c r="T619" s="101" t="s">
        <v>394</v>
      </c>
      <c r="V619" s="245">
        <v>46980</v>
      </c>
      <c r="W619" s="101" t="s">
        <v>411</v>
      </c>
      <c r="X619" s="101" t="s">
        <v>77</v>
      </c>
      <c r="Y619" s="101" t="s">
        <v>392</v>
      </c>
      <c r="Z619" s="101" t="s">
        <v>430</v>
      </c>
      <c r="AA619" s="101" t="s">
        <v>78</v>
      </c>
      <c r="AB619" s="101">
        <v>4101000279</v>
      </c>
      <c r="AC619" s="101" t="s">
        <v>431</v>
      </c>
      <c r="AD619" s="101" t="s">
        <v>431</v>
      </c>
      <c r="AE619" s="101" t="s">
        <v>75</v>
      </c>
      <c r="AF619" s="101" t="s">
        <v>400</v>
      </c>
      <c r="AG619" s="101" t="s">
        <v>452</v>
      </c>
      <c r="AI619" s="101" t="s">
        <v>760</v>
      </c>
    </row>
    <row r="620" spans="1:35">
      <c r="A620" s="246" t="s">
        <v>110</v>
      </c>
      <c r="B620" s="246" t="s">
        <v>78</v>
      </c>
      <c r="C620" s="246" t="s">
        <v>126</v>
      </c>
      <c r="D620" s="246" t="s">
        <v>770</v>
      </c>
      <c r="E620" s="246" t="s">
        <v>771</v>
      </c>
      <c r="F620" s="246"/>
      <c r="G620" s="132">
        <v>-401500</v>
      </c>
      <c r="H620" s="132" t="s">
        <v>1462</v>
      </c>
      <c r="I620" s="132">
        <v>-401500</v>
      </c>
      <c r="J620" s="101" t="s">
        <v>889</v>
      </c>
      <c r="K620" s="245" t="s">
        <v>390</v>
      </c>
      <c r="L620" s="245">
        <v>42597</v>
      </c>
      <c r="M620" s="245" t="s">
        <v>391</v>
      </c>
      <c r="N620" s="101">
        <v>0</v>
      </c>
      <c r="O620" s="101" t="s">
        <v>392</v>
      </c>
      <c r="P620" s="101">
        <v>0</v>
      </c>
      <c r="Q620" s="101">
        <v>0</v>
      </c>
      <c r="R620" s="101" t="s">
        <v>450</v>
      </c>
      <c r="S620" s="101">
        <v>194070</v>
      </c>
      <c r="T620" s="101" t="s">
        <v>394</v>
      </c>
      <c r="V620" s="245">
        <v>46980</v>
      </c>
      <c r="W620" s="101" t="s">
        <v>411</v>
      </c>
      <c r="X620" s="101" t="s">
        <v>77</v>
      </c>
      <c r="Y620" s="101" t="s">
        <v>392</v>
      </c>
      <c r="Z620" s="101" t="s">
        <v>430</v>
      </c>
      <c r="AA620" s="101" t="s">
        <v>78</v>
      </c>
      <c r="AB620" s="101">
        <v>4101000279</v>
      </c>
      <c r="AC620" s="101" t="s">
        <v>431</v>
      </c>
      <c r="AD620" s="101" t="s">
        <v>431</v>
      </c>
      <c r="AE620" s="101" t="s">
        <v>75</v>
      </c>
      <c r="AF620" s="101" t="s">
        <v>400</v>
      </c>
      <c r="AG620" s="101" t="s">
        <v>452</v>
      </c>
      <c r="AI620" s="101" t="s">
        <v>760</v>
      </c>
    </row>
    <row r="621" spans="1:35">
      <c r="A621" s="246" t="s">
        <v>111</v>
      </c>
      <c r="B621" s="246" t="s">
        <v>78</v>
      </c>
      <c r="C621" s="246" t="s">
        <v>126</v>
      </c>
      <c r="D621" s="246" t="s">
        <v>768</v>
      </c>
      <c r="E621" s="246" t="s">
        <v>769</v>
      </c>
      <c r="F621" s="246"/>
      <c r="G621" s="132">
        <v>-401500</v>
      </c>
      <c r="H621" s="132" t="s">
        <v>1462</v>
      </c>
      <c r="I621" s="132">
        <v>-401500</v>
      </c>
      <c r="J621" s="101" t="s">
        <v>889</v>
      </c>
      <c r="K621" s="245" t="s">
        <v>390</v>
      </c>
      <c r="L621" s="245">
        <v>42781</v>
      </c>
      <c r="M621" s="245" t="s">
        <v>391</v>
      </c>
      <c r="N621" s="101">
        <v>0</v>
      </c>
      <c r="O621" s="101" t="s">
        <v>392</v>
      </c>
      <c r="P621" s="101">
        <v>0</v>
      </c>
      <c r="Q621" s="101">
        <v>0</v>
      </c>
      <c r="R621" s="101" t="s">
        <v>450</v>
      </c>
      <c r="S621" s="101">
        <v>194070</v>
      </c>
      <c r="T621" s="101" t="s">
        <v>394</v>
      </c>
      <c r="V621" s="245">
        <v>46980</v>
      </c>
      <c r="W621" s="101" t="s">
        <v>411</v>
      </c>
      <c r="X621" s="101" t="s">
        <v>77</v>
      </c>
      <c r="Y621" s="101" t="s">
        <v>392</v>
      </c>
      <c r="Z621" s="101" t="s">
        <v>430</v>
      </c>
      <c r="AA621" s="101" t="s">
        <v>78</v>
      </c>
      <c r="AB621" s="101">
        <v>4101000279</v>
      </c>
      <c r="AC621" s="101" t="s">
        <v>431</v>
      </c>
      <c r="AD621" s="101" t="s">
        <v>431</v>
      </c>
      <c r="AE621" s="101" t="s">
        <v>75</v>
      </c>
      <c r="AF621" s="101" t="s">
        <v>400</v>
      </c>
      <c r="AG621" s="101" t="s">
        <v>452</v>
      </c>
      <c r="AI621" s="101" t="s">
        <v>760</v>
      </c>
    </row>
    <row r="622" spans="1:35">
      <c r="A622" s="246" t="s">
        <v>112</v>
      </c>
      <c r="B622" s="246" t="s">
        <v>78</v>
      </c>
      <c r="C622" s="246" t="s">
        <v>126</v>
      </c>
      <c r="D622" s="246" t="s">
        <v>341</v>
      </c>
      <c r="E622" s="246" t="s">
        <v>342</v>
      </c>
      <c r="F622" s="246"/>
      <c r="G622" s="132">
        <v>-401500</v>
      </c>
      <c r="H622" s="132" t="s">
        <v>1462</v>
      </c>
      <c r="I622" s="132">
        <v>-401500</v>
      </c>
      <c r="J622" s="101" t="s">
        <v>889</v>
      </c>
      <c r="K622" s="245" t="s">
        <v>390</v>
      </c>
      <c r="L622" s="245">
        <v>42962</v>
      </c>
      <c r="M622" s="245" t="s">
        <v>391</v>
      </c>
      <c r="N622" s="101">
        <v>0</v>
      </c>
      <c r="O622" s="101" t="s">
        <v>392</v>
      </c>
      <c r="P622" s="101">
        <v>0</v>
      </c>
      <c r="Q622" s="101">
        <v>0</v>
      </c>
      <c r="R622" s="101" t="s">
        <v>450</v>
      </c>
      <c r="S622" s="101">
        <v>194070</v>
      </c>
      <c r="T622" s="101" t="s">
        <v>394</v>
      </c>
      <c r="V622" s="245">
        <v>46980</v>
      </c>
      <c r="W622" s="101" t="s">
        <v>411</v>
      </c>
      <c r="X622" s="101" t="s">
        <v>77</v>
      </c>
      <c r="Y622" s="101" t="s">
        <v>392</v>
      </c>
      <c r="Z622" s="101" t="s">
        <v>430</v>
      </c>
      <c r="AA622" s="101" t="s">
        <v>78</v>
      </c>
      <c r="AB622" s="101">
        <v>4101000279</v>
      </c>
      <c r="AC622" s="101" t="s">
        <v>431</v>
      </c>
      <c r="AD622" s="101" t="s">
        <v>431</v>
      </c>
      <c r="AE622" s="101" t="s">
        <v>75</v>
      </c>
      <c r="AF622" s="101" t="s">
        <v>400</v>
      </c>
      <c r="AG622" s="101" t="s">
        <v>452</v>
      </c>
      <c r="AI622" s="101" t="s">
        <v>760</v>
      </c>
    </row>
    <row r="623" spans="1:35">
      <c r="A623" s="246" t="s">
        <v>113</v>
      </c>
      <c r="B623" s="246" t="s">
        <v>78</v>
      </c>
      <c r="C623" s="246" t="s">
        <v>126</v>
      </c>
      <c r="D623" s="246" t="s">
        <v>339</v>
      </c>
      <c r="E623" s="246" t="s">
        <v>340</v>
      </c>
      <c r="F623" s="246"/>
      <c r="G623" s="132">
        <v>-401500</v>
      </c>
      <c r="H623" s="132" t="s">
        <v>1462</v>
      </c>
      <c r="I623" s="132">
        <v>-401500</v>
      </c>
      <c r="J623" s="101" t="s">
        <v>889</v>
      </c>
      <c r="K623" s="245" t="s">
        <v>390</v>
      </c>
      <c r="L623" s="245">
        <v>43146</v>
      </c>
      <c r="M623" s="245" t="s">
        <v>391</v>
      </c>
      <c r="N623" s="101">
        <v>0</v>
      </c>
      <c r="O623" s="101" t="s">
        <v>392</v>
      </c>
      <c r="P623" s="101">
        <v>0</v>
      </c>
      <c r="Q623" s="101">
        <v>0</v>
      </c>
      <c r="R623" s="101" t="s">
        <v>450</v>
      </c>
      <c r="S623" s="101">
        <v>194070</v>
      </c>
      <c r="T623" s="101" t="s">
        <v>394</v>
      </c>
      <c r="V623" s="245">
        <v>46980</v>
      </c>
      <c r="W623" s="101" t="s">
        <v>411</v>
      </c>
      <c r="X623" s="101" t="s">
        <v>77</v>
      </c>
      <c r="Y623" s="101" t="s">
        <v>392</v>
      </c>
      <c r="Z623" s="101" t="s">
        <v>430</v>
      </c>
      <c r="AA623" s="101" t="s">
        <v>78</v>
      </c>
      <c r="AB623" s="101">
        <v>4101000279</v>
      </c>
      <c r="AC623" s="101" t="s">
        <v>431</v>
      </c>
      <c r="AD623" s="101" t="s">
        <v>431</v>
      </c>
      <c r="AE623" s="101" t="s">
        <v>75</v>
      </c>
      <c r="AF623" s="101" t="s">
        <v>400</v>
      </c>
      <c r="AG623" s="101" t="s">
        <v>452</v>
      </c>
      <c r="AI623" s="101" t="s">
        <v>760</v>
      </c>
    </row>
    <row r="624" spans="1:35">
      <c r="A624" s="246" t="s">
        <v>109</v>
      </c>
      <c r="B624" s="246" t="s">
        <v>66</v>
      </c>
      <c r="C624" s="246" t="s">
        <v>126</v>
      </c>
      <c r="D624" s="246" t="s">
        <v>272</v>
      </c>
      <c r="E624" s="246"/>
      <c r="F624" s="246"/>
      <c r="G624" s="132">
        <v>0</v>
      </c>
      <c r="H624" s="132">
        <v>0</v>
      </c>
      <c r="I624" s="132">
        <v>0</v>
      </c>
      <c r="J624" s="101" t="s">
        <v>889</v>
      </c>
      <c r="K624" s="245" t="s">
        <v>390</v>
      </c>
      <c r="L624" s="245">
        <v>42583</v>
      </c>
      <c r="M624" s="245" t="s">
        <v>391</v>
      </c>
      <c r="N624" s="101">
        <v>0</v>
      </c>
      <c r="O624" s="101" t="s">
        <v>392</v>
      </c>
      <c r="P624" s="101">
        <v>0</v>
      </c>
      <c r="Q624" s="101">
        <v>0</v>
      </c>
      <c r="R624" s="101" t="s">
        <v>626</v>
      </c>
      <c r="S624" s="101">
        <v>190368</v>
      </c>
      <c r="T624" s="101" t="s">
        <v>394</v>
      </c>
      <c r="V624" s="245">
        <v>45227</v>
      </c>
      <c r="W624" s="101" t="s">
        <v>424</v>
      </c>
      <c r="X624" s="101" t="s">
        <v>429</v>
      </c>
      <c r="Y624" s="101" t="s">
        <v>392</v>
      </c>
      <c r="Z624" s="101" t="s">
        <v>430</v>
      </c>
      <c r="AA624" s="101" t="s">
        <v>755</v>
      </c>
      <c r="AB624" s="101">
        <v>101002330</v>
      </c>
      <c r="AC624" s="101" t="s">
        <v>431</v>
      </c>
      <c r="AD624" s="101" t="s">
        <v>431</v>
      </c>
      <c r="AE624" s="101" t="s">
        <v>75</v>
      </c>
      <c r="AF624" s="101" t="s">
        <v>400</v>
      </c>
      <c r="AG624" s="101" t="s">
        <v>629</v>
      </c>
      <c r="AI624" s="101" t="s">
        <v>760</v>
      </c>
    </row>
    <row r="625" spans="1:35">
      <c r="A625" s="246" t="s">
        <v>110</v>
      </c>
      <c r="B625" s="246" t="s">
        <v>66</v>
      </c>
      <c r="C625" s="246" t="s">
        <v>126</v>
      </c>
      <c r="D625" s="246" t="s">
        <v>281</v>
      </c>
      <c r="E625" s="246"/>
      <c r="F625" s="246"/>
      <c r="G625" s="132">
        <v>0</v>
      </c>
      <c r="H625" s="132">
        <v>0</v>
      </c>
      <c r="I625" s="132">
        <v>0</v>
      </c>
      <c r="J625" s="101" t="s">
        <v>889</v>
      </c>
      <c r="K625" s="245" t="s">
        <v>390</v>
      </c>
      <c r="L625" s="245">
        <v>42675</v>
      </c>
      <c r="M625" s="245" t="s">
        <v>391</v>
      </c>
      <c r="N625" s="101">
        <v>0</v>
      </c>
      <c r="O625" s="101" t="s">
        <v>392</v>
      </c>
      <c r="P625" s="101">
        <v>0</v>
      </c>
      <c r="Q625" s="101">
        <v>0</v>
      </c>
      <c r="R625" s="101" t="s">
        <v>626</v>
      </c>
      <c r="S625" s="101">
        <v>190368</v>
      </c>
      <c r="T625" s="101" t="s">
        <v>394</v>
      </c>
      <c r="V625" s="245">
        <v>45227</v>
      </c>
      <c r="W625" s="101" t="s">
        <v>424</v>
      </c>
      <c r="X625" s="101" t="s">
        <v>429</v>
      </c>
      <c r="Y625" s="101" t="s">
        <v>392</v>
      </c>
      <c r="Z625" s="101" t="s">
        <v>430</v>
      </c>
      <c r="AA625" s="101" t="s">
        <v>755</v>
      </c>
      <c r="AB625" s="101">
        <v>101002330</v>
      </c>
      <c r="AC625" s="101" t="s">
        <v>431</v>
      </c>
      <c r="AD625" s="101" t="s">
        <v>431</v>
      </c>
      <c r="AE625" s="101" t="s">
        <v>75</v>
      </c>
      <c r="AF625" s="101" t="s">
        <v>400</v>
      </c>
      <c r="AG625" s="101" t="s">
        <v>629</v>
      </c>
      <c r="AI625" s="101" t="s">
        <v>760</v>
      </c>
    </row>
    <row r="626" spans="1:35">
      <c r="A626" s="246" t="s">
        <v>111</v>
      </c>
      <c r="B626" s="246" t="s">
        <v>66</v>
      </c>
      <c r="C626" s="246" t="s">
        <v>126</v>
      </c>
      <c r="D626" s="246" t="s">
        <v>273</v>
      </c>
      <c r="E626" s="246"/>
      <c r="F626" s="246"/>
      <c r="G626" s="132">
        <v>0</v>
      </c>
      <c r="H626" s="132">
        <v>0</v>
      </c>
      <c r="I626" s="132">
        <v>0</v>
      </c>
      <c r="J626" s="101" t="s">
        <v>889</v>
      </c>
      <c r="K626" s="245" t="s">
        <v>390</v>
      </c>
      <c r="L626" s="245">
        <v>42767</v>
      </c>
      <c r="M626" s="245" t="s">
        <v>391</v>
      </c>
      <c r="N626" s="101">
        <v>0</v>
      </c>
      <c r="O626" s="101" t="s">
        <v>392</v>
      </c>
      <c r="P626" s="101">
        <v>0</v>
      </c>
      <c r="Q626" s="101">
        <v>0</v>
      </c>
      <c r="R626" s="101" t="s">
        <v>626</v>
      </c>
      <c r="S626" s="101">
        <v>190368</v>
      </c>
      <c r="T626" s="101" t="s">
        <v>394</v>
      </c>
      <c r="V626" s="245">
        <v>45227</v>
      </c>
      <c r="W626" s="101" t="s">
        <v>424</v>
      </c>
      <c r="X626" s="101" t="s">
        <v>429</v>
      </c>
      <c r="Y626" s="101" t="s">
        <v>392</v>
      </c>
      <c r="Z626" s="101" t="s">
        <v>430</v>
      </c>
      <c r="AA626" s="101" t="s">
        <v>755</v>
      </c>
      <c r="AB626" s="101">
        <v>101002330</v>
      </c>
      <c r="AC626" s="101" t="s">
        <v>431</v>
      </c>
      <c r="AD626" s="101" t="s">
        <v>431</v>
      </c>
      <c r="AE626" s="101" t="s">
        <v>75</v>
      </c>
      <c r="AF626" s="101" t="s">
        <v>400</v>
      </c>
      <c r="AG626" s="101" t="s">
        <v>629</v>
      </c>
      <c r="AI626" s="101" t="s">
        <v>760</v>
      </c>
    </row>
    <row r="627" spans="1:35">
      <c r="A627" s="246" t="s">
        <v>111</v>
      </c>
      <c r="B627" s="246" t="s">
        <v>66</v>
      </c>
      <c r="C627" s="246" t="s">
        <v>126</v>
      </c>
      <c r="D627" s="246" t="s">
        <v>273</v>
      </c>
      <c r="E627" s="246"/>
      <c r="F627" s="246"/>
      <c r="G627" s="132">
        <v>0</v>
      </c>
      <c r="H627" s="132">
        <v>0</v>
      </c>
      <c r="I627" s="132">
        <v>0</v>
      </c>
      <c r="J627" s="101" t="s">
        <v>889</v>
      </c>
      <c r="K627" s="245" t="s">
        <v>390</v>
      </c>
      <c r="L627" s="245">
        <v>42856</v>
      </c>
      <c r="M627" s="245" t="s">
        <v>391</v>
      </c>
      <c r="N627" s="101">
        <v>0</v>
      </c>
      <c r="O627" s="101" t="s">
        <v>392</v>
      </c>
      <c r="P627" s="101">
        <v>0</v>
      </c>
      <c r="Q627" s="101">
        <v>0</v>
      </c>
      <c r="R627" s="101" t="s">
        <v>626</v>
      </c>
      <c r="S627" s="101">
        <v>190368</v>
      </c>
      <c r="T627" s="101" t="s">
        <v>394</v>
      </c>
      <c r="V627" s="245">
        <v>45227</v>
      </c>
      <c r="W627" s="101" t="s">
        <v>424</v>
      </c>
      <c r="X627" s="101" t="s">
        <v>429</v>
      </c>
      <c r="Y627" s="101" t="s">
        <v>392</v>
      </c>
      <c r="Z627" s="101" t="s">
        <v>430</v>
      </c>
      <c r="AA627" s="101" t="s">
        <v>755</v>
      </c>
      <c r="AB627" s="101">
        <v>101002330</v>
      </c>
      <c r="AC627" s="101" t="s">
        <v>431</v>
      </c>
      <c r="AD627" s="101" t="s">
        <v>431</v>
      </c>
      <c r="AE627" s="101" t="s">
        <v>75</v>
      </c>
      <c r="AF627" s="101" t="s">
        <v>400</v>
      </c>
      <c r="AG627" s="101" t="s">
        <v>629</v>
      </c>
      <c r="AI627" s="101" t="s">
        <v>760</v>
      </c>
    </row>
    <row r="628" spans="1:35">
      <c r="A628" s="246" t="s">
        <v>112</v>
      </c>
      <c r="B628" s="246" t="s">
        <v>66</v>
      </c>
      <c r="C628" s="246" t="s">
        <v>126</v>
      </c>
      <c r="D628" s="246" t="s">
        <v>270</v>
      </c>
      <c r="E628" s="246"/>
      <c r="F628" s="246"/>
      <c r="G628" s="132">
        <v>0</v>
      </c>
      <c r="H628" s="132">
        <v>0</v>
      </c>
      <c r="I628" s="132">
        <v>0</v>
      </c>
      <c r="J628" s="101" t="s">
        <v>889</v>
      </c>
      <c r="K628" s="245" t="s">
        <v>390</v>
      </c>
      <c r="L628" s="245">
        <v>42948</v>
      </c>
      <c r="M628" s="245" t="s">
        <v>391</v>
      </c>
      <c r="N628" s="101">
        <v>0</v>
      </c>
      <c r="O628" s="101" t="s">
        <v>392</v>
      </c>
      <c r="P628" s="101">
        <v>0</v>
      </c>
      <c r="Q628" s="101">
        <v>0</v>
      </c>
      <c r="R628" s="101" t="s">
        <v>626</v>
      </c>
      <c r="S628" s="101">
        <v>190368</v>
      </c>
      <c r="T628" s="101" t="s">
        <v>394</v>
      </c>
      <c r="V628" s="245">
        <v>45227</v>
      </c>
      <c r="W628" s="101" t="s">
        <v>424</v>
      </c>
      <c r="X628" s="101" t="s">
        <v>429</v>
      </c>
      <c r="Y628" s="101" t="s">
        <v>392</v>
      </c>
      <c r="Z628" s="101" t="s">
        <v>430</v>
      </c>
      <c r="AA628" s="101" t="s">
        <v>755</v>
      </c>
      <c r="AB628" s="101">
        <v>101002330</v>
      </c>
      <c r="AC628" s="101" t="s">
        <v>431</v>
      </c>
      <c r="AD628" s="101" t="s">
        <v>431</v>
      </c>
      <c r="AE628" s="101" t="s">
        <v>75</v>
      </c>
      <c r="AF628" s="101" t="s">
        <v>400</v>
      </c>
      <c r="AG628" s="101" t="s">
        <v>629</v>
      </c>
      <c r="AI628" s="101" t="s">
        <v>760</v>
      </c>
    </row>
    <row r="629" spans="1:35">
      <c r="A629" s="246" t="s">
        <v>112</v>
      </c>
      <c r="B629" s="246" t="s">
        <v>66</v>
      </c>
      <c r="C629" s="246" t="s">
        <v>126</v>
      </c>
      <c r="D629" s="246" t="s">
        <v>270</v>
      </c>
      <c r="E629" s="246"/>
      <c r="F629" s="246"/>
      <c r="G629" s="132">
        <v>0</v>
      </c>
      <c r="H629" s="132">
        <v>0</v>
      </c>
      <c r="I629" s="132">
        <v>0</v>
      </c>
      <c r="J629" s="101" t="s">
        <v>889</v>
      </c>
      <c r="K629" s="245" t="s">
        <v>390</v>
      </c>
      <c r="L629" s="245">
        <v>43040</v>
      </c>
      <c r="M629" s="245" t="s">
        <v>391</v>
      </c>
      <c r="N629" s="101">
        <v>0</v>
      </c>
      <c r="O629" s="101" t="s">
        <v>392</v>
      </c>
      <c r="P629" s="101">
        <v>0</v>
      </c>
      <c r="Q629" s="101">
        <v>0</v>
      </c>
      <c r="R629" s="101" t="s">
        <v>626</v>
      </c>
      <c r="S629" s="101">
        <v>190368</v>
      </c>
      <c r="T629" s="101" t="s">
        <v>394</v>
      </c>
      <c r="V629" s="245">
        <v>45227</v>
      </c>
      <c r="W629" s="101" t="s">
        <v>424</v>
      </c>
      <c r="X629" s="101" t="s">
        <v>429</v>
      </c>
      <c r="Y629" s="101" t="s">
        <v>392</v>
      </c>
      <c r="Z629" s="101" t="s">
        <v>430</v>
      </c>
      <c r="AA629" s="101" t="s">
        <v>755</v>
      </c>
      <c r="AB629" s="101">
        <v>101002330</v>
      </c>
      <c r="AC629" s="101" t="s">
        <v>431</v>
      </c>
      <c r="AD629" s="101" t="s">
        <v>431</v>
      </c>
      <c r="AE629" s="101" t="s">
        <v>75</v>
      </c>
      <c r="AF629" s="101" t="s">
        <v>400</v>
      </c>
      <c r="AG629" s="101" t="s">
        <v>629</v>
      </c>
      <c r="AI629" s="101" t="s">
        <v>760</v>
      </c>
    </row>
    <row r="630" spans="1:35">
      <c r="A630" s="246" t="s">
        <v>113</v>
      </c>
      <c r="B630" s="246" t="s">
        <v>66</v>
      </c>
      <c r="C630" s="246" t="s">
        <v>126</v>
      </c>
      <c r="D630" s="246" t="s">
        <v>271</v>
      </c>
      <c r="E630" s="246"/>
      <c r="F630" s="246"/>
      <c r="G630" s="132">
        <v>0</v>
      </c>
      <c r="H630" s="132">
        <v>0</v>
      </c>
      <c r="I630" s="132">
        <v>0</v>
      </c>
      <c r="J630" s="101" t="s">
        <v>889</v>
      </c>
      <c r="K630" s="245" t="s">
        <v>390</v>
      </c>
      <c r="L630" s="245">
        <v>43132</v>
      </c>
      <c r="M630" s="245" t="s">
        <v>391</v>
      </c>
      <c r="N630" s="101">
        <v>0</v>
      </c>
      <c r="O630" s="101" t="s">
        <v>392</v>
      </c>
      <c r="P630" s="101">
        <v>0</v>
      </c>
      <c r="Q630" s="101">
        <v>0</v>
      </c>
      <c r="R630" s="101" t="s">
        <v>626</v>
      </c>
      <c r="S630" s="101">
        <v>190368</v>
      </c>
      <c r="T630" s="101" t="s">
        <v>394</v>
      </c>
      <c r="V630" s="245">
        <v>45227</v>
      </c>
      <c r="W630" s="101" t="s">
        <v>424</v>
      </c>
      <c r="X630" s="101" t="s">
        <v>429</v>
      </c>
      <c r="Y630" s="101" t="s">
        <v>392</v>
      </c>
      <c r="Z630" s="101" t="s">
        <v>430</v>
      </c>
      <c r="AA630" s="101" t="s">
        <v>755</v>
      </c>
      <c r="AB630" s="101">
        <v>101002330</v>
      </c>
      <c r="AC630" s="101" t="s">
        <v>431</v>
      </c>
      <c r="AD630" s="101" t="s">
        <v>431</v>
      </c>
      <c r="AE630" s="101" t="s">
        <v>75</v>
      </c>
      <c r="AF630" s="101" t="s">
        <v>400</v>
      </c>
      <c r="AG630" s="101" t="s">
        <v>629</v>
      </c>
      <c r="AI630" s="101" t="s">
        <v>760</v>
      </c>
    </row>
    <row r="631" spans="1:35">
      <c r="A631" s="246" t="s">
        <v>113</v>
      </c>
      <c r="B631" s="246" t="s">
        <v>66</v>
      </c>
      <c r="C631" s="246" t="s">
        <v>126</v>
      </c>
      <c r="D631" s="246" t="s">
        <v>271</v>
      </c>
      <c r="E631" s="246"/>
      <c r="F631" s="246"/>
      <c r="G631" s="132">
        <v>0</v>
      </c>
      <c r="H631" s="132">
        <v>0</v>
      </c>
      <c r="I631" s="132">
        <v>0</v>
      </c>
      <c r="J631" s="101" t="s">
        <v>889</v>
      </c>
      <c r="K631" s="245" t="s">
        <v>390</v>
      </c>
      <c r="L631" s="245">
        <v>43221</v>
      </c>
      <c r="M631" s="245" t="s">
        <v>391</v>
      </c>
      <c r="N631" s="101">
        <v>0</v>
      </c>
      <c r="O631" s="101" t="s">
        <v>392</v>
      </c>
      <c r="P631" s="101">
        <v>0</v>
      </c>
      <c r="Q631" s="101">
        <v>0</v>
      </c>
      <c r="R631" s="101" t="s">
        <v>626</v>
      </c>
      <c r="S631" s="101">
        <v>190368</v>
      </c>
      <c r="T631" s="101" t="s">
        <v>394</v>
      </c>
      <c r="V631" s="245">
        <v>45227</v>
      </c>
      <c r="W631" s="101" t="s">
        <v>424</v>
      </c>
      <c r="X631" s="101" t="s">
        <v>429</v>
      </c>
      <c r="Y631" s="101" t="s">
        <v>392</v>
      </c>
      <c r="Z631" s="101" t="s">
        <v>430</v>
      </c>
      <c r="AA631" s="101" t="s">
        <v>755</v>
      </c>
      <c r="AB631" s="101">
        <v>101002330</v>
      </c>
      <c r="AC631" s="101" t="s">
        <v>431</v>
      </c>
      <c r="AD631" s="101" t="s">
        <v>431</v>
      </c>
      <c r="AE631" s="101" t="s">
        <v>75</v>
      </c>
      <c r="AF631" s="101" t="s">
        <v>400</v>
      </c>
      <c r="AG631" s="101" t="s">
        <v>629</v>
      </c>
      <c r="AI631" s="101" t="s">
        <v>760</v>
      </c>
    </row>
    <row r="632" spans="1:35">
      <c r="A632" s="246" t="s">
        <v>103</v>
      </c>
      <c r="B632" s="246" t="s">
        <v>66</v>
      </c>
      <c r="C632" s="246" t="s">
        <v>126</v>
      </c>
      <c r="D632" s="246" t="s">
        <v>1774</v>
      </c>
      <c r="E632" s="246"/>
      <c r="F632" s="246"/>
      <c r="G632" s="132" t="s">
        <v>405</v>
      </c>
      <c r="H632" s="132" t="s">
        <v>1463</v>
      </c>
      <c r="I632" s="132">
        <v>242612.5</v>
      </c>
      <c r="J632" s="101" t="s">
        <v>889</v>
      </c>
      <c r="K632" s="245" t="s">
        <v>390</v>
      </c>
      <c r="L632" s="245">
        <v>42506</v>
      </c>
      <c r="M632" s="245" t="s">
        <v>391</v>
      </c>
      <c r="N632" s="101">
        <v>0</v>
      </c>
      <c r="O632" s="101" t="s">
        <v>392</v>
      </c>
      <c r="P632" s="101">
        <v>0</v>
      </c>
      <c r="Q632" s="101">
        <v>0</v>
      </c>
      <c r="R632" s="101" t="s">
        <v>406</v>
      </c>
      <c r="S632" s="101" t="s">
        <v>407</v>
      </c>
      <c r="T632" s="101" t="s">
        <v>394</v>
      </c>
      <c r="V632" s="245">
        <v>42870</v>
      </c>
      <c r="W632" s="101" t="s">
        <v>395</v>
      </c>
      <c r="X632" s="101" t="s">
        <v>408</v>
      </c>
      <c r="Y632" s="101" t="s">
        <v>392</v>
      </c>
      <c r="Z632" s="101" t="s">
        <v>402</v>
      </c>
      <c r="AA632" s="101" t="s">
        <v>409</v>
      </c>
      <c r="AB632" s="101">
        <v>1101000267</v>
      </c>
      <c r="AC632" s="101" t="s">
        <v>398</v>
      </c>
      <c r="AD632" s="101" t="s">
        <v>399</v>
      </c>
      <c r="AE632" s="101" t="s">
        <v>75</v>
      </c>
      <c r="AF632" s="101" t="s">
        <v>400</v>
      </c>
      <c r="AI632" s="101" t="s">
        <v>760</v>
      </c>
    </row>
    <row r="633" spans="1:35">
      <c r="A633" s="246" t="s">
        <v>110</v>
      </c>
      <c r="B633" s="246" t="s">
        <v>66</v>
      </c>
      <c r="C633" s="246" t="s">
        <v>126</v>
      </c>
      <c r="D633" s="246" t="s">
        <v>281</v>
      </c>
      <c r="E633" s="246"/>
      <c r="F633" s="246"/>
      <c r="G633" s="132" t="s">
        <v>1464</v>
      </c>
      <c r="H633" s="132" t="s">
        <v>1465</v>
      </c>
      <c r="I633" s="132">
        <v>243288.03</v>
      </c>
      <c r="J633" s="101" t="s">
        <v>889</v>
      </c>
      <c r="K633" s="245" t="s">
        <v>390</v>
      </c>
      <c r="L633" s="245">
        <v>42597</v>
      </c>
      <c r="M633" s="245" t="s">
        <v>391</v>
      </c>
      <c r="N633" s="101">
        <v>0</v>
      </c>
      <c r="O633" s="101" t="s">
        <v>392</v>
      </c>
      <c r="P633" s="101">
        <v>0</v>
      </c>
      <c r="Q633" s="101">
        <v>0</v>
      </c>
      <c r="R633" s="101" t="s">
        <v>406</v>
      </c>
      <c r="S633" s="101" t="s">
        <v>407</v>
      </c>
      <c r="T633" s="101" t="s">
        <v>394</v>
      </c>
      <c r="V633" s="245">
        <v>42870</v>
      </c>
      <c r="W633" s="101" t="s">
        <v>395</v>
      </c>
      <c r="X633" s="101" t="s">
        <v>408</v>
      </c>
      <c r="Y633" s="101" t="s">
        <v>392</v>
      </c>
      <c r="Z633" s="101" t="s">
        <v>402</v>
      </c>
      <c r="AA633" s="101" t="s">
        <v>409</v>
      </c>
      <c r="AB633" s="101">
        <v>1101000267</v>
      </c>
      <c r="AC633" s="101" t="s">
        <v>398</v>
      </c>
      <c r="AD633" s="101" t="s">
        <v>399</v>
      </c>
      <c r="AE633" s="101" t="s">
        <v>75</v>
      </c>
      <c r="AF633" s="101" t="s">
        <v>400</v>
      </c>
      <c r="AI633" s="101" t="s">
        <v>760</v>
      </c>
    </row>
    <row r="634" spans="1:35">
      <c r="A634" s="246" t="s">
        <v>111</v>
      </c>
      <c r="B634" s="246" t="s">
        <v>66</v>
      </c>
      <c r="C634" s="246" t="s">
        <v>126</v>
      </c>
      <c r="D634" s="246" t="s">
        <v>273</v>
      </c>
      <c r="E634" s="246"/>
      <c r="F634" s="246"/>
      <c r="G634" s="132" t="s">
        <v>1466</v>
      </c>
      <c r="H634" s="132" t="s">
        <v>1467</v>
      </c>
      <c r="I634" s="132">
        <v>241859.78</v>
      </c>
      <c r="J634" s="101" t="s">
        <v>889</v>
      </c>
      <c r="K634" s="245" t="s">
        <v>390</v>
      </c>
      <c r="L634" s="245">
        <v>42689</v>
      </c>
      <c r="M634" s="245" t="s">
        <v>391</v>
      </c>
      <c r="N634" s="101">
        <v>0</v>
      </c>
      <c r="O634" s="101" t="s">
        <v>392</v>
      </c>
      <c r="P634" s="101">
        <v>0</v>
      </c>
      <c r="Q634" s="101">
        <v>0</v>
      </c>
      <c r="R634" s="101" t="s">
        <v>406</v>
      </c>
      <c r="S634" s="101" t="s">
        <v>407</v>
      </c>
      <c r="T634" s="101" t="s">
        <v>394</v>
      </c>
      <c r="V634" s="245">
        <v>42870</v>
      </c>
      <c r="W634" s="101" t="s">
        <v>395</v>
      </c>
      <c r="X634" s="101" t="s">
        <v>408</v>
      </c>
      <c r="Y634" s="101" t="s">
        <v>392</v>
      </c>
      <c r="Z634" s="101" t="s">
        <v>402</v>
      </c>
      <c r="AA634" s="101" t="s">
        <v>409</v>
      </c>
      <c r="AB634" s="101">
        <v>1101000267</v>
      </c>
      <c r="AC634" s="101" t="s">
        <v>398</v>
      </c>
      <c r="AD634" s="101" t="s">
        <v>399</v>
      </c>
      <c r="AE634" s="101" t="s">
        <v>75</v>
      </c>
      <c r="AF634" s="101" t="s">
        <v>400</v>
      </c>
      <c r="AI634" s="101" t="s">
        <v>760</v>
      </c>
    </row>
    <row r="635" spans="1:35">
      <c r="A635" s="246" t="s">
        <v>111</v>
      </c>
      <c r="B635" s="246" t="s">
        <v>66</v>
      </c>
      <c r="C635" s="246" t="s">
        <v>126</v>
      </c>
      <c r="D635" s="246" t="s">
        <v>273</v>
      </c>
      <c r="E635" s="246"/>
      <c r="F635" s="246"/>
      <c r="G635" s="132" t="s">
        <v>1468</v>
      </c>
      <c r="H635" s="132" t="s">
        <v>1469</v>
      </c>
      <c r="I635" s="132">
        <v>236953.97</v>
      </c>
      <c r="J635" s="101" t="s">
        <v>889</v>
      </c>
      <c r="K635" s="245" t="s">
        <v>390</v>
      </c>
      <c r="L635" s="245">
        <v>42781</v>
      </c>
      <c r="M635" s="245" t="s">
        <v>391</v>
      </c>
      <c r="N635" s="101">
        <v>0</v>
      </c>
      <c r="O635" s="101" t="s">
        <v>392</v>
      </c>
      <c r="P635" s="101">
        <v>0</v>
      </c>
      <c r="Q635" s="101">
        <v>0</v>
      </c>
      <c r="R635" s="101" t="s">
        <v>406</v>
      </c>
      <c r="S635" s="101" t="s">
        <v>407</v>
      </c>
      <c r="T635" s="101" t="s">
        <v>394</v>
      </c>
      <c r="V635" s="245">
        <v>42870</v>
      </c>
      <c r="W635" s="101" t="s">
        <v>395</v>
      </c>
      <c r="X635" s="101" t="s">
        <v>408</v>
      </c>
      <c r="Y635" s="101" t="s">
        <v>392</v>
      </c>
      <c r="Z635" s="101" t="s">
        <v>402</v>
      </c>
      <c r="AA635" s="101" t="s">
        <v>409</v>
      </c>
      <c r="AB635" s="101">
        <v>1101000267</v>
      </c>
      <c r="AC635" s="101" t="s">
        <v>398</v>
      </c>
      <c r="AD635" s="101" t="s">
        <v>399</v>
      </c>
      <c r="AE635" s="101" t="s">
        <v>75</v>
      </c>
      <c r="AF635" s="101" t="s">
        <v>400</v>
      </c>
      <c r="AI635" s="101" t="s">
        <v>760</v>
      </c>
    </row>
    <row r="636" spans="1:35">
      <c r="A636" s="246" t="s">
        <v>112</v>
      </c>
      <c r="B636" s="246" t="s">
        <v>66</v>
      </c>
      <c r="C636" s="246" t="s">
        <v>126</v>
      </c>
      <c r="D636" s="246" t="s">
        <v>270</v>
      </c>
      <c r="E636" s="246"/>
      <c r="F636" s="246"/>
      <c r="G636" s="132" t="s">
        <v>1470</v>
      </c>
      <c r="H636" s="132" t="s">
        <v>1471</v>
      </c>
      <c r="I636" s="132">
        <v>227994.86000000002</v>
      </c>
      <c r="J636" s="101" t="s">
        <v>889</v>
      </c>
      <c r="K636" s="245" t="s">
        <v>390</v>
      </c>
      <c r="L636" s="245">
        <v>42870</v>
      </c>
      <c r="M636" s="245" t="s">
        <v>391</v>
      </c>
      <c r="N636" s="101">
        <v>0</v>
      </c>
      <c r="O636" s="101" t="s">
        <v>392</v>
      </c>
      <c r="P636" s="101">
        <v>0</v>
      </c>
      <c r="Q636" s="101">
        <v>0</v>
      </c>
      <c r="R636" s="101" t="s">
        <v>406</v>
      </c>
      <c r="S636" s="101" t="s">
        <v>407</v>
      </c>
      <c r="T636" s="101" t="s">
        <v>394</v>
      </c>
      <c r="V636" s="245">
        <v>42870</v>
      </c>
      <c r="W636" s="101" t="s">
        <v>395</v>
      </c>
      <c r="X636" s="101" t="s">
        <v>408</v>
      </c>
      <c r="Y636" s="101" t="s">
        <v>392</v>
      </c>
      <c r="Z636" s="101" t="s">
        <v>402</v>
      </c>
      <c r="AA636" s="101" t="s">
        <v>409</v>
      </c>
      <c r="AB636" s="101">
        <v>1101000267</v>
      </c>
      <c r="AC636" s="101" t="s">
        <v>398</v>
      </c>
      <c r="AD636" s="101" t="s">
        <v>399</v>
      </c>
      <c r="AE636" s="101" t="s">
        <v>75</v>
      </c>
      <c r="AF636" s="101" t="s">
        <v>400</v>
      </c>
      <c r="AI636" s="101" t="s">
        <v>760</v>
      </c>
    </row>
    <row r="637" spans="1:35">
      <c r="A637" s="246" t="s">
        <v>109</v>
      </c>
      <c r="B637" s="246" t="s">
        <v>66</v>
      </c>
      <c r="C637" s="246" t="s">
        <v>126</v>
      </c>
      <c r="D637" s="246" t="s">
        <v>272</v>
      </c>
      <c r="E637" s="246"/>
      <c r="F637" s="246"/>
      <c r="G637" s="132">
        <v>7500</v>
      </c>
      <c r="H637" s="132" t="s">
        <v>1472</v>
      </c>
      <c r="I637" s="132">
        <v>7500</v>
      </c>
      <c r="J637" s="101" t="s">
        <v>889</v>
      </c>
      <c r="K637" s="245" t="s">
        <v>390</v>
      </c>
      <c r="L637" s="245">
        <v>42536</v>
      </c>
      <c r="M637" s="245" t="s">
        <v>391</v>
      </c>
      <c r="N637" s="101">
        <v>0</v>
      </c>
      <c r="O637" s="101" t="s">
        <v>392</v>
      </c>
      <c r="P637" s="101">
        <v>0</v>
      </c>
      <c r="Q637" s="101">
        <v>0</v>
      </c>
      <c r="R637" s="101" t="s">
        <v>450</v>
      </c>
      <c r="S637" s="101">
        <v>193040</v>
      </c>
      <c r="T637" s="101" t="s">
        <v>394</v>
      </c>
      <c r="V637" s="245">
        <v>42536</v>
      </c>
      <c r="W637" s="101" t="s">
        <v>441</v>
      </c>
      <c r="X637" s="101" t="s">
        <v>76</v>
      </c>
      <c r="Y637" s="101" t="s">
        <v>392</v>
      </c>
      <c r="Z637" s="101" t="s">
        <v>430</v>
      </c>
      <c r="AA637" s="101" t="s">
        <v>531</v>
      </c>
      <c r="AB637" s="101">
        <v>3101053435</v>
      </c>
      <c r="AC637" s="101" t="s">
        <v>431</v>
      </c>
      <c r="AD637" s="101" t="s">
        <v>431</v>
      </c>
      <c r="AE637" s="101" t="s">
        <v>75</v>
      </c>
      <c r="AF637" s="101" t="s">
        <v>400</v>
      </c>
      <c r="AG637" s="101" t="s">
        <v>532</v>
      </c>
      <c r="AI637" s="101" t="s">
        <v>760</v>
      </c>
    </row>
    <row r="638" spans="1:35">
      <c r="A638" s="246" t="s">
        <v>109</v>
      </c>
      <c r="B638" s="246" t="s">
        <v>66</v>
      </c>
      <c r="C638" s="246" t="s">
        <v>116</v>
      </c>
      <c r="D638" s="246" t="s">
        <v>338</v>
      </c>
      <c r="E638" s="246"/>
      <c r="F638" s="246"/>
      <c r="G638" s="132">
        <v>3000000</v>
      </c>
      <c r="H638" s="132" t="s">
        <v>1473</v>
      </c>
      <c r="I638" s="132">
        <v>3000000</v>
      </c>
      <c r="J638" s="101" t="s">
        <v>889</v>
      </c>
      <c r="K638" s="245" t="s">
        <v>390</v>
      </c>
      <c r="L638" s="245">
        <v>42536</v>
      </c>
      <c r="M638" s="245" t="s">
        <v>421</v>
      </c>
      <c r="N638" s="101">
        <v>0</v>
      </c>
      <c r="O638" s="101" t="s">
        <v>392</v>
      </c>
      <c r="P638" s="101">
        <v>0</v>
      </c>
      <c r="Q638" s="101">
        <v>0</v>
      </c>
      <c r="R638" s="101" t="s">
        <v>450</v>
      </c>
      <c r="S638" s="101">
        <v>193040</v>
      </c>
      <c r="T638" s="101" t="s">
        <v>394</v>
      </c>
      <c r="V638" s="245">
        <v>42536</v>
      </c>
      <c r="W638" s="101" t="s">
        <v>441</v>
      </c>
      <c r="X638" s="101" t="s">
        <v>76</v>
      </c>
      <c r="Y638" s="101" t="s">
        <v>392</v>
      </c>
      <c r="Z638" s="101" t="s">
        <v>430</v>
      </c>
      <c r="AA638" s="101" t="s">
        <v>531</v>
      </c>
      <c r="AB638" s="101">
        <v>3101053435</v>
      </c>
      <c r="AC638" s="101" t="s">
        <v>431</v>
      </c>
      <c r="AD638" s="101" t="s">
        <v>431</v>
      </c>
      <c r="AE638" s="101" t="s">
        <v>75</v>
      </c>
      <c r="AF638" s="101" t="s">
        <v>400</v>
      </c>
      <c r="AG638" s="101" t="s">
        <v>532</v>
      </c>
      <c r="AI638" s="101" t="s">
        <v>760</v>
      </c>
    </row>
    <row r="639" spans="1:35">
      <c r="A639" s="246" t="s">
        <v>109</v>
      </c>
      <c r="B639" s="246" t="s">
        <v>66</v>
      </c>
      <c r="C639" s="246" t="s">
        <v>126</v>
      </c>
      <c r="D639" s="246" t="s">
        <v>272</v>
      </c>
      <c r="E639" s="246"/>
      <c r="F639" s="246"/>
      <c r="G639" s="132">
        <v>65000</v>
      </c>
      <c r="H639" s="132" t="s">
        <v>1474</v>
      </c>
      <c r="I639" s="132">
        <v>65000</v>
      </c>
      <c r="J639" s="101" t="s">
        <v>889</v>
      </c>
      <c r="K639" s="245" t="s">
        <v>390</v>
      </c>
      <c r="L639" s="245">
        <v>42536</v>
      </c>
      <c r="M639" s="245" t="s">
        <v>391</v>
      </c>
      <c r="N639" s="101">
        <v>0</v>
      </c>
      <c r="O639" s="101" t="s">
        <v>392</v>
      </c>
      <c r="P639" s="101">
        <v>0</v>
      </c>
      <c r="Q639" s="101">
        <v>0</v>
      </c>
      <c r="R639" s="101" t="s">
        <v>450</v>
      </c>
      <c r="S639" s="101">
        <v>193087</v>
      </c>
      <c r="T639" s="101" t="s">
        <v>394</v>
      </c>
      <c r="V639" s="245">
        <v>42536</v>
      </c>
      <c r="W639" s="101" t="s">
        <v>441</v>
      </c>
      <c r="X639" s="101" t="s">
        <v>76</v>
      </c>
      <c r="Y639" s="101" t="s">
        <v>392</v>
      </c>
      <c r="Z639" s="101" t="s">
        <v>430</v>
      </c>
      <c r="AA639" s="101" t="s">
        <v>531</v>
      </c>
      <c r="AB639" s="101">
        <v>3101053435</v>
      </c>
      <c r="AC639" s="101" t="s">
        <v>431</v>
      </c>
      <c r="AD639" s="101" t="s">
        <v>431</v>
      </c>
      <c r="AE639" s="101" t="s">
        <v>75</v>
      </c>
      <c r="AF639" s="101" t="s">
        <v>400</v>
      </c>
      <c r="AG639" s="101" t="s">
        <v>532</v>
      </c>
      <c r="AI639" s="101" t="s">
        <v>760</v>
      </c>
    </row>
    <row r="640" spans="1:35">
      <c r="A640" s="246" t="s">
        <v>109</v>
      </c>
      <c r="B640" s="246" t="s">
        <v>66</v>
      </c>
      <c r="C640" s="246" t="s">
        <v>116</v>
      </c>
      <c r="D640" s="246" t="s">
        <v>338</v>
      </c>
      <c r="E640" s="246"/>
      <c r="F640" s="246"/>
      <c r="G640" s="132">
        <v>26000000</v>
      </c>
      <c r="H640" s="132" t="s">
        <v>1457</v>
      </c>
      <c r="I640" s="132">
        <v>26000000</v>
      </c>
      <c r="J640" s="101" t="s">
        <v>889</v>
      </c>
      <c r="K640" s="245" t="s">
        <v>390</v>
      </c>
      <c r="L640" s="245">
        <v>42536</v>
      </c>
      <c r="M640" s="245" t="s">
        <v>421</v>
      </c>
      <c r="N640" s="101">
        <v>0</v>
      </c>
      <c r="O640" s="101" t="s">
        <v>392</v>
      </c>
      <c r="P640" s="101">
        <v>0</v>
      </c>
      <c r="Q640" s="101">
        <v>0</v>
      </c>
      <c r="R640" s="101" t="s">
        <v>450</v>
      </c>
      <c r="S640" s="101">
        <v>193087</v>
      </c>
      <c r="T640" s="101" t="s">
        <v>394</v>
      </c>
      <c r="V640" s="245">
        <v>42536</v>
      </c>
      <c r="W640" s="101" t="s">
        <v>441</v>
      </c>
      <c r="X640" s="101" t="s">
        <v>76</v>
      </c>
      <c r="Y640" s="101" t="s">
        <v>392</v>
      </c>
      <c r="Z640" s="101" t="s">
        <v>430</v>
      </c>
      <c r="AA640" s="101" t="s">
        <v>531</v>
      </c>
      <c r="AB640" s="101">
        <v>3101053435</v>
      </c>
      <c r="AC640" s="101" t="s">
        <v>431</v>
      </c>
      <c r="AD640" s="101" t="s">
        <v>431</v>
      </c>
      <c r="AE640" s="101" t="s">
        <v>75</v>
      </c>
      <c r="AF640" s="101" t="s">
        <v>400</v>
      </c>
      <c r="AG640" s="101" t="s">
        <v>532</v>
      </c>
      <c r="AI640" s="101" t="s">
        <v>760</v>
      </c>
    </row>
    <row r="641" spans="1:35">
      <c r="A641" s="246" t="s">
        <v>107</v>
      </c>
      <c r="B641" s="246" t="s">
        <v>66</v>
      </c>
      <c r="C641" s="246" t="s">
        <v>126</v>
      </c>
      <c r="D641" s="246" t="s">
        <v>1769</v>
      </c>
      <c r="E641" s="246"/>
      <c r="F641" s="246"/>
      <c r="G641" s="132" t="s">
        <v>838</v>
      </c>
      <c r="H641" s="132" t="s">
        <v>1475</v>
      </c>
      <c r="I641" s="132">
        <v>-132684.68</v>
      </c>
      <c r="J641" s="101" t="s">
        <v>889</v>
      </c>
      <c r="K641" s="245" t="s">
        <v>390</v>
      </c>
      <c r="L641" s="245">
        <v>42522</v>
      </c>
      <c r="M641" s="245" t="s">
        <v>391</v>
      </c>
      <c r="N641" s="101">
        <v>0</v>
      </c>
      <c r="O641" s="101" t="s">
        <v>392</v>
      </c>
      <c r="P641" s="101">
        <v>0</v>
      </c>
      <c r="Q641" s="101">
        <v>0</v>
      </c>
      <c r="R641" s="101" t="s">
        <v>422</v>
      </c>
      <c r="S641" s="101" t="s">
        <v>637</v>
      </c>
      <c r="T641" s="101" t="s">
        <v>394</v>
      </c>
      <c r="U641" s="101" t="s">
        <v>84</v>
      </c>
      <c r="V641" s="245">
        <v>46600</v>
      </c>
      <c r="W641" s="101" t="s">
        <v>417</v>
      </c>
      <c r="X641" s="101" t="s">
        <v>76</v>
      </c>
      <c r="Y641" s="101" t="s">
        <v>392</v>
      </c>
      <c r="Z641" s="101" t="s">
        <v>412</v>
      </c>
      <c r="AA641" s="101" t="s">
        <v>638</v>
      </c>
      <c r="AB641" s="101">
        <v>3101051675</v>
      </c>
      <c r="AC641" s="101" t="s">
        <v>414</v>
      </c>
      <c r="AD641" s="101" t="s">
        <v>79</v>
      </c>
      <c r="AE641" s="101" t="s">
        <v>75</v>
      </c>
      <c r="AF641" s="101" t="s">
        <v>400</v>
      </c>
      <c r="AI641" s="101" t="s">
        <v>172</v>
      </c>
    </row>
    <row r="642" spans="1:35">
      <c r="A642" s="246" t="s">
        <v>107</v>
      </c>
      <c r="B642" s="246" t="s">
        <v>66</v>
      </c>
      <c r="C642" s="246" t="s">
        <v>264</v>
      </c>
      <c r="D642" s="246" t="s">
        <v>1775</v>
      </c>
      <c r="E642" s="246"/>
      <c r="F642" s="246"/>
      <c r="G642" s="132">
        <v>3267000</v>
      </c>
      <c r="H642" s="132" t="s">
        <v>1476</v>
      </c>
      <c r="I642" s="132">
        <v>3267000</v>
      </c>
      <c r="J642" s="101" t="s">
        <v>889</v>
      </c>
      <c r="K642" s="245" t="s">
        <v>390</v>
      </c>
      <c r="L642" s="245">
        <v>42522</v>
      </c>
      <c r="M642" s="245" t="s">
        <v>421</v>
      </c>
      <c r="N642" s="101">
        <v>0</v>
      </c>
      <c r="O642" s="101" t="s">
        <v>392</v>
      </c>
      <c r="P642" s="101">
        <v>0</v>
      </c>
      <c r="Q642" s="101">
        <v>0</v>
      </c>
      <c r="R642" s="101" t="s">
        <v>410</v>
      </c>
      <c r="S642" s="101" t="s">
        <v>637</v>
      </c>
      <c r="T642" s="101" t="s">
        <v>394</v>
      </c>
      <c r="U642" s="101" t="s">
        <v>84</v>
      </c>
      <c r="V642" s="245">
        <v>46600</v>
      </c>
      <c r="W642" s="101" t="s">
        <v>417</v>
      </c>
      <c r="X642" s="101" t="s">
        <v>76</v>
      </c>
      <c r="Y642" s="101" t="s">
        <v>392</v>
      </c>
      <c r="Z642" s="101" t="s">
        <v>412</v>
      </c>
      <c r="AA642" s="101" t="s">
        <v>638</v>
      </c>
      <c r="AB642" s="101">
        <v>3101051675</v>
      </c>
      <c r="AC642" s="101" t="s">
        <v>414</v>
      </c>
      <c r="AD642" s="101" t="s">
        <v>79</v>
      </c>
      <c r="AE642" s="101" t="s">
        <v>75</v>
      </c>
      <c r="AF642" s="101" t="s">
        <v>400</v>
      </c>
      <c r="AI642" s="101" t="s">
        <v>172</v>
      </c>
    </row>
    <row r="643" spans="1:35">
      <c r="A643" s="246" t="s">
        <v>109</v>
      </c>
      <c r="B643" s="246" t="s">
        <v>66</v>
      </c>
      <c r="C643" s="246" t="s">
        <v>126</v>
      </c>
      <c r="D643" s="246" t="s">
        <v>272</v>
      </c>
      <c r="E643" s="246"/>
      <c r="F643" s="246"/>
      <c r="G643" s="132" t="s">
        <v>839</v>
      </c>
      <c r="H643" s="132" t="s">
        <v>1477</v>
      </c>
      <c r="I643" s="132">
        <v>-148113.09</v>
      </c>
      <c r="J643" s="101" t="s">
        <v>889</v>
      </c>
      <c r="K643" s="245" t="s">
        <v>390</v>
      </c>
      <c r="L643" s="245">
        <v>42552</v>
      </c>
      <c r="M643" s="245" t="s">
        <v>391</v>
      </c>
      <c r="N643" s="101">
        <v>0</v>
      </c>
      <c r="O643" s="101" t="s">
        <v>392</v>
      </c>
      <c r="P643" s="101">
        <v>0</v>
      </c>
      <c r="Q643" s="101">
        <v>0</v>
      </c>
      <c r="R643" s="101" t="s">
        <v>422</v>
      </c>
      <c r="S643" s="101" t="s">
        <v>637</v>
      </c>
      <c r="T643" s="101" t="s">
        <v>394</v>
      </c>
      <c r="U643" s="101" t="s">
        <v>84</v>
      </c>
      <c r="V643" s="245">
        <v>46600</v>
      </c>
      <c r="W643" s="101" t="s">
        <v>417</v>
      </c>
      <c r="X643" s="101" t="s">
        <v>76</v>
      </c>
      <c r="Y643" s="101" t="s">
        <v>392</v>
      </c>
      <c r="Z643" s="101" t="s">
        <v>412</v>
      </c>
      <c r="AA643" s="101" t="s">
        <v>638</v>
      </c>
      <c r="AB643" s="101">
        <v>3101051675</v>
      </c>
      <c r="AC643" s="101" t="s">
        <v>414</v>
      </c>
      <c r="AD643" s="101" t="s">
        <v>79</v>
      </c>
      <c r="AE643" s="101" t="s">
        <v>75</v>
      </c>
      <c r="AF643" s="101" t="s">
        <v>400</v>
      </c>
      <c r="AI643" s="101" t="s">
        <v>172</v>
      </c>
    </row>
    <row r="644" spans="1:35">
      <c r="A644" s="246" t="s">
        <v>109</v>
      </c>
      <c r="B644" s="246" t="s">
        <v>66</v>
      </c>
      <c r="C644" s="246" t="s">
        <v>264</v>
      </c>
      <c r="D644" s="246" t="s">
        <v>288</v>
      </c>
      <c r="E644" s="246"/>
      <c r="F644" s="246"/>
      <c r="G644" s="132">
        <v>3375900</v>
      </c>
      <c r="H644" s="132" t="s">
        <v>1478</v>
      </c>
      <c r="I644" s="132">
        <v>3375900</v>
      </c>
      <c r="J644" s="101" t="s">
        <v>889</v>
      </c>
      <c r="K644" s="245" t="s">
        <v>390</v>
      </c>
      <c r="L644" s="245">
        <v>42552</v>
      </c>
      <c r="M644" s="245" t="s">
        <v>421</v>
      </c>
      <c r="N644" s="101">
        <v>0</v>
      </c>
      <c r="O644" s="101" t="s">
        <v>392</v>
      </c>
      <c r="P644" s="101">
        <v>0</v>
      </c>
      <c r="Q644" s="101">
        <v>0</v>
      </c>
      <c r="R644" s="101" t="s">
        <v>410</v>
      </c>
      <c r="S644" s="101" t="s">
        <v>637</v>
      </c>
      <c r="T644" s="101" t="s">
        <v>394</v>
      </c>
      <c r="U644" s="101" t="s">
        <v>84</v>
      </c>
      <c r="V644" s="245">
        <v>46600</v>
      </c>
      <c r="W644" s="101" t="s">
        <v>417</v>
      </c>
      <c r="X644" s="101" t="s">
        <v>76</v>
      </c>
      <c r="Y644" s="101" t="s">
        <v>392</v>
      </c>
      <c r="Z644" s="101" t="s">
        <v>412</v>
      </c>
      <c r="AA644" s="101" t="s">
        <v>638</v>
      </c>
      <c r="AB644" s="101">
        <v>3101051675</v>
      </c>
      <c r="AC644" s="101" t="s">
        <v>414</v>
      </c>
      <c r="AD644" s="101" t="s">
        <v>79</v>
      </c>
      <c r="AE644" s="101" t="s">
        <v>75</v>
      </c>
      <c r="AF644" s="101" t="s">
        <v>400</v>
      </c>
      <c r="AI644" s="101" t="s">
        <v>172</v>
      </c>
    </row>
    <row r="645" spans="1:35">
      <c r="A645" s="246" t="s">
        <v>109</v>
      </c>
      <c r="B645" s="246" t="s">
        <v>66</v>
      </c>
      <c r="C645" s="246" t="s">
        <v>126</v>
      </c>
      <c r="D645" s="246" t="s">
        <v>272</v>
      </c>
      <c r="E645" s="246"/>
      <c r="F645" s="246"/>
      <c r="G645" s="132" t="s">
        <v>840</v>
      </c>
      <c r="H645" s="132" t="s">
        <v>1479</v>
      </c>
      <c r="I645" s="132">
        <v>-164055.77999999997</v>
      </c>
      <c r="J645" s="101" t="s">
        <v>889</v>
      </c>
      <c r="K645" s="245" t="s">
        <v>390</v>
      </c>
      <c r="L645" s="245">
        <v>42583</v>
      </c>
      <c r="M645" s="245" t="s">
        <v>391</v>
      </c>
      <c r="N645" s="101">
        <v>0</v>
      </c>
      <c r="O645" s="101" t="s">
        <v>392</v>
      </c>
      <c r="P645" s="101">
        <v>0</v>
      </c>
      <c r="Q645" s="101">
        <v>0</v>
      </c>
      <c r="R645" s="101" t="s">
        <v>422</v>
      </c>
      <c r="S645" s="101" t="s">
        <v>637</v>
      </c>
      <c r="T645" s="101" t="s">
        <v>394</v>
      </c>
      <c r="U645" s="101" t="s">
        <v>84</v>
      </c>
      <c r="V645" s="245">
        <v>46600</v>
      </c>
      <c r="W645" s="101" t="s">
        <v>417</v>
      </c>
      <c r="X645" s="101" t="s">
        <v>76</v>
      </c>
      <c r="Y645" s="101" t="s">
        <v>392</v>
      </c>
      <c r="Z645" s="101" t="s">
        <v>412</v>
      </c>
      <c r="AA645" s="101" t="s">
        <v>638</v>
      </c>
      <c r="AB645" s="101">
        <v>3101051675</v>
      </c>
      <c r="AC645" s="101" t="s">
        <v>414</v>
      </c>
      <c r="AD645" s="101" t="s">
        <v>79</v>
      </c>
      <c r="AE645" s="101" t="s">
        <v>75</v>
      </c>
      <c r="AF645" s="101" t="s">
        <v>400</v>
      </c>
      <c r="AI645" s="101" t="s">
        <v>172</v>
      </c>
    </row>
    <row r="646" spans="1:35">
      <c r="A646" s="246" t="s">
        <v>109</v>
      </c>
      <c r="B646" s="246" t="s">
        <v>66</v>
      </c>
      <c r="C646" s="246" t="s">
        <v>264</v>
      </c>
      <c r="D646" s="246" t="s">
        <v>288</v>
      </c>
      <c r="E646" s="246"/>
      <c r="F646" s="246"/>
      <c r="G646" s="132">
        <v>3267000</v>
      </c>
      <c r="H646" s="132" t="s">
        <v>1476</v>
      </c>
      <c r="I646" s="132">
        <v>3267000</v>
      </c>
      <c r="J646" s="101" t="s">
        <v>889</v>
      </c>
      <c r="K646" s="245" t="s">
        <v>390</v>
      </c>
      <c r="L646" s="245">
        <v>42583</v>
      </c>
      <c r="M646" s="245" t="s">
        <v>421</v>
      </c>
      <c r="N646" s="101">
        <v>0</v>
      </c>
      <c r="O646" s="101" t="s">
        <v>392</v>
      </c>
      <c r="P646" s="101">
        <v>0</v>
      </c>
      <c r="Q646" s="101">
        <v>0</v>
      </c>
      <c r="R646" s="101" t="s">
        <v>410</v>
      </c>
      <c r="S646" s="101" t="s">
        <v>637</v>
      </c>
      <c r="T646" s="101" t="s">
        <v>394</v>
      </c>
      <c r="U646" s="101" t="s">
        <v>84</v>
      </c>
      <c r="V646" s="245">
        <v>46600</v>
      </c>
      <c r="W646" s="101" t="s">
        <v>417</v>
      </c>
      <c r="X646" s="101" t="s">
        <v>76</v>
      </c>
      <c r="Y646" s="101" t="s">
        <v>392</v>
      </c>
      <c r="Z646" s="101" t="s">
        <v>412</v>
      </c>
      <c r="AA646" s="101" t="s">
        <v>638</v>
      </c>
      <c r="AB646" s="101">
        <v>3101051675</v>
      </c>
      <c r="AC646" s="101" t="s">
        <v>414</v>
      </c>
      <c r="AD646" s="101" t="s">
        <v>79</v>
      </c>
      <c r="AE646" s="101" t="s">
        <v>75</v>
      </c>
      <c r="AF646" s="101" t="s">
        <v>400</v>
      </c>
      <c r="AI646" s="101" t="s">
        <v>172</v>
      </c>
    </row>
    <row r="647" spans="1:35">
      <c r="A647" s="246" t="s">
        <v>109</v>
      </c>
      <c r="B647" s="246" t="s">
        <v>66</v>
      </c>
      <c r="C647" s="246" t="s">
        <v>264</v>
      </c>
      <c r="D647" s="246" t="s">
        <v>288</v>
      </c>
      <c r="E647" s="246"/>
      <c r="F647" s="246"/>
      <c r="G647" s="132" t="s">
        <v>639</v>
      </c>
      <c r="H647" s="132" t="s">
        <v>1480</v>
      </c>
      <c r="I647" s="132">
        <v>-37896333.899999999</v>
      </c>
      <c r="J647" s="101" t="s">
        <v>889</v>
      </c>
      <c r="K647" s="245" t="s">
        <v>390</v>
      </c>
      <c r="L647" s="245">
        <v>42584</v>
      </c>
      <c r="M647" s="245" t="s">
        <v>421</v>
      </c>
      <c r="N647" s="101">
        <v>0</v>
      </c>
      <c r="O647" s="101" t="s">
        <v>392</v>
      </c>
      <c r="P647" s="101">
        <v>0</v>
      </c>
      <c r="Q647" s="101">
        <v>0</v>
      </c>
      <c r="R647" s="101" t="s">
        <v>422</v>
      </c>
      <c r="S647" s="101" t="s">
        <v>637</v>
      </c>
      <c r="T647" s="101" t="s">
        <v>394</v>
      </c>
      <c r="U647" s="101" t="s">
        <v>84</v>
      </c>
      <c r="V647" s="245">
        <v>46600</v>
      </c>
      <c r="W647" s="101" t="s">
        <v>417</v>
      </c>
      <c r="X647" s="101" t="s">
        <v>76</v>
      </c>
      <c r="Y647" s="101" t="s">
        <v>392</v>
      </c>
      <c r="Z647" s="101" t="s">
        <v>412</v>
      </c>
      <c r="AA647" s="101" t="s">
        <v>638</v>
      </c>
      <c r="AB647" s="101">
        <v>3101051675</v>
      </c>
      <c r="AC647" s="101" t="s">
        <v>414</v>
      </c>
      <c r="AD647" s="101" t="s">
        <v>79</v>
      </c>
      <c r="AE647" s="101" t="s">
        <v>75</v>
      </c>
      <c r="AF647" s="101" t="s">
        <v>400</v>
      </c>
      <c r="AI647" s="101" t="s">
        <v>172</v>
      </c>
    </row>
    <row r="648" spans="1:35">
      <c r="A648" s="246" t="s">
        <v>110</v>
      </c>
      <c r="B648" s="246" t="s">
        <v>66</v>
      </c>
      <c r="C648" s="246" t="s">
        <v>126</v>
      </c>
      <c r="D648" s="246" t="s">
        <v>281</v>
      </c>
      <c r="E648" s="246"/>
      <c r="F648" s="246"/>
      <c r="G648" s="132" t="s">
        <v>841</v>
      </c>
      <c r="H648" s="132" t="s">
        <v>1481</v>
      </c>
      <c r="I648" s="132">
        <v>-6484.2699999999995</v>
      </c>
      <c r="J648" s="101" t="s">
        <v>889</v>
      </c>
      <c r="K648" s="245" t="s">
        <v>390</v>
      </c>
      <c r="L648" s="245">
        <v>42614</v>
      </c>
      <c r="M648" s="245" t="s">
        <v>391</v>
      </c>
      <c r="N648" s="101">
        <v>0</v>
      </c>
      <c r="O648" s="101" t="s">
        <v>392</v>
      </c>
      <c r="P648" s="101">
        <v>0</v>
      </c>
      <c r="Q648" s="101">
        <v>0</v>
      </c>
      <c r="R648" s="101" t="s">
        <v>422</v>
      </c>
      <c r="S648" s="101" t="s">
        <v>637</v>
      </c>
      <c r="T648" s="101" t="s">
        <v>394</v>
      </c>
      <c r="U648" s="101" t="s">
        <v>84</v>
      </c>
      <c r="V648" s="245">
        <v>46600</v>
      </c>
      <c r="W648" s="101" t="s">
        <v>417</v>
      </c>
      <c r="X648" s="101" t="s">
        <v>76</v>
      </c>
      <c r="Y648" s="101" t="s">
        <v>392</v>
      </c>
      <c r="Z648" s="101" t="s">
        <v>412</v>
      </c>
      <c r="AA648" s="101" t="s">
        <v>638</v>
      </c>
      <c r="AB648" s="101">
        <v>3101051675</v>
      </c>
      <c r="AC648" s="101" t="s">
        <v>414</v>
      </c>
      <c r="AD648" s="101" t="s">
        <v>79</v>
      </c>
      <c r="AE648" s="101" t="s">
        <v>75</v>
      </c>
      <c r="AF648" s="101" t="s">
        <v>400</v>
      </c>
      <c r="AI648" s="101" t="s">
        <v>172</v>
      </c>
    </row>
    <row r="649" spans="1:35">
      <c r="A649" s="246" t="s">
        <v>110</v>
      </c>
      <c r="B649" s="246" t="s">
        <v>66</v>
      </c>
      <c r="C649" s="246" t="s">
        <v>264</v>
      </c>
      <c r="D649" s="246" t="s">
        <v>289</v>
      </c>
      <c r="E649" s="246"/>
      <c r="F649" s="246"/>
      <c r="G649" s="132">
        <v>3375900</v>
      </c>
      <c r="H649" s="132" t="s">
        <v>1478</v>
      </c>
      <c r="I649" s="132">
        <v>3375900</v>
      </c>
      <c r="J649" s="101" t="s">
        <v>889</v>
      </c>
      <c r="K649" s="245" t="s">
        <v>390</v>
      </c>
      <c r="L649" s="245">
        <v>42614</v>
      </c>
      <c r="M649" s="245" t="s">
        <v>421</v>
      </c>
      <c r="N649" s="101">
        <v>0</v>
      </c>
      <c r="O649" s="101" t="s">
        <v>392</v>
      </c>
      <c r="P649" s="101">
        <v>0</v>
      </c>
      <c r="Q649" s="101">
        <v>0</v>
      </c>
      <c r="R649" s="101" t="s">
        <v>410</v>
      </c>
      <c r="S649" s="101" t="s">
        <v>637</v>
      </c>
      <c r="T649" s="101" t="s">
        <v>394</v>
      </c>
      <c r="U649" s="101" t="s">
        <v>84</v>
      </c>
      <c r="V649" s="245">
        <v>46600</v>
      </c>
      <c r="W649" s="101" t="s">
        <v>417</v>
      </c>
      <c r="X649" s="101" t="s">
        <v>76</v>
      </c>
      <c r="Y649" s="101" t="s">
        <v>392</v>
      </c>
      <c r="Z649" s="101" t="s">
        <v>412</v>
      </c>
      <c r="AA649" s="101" t="s">
        <v>638</v>
      </c>
      <c r="AB649" s="101">
        <v>3101051675</v>
      </c>
      <c r="AC649" s="101" t="s">
        <v>414</v>
      </c>
      <c r="AD649" s="101" t="s">
        <v>79</v>
      </c>
      <c r="AE649" s="101" t="s">
        <v>75</v>
      </c>
      <c r="AF649" s="101" t="s">
        <v>400</v>
      </c>
      <c r="AI649" s="101" t="s">
        <v>172</v>
      </c>
    </row>
    <row r="650" spans="1:35">
      <c r="A650" s="246" t="s">
        <v>110</v>
      </c>
      <c r="B650" s="246" t="s">
        <v>66</v>
      </c>
      <c r="C650" s="246" t="s">
        <v>126</v>
      </c>
      <c r="D650" s="246" t="s">
        <v>281</v>
      </c>
      <c r="E650" s="246"/>
      <c r="F650" s="246"/>
      <c r="G650" s="132" t="s">
        <v>830</v>
      </c>
      <c r="H650" s="132" t="s">
        <v>1482</v>
      </c>
      <c r="I650" s="132">
        <v>-16461.439999999999</v>
      </c>
      <c r="J650" s="101" t="s">
        <v>889</v>
      </c>
      <c r="K650" s="245" t="s">
        <v>390</v>
      </c>
      <c r="L650" s="245">
        <v>42644</v>
      </c>
      <c r="M650" s="245" t="s">
        <v>391</v>
      </c>
      <c r="N650" s="101">
        <v>0</v>
      </c>
      <c r="O650" s="101" t="s">
        <v>392</v>
      </c>
      <c r="P650" s="101">
        <v>0</v>
      </c>
      <c r="Q650" s="101">
        <v>0</v>
      </c>
      <c r="R650" s="101" t="s">
        <v>422</v>
      </c>
      <c r="S650" s="101" t="s">
        <v>637</v>
      </c>
      <c r="T650" s="101" t="s">
        <v>394</v>
      </c>
      <c r="U650" s="101" t="s">
        <v>84</v>
      </c>
      <c r="V650" s="245">
        <v>46600</v>
      </c>
      <c r="W650" s="101" t="s">
        <v>417</v>
      </c>
      <c r="X650" s="101" t="s">
        <v>76</v>
      </c>
      <c r="Y650" s="101" t="s">
        <v>392</v>
      </c>
      <c r="Z650" s="101" t="s">
        <v>412</v>
      </c>
      <c r="AA650" s="101" t="s">
        <v>638</v>
      </c>
      <c r="AB650" s="101">
        <v>3101051675</v>
      </c>
      <c r="AC650" s="101" t="s">
        <v>414</v>
      </c>
      <c r="AD650" s="101" t="s">
        <v>79</v>
      </c>
      <c r="AE650" s="101" t="s">
        <v>75</v>
      </c>
      <c r="AF650" s="101" t="s">
        <v>400</v>
      </c>
      <c r="AI650" s="101" t="s">
        <v>172</v>
      </c>
    </row>
    <row r="651" spans="1:35">
      <c r="A651" s="246" t="s">
        <v>110</v>
      </c>
      <c r="B651" s="246" t="s">
        <v>66</v>
      </c>
      <c r="C651" s="246" t="s">
        <v>264</v>
      </c>
      <c r="D651" s="246" t="s">
        <v>289</v>
      </c>
      <c r="E651" s="246"/>
      <c r="F651" s="246"/>
      <c r="G651" s="132">
        <v>3375900</v>
      </c>
      <c r="H651" s="132" t="s">
        <v>1478</v>
      </c>
      <c r="I651" s="132">
        <v>3375900</v>
      </c>
      <c r="J651" s="101" t="s">
        <v>889</v>
      </c>
      <c r="K651" s="245" t="s">
        <v>390</v>
      </c>
      <c r="L651" s="245">
        <v>42644</v>
      </c>
      <c r="M651" s="245" t="s">
        <v>421</v>
      </c>
      <c r="N651" s="101">
        <v>0</v>
      </c>
      <c r="O651" s="101" t="s">
        <v>392</v>
      </c>
      <c r="P651" s="101">
        <v>0</v>
      </c>
      <c r="Q651" s="101">
        <v>0</v>
      </c>
      <c r="R651" s="101" t="s">
        <v>410</v>
      </c>
      <c r="S651" s="101" t="s">
        <v>637</v>
      </c>
      <c r="T651" s="101" t="s">
        <v>394</v>
      </c>
      <c r="U651" s="101" t="s">
        <v>84</v>
      </c>
      <c r="V651" s="245">
        <v>46600</v>
      </c>
      <c r="W651" s="101" t="s">
        <v>417</v>
      </c>
      <c r="X651" s="101" t="s">
        <v>76</v>
      </c>
      <c r="Y651" s="101" t="s">
        <v>392</v>
      </c>
      <c r="Z651" s="101" t="s">
        <v>412</v>
      </c>
      <c r="AA651" s="101" t="s">
        <v>638</v>
      </c>
      <c r="AB651" s="101">
        <v>3101051675</v>
      </c>
      <c r="AC651" s="101" t="s">
        <v>414</v>
      </c>
      <c r="AD651" s="101" t="s">
        <v>79</v>
      </c>
      <c r="AE651" s="101" t="s">
        <v>75</v>
      </c>
      <c r="AF651" s="101" t="s">
        <v>400</v>
      </c>
      <c r="AI651" s="101" t="s">
        <v>172</v>
      </c>
    </row>
    <row r="652" spans="1:35">
      <c r="A652" s="246" t="s">
        <v>110</v>
      </c>
      <c r="B652" s="246" t="s">
        <v>66</v>
      </c>
      <c r="C652" s="246" t="s">
        <v>126</v>
      </c>
      <c r="D652" s="246" t="s">
        <v>281</v>
      </c>
      <c r="E652" s="246"/>
      <c r="F652" s="246"/>
      <c r="G652" s="132" t="s">
        <v>831</v>
      </c>
      <c r="H652" s="132" t="s">
        <v>1483</v>
      </c>
      <c r="I652" s="132">
        <v>-32404.12</v>
      </c>
      <c r="J652" s="101" t="s">
        <v>889</v>
      </c>
      <c r="K652" s="245" t="s">
        <v>390</v>
      </c>
      <c r="L652" s="245">
        <v>42675</v>
      </c>
      <c r="M652" s="245" t="s">
        <v>391</v>
      </c>
      <c r="N652" s="101">
        <v>0</v>
      </c>
      <c r="O652" s="101" t="s">
        <v>392</v>
      </c>
      <c r="P652" s="101">
        <v>0</v>
      </c>
      <c r="Q652" s="101">
        <v>0</v>
      </c>
      <c r="R652" s="101" t="s">
        <v>422</v>
      </c>
      <c r="S652" s="101" t="s">
        <v>637</v>
      </c>
      <c r="T652" s="101" t="s">
        <v>394</v>
      </c>
      <c r="U652" s="101" t="s">
        <v>84</v>
      </c>
      <c r="V652" s="245">
        <v>46600</v>
      </c>
      <c r="W652" s="101" t="s">
        <v>417</v>
      </c>
      <c r="X652" s="101" t="s">
        <v>76</v>
      </c>
      <c r="Y652" s="101" t="s">
        <v>392</v>
      </c>
      <c r="Z652" s="101" t="s">
        <v>412</v>
      </c>
      <c r="AA652" s="101" t="s">
        <v>638</v>
      </c>
      <c r="AB652" s="101">
        <v>3101051675</v>
      </c>
      <c r="AC652" s="101" t="s">
        <v>414</v>
      </c>
      <c r="AD652" s="101" t="s">
        <v>79</v>
      </c>
      <c r="AE652" s="101" t="s">
        <v>75</v>
      </c>
      <c r="AF652" s="101" t="s">
        <v>400</v>
      </c>
      <c r="AI652" s="101" t="s">
        <v>172</v>
      </c>
    </row>
    <row r="653" spans="1:35">
      <c r="A653" s="246" t="s">
        <v>110</v>
      </c>
      <c r="B653" s="246" t="s">
        <v>66</v>
      </c>
      <c r="C653" s="246" t="s">
        <v>264</v>
      </c>
      <c r="D653" s="246" t="s">
        <v>289</v>
      </c>
      <c r="E653" s="246"/>
      <c r="F653" s="246"/>
      <c r="G653" s="132">
        <v>3267000</v>
      </c>
      <c r="H653" s="132" t="s">
        <v>1476</v>
      </c>
      <c r="I653" s="132">
        <v>3267000</v>
      </c>
      <c r="J653" s="101" t="s">
        <v>889</v>
      </c>
      <c r="K653" s="245" t="s">
        <v>390</v>
      </c>
      <c r="L653" s="245">
        <v>42675</v>
      </c>
      <c r="M653" s="245" t="s">
        <v>421</v>
      </c>
      <c r="N653" s="101">
        <v>0</v>
      </c>
      <c r="O653" s="101" t="s">
        <v>392</v>
      </c>
      <c r="P653" s="101">
        <v>0</v>
      </c>
      <c r="Q653" s="101">
        <v>0</v>
      </c>
      <c r="R653" s="101" t="s">
        <v>410</v>
      </c>
      <c r="S653" s="101" t="s">
        <v>637</v>
      </c>
      <c r="T653" s="101" t="s">
        <v>394</v>
      </c>
      <c r="U653" s="101" t="s">
        <v>84</v>
      </c>
      <c r="V653" s="245">
        <v>46600</v>
      </c>
      <c r="W653" s="101" t="s">
        <v>417</v>
      </c>
      <c r="X653" s="101" t="s">
        <v>76</v>
      </c>
      <c r="Y653" s="101" t="s">
        <v>392</v>
      </c>
      <c r="Z653" s="101" t="s">
        <v>412</v>
      </c>
      <c r="AA653" s="101" t="s">
        <v>638</v>
      </c>
      <c r="AB653" s="101">
        <v>3101051675</v>
      </c>
      <c r="AC653" s="101" t="s">
        <v>414</v>
      </c>
      <c r="AD653" s="101" t="s">
        <v>79</v>
      </c>
      <c r="AE653" s="101" t="s">
        <v>75</v>
      </c>
      <c r="AF653" s="101" t="s">
        <v>400</v>
      </c>
      <c r="AI653" s="101" t="s">
        <v>172</v>
      </c>
    </row>
    <row r="654" spans="1:35">
      <c r="A654" s="246" t="s">
        <v>111</v>
      </c>
      <c r="B654" s="246" t="s">
        <v>66</v>
      </c>
      <c r="C654" s="246" t="s">
        <v>126</v>
      </c>
      <c r="D654" s="246" t="s">
        <v>273</v>
      </c>
      <c r="E654" s="246"/>
      <c r="F654" s="246"/>
      <c r="G654" s="132" t="s">
        <v>832</v>
      </c>
      <c r="H654" s="132" t="s">
        <v>1484</v>
      </c>
      <c r="I654" s="132">
        <v>-47832.53</v>
      </c>
      <c r="J654" s="101" t="s">
        <v>889</v>
      </c>
      <c r="K654" s="245" t="s">
        <v>390</v>
      </c>
      <c r="L654" s="245">
        <v>42705</v>
      </c>
      <c r="M654" s="245" t="s">
        <v>391</v>
      </c>
      <c r="N654" s="101">
        <v>0</v>
      </c>
      <c r="O654" s="101" t="s">
        <v>392</v>
      </c>
      <c r="P654" s="101">
        <v>0</v>
      </c>
      <c r="Q654" s="101">
        <v>0</v>
      </c>
      <c r="R654" s="101" t="s">
        <v>422</v>
      </c>
      <c r="S654" s="101" t="s">
        <v>637</v>
      </c>
      <c r="T654" s="101" t="s">
        <v>394</v>
      </c>
      <c r="U654" s="101" t="s">
        <v>84</v>
      </c>
      <c r="V654" s="245">
        <v>46600</v>
      </c>
      <c r="W654" s="101" t="s">
        <v>417</v>
      </c>
      <c r="X654" s="101" t="s">
        <v>76</v>
      </c>
      <c r="Y654" s="101" t="s">
        <v>392</v>
      </c>
      <c r="Z654" s="101" t="s">
        <v>412</v>
      </c>
      <c r="AA654" s="101" t="s">
        <v>638</v>
      </c>
      <c r="AB654" s="101">
        <v>3101051675</v>
      </c>
      <c r="AC654" s="101" t="s">
        <v>414</v>
      </c>
      <c r="AD654" s="101" t="s">
        <v>79</v>
      </c>
      <c r="AE654" s="101" t="s">
        <v>75</v>
      </c>
      <c r="AF654" s="101" t="s">
        <v>400</v>
      </c>
      <c r="AI654" s="101" t="s">
        <v>172</v>
      </c>
    </row>
    <row r="655" spans="1:35">
      <c r="A655" s="246" t="s">
        <v>111</v>
      </c>
      <c r="B655" s="246" t="s">
        <v>66</v>
      </c>
      <c r="C655" s="246" t="s">
        <v>264</v>
      </c>
      <c r="D655" s="246" t="s">
        <v>284</v>
      </c>
      <c r="E655" s="246"/>
      <c r="F655" s="246"/>
      <c r="G655" s="132">
        <v>3375900</v>
      </c>
      <c r="H655" s="132" t="s">
        <v>1478</v>
      </c>
      <c r="I655" s="132">
        <v>3375900</v>
      </c>
      <c r="J655" s="101" t="s">
        <v>889</v>
      </c>
      <c r="K655" s="245" t="s">
        <v>390</v>
      </c>
      <c r="L655" s="245">
        <v>42705</v>
      </c>
      <c r="M655" s="245" t="s">
        <v>421</v>
      </c>
      <c r="N655" s="101">
        <v>0</v>
      </c>
      <c r="O655" s="101" t="s">
        <v>392</v>
      </c>
      <c r="P655" s="101">
        <v>0</v>
      </c>
      <c r="Q655" s="101">
        <v>0</v>
      </c>
      <c r="R655" s="101" t="s">
        <v>410</v>
      </c>
      <c r="S655" s="101" t="s">
        <v>637</v>
      </c>
      <c r="T655" s="101" t="s">
        <v>394</v>
      </c>
      <c r="U655" s="101" t="s">
        <v>84</v>
      </c>
      <c r="V655" s="245">
        <v>46600</v>
      </c>
      <c r="W655" s="101" t="s">
        <v>417</v>
      </c>
      <c r="X655" s="101" t="s">
        <v>76</v>
      </c>
      <c r="Y655" s="101" t="s">
        <v>392</v>
      </c>
      <c r="Z655" s="101" t="s">
        <v>412</v>
      </c>
      <c r="AA655" s="101" t="s">
        <v>638</v>
      </c>
      <c r="AB655" s="101">
        <v>3101051675</v>
      </c>
      <c r="AC655" s="101" t="s">
        <v>414</v>
      </c>
      <c r="AD655" s="101" t="s">
        <v>79</v>
      </c>
      <c r="AE655" s="101" t="s">
        <v>75</v>
      </c>
      <c r="AF655" s="101" t="s">
        <v>400</v>
      </c>
      <c r="AI655" s="101" t="s">
        <v>172</v>
      </c>
    </row>
    <row r="656" spans="1:35">
      <c r="A656" s="246" t="s">
        <v>111</v>
      </c>
      <c r="B656" s="246" t="s">
        <v>66</v>
      </c>
      <c r="C656" s="246" t="s">
        <v>126</v>
      </c>
      <c r="D656" s="246" t="s">
        <v>273</v>
      </c>
      <c r="E656" s="246"/>
      <c r="F656" s="246"/>
      <c r="G656" s="132" t="s">
        <v>833</v>
      </c>
      <c r="H656" s="132" t="s">
        <v>1485</v>
      </c>
      <c r="I656" s="132">
        <v>-63775.219999999994</v>
      </c>
      <c r="J656" s="101" t="s">
        <v>889</v>
      </c>
      <c r="K656" s="245" t="s">
        <v>390</v>
      </c>
      <c r="L656" s="245">
        <v>42736</v>
      </c>
      <c r="M656" s="245" t="s">
        <v>391</v>
      </c>
      <c r="N656" s="101">
        <v>0</v>
      </c>
      <c r="O656" s="101" t="s">
        <v>392</v>
      </c>
      <c r="P656" s="101">
        <v>0</v>
      </c>
      <c r="Q656" s="101">
        <v>0</v>
      </c>
      <c r="R656" s="101" t="s">
        <v>422</v>
      </c>
      <c r="S656" s="101" t="s">
        <v>637</v>
      </c>
      <c r="T656" s="101" t="s">
        <v>394</v>
      </c>
      <c r="U656" s="101" t="s">
        <v>84</v>
      </c>
      <c r="V656" s="245">
        <v>46600</v>
      </c>
      <c r="W656" s="101" t="s">
        <v>417</v>
      </c>
      <c r="X656" s="101" t="s">
        <v>76</v>
      </c>
      <c r="Y656" s="101" t="s">
        <v>392</v>
      </c>
      <c r="Z656" s="101" t="s">
        <v>412</v>
      </c>
      <c r="AA656" s="101" t="s">
        <v>638</v>
      </c>
      <c r="AB656" s="101">
        <v>3101051675</v>
      </c>
      <c r="AC656" s="101" t="s">
        <v>414</v>
      </c>
      <c r="AD656" s="101" t="s">
        <v>79</v>
      </c>
      <c r="AE656" s="101" t="s">
        <v>75</v>
      </c>
      <c r="AF656" s="101" t="s">
        <v>400</v>
      </c>
      <c r="AI656" s="101" t="s">
        <v>172</v>
      </c>
    </row>
    <row r="657" spans="1:35">
      <c r="A657" s="246" t="s">
        <v>111</v>
      </c>
      <c r="B657" s="246" t="s">
        <v>66</v>
      </c>
      <c r="C657" s="246" t="s">
        <v>264</v>
      </c>
      <c r="D657" s="246" t="s">
        <v>284</v>
      </c>
      <c r="E657" s="246"/>
      <c r="F657" s="246"/>
      <c r="G657" s="132">
        <v>4573800</v>
      </c>
      <c r="H657" s="132" t="s">
        <v>1486</v>
      </c>
      <c r="I657" s="132">
        <v>4573800</v>
      </c>
      <c r="J657" s="101" t="s">
        <v>889</v>
      </c>
      <c r="K657" s="245" t="s">
        <v>390</v>
      </c>
      <c r="L657" s="245">
        <v>42736</v>
      </c>
      <c r="M657" s="245" t="s">
        <v>421</v>
      </c>
      <c r="N657" s="101">
        <v>0</v>
      </c>
      <c r="O657" s="101" t="s">
        <v>392</v>
      </c>
      <c r="P657" s="101">
        <v>0</v>
      </c>
      <c r="Q657" s="101">
        <v>0</v>
      </c>
      <c r="R657" s="101" t="s">
        <v>410</v>
      </c>
      <c r="S657" s="101" t="s">
        <v>637</v>
      </c>
      <c r="T657" s="101" t="s">
        <v>394</v>
      </c>
      <c r="U657" s="101" t="s">
        <v>84</v>
      </c>
      <c r="V657" s="245">
        <v>46600</v>
      </c>
      <c r="W657" s="101" t="s">
        <v>417</v>
      </c>
      <c r="X657" s="101" t="s">
        <v>76</v>
      </c>
      <c r="Y657" s="101" t="s">
        <v>392</v>
      </c>
      <c r="Z657" s="101" t="s">
        <v>412</v>
      </c>
      <c r="AA657" s="101" t="s">
        <v>638</v>
      </c>
      <c r="AB657" s="101">
        <v>3101051675</v>
      </c>
      <c r="AC657" s="101" t="s">
        <v>414</v>
      </c>
      <c r="AD657" s="101" t="s">
        <v>79</v>
      </c>
      <c r="AE657" s="101" t="s">
        <v>75</v>
      </c>
      <c r="AF657" s="101" t="s">
        <v>400</v>
      </c>
      <c r="AI657" s="101" t="s">
        <v>172</v>
      </c>
    </row>
    <row r="658" spans="1:35">
      <c r="A658" s="246" t="s">
        <v>111</v>
      </c>
      <c r="B658" s="246" t="s">
        <v>66</v>
      </c>
      <c r="C658" s="246" t="s">
        <v>126</v>
      </c>
      <c r="D658" s="246" t="s">
        <v>273</v>
      </c>
      <c r="E658" s="246"/>
      <c r="F658" s="246"/>
      <c r="G658" s="132" t="s">
        <v>834</v>
      </c>
      <c r="H658" s="132" t="s">
        <v>1487</v>
      </c>
      <c r="I658" s="132">
        <v>-85374.989999999991</v>
      </c>
      <c r="J658" s="101" t="s">
        <v>889</v>
      </c>
      <c r="K658" s="245" t="s">
        <v>390</v>
      </c>
      <c r="L658" s="245">
        <v>42767</v>
      </c>
      <c r="M658" s="245" t="s">
        <v>391</v>
      </c>
      <c r="N658" s="101">
        <v>0</v>
      </c>
      <c r="O658" s="101" t="s">
        <v>392</v>
      </c>
      <c r="P658" s="101">
        <v>0</v>
      </c>
      <c r="Q658" s="101">
        <v>0</v>
      </c>
      <c r="R658" s="101" t="s">
        <v>422</v>
      </c>
      <c r="S658" s="101" t="s">
        <v>637</v>
      </c>
      <c r="T658" s="101" t="s">
        <v>394</v>
      </c>
      <c r="U658" s="101" t="s">
        <v>84</v>
      </c>
      <c r="V658" s="245">
        <v>46600</v>
      </c>
      <c r="W658" s="101" t="s">
        <v>417</v>
      </c>
      <c r="X658" s="101" t="s">
        <v>76</v>
      </c>
      <c r="Y658" s="101" t="s">
        <v>392</v>
      </c>
      <c r="Z658" s="101" t="s">
        <v>412</v>
      </c>
      <c r="AA658" s="101" t="s">
        <v>638</v>
      </c>
      <c r="AB658" s="101">
        <v>3101051675</v>
      </c>
      <c r="AC658" s="101" t="s">
        <v>414</v>
      </c>
      <c r="AD658" s="101" t="s">
        <v>79</v>
      </c>
      <c r="AE658" s="101" t="s">
        <v>75</v>
      </c>
      <c r="AF658" s="101" t="s">
        <v>400</v>
      </c>
      <c r="AI658" s="101" t="s">
        <v>172</v>
      </c>
    </row>
    <row r="659" spans="1:35">
      <c r="A659" s="246" t="s">
        <v>111</v>
      </c>
      <c r="B659" s="246" t="s">
        <v>66</v>
      </c>
      <c r="C659" s="246" t="s">
        <v>264</v>
      </c>
      <c r="D659" s="246" t="s">
        <v>284</v>
      </c>
      <c r="E659" s="246"/>
      <c r="F659" s="246"/>
      <c r="G659" s="132">
        <v>4951320</v>
      </c>
      <c r="H659" s="132" t="s">
        <v>1488</v>
      </c>
      <c r="I659" s="132">
        <v>4951320</v>
      </c>
      <c r="J659" s="101" t="s">
        <v>889</v>
      </c>
      <c r="K659" s="245" t="s">
        <v>390</v>
      </c>
      <c r="L659" s="245">
        <v>42767</v>
      </c>
      <c r="M659" s="245" t="s">
        <v>421</v>
      </c>
      <c r="N659" s="101">
        <v>0</v>
      </c>
      <c r="O659" s="101" t="s">
        <v>392</v>
      </c>
      <c r="P659" s="101">
        <v>0</v>
      </c>
      <c r="Q659" s="101">
        <v>0</v>
      </c>
      <c r="R659" s="101" t="s">
        <v>410</v>
      </c>
      <c r="S659" s="101" t="s">
        <v>637</v>
      </c>
      <c r="T659" s="101" t="s">
        <v>394</v>
      </c>
      <c r="U659" s="101" t="s">
        <v>84</v>
      </c>
      <c r="V659" s="245">
        <v>46600</v>
      </c>
      <c r="W659" s="101" t="s">
        <v>417</v>
      </c>
      <c r="X659" s="101" t="s">
        <v>76</v>
      </c>
      <c r="Y659" s="101" t="s">
        <v>392</v>
      </c>
      <c r="Z659" s="101" t="s">
        <v>412</v>
      </c>
      <c r="AA659" s="101" t="s">
        <v>638</v>
      </c>
      <c r="AB659" s="101">
        <v>3101051675</v>
      </c>
      <c r="AC659" s="101" t="s">
        <v>414</v>
      </c>
      <c r="AD659" s="101" t="s">
        <v>79</v>
      </c>
      <c r="AE659" s="101" t="s">
        <v>75</v>
      </c>
      <c r="AF659" s="101" t="s">
        <v>400</v>
      </c>
      <c r="AI659" s="101" t="s">
        <v>172</v>
      </c>
    </row>
    <row r="660" spans="1:35">
      <c r="A660" s="246" t="s">
        <v>111</v>
      </c>
      <c r="B660" s="246" t="s">
        <v>66</v>
      </c>
      <c r="C660" s="246" t="s">
        <v>264</v>
      </c>
      <c r="D660" s="246" t="s">
        <v>284</v>
      </c>
      <c r="E660" s="246"/>
      <c r="F660" s="246"/>
      <c r="G660" s="132" t="s">
        <v>640</v>
      </c>
      <c r="H660" s="132" t="s">
        <v>1489</v>
      </c>
      <c r="I660" s="132">
        <v>-8888156.25</v>
      </c>
      <c r="J660" s="101" t="s">
        <v>889</v>
      </c>
      <c r="K660" s="245" t="s">
        <v>390</v>
      </c>
      <c r="L660" s="245">
        <v>42768</v>
      </c>
      <c r="M660" s="245" t="s">
        <v>421</v>
      </c>
      <c r="N660" s="101">
        <v>0</v>
      </c>
      <c r="O660" s="101" t="s">
        <v>392</v>
      </c>
      <c r="P660" s="101">
        <v>0</v>
      </c>
      <c r="Q660" s="101">
        <v>0</v>
      </c>
      <c r="R660" s="101" t="s">
        <v>422</v>
      </c>
      <c r="S660" s="101" t="s">
        <v>637</v>
      </c>
      <c r="T660" s="101" t="s">
        <v>394</v>
      </c>
      <c r="U660" s="101" t="s">
        <v>84</v>
      </c>
      <c r="V660" s="245">
        <v>46600</v>
      </c>
      <c r="W660" s="101" t="s">
        <v>417</v>
      </c>
      <c r="X660" s="101" t="s">
        <v>76</v>
      </c>
      <c r="Y660" s="101" t="s">
        <v>392</v>
      </c>
      <c r="Z660" s="101" t="s">
        <v>412</v>
      </c>
      <c r="AA660" s="101" t="s">
        <v>638</v>
      </c>
      <c r="AB660" s="101">
        <v>3101051675</v>
      </c>
      <c r="AC660" s="101" t="s">
        <v>414</v>
      </c>
      <c r="AD660" s="101" t="s">
        <v>79</v>
      </c>
      <c r="AE660" s="101" t="s">
        <v>75</v>
      </c>
      <c r="AF660" s="101" t="s">
        <v>400</v>
      </c>
      <c r="AI660" s="101" t="s">
        <v>172</v>
      </c>
    </row>
    <row r="661" spans="1:35">
      <c r="A661" s="246" t="s">
        <v>111</v>
      </c>
      <c r="B661" s="246" t="s">
        <v>66</v>
      </c>
      <c r="C661" s="246" t="s">
        <v>126</v>
      </c>
      <c r="D661" s="246" t="s">
        <v>273</v>
      </c>
      <c r="E661" s="246"/>
      <c r="F661" s="246"/>
      <c r="G661" s="132" t="s">
        <v>842</v>
      </c>
      <c r="H661" s="132" t="s">
        <v>1490</v>
      </c>
      <c r="I661" s="132">
        <v>-68182.42</v>
      </c>
      <c r="J661" s="101" t="s">
        <v>889</v>
      </c>
      <c r="K661" s="245" t="s">
        <v>390</v>
      </c>
      <c r="L661" s="245">
        <v>42795</v>
      </c>
      <c r="M661" s="245" t="s">
        <v>391</v>
      </c>
      <c r="N661" s="101">
        <v>0</v>
      </c>
      <c r="O661" s="101" t="s">
        <v>392</v>
      </c>
      <c r="P661" s="101">
        <v>0</v>
      </c>
      <c r="Q661" s="101">
        <v>0</v>
      </c>
      <c r="R661" s="101" t="s">
        <v>422</v>
      </c>
      <c r="S661" s="101" t="s">
        <v>637</v>
      </c>
      <c r="T661" s="101" t="s">
        <v>394</v>
      </c>
      <c r="U661" s="101" t="s">
        <v>84</v>
      </c>
      <c r="V661" s="245">
        <v>46600</v>
      </c>
      <c r="W661" s="101" t="s">
        <v>417</v>
      </c>
      <c r="X661" s="101" t="s">
        <v>76</v>
      </c>
      <c r="Y661" s="101" t="s">
        <v>392</v>
      </c>
      <c r="Z661" s="101" t="s">
        <v>412</v>
      </c>
      <c r="AA661" s="101" t="s">
        <v>638</v>
      </c>
      <c r="AB661" s="101">
        <v>3101051675</v>
      </c>
      <c r="AC661" s="101" t="s">
        <v>414</v>
      </c>
      <c r="AD661" s="101" t="s">
        <v>79</v>
      </c>
      <c r="AE661" s="101" t="s">
        <v>75</v>
      </c>
      <c r="AF661" s="101" t="s">
        <v>400</v>
      </c>
      <c r="AI661" s="101" t="s">
        <v>172</v>
      </c>
    </row>
    <row r="662" spans="1:35">
      <c r="A662" s="246" t="s">
        <v>111</v>
      </c>
      <c r="B662" s="246" t="s">
        <v>66</v>
      </c>
      <c r="C662" s="246" t="s">
        <v>264</v>
      </c>
      <c r="D662" s="246" t="s">
        <v>284</v>
      </c>
      <c r="E662" s="246"/>
      <c r="F662" s="246"/>
      <c r="G662" s="132">
        <v>4951320</v>
      </c>
      <c r="H662" s="132" t="s">
        <v>1488</v>
      </c>
      <c r="I662" s="132">
        <v>4951320</v>
      </c>
      <c r="J662" s="101" t="s">
        <v>889</v>
      </c>
      <c r="K662" s="245" t="s">
        <v>390</v>
      </c>
      <c r="L662" s="245">
        <v>42795</v>
      </c>
      <c r="M662" s="245" t="s">
        <v>421</v>
      </c>
      <c r="N662" s="101">
        <v>0</v>
      </c>
      <c r="O662" s="101" t="s">
        <v>392</v>
      </c>
      <c r="P662" s="101">
        <v>0</v>
      </c>
      <c r="Q662" s="101">
        <v>0</v>
      </c>
      <c r="R662" s="101" t="s">
        <v>410</v>
      </c>
      <c r="S662" s="101" t="s">
        <v>637</v>
      </c>
      <c r="T662" s="101" t="s">
        <v>394</v>
      </c>
      <c r="U662" s="101" t="s">
        <v>84</v>
      </c>
      <c r="V662" s="245">
        <v>46600</v>
      </c>
      <c r="W662" s="101" t="s">
        <v>417</v>
      </c>
      <c r="X662" s="101" t="s">
        <v>76</v>
      </c>
      <c r="Y662" s="101" t="s">
        <v>392</v>
      </c>
      <c r="Z662" s="101" t="s">
        <v>412</v>
      </c>
      <c r="AA662" s="101" t="s">
        <v>638</v>
      </c>
      <c r="AB662" s="101">
        <v>3101051675</v>
      </c>
      <c r="AC662" s="101" t="s">
        <v>414</v>
      </c>
      <c r="AD662" s="101" t="s">
        <v>79</v>
      </c>
      <c r="AE662" s="101" t="s">
        <v>75</v>
      </c>
      <c r="AF662" s="101" t="s">
        <v>400</v>
      </c>
      <c r="AI662" s="101" t="s">
        <v>172</v>
      </c>
    </row>
    <row r="663" spans="1:35">
      <c r="A663" s="246" t="s">
        <v>111</v>
      </c>
      <c r="B663" s="246" t="s">
        <v>66</v>
      </c>
      <c r="C663" s="246" t="s">
        <v>126</v>
      </c>
      <c r="D663" s="246" t="s">
        <v>273</v>
      </c>
      <c r="E663" s="246"/>
      <c r="F663" s="246"/>
      <c r="G663" s="132" t="s">
        <v>843</v>
      </c>
      <c r="H663" s="132" t="s">
        <v>1491</v>
      </c>
      <c r="I663" s="132">
        <v>-90165.89</v>
      </c>
      <c r="J663" s="101" t="s">
        <v>889</v>
      </c>
      <c r="K663" s="245" t="s">
        <v>390</v>
      </c>
      <c r="L663" s="245">
        <v>42826</v>
      </c>
      <c r="M663" s="245" t="s">
        <v>391</v>
      </c>
      <c r="N663" s="101">
        <v>0</v>
      </c>
      <c r="O663" s="101" t="s">
        <v>392</v>
      </c>
      <c r="P663" s="101">
        <v>0</v>
      </c>
      <c r="Q663" s="101">
        <v>0</v>
      </c>
      <c r="R663" s="101" t="s">
        <v>422</v>
      </c>
      <c r="S663" s="101" t="s">
        <v>637</v>
      </c>
      <c r="T663" s="101" t="s">
        <v>394</v>
      </c>
      <c r="U663" s="101" t="s">
        <v>84</v>
      </c>
      <c r="V663" s="245">
        <v>46600</v>
      </c>
      <c r="W663" s="101" t="s">
        <v>417</v>
      </c>
      <c r="X663" s="101" t="s">
        <v>76</v>
      </c>
      <c r="Y663" s="101" t="s">
        <v>392</v>
      </c>
      <c r="Z663" s="101" t="s">
        <v>412</v>
      </c>
      <c r="AA663" s="101" t="s">
        <v>638</v>
      </c>
      <c r="AB663" s="101">
        <v>3101051675</v>
      </c>
      <c r="AC663" s="101" t="s">
        <v>414</v>
      </c>
      <c r="AD663" s="101" t="s">
        <v>79</v>
      </c>
      <c r="AE663" s="101" t="s">
        <v>75</v>
      </c>
      <c r="AF663" s="101" t="s">
        <v>400</v>
      </c>
      <c r="AI663" s="101" t="s">
        <v>172</v>
      </c>
    </row>
    <row r="664" spans="1:35">
      <c r="A664" s="246" t="s">
        <v>111</v>
      </c>
      <c r="B664" s="246" t="s">
        <v>66</v>
      </c>
      <c r="C664" s="246" t="s">
        <v>264</v>
      </c>
      <c r="D664" s="246" t="s">
        <v>284</v>
      </c>
      <c r="E664" s="246"/>
      <c r="F664" s="246"/>
      <c r="G664" s="132">
        <v>4472160</v>
      </c>
      <c r="H664" s="132" t="s">
        <v>1492</v>
      </c>
      <c r="I664" s="132">
        <v>4472160</v>
      </c>
      <c r="J664" s="101" t="s">
        <v>889</v>
      </c>
      <c r="K664" s="245" t="s">
        <v>390</v>
      </c>
      <c r="L664" s="245">
        <v>42826</v>
      </c>
      <c r="M664" s="245" t="s">
        <v>421</v>
      </c>
      <c r="N664" s="101">
        <v>0</v>
      </c>
      <c r="O664" s="101" t="s">
        <v>392</v>
      </c>
      <c r="P664" s="101">
        <v>0</v>
      </c>
      <c r="Q664" s="101">
        <v>0</v>
      </c>
      <c r="R664" s="101" t="s">
        <v>410</v>
      </c>
      <c r="S664" s="101" t="s">
        <v>637</v>
      </c>
      <c r="T664" s="101" t="s">
        <v>394</v>
      </c>
      <c r="U664" s="101" t="s">
        <v>84</v>
      </c>
      <c r="V664" s="245">
        <v>46600</v>
      </c>
      <c r="W664" s="101" t="s">
        <v>417</v>
      </c>
      <c r="X664" s="101" t="s">
        <v>76</v>
      </c>
      <c r="Y664" s="101" t="s">
        <v>392</v>
      </c>
      <c r="Z664" s="101" t="s">
        <v>412</v>
      </c>
      <c r="AA664" s="101" t="s">
        <v>638</v>
      </c>
      <c r="AB664" s="101">
        <v>3101051675</v>
      </c>
      <c r="AC664" s="101" t="s">
        <v>414</v>
      </c>
      <c r="AD664" s="101" t="s">
        <v>79</v>
      </c>
      <c r="AE664" s="101" t="s">
        <v>75</v>
      </c>
      <c r="AF664" s="101" t="s">
        <v>400</v>
      </c>
      <c r="AI664" s="101" t="s">
        <v>172</v>
      </c>
    </row>
    <row r="665" spans="1:35">
      <c r="A665" s="246" t="s">
        <v>111</v>
      </c>
      <c r="B665" s="246" t="s">
        <v>66</v>
      </c>
      <c r="C665" s="246" t="s">
        <v>126</v>
      </c>
      <c r="D665" s="246" t="s">
        <v>273</v>
      </c>
      <c r="E665" s="246"/>
      <c r="F665" s="246"/>
      <c r="G665" s="132" t="s">
        <v>846</v>
      </c>
      <c r="H665" s="132" t="s">
        <v>1493</v>
      </c>
      <c r="I665" s="132">
        <v>-111285.66</v>
      </c>
      <c r="J665" s="101" t="s">
        <v>889</v>
      </c>
      <c r="K665" s="245" t="s">
        <v>390</v>
      </c>
      <c r="L665" s="245">
        <v>42856</v>
      </c>
      <c r="M665" s="245" t="s">
        <v>391</v>
      </c>
      <c r="N665" s="101">
        <v>0</v>
      </c>
      <c r="O665" s="101" t="s">
        <v>392</v>
      </c>
      <c r="P665" s="101">
        <v>0</v>
      </c>
      <c r="Q665" s="101">
        <v>0</v>
      </c>
      <c r="R665" s="101" t="s">
        <v>422</v>
      </c>
      <c r="S665" s="101" t="s">
        <v>637</v>
      </c>
      <c r="T665" s="101" t="s">
        <v>394</v>
      </c>
      <c r="U665" s="101" t="s">
        <v>84</v>
      </c>
      <c r="V665" s="245">
        <v>46600</v>
      </c>
      <c r="W665" s="101" t="s">
        <v>417</v>
      </c>
      <c r="X665" s="101" t="s">
        <v>76</v>
      </c>
      <c r="Y665" s="101" t="s">
        <v>392</v>
      </c>
      <c r="Z665" s="101" t="s">
        <v>412</v>
      </c>
      <c r="AA665" s="101" t="s">
        <v>638</v>
      </c>
      <c r="AB665" s="101">
        <v>3101051675</v>
      </c>
      <c r="AC665" s="101" t="s">
        <v>414</v>
      </c>
      <c r="AD665" s="101" t="s">
        <v>79</v>
      </c>
      <c r="AE665" s="101" t="s">
        <v>75</v>
      </c>
      <c r="AF665" s="101" t="s">
        <v>400</v>
      </c>
      <c r="AI665" s="101" t="s">
        <v>172</v>
      </c>
    </row>
    <row r="666" spans="1:35">
      <c r="A666" s="246" t="s">
        <v>111</v>
      </c>
      <c r="B666" s="246" t="s">
        <v>66</v>
      </c>
      <c r="C666" s="246" t="s">
        <v>264</v>
      </c>
      <c r="D666" s="246" t="s">
        <v>284</v>
      </c>
      <c r="E666" s="246"/>
      <c r="F666" s="246"/>
      <c r="G666" s="132">
        <v>4726260</v>
      </c>
      <c r="H666" s="132" t="s">
        <v>1494</v>
      </c>
      <c r="I666" s="132">
        <v>4726260</v>
      </c>
      <c r="J666" s="101" t="s">
        <v>889</v>
      </c>
      <c r="K666" s="245" t="s">
        <v>390</v>
      </c>
      <c r="L666" s="245">
        <v>42856</v>
      </c>
      <c r="M666" s="245" t="s">
        <v>421</v>
      </c>
      <c r="N666" s="101">
        <v>0</v>
      </c>
      <c r="O666" s="101" t="s">
        <v>392</v>
      </c>
      <c r="P666" s="101">
        <v>0</v>
      </c>
      <c r="Q666" s="101">
        <v>0</v>
      </c>
      <c r="R666" s="101" t="s">
        <v>410</v>
      </c>
      <c r="S666" s="101" t="s">
        <v>637</v>
      </c>
      <c r="T666" s="101" t="s">
        <v>394</v>
      </c>
      <c r="U666" s="101" t="s">
        <v>84</v>
      </c>
      <c r="V666" s="245">
        <v>46600</v>
      </c>
      <c r="W666" s="101" t="s">
        <v>417</v>
      </c>
      <c r="X666" s="101" t="s">
        <v>76</v>
      </c>
      <c r="Y666" s="101" t="s">
        <v>392</v>
      </c>
      <c r="Z666" s="101" t="s">
        <v>412</v>
      </c>
      <c r="AA666" s="101" t="s">
        <v>638</v>
      </c>
      <c r="AB666" s="101">
        <v>3101051675</v>
      </c>
      <c r="AC666" s="101" t="s">
        <v>414</v>
      </c>
      <c r="AD666" s="101" t="s">
        <v>79</v>
      </c>
      <c r="AE666" s="101" t="s">
        <v>75</v>
      </c>
      <c r="AF666" s="101" t="s">
        <v>400</v>
      </c>
      <c r="AI666" s="101" t="s">
        <v>172</v>
      </c>
    </row>
    <row r="667" spans="1:35">
      <c r="A667" s="246" t="s">
        <v>112</v>
      </c>
      <c r="B667" s="246" t="s">
        <v>66</v>
      </c>
      <c r="C667" s="246" t="s">
        <v>126</v>
      </c>
      <c r="D667" s="246" t="s">
        <v>270</v>
      </c>
      <c r="E667" s="246"/>
      <c r="F667" s="246"/>
      <c r="G667" s="132" t="s">
        <v>847</v>
      </c>
      <c r="H667" s="132" t="s">
        <v>1495</v>
      </c>
      <c r="I667" s="132">
        <v>-133605.43</v>
      </c>
      <c r="J667" s="101" t="s">
        <v>889</v>
      </c>
      <c r="K667" s="245" t="s">
        <v>390</v>
      </c>
      <c r="L667" s="245">
        <v>42887</v>
      </c>
      <c r="M667" s="245" t="s">
        <v>391</v>
      </c>
      <c r="N667" s="101">
        <v>0</v>
      </c>
      <c r="O667" s="101" t="s">
        <v>392</v>
      </c>
      <c r="P667" s="101">
        <v>0</v>
      </c>
      <c r="Q667" s="101">
        <v>0</v>
      </c>
      <c r="R667" s="101" t="s">
        <v>422</v>
      </c>
      <c r="S667" s="101" t="s">
        <v>637</v>
      </c>
      <c r="T667" s="101" t="s">
        <v>394</v>
      </c>
      <c r="U667" s="101" t="s">
        <v>84</v>
      </c>
      <c r="V667" s="245">
        <v>46600</v>
      </c>
      <c r="W667" s="101" t="s">
        <v>417</v>
      </c>
      <c r="X667" s="101" t="s">
        <v>76</v>
      </c>
      <c r="Y667" s="101" t="s">
        <v>392</v>
      </c>
      <c r="Z667" s="101" t="s">
        <v>412</v>
      </c>
      <c r="AA667" s="101" t="s">
        <v>638</v>
      </c>
      <c r="AB667" s="101">
        <v>3101051675</v>
      </c>
      <c r="AC667" s="101" t="s">
        <v>414</v>
      </c>
      <c r="AD667" s="101" t="s">
        <v>79</v>
      </c>
      <c r="AE667" s="101" t="s">
        <v>75</v>
      </c>
      <c r="AF667" s="101" t="s">
        <v>400</v>
      </c>
      <c r="AI667" s="101" t="s">
        <v>172</v>
      </c>
    </row>
    <row r="668" spans="1:35">
      <c r="A668" s="246" t="s">
        <v>112</v>
      </c>
      <c r="B668" s="246" t="s">
        <v>66</v>
      </c>
      <c r="C668" s="246" t="s">
        <v>264</v>
      </c>
      <c r="D668" s="246" t="s">
        <v>290</v>
      </c>
      <c r="E668" s="246"/>
      <c r="F668" s="246"/>
      <c r="G668" s="132">
        <v>3267000</v>
      </c>
      <c r="H668" s="132" t="s">
        <v>1476</v>
      </c>
      <c r="I668" s="132">
        <v>3267000</v>
      </c>
      <c r="J668" s="101" t="s">
        <v>889</v>
      </c>
      <c r="K668" s="245" t="s">
        <v>390</v>
      </c>
      <c r="L668" s="245">
        <v>42887</v>
      </c>
      <c r="M668" s="245" t="s">
        <v>421</v>
      </c>
      <c r="N668" s="101">
        <v>0</v>
      </c>
      <c r="O668" s="101" t="s">
        <v>392</v>
      </c>
      <c r="P668" s="101">
        <v>0</v>
      </c>
      <c r="Q668" s="101">
        <v>0</v>
      </c>
      <c r="R668" s="101" t="s">
        <v>410</v>
      </c>
      <c r="S668" s="101" t="s">
        <v>637</v>
      </c>
      <c r="T668" s="101" t="s">
        <v>394</v>
      </c>
      <c r="U668" s="101" t="s">
        <v>84</v>
      </c>
      <c r="V668" s="245">
        <v>46600</v>
      </c>
      <c r="W668" s="101" t="s">
        <v>417</v>
      </c>
      <c r="X668" s="101" t="s">
        <v>76</v>
      </c>
      <c r="Y668" s="101" t="s">
        <v>392</v>
      </c>
      <c r="Z668" s="101" t="s">
        <v>412</v>
      </c>
      <c r="AA668" s="101" t="s">
        <v>638</v>
      </c>
      <c r="AB668" s="101">
        <v>3101051675</v>
      </c>
      <c r="AC668" s="101" t="s">
        <v>414</v>
      </c>
      <c r="AD668" s="101" t="s">
        <v>79</v>
      </c>
      <c r="AE668" s="101" t="s">
        <v>75</v>
      </c>
      <c r="AF668" s="101" t="s">
        <v>400</v>
      </c>
      <c r="AI668" s="101" t="s">
        <v>172</v>
      </c>
    </row>
    <row r="669" spans="1:35">
      <c r="A669" s="246" t="s">
        <v>112</v>
      </c>
      <c r="B669" s="246" t="s">
        <v>66</v>
      </c>
      <c r="C669" s="246" t="s">
        <v>126</v>
      </c>
      <c r="D669" s="246" t="s">
        <v>270</v>
      </c>
      <c r="E669" s="246"/>
      <c r="F669" s="246"/>
      <c r="G669" s="132" t="s">
        <v>848</v>
      </c>
      <c r="H669" s="132" t="s">
        <v>1496</v>
      </c>
      <c r="I669" s="132">
        <v>-149033.84</v>
      </c>
      <c r="J669" s="101" t="s">
        <v>889</v>
      </c>
      <c r="K669" s="245" t="s">
        <v>390</v>
      </c>
      <c r="L669" s="245">
        <v>42917</v>
      </c>
      <c r="M669" s="245" t="s">
        <v>391</v>
      </c>
      <c r="N669" s="101">
        <v>0</v>
      </c>
      <c r="O669" s="101" t="s">
        <v>392</v>
      </c>
      <c r="P669" s="101">
        <v>0</v>
      </c>
      <c r="Q669" s="101">
        <v>0</v>
      </c>
      <c r="R669" s="101" t="s">
        <v>422</v>
      </c>
      <c r="S669" s="101" t="s">
        <v>637</v>
      </c>
      <c r="T669" s="101" t="s">
        <v>394</v>
      </c>
      <c r="U669" s="101" t="s">
        <v>84</v>
      </c>
      <c r="V669" s="245">
        <v>46600</v>
      </c>
      <c r="W669" s="101" t="s">
        <v>417</v>
      </c>
      <c r="X669" s="101" t="s">
        <v>76</v>
      </c>
      <c r="Y669" s="101" t="s">
        <v>392</v>
      </c>
      <c r="Z669" s="101" t="s">
        <v>412</v>
      </c>
      <c r="AA669" s="101" t="s">
        <v>638</v>
      </c>
      <c r="AB669" s="101">
        <v>3101051675</v>
      </c>
      <c r="AC669" s="101" t="s">
        <v>414</v>
      </c>
      <c r="AD669" s="101" t="s">
        <v>79</v>
      </c>
      <c r="AE669" s="101" t="s">
        <v>75</v>
      </c>
      <c r="AF669" s="101" t="s">
        <v>400</v>
      </c>
      <c r="AI669" s="101" t="s">
        <v>172</v>
      </c>
    </row>
    <row r="670" spans="1:35">
      <c r="A670" s="246" t="s">
        <v>112</v>
      </c>
      <c r="B670" s="246" t="s">
        <v>66</v>
      </c>
      <c r="C670" s="246" t="s">
        <v>264</v>
      </c>
      <c r="D670" s="246" t="s">
        <v>290</v>
      </c>
      <c r="E670" s="246"/>
      <c r="F670" s="246"/>
      <c r="G670" s="132">
        <v>3375900</v>
      </c>
      <c r="H670" s="132" t="s">
        <v>1478</v>
      </c>
      <c r="I670" s="132">
        <v>3375900</v>
      </c>
      <c r="J670" s="101" t="s">
        <v>889</v>
      </c>
      <c r="K670" s="245" t="s">
        <v>390</v>
      </c>
      <c r="L670" s="245">
        <v>42917</v>
      </c>
      <c r="M670" s="245" t="s">
        <v>421</v>
      </c>
      <c r="N670" s="101">
        <v>0</v>
      </c>
      <c r="O670" s="101" t="s">
        <v>392</v>
      </c>
      <c r="P670" s="101">
        <v>0</v>
      </c>
      <c r="Q670" s="101">
        <v>0</v>
      </c>
      <c r="R670" s="101" t="s">
        <v>410</v>
      </c>
      <c r="S670" s="101" t="s">
        <v>637</v>
      </c>
      <c r="T670" s="101" t="s">
        <v>394</v>
      </c>
      <c r="U670" s="101" t="s">
        <v>84</v>
      </c>
      <c r="V670" s="245">
        <v>46600</v>
      </c>
      <c r="W670" s="101" t="s">
        <v>417</v>
      </c>
      <c r="X670" s="101" t="s">
        <v>76</v>
      </c>
      <c r="Y670" s="101" t="s">
        <v>392</v>
      </c>
      <c r="Z670" s="101" t="s">
        <v>412</v>
      </c>
      <c r="AA670" s="101" t="s">
        <v>638</v>
      </c>
      <c r="AB670" s="101">
        <v>3101051675</v>
      </c>
      <c r="AC670" s="101" t="s">
        <v>414</v>
      </c>
      <c r="AD670" s="101" t="s">
        <v>79</v>
      </c>
      <c r="AE670" s="101" t="s">
        <v>75</v>
      </c>
      <c r="AF670" s="101" t="s">
        <v>400</v>
      </c>
      <c r="AI670" s="101" t="s">
        <v>172</v>
      </c>
    </row>
    <row r="671" spans="1:35">
      <c r="A671" s="246" t="s">
        <v>112</v>
      </c>
      <c r="B671" s="246" t="s">
        <v>66</v>
      </c>
      <c r="C671" s="246" t="s">
        <v>126</v>
      </c>
      <c r="D671" s="246" t="s">
        <v>270</v>
      </c>
      <c r="E671" s="246"/>
      <c r="F671" s="246"/>
      <c r="G671" s="132" t="s">
        <v>849</v>
      </c>
      <c r="H671" s="132" t="s">
        <v>1497</v>
      </c>
      <c r="I671" s="132">
        <v>-164976.51999999999</v>
      </c>
      <c r="J671" s="101" t="s">
        <v>889</v>
      </c>
      <c r="K671" s="245" t="s">
        <v>390</v>
      </c>
      <c r="L671" s="245">
        <v>42948</v>
      </c>
      <c r="M671" s="245" t="s">
        <v>391</v>
      </c>
      <c r="N671" s="101">
        <v>0</v>
      </c>
      <c r="O671" s="101" t="s">
        <v>392</v>
      </c>
      <c r="P671" s="101">
        <v>0</v>
      </c>
      <c r="Q671" s="101">
        <v>0</v>
      </c>
      <c r="R671" s="101" t="s">
        <v>422</v>
      </c>
      <c r="S671" s="101" t="s">
        <v>637</v>
      </c>
      <c r="T671" s="101" t="s">
        <v>394</v>
      </c>
      <c r="U671" s="101" t="s">
        <v>84</v>
      </c>
      <c r="V671" s="245">
        <v>46600</v>
      </c>
      <c r="W671" s="101" t="s">
        <v>417</v>
      </c>
      <c r="X671" s="101" t="s">
        <v>76</v>
      </c>
      <c r="Y671" s="101" t="s">
        <v>392</v>
      </c>
      <c r="Z671" s="101" t="s">
        <v>412</v>
      </c>
      <c r="AA671" s="101" t="s">
        <v>638</v>
      </c>
      <c r="AB671" s="101">
        <v>3101051675</v>
      </c>
      <c r="AC671" s="101" t="s">
        <v>414</v>
      </c>
      <c r="AD671" s="101" t="s">
        <v>79</v>
      </c>
      <c r="AE671" s="101" t="s">
        <v>75</v>
      </c>
      <c r="AF671" s="101" t="s">
        <v>400</v>
      </c>
      <c r="AI671" s="101" t="s">
        <v>172</v>
      </c>
    </row>
    <row r="672" spans="1:35">
      <c r="A672" s="246" t="s">
        <v>112</v>
      </c>
      <c r="B672" s="246" t="s">
        <v>66</v>
      </c>
      <c r="C672" s="246" t="s">
        <v>264</v>
      </c>
      <c r="D672" s="246" t="s">
        <v>290</v>
      </c>
      <c r="E672" s="246"/>
      <c r="F672" s="246"/>
      <c r="G672" s="132">
        <v>3267000</v>
      </c>
      <c r="H672" s="132" t="s">
        <v>1476</v>
      </c>
      <c r="I672" s="132">
        <v>3267000</v>
      </c>
      <c r="J672" s="101" t="s">
        <v>889</v>
      </c>
      <c r="K672" s="245" t="s">
        <v>390</v>
      </c>
      <c r="L672" s="245">
        <v>42948</v>
      </c>
      <c r="M672" s="245" t="s">
        <v>421</v>
      </c>
      <c r="N672" s="101">
        <v>0</v>
      </c>
      <c r="O672" s="101" t="s">
        <v>392</v>
      </c>
      <c r="P672" s="101">
        <v>0</v>
      </c>
      <c r="Q672" s="101">
        <v>0</v>
      </c>
      <c r="R672" s="101" t="s">
        <v>410</v>
      </c>
      <c r="S672" s="101" t="s">
        <v>637</v>
      </c>
      <c r="T672" s="101" t="s">
        <v>394</v>
      </c>
      <c r="U672" s="101" t="s">
        <v>84</v>
      </c>
      <c r="V672" s="245">
        <v>46600</v>
      </c>
      <c r="W672" s="101" t="s">
        <v>417</v>
      </c>
      <c r="X672" s="101" t="s">
        <v>76</v>
      </c>
      <c r="Y672" s="101" t="s">
        <v>392</v>
      </c>
      <c r="Z672" s="101" t="s">
        <v>412</v>
      </c>
      <c r="AA672" s="101" t="s">
        <v>638</v>
      </c>
      <c r="AB672" s="101">
        <v>3101051675</v>
      </c>
      <c r="AC672" s="101" t="s">
        <v>414</v>
      </c>
      <c r="AD672" s="101" t="s">
        <v>79</v>
      </c>
      <c r="AE672" s="101" t="s">
        <v>75</v>
      </c>
      <c r="AF672" s="101" t="s">
        <v>400</v>
      </c>
      <c r="AI672" s="101" t="s">
        <v>172</v>
      </c>
    </row>
    <row r="673" spans="1:35">
      <c r="A673" s="246" t="s">
        <v>112</v>
      </c>
      <c r="B673" s="246" t="s">
        <v>66</v>
      </c>
      <c r="C673" s="246" t="s">
        <v>264</v>
      </c>
      <c r="D673" s="246" t="s">
        <v>290</v>
      </c>
      <c r="E673" s="246"/>
      <c r="F673" s="246"/>
      <c r="G673" s="132" t="s">
        <v>641</v>
      </c>
      <c r="H673" s="132" t="s">
        <v>1498</v>
      </c>
      <c r="I673" s="132">
        <v>-38091303.75</v>
      </c>
      <c r="J673" s="101" t="s">
        <v>889</v>
      </c>
      <c r="K673" s="245" t="s">
        <v>390</v>
      </c>
      <c r="L673" s="245">
        <v>42949</v>
      </c>
      <c r="M673" s="245" t="s">
        <v>421</v>
      </c>
      <c r="N673" s="101">
        <v>0</v>
      </c>
      <c r="O673" s="101" t="s">
        <v>392</v>
      </c>
      <c r="P673" s="101">
        <v>0</v>
      </c>
      <c r="Q673" s="101">
        <v>0</v>
      </c>
      <c r="R673" s="101" t="s">
        <v>422</v>
      </c>
      <c r="S673" s="101" t="s">
        <v>637</v>
      </c>
      <c r="T673" s="101" t="s">
        <v>394</v>
      </c>
      <c r="U673" s="101" t="s">
        <v>84</v>
      </c>
      <c r="V673" s="245">
        <v>46600</v>
      </c>
      <c r="W673" s="101" t="s">
        <v>417</v>
      </c>
      <c r="X673" s="101" t="s">
        <v>76</v>
      </c>
      <c r="Y673" s="101" t="s">
        <v>392</v>
      </c>
      <c r="Z673" s="101" t="s">
        <v>412</v>
      </c>
      <c r="AA673" s="101" t="s">
        <v>638</v>
      </c>
      <c r="AB673" s="101">
        <v>3101051675</v>
      </c>
      <c r="AC673" s="101" t="s">
        <v>414</v>
      </c>
      <c r="AD673" s="101" t="s">
        <v>79</v>
      </c>
      <c r="AE673" s="101" t="s">
        <v>75</v>
      </c>
      <c r="AF673" s="101" t="s">
        <v>400</v>
      </c>
      <c r="AI673" s="101" t="s">
        <v>172</v>
      </c>
    </row>
    <row r="674" spans="1:35">
      <c r="A674" s="246" t="s">
        <v>112</v>
      </c>
      <c r="B674" s="246" t="s">
        <v>66</v>
      </c>
      <c r="C674" s="246" t="s">
        <v>126</v>
      </c>
      <c r="D674" s="246" t="s">
        <v>270</v>
      </c>
      <c r="E674" s="246"/>
      <c r="F674" s="246"/>
      <c r="G674" s="132" t="s">
        <v>850</v>
      </c>
      <c r="H674" s="132" t="s">
        <v>1499</v>
      </c>
      <c r="I674" s="132">
        <v>-6514.96</v>
      </c>
      <c r="J674" s="101" t="s">
        <v>889</v>
      </c>
      <c r="K674" s="245" t="s">
        <v>390</v>
      </c>
      <c r="L674" s="245">
        <v>42979</v>
      </c>
      <c r="M674" s="245" t="s">
        <v>391</v>
      </c>
      <c r="N674" s="101">
        <v>0</v>
      </c>
      <c r="O674" s="101" t="s">
        <v>392</v>
      </c>
      <c r="P674" s="101">
        <v>0</v>
      </c>
      <c r="Q674" s="101">
        <v>0</v>
      </c>
      <c r="R674" s="101" t="s">
        <v>422</v>
      </c>
      <c r="S674" s="101" t="s">
        <v>637</v>
      </c>
      <c r="T674" s="101" t="s">
        <v>394</v>
      </c>
      <c r="U674" s="101" t="s">
        <v>84</v>
      </c>
      <c r="V674" s="245">
        <v>46600</v>
      </c>
      <c r="W674" s="101" t="s">
        <v>417</v>
      </c>
      <c r="X674" s="101" t="s">
        <v>76</v>
      </c>
      <c r="Y674" s="101" t="s">
        <v>392</v>
      </c>
      <c r="Z674" s="101" t="s">
        <v>412</v>
      </c>
      <c r="AA674" s="101" t="s">
        <v>638</v>
      </c>
      <c r="AB674" s="101">
        <v>3101051675</v>
      </c>
      <c r="AC674" s="101" t="s">
        <v>414</v>
      </c>
      <c r="AD674" s="101" t="s">
        <v>79</v>
      </c>
      <c r="AE674" s="101" t="s">
        <v>75</v>
      </c>
      <c r="AF674" s="101" t="s">
        <v>400</v>
      </c>
      <c r="AI674" s="101" t="s">
        <v>172</v>
      </c>
    </row>
    <row r="675" spans="1:35">
      <c r="A675" s="246" t="s">
        <v>112</v>
      </c>
      <c r="B675" s="246" t="s">
        <v>66</v>
      </c>
      <c r="C675" s="246" t="s">
        <v>264</v>
      </c>
      <c r="D675" s="246" t="s">
        <v>290</v>
      </c>
      <c r="E675" s="246"/>
      <c r="F675" s="246"/>
      <c r="G675" s="132">
        <v>3375900</v>
      </c>
      <c r="H675" s="132" t="s">
        <v>1478</v>
      </c>
      <c r="I675" s="132">
        <v>3375900</v>
      </c>
      <c r="J675" s="101" t="s">
        <v>889</v>
      </c>
      <c r="K675" s="245" t="s">
        <v>390</v>
      </c>
      <c r="L675" s="245">
        <v>42979</v>
      </c>
      <c r="M675" s="245" t="s">
        <v>421</v>
      </c>
      <c r="N675" s="101">
        <v>0</v>
      </c>
      <c r="O675" s="101" t="s">
        <v>392</v>
      </c>
      <c r="P675" s="101">
        <v>0</v>
      </c>
      <c r="Q675" s="101">
        <v>0</v>
      </c>
      <c r="R675" s="101" t="s">
        <v>410</v>
      </c>
      <c r="S675" s="101" t="s">
        <v>637</v>
      </c>
      <c r="T675" s="101" t="s">
        <v>394</v>
      </c>
      <c r="U675" s="101" t="s">
        <v>84</v>
      </c>
      <c r="V675" s="245">
        <v>46600</v>
      </c>
      <c r="W675" s="101" t="s">
        <v>417</v>
      </c>
      <c r="X675" s="101" t="s">
        <v>76</v>
      </c>
      <c r="Y675" s="101" t="s">
        <v>392</v>
      </c>
      <c r="Z675" s="101" t="s">
        <v>412</v>
      </c>
      <c r="AA675" s="101" t="s">
        <v>638</v>
      </c>
      <c r="AB675" s="101">
        <v>3101051675</v>
      </c>
      <c r="AC675" s="101" t="s">
        <v>414</v>
      </c>
      <c r="AD675" s="101" t="s">
        <v>79</v>
      </c>
      <c r="AE675" s="101" t="s">
        <v>75</v>
      </c>
      <c r="AF675" s="101" t="s">
        <v>400</v>
      </c>
      <c r="AI675" s="101" t="s">
        <v>172</v>
      </c>
    </row>
    <row r="676" spans="1:35">
      <c r="A676" s="246" t="s">
        <v>112</v>
      </c>
      <c r="B676" s="246" t="s">
        <v>66</v>
      </c>
      <c r="C676" s="246" t="s">
        <v>126</v>
      </c>
      <c r="D676" s="246" t="s">
        <v>270</v>
      </c>
      <c r="E676" s="246"/>
      <c r="F676" s="246"/>
      <c r="G676" s="132" t="s">
        <v>830</v>
      </c>
      <c r="H676" s="132" t="s">
        <v>1482</v>
      </c>
      <c r="I676" s="132">
        <v>-16461.439999999999</v>
      </c>
      <c r="J676" s="101" t="s">
        <v>889</v>
      </c>
      <c r="K676" s="245" t="s">
        <v>390</v>
      </c>
      <c r="L676" s="245">
        <v>43009</v>
      </c>
      <c r="M676" s="245" t="s">
        <v>391</v>
      </c>
      <c r="N676" s="101">
        <v>0</v>
      </c>
      <c r="O676" s="101" t="s">
        <v>392</v>
      </c>
      <c r="P676" s="101">
        <v>0</v>
      </c>
      <c r="Q676" s="101">
        <v>0</v>
      </c>
      <c r="R676" s="101" t="s">
        <v>422</v>
      </c>
      <c r="S676" s="101" t="s">
        <v>637</v>
      </c>
      <c r="T676" s="101" t="s">
        <v>394</v>
      </c>
      <c r="U676" s="101" t="s">
        <v>84</v>
      </c>
      <c r="V676" s="245">
        <v>46600</v>
      </c>
      <c r="W676" s="101" t="s">
        <v>417</v>
      </c>
      <c r="X676" s="101" t="s">
        <v>76</v>
      </c>
      <c r="Y676" s="101" t="s">
        <v>392</v>
      </c>
      <c r="Z676" s="101" t="s">
        <v>412</v>
      </c>
      <c r="AA676" s="101" t="s">
        <v>638</v>
      </c>
      <c r="AB676" s="101">
        <v>3101051675</v>
      </c>
      <c r="AC676" s="101" t="s">
        <v>414</v>
      </c>
      <c r="AD676" s="101" t="s">
        <v>79</v>
      </c>
      <c r="AE676" s="101" t="s">
        <v>75</v>
      </c>
      <c r="AF676" s="101" t="s">
        <v>400</v>
      </c>
      <c r="AI676" s="101" t="s">
        <v>172</v>
      </c>
    </row>
    <row r="677" spans="1:35">
      <c r="A677" s="246" t="s">
        <v>112</v>
      </c>
      <c r="B677" s="246" t="s">
        <v>66</v>
      </c>
      <c r="C677" s="246" t="s">
        <v>264</v>
      </c>
      <c r="D677" s="246" t="s">
        <v>290</v>
      </c>
      <c r="E677" s="246"/>
      <c r="F677" s="246"/>
      <c r="G677" s="132">
        <v>3375900</v>
      </c>
      <c r="H677" s="132" t="s">
        <v>1478</v>
      </c>
      <c r="I677" s="132">
        <v>3375900</v>
      </c>
      <c r="J677" s="101" t="s">
        <v>889</v>
      </c>
      <c r="K677" s="245" t="s">
        <v>390</v>
      </c>
      <c r="L677" s="245">
        <v>43009</v>
      </c>
      <c r="M677" s="245" t="s">
        <v>421</v>
      </c>
      <c r="N677" s="101">
        <v>0</v>
      </c>
      <c r="O677" s="101" t="s">
        <v>392</v>
      </c>
      <c r="P677" s="101">
        <v>0</v>
      </c>
      <c r="Q677" s="101">
        <v>0</v>
      </c>
      <c r="R677" s="101" t="s">
        <v>410</v>
      </c>
      <c r="S677" s="101" t="s">
        <v>637</v>
      </c>
      <c r="T677" s="101" t="s">
        <v>394</v>
      </c>
      <c r="U677" s="101" t="s">
        <v>84</v>
      </c>
      <c r="V677" s="245">
        <v>46600</v>
      </c>
      <c r="W677" s="101" t="s">
        <v>417</v>
      </c>
      <c r="X677" s="101" t="s">
        <v>76</v>
      </c>
      <c r="Y677" s="101" t="s">
        <v>392</v>
      </c>
      <c r="Z677" s="101" t="s">
        <v>412</v>
      </c>
      <c r="AA677" s="101" t="s">
        <v>638</v>
      </c>
      <c r="AB677" s="101">
        <v>3101051675</v>
      </c>
      <c r="AC677" s="101" t="s">
        <v>414</v>
      </c>
      <c r="AD677" s="101" t="s">
        <v>79</v>
      </c>
      <c r="AE677" s="101" t="s">
        <v>75</v>
      </c>
      <c r="AF677" s="101" t="s">
        <v>400</v>
      </c>
      <c r="AI677" s="101" t="s">
        <v>172</v>
      </c>
    </row>
    <row r="678" spans="1:35">
      <c r="A678" s="246" t="s">
        <v>112</v>
      </c>
      <c r="B678" s="246" t="s">
        <v>66</v>
      </c>
      <c r="C678" s="246" t="s">
        <v>126</v>
      </c>
      <c r="D678" s="246" t="s">
        <v>270</v>
      </c>
      <c r="E678" s="246"/>
      <c r="F678" s="246"/>
      <c r="G678" s="132" t="s">
        <v>831</v>
      </c>
      <c r="H678" s="132" t="s">
        <v>1483</v>
      </c>
      <c r="I678" s="132">
        <v>-32404.12</v>
      </c>
      <c r="J678" s="101" t="s">
        <v>889</v>
      </c>
      <c r="K678" s="245" t="s">
        <v>390</v>
      </c>
      <c r="L678" s="245">
        <v>43040</v>
      </c>
      <c r="M678" s="245" t="s">
        <v>391</v>
      </c>
      <c r="N678" s="101">
        <v>0</v>
      </c>
      <c r="O678" s="101" t="s">
        <v>392</v>
      </c>
      <c r="P678" s="101">
        <v>0</v>
      </c>
      <c r="Q678" s="101">
        <v>0</v>
      </c>
      <c r="R678" s="101" t="s">
        <v>422</v>
      </c>
      <c r="S678" s="101" t="s">
        <v>637</v>
      </c>
      <c r="T678" s="101" t="s">
        <v>394</v>
      </c>
      <c r="U678" s="101" t="s">
        <v>84</v>
      </c>
      <c r="V678" s="245">
        <v>46600</v>
      </c>
      <c r="W678" s="101" t="s">
        <v>417</v>
      </c>
      <c r="X678" s="101" t="s">
        <v>76</v>
      </c>
      <c r="Y678" s="101" t="s">
        <v>392</v>
      </c>
      <c r="Z678" s="101" t="s">
        <v>412</v>
      </c>
      <c r="AA678" s="101" t="s">
        <v>638</v>
      </c>
      <c r="AB678" s="101">
        <v>3101051675</v>
      </c>
      <c r="AC678" s="101" t="s">
        <v>414</v>
      </c>
      <c r="AD678" s="101" t="s">
        <v>79</v>
      </c>
      <c r="AE678" s="101" t="s">
        <v>75</v>
      </c>
      <c r="AF678" s="101" t="s">
        <v>400</v>
      </c>
      <c r="AI678" s="101" t="s">
        <v>172</v>
      </c>
    </row>
    <row r="679" spans="1:35">
      <c r="A679" s="246" t="s">
        <v>112</v>
      </c>
      <c r="B679" s="246" t="s">
        <v>66</v>
      </c>
      <c r="C679" s="246" t="s">
        <v>264</v>
      </c>
      <c r="D679" s="246" t="s">
        <v>290</v>
      </c>
      <c r="E679" s="246"/>
      <c r="F679" s="246"/>
      <c r="G679" s="132">
        <v>3267000</v>
      </c>
      <c r="H679" s="132" t="s">
        <v>1476</v>
      </c>
      <c r="I679" s="132">
        <v>3267000</v>
      </c>
      <c r="J679" s="101" t="s">
        <v>889</v>
      </c>
      <c r="K679" s="245" t="s">
        <v>390</v>
      </c>
      <c r="L679" s="245">
        <v>43040</v>
      </c>
      <c r="M679" s="245" t="s">
        <v>421</v>
      </c>
      <c r="N679" s="101">
        <v>0</v>
      </c>
      <c r="O679" s="101" t="s">
        <v>392</v>
      </c>
      <c r="P679" s="101">
        <v>0</v>
      </c>
      <c r="Q679" s="101">
        <v>0</v>
      </c>
      <c r="R679" s="101" t="s">
        <v>410</v>
      </c>
      <c r="S679" s="101" t="s">
        <v>637</v>
      </c>
      <c r="T679" s="101" t="s">
        <v>394</v>
      </c>
      <c r="U679" s="101" t="s">
        <v>84</v>
      </c>
      <c r="V679" s="245">
        <v>46600</v>
      </c>
      <c r="W679" s="101" t="s">
        <v>417</v>
      </c>
      <c r="X679" s="101" t="s">
        <v>76</v>
      </c>
      <c r="Y679" s="101" t="s">
        <v>392</v>
      </c>
      <c r="Z679" s="101" t="s">
        <v>412</v>
      </c>
      <c r="AA679" s="101" t="s">
        <v>638</v>
      </c>
      <c r="AB679" s="101">
        <v>3101051675</v>
      </c>
      <c r="AC679" s="101" t="s">
        <v>414</v>
      </c>
      <c r="AD679" s="101" t="s">
        <v>79</v>
      </c>
      <c r="AE679" s="101" t="s">
        <v>75</v>
      </c>
      <c r="AF679" s="101" t="s">
        <v>400</v>
      </c>
      <c r="AI679" s="101" t="s">
        <v>172</v>
      </c>
    </row>
    <row r="680" spans="1:35">
      <c r="A680" s="246" t="s">
        <v>113</v>
      </c>
      <c r="B680" s="246" t="s">
        <v>66</v>
      </c>
      <c r="C680" s="246" t="s">
        <v>126</v>
      </c>
      <c r="D680" s="246" t="s">
        <v>271</v>
      </c>
      <c r="E680" s="246"/>
      <c r="F680" s="246"/>
      <c r="G680" s="132" t="s">
        <v>832</v>
      </c>
      <c r="H680" s="132" t="s">
        <v>1484</v>
      </c>
      <c r="I680" s="132">
        <v>-47832.53</v>
      </c>
      <c r="J680" s="101" t="s">
        <v>889</v>
      </c>
      <c r="K680" s="245" t="s">
        <v>390</v>
      </c>
      <c r="L680" s="245">
        <v>43070</v>
      </c>
      <c r="M680" s="245" t="s">
        <v>391</v>
      </c>
      <c r="N680" s="101">
        <v>0</v>
      </c>
      <c r="O680" s="101" t="s">
        <v>392</v>
      </c>
      <c r="P680" s="101">
        <v>0</v>
      </c>
      <c r="Q680" s="101">
        <v>0</v>
      </c>
      <c r="R680" s="101" t="s">
        <v>422</v>
      </c>
      <c r="S680" s="101" t="s">
        <v>637</v>
      </c>
      <c r="T680" s="101" t="s">
        <v>394</v>
      </c>
      <c r="U680" s="101" t="s">
        <v>84</v>
      </c>
      <c r="V680" s="245">
        <v>46600</v>
      </c>
      <c r="W680" s="101" t="s">
        <v>417</v>
      </c>
      <c r="X680" s="101" t="s">
        <v>76</v>
      </c>
      <c r="Y680" s="101" t="s">
        <v>392</v>
      </c>
      <c r="Z680" s="101" t="s">
        <v>412</v>
      </c>
      <c r="AA680" s="101" t="s">
        <v>638</v>
      </c>
      <c r="AB680" s="101">
        <v>3101051675</v>
      </c>
      <c r="AC680" s="101" t="s">
        <v>414</v>
      </c>
      <c r="AD680" s="101" t="s">
        <v>79</v>
      </c>
      <c r="AE680" s="101" t="s">
        <v>75</v>
      </c>
      <c r="AF680" s="101" t="s">
        <v>400</v>
      </c>
      <c r="AI680" s="101" t="s">
        <v>172</v>
      </c>
    </row>
    <row r="681" spans="1:35">
      <c r="A681" s="246" t="s">
        <v>113</v>
      </c>
      <c r="B681" s="246" t="s">
        <v>66</v>
      </c>
      <c r="C681" s="246" t="s">
        <v>264</v>
      </c>
      <c r="D681" s="246" t="s">
        <v>285</v>
      </c>
      <c r="E681" s="246"/>
      <c r="F681" s="246"/>
      <c r="G681" s="132">
        <v>3375900</v>
      </c>
      <c r="H681" s="132" t="s">
        <v>1478</v>
      </c>
      <c r="I681" s="132">
        <v>3375900</v>
      </c>
      <c r="J681" s="101" t="s">
        <v>889</v>
      </c>
      <c r="K681" s="245" t="s">
        <v>390</v>
      </c>
      <c r="L681" s="245">
        <v>43070</v>
      </c>
      <c r="M681" s="245" t="s">
        <v>421</v>
      </c>
      <c r="N681" s="101">
        <v>0</v>
      </c>
      <c r="O681" s="101" t="s">
        <v>392</v>
      </c>
      <c r="P681" s="101">
        <v>0</v>
      </c>
      <c r="Q681" s="101">
        <v>0</v>
      </c>
      <c r="R681" s="101" t="s">
        <v>410</v>
      </c>
      <c r="S681" s="101" t="s">
        <v>637</v>
      </c>
      <c r="T681" s="101" t="s">
        <v>394</v>
      </c>
      <c r="U681" s="101" t="s">
        <v>84</v>
      </c>
      <c r="V681" s="245">
        <v>46600</v>
      </c>
      <c r="W681" s="101" t="s">
        <v>417</v>
      </c>
      <c r="X681" s="101" t="s">
        <v>76</v>
      </c>
      <c r="Y681" s="101" t="s">
        <v>392</v>
      </c>
      <c r="Z681" s="101" t="s">
        <v>412</v>
      </c>
      <c r="AA681" s="101" t="s">
        <v>638</v>
      </c>
      <c r="AB681" s="101">
        <v>3101051675</v>
      </c>
      <c r="AC681" s="101" t="s">
        <v>414</v>
      </c>
      <c r="AD681" s="101" t="s">
        <v>79</v>
      </c>
      <c r="AE681" s="101" t="s">
        <v>75</v>
      </c>
      <c r="AF681" s="101" t="s">
        <v>400</v>
      </c>
      <c r="AI681" s="101" t="s">
        <v>172</v>
      </c>
    </row>
    <row r="682" spans="1:35">
      <c r="A682" s="246" t="s">
        <v>113</v>
      </c>
      <c r="B682" s="246" t="s">
        <v>66</v>
      </c>
      <c r="C682" s="246" t="s">
        <v>126</v>
      </c>
      <c r="D682" s="246" t="s">
        <v>271</v>
      </c>
      <c r="E682" s="246"/>
      <c r="F682" s="246"/>
      <c r="G682" s="132" t="s">
        <v>833</v>
      </c>
      <c r="H682" s="132" t="s">
        <v>1485</v>
      </c>
      <c r="I682" s="132">
        <v>-63775.219999999994</v>
      </c>
      <c r="J682" s="101" t="s">
        <v>889</v>
      </c>
      <c r="K682" s="245" t="s">
        <v>390</v>
      </c>
      <c r="L682" s="245">
        <v>43101</v>
      </c>
      <c r="M682" s="245" t="s">
        <v>391</v>
      </c>
      <c r="N682" s="101">
        <v>0</v>
      </c>
      <c r="O682" s="101" t="s">
        <v>392</v>
      </c>
      <c r="P682" s="101">
        <v>0</v>
      </c>
      <c r="Q682" s="101">
        <v>0</v>
      </c>
      <c r="R682" s="101" t="s">
        <v>422</v>
      </c>
      <c r="S682" s="101" t="s">
        <v>637</v>
      </c>
      <c r="T682" s="101" t="s">
        <v>394</v>
      </c>
      <c r="U682" s="101" t="s">
        <v>84</v>
      </c>
      <c r="V682" s="245">
        <v>46600</v>
      </c>
      <c r="W682" s="101" t="s">
        <v>417</v>
      </c>
      <c r="X682" s="101" t="s">
        <v>76</v>
      </c>
      <c r="Y682" s="101" t="s">
        <v>392</v>
      </c>
      <c r="Z682" s="101" t="s">
        <v>412</v>
      </c>
      <c r="AA682" s="101" t="s">
        <v>638</v>
      </c>
      <c r="AB682" s="101">
        <v>3101051675</v>
      </c>
      <c r="AC682" s="101" t="s">
        <v>414</v>
      </c>
      <c r="AD682" s="101" t="s">
        <v>79</v>
      </c>
      <c r="AE682" s="101" t="s">
        <v>75</v>
      </c>
      <c r="AF682" s="101" t="s">
        <v>400</v>
      </c>
      <c r="AI682" s="101" t="s">
        <v>172</v>
      </c>
    </row>
    <row r="683" spans="1:35">
      <c r="A683" s="246" t="s">
        <v>113</v>
      </c>
      <c r="B683" s="246" t="s">
        <v>66</v>
      </c>
      <c r="C683" s="246" t="s">
        <v>264</v>
      </c>
      <c r="D683" s="246" t="s">
        <v>285</v>
      </c>
      <c r="E683" s="246"/>
      <c r="F683" s="246"/>
      <c r="G683" s="132">
        <v>4573800</v>
      </c>
      <c r="H683" s="132" t="s">
        <v>1486</v>
      </c>
      <c r="I683" s="132">
        <v>4573800</v>
      </c>
      <c r="J683" s="101" t="s">
        <v>889</v>
      </c>
      <c r="K683" s="245" t="s">
        <v>390</v>
      </c>
      <c r="L683" s="245">
        <v>43101</v>
      </c>
      <c r="M683" s="245" t="s">
        <v>421</v>
      </c>
      <c r="N683" s="101">
        <v>0</v>
      </c>
      <c r="O683" s="101" t="s">
        <v>392</v>
      </c>
      <c r="P683" s="101">
        <v>0</v>
      </c>
      <c r="Q683" s="101">
        <v>0</v>
      </c>
      <c r="R683" s="101" t="s">
        <v>410</v>
      </c>
      <c r="S683" s="101" t="s">
        <v>637</v>
      </c>
      <c r="T683" s="101" t="s">
        <v>394</v>
      </c>
      <c r="U683" s="101" t="s">
        <v>84</v>
      </c>
      <c r="V683" s="245">
        <v>46600</v>
      </c>
      <c r="W683" s="101" t="s">
        <v>417</v>
      </c>
      <c r="X683" s="101" t="s">
        <v>76</v>
      </c>
      <c r="Y683" s="101" t="s">
        <v>392</v>
      </c>
      <c r="Z683" s="101" t="s">
        <v>412</v>
      </c>
      <c r="AA683" s="101" t="s">
        <v>638</v>
      </c>
      <c r="AB683" s="101">
        <v>3101051675</v>
      </c>
      <c r="AC683" s="101" t="s">
        <v>414</v>
      </c>
      <c r="AD683" s="101" t="s">
        <v>79</v>
      </c>
      <c r="AE683" s="101" t="s">
        <v>75</v>
      </c>
      <c r="AF683" s="101" t="s">
        <v>400</v>
      </c>
      <c r="AI683" s="101" t="s">
        <v>172</v>
      </c>
    </row>
    <row r="684" spans="1:35">
      <c r="A684" s="246" t="s">
        <v>113</v>
      </c>
      <c r="B684" s="246" t="s">
        <v>66</v>
      </c>
      <c r="C684" s="246" t="s">
        <v>126</v>
      </c>
      <c r="D684" s="246" t="s">
        <v>271</v>
      </c>
      <c r="E684" s="246"/>
      <c r="F684" s="246"/>
      <c r="G684" s="132" t="s">
        <v>834</v>
      </c>
      <c r="H684" s="132" t="s">
        <v>1487</v>
      </c>
      <c r="I684" s="132">
        <v>-85374.989999999991</v>
      </c>
      <c r="J684" s="101" t="s">
        <v>889</v>
      </c>
      <c r="K684" s="245" t="s">
        <v>390</v>
      </c>
      <c r="L684" s="245">
        <v>43132</v>
      </c>
      <c r="M684" s="245" t="s">
        <v>391</v>
      </c>
      <c r="N684" s="101">
        <v>0</v>
      </c>
      <c r="O684" s="101" t="s">
        <v>392</v>
      </c>
      <c r="P684" s="101">
        <v>0</v>
      </c>
      <c r="Q684" s="101">
        <v>0</v>
      </c>
      <c r="R684" s="101" t="s">
        <v>422</v>
      </c>
      <c r="S684" s="101" t="s">
        <v>637</v>
      </c>
      <c r="T684" s="101" t="s">
        <v>394</v>
      </c>
      <c r="U684" s="101" t="s">
        <v>84</v>
      </c>
      <c r="V684" s="245">
        <v>46600</v>
      </c>
      <c r="W684" s="101" t="s">
        <v>417</v>
      </c>
      <c r="X684" s="101" t="s">
        <v>76</v>
      </c>
      <c r="Y684" s="101" t="s">
        <v>392</v>
      </c>
      <c r="Z684" s="101" t="s">
        <v>412</v>
      </c>
      <c r="AA684" s="101" t="s">
        <v>638</v>
      </c>
      <c r="AB684" s="101">
        <v>3101051675</v>
      </c>
      <c r="AC684" s="101" t="s">
        <v>414</v>
      </c>
      <c r="AD684" s="101" t="s">
        <v>79</v>
      </c>
      <c r="AE684" s="101" t="s">
        <v>75</v>
      </c>
      <c r="AF684" s="101" t="s">
        <v>400</v>
      </c>
      <c r="AI684" s="101" t="s">
        <v>172</v>
      </c>
    </row>
    <row r="685" spans="1:35">
      <c r="A685" s="246" t="s">
        <v>113</v>
      </c>
      <c r="B685" s="246" t="s">
        <v>66</v>
      </c>
      <c r="C685" s="246" t="s">
        <v>264</v>
      </c>
      <c r="D685" s="246" t="s">
        <v>285</v>
      </c>
      <c r="E685" s="246"/>
      <c r="F685" s="246"/>
      <c r="G685" s="132">
        <v>4951320</v>
      </c>
      <c r="H685" s="132" t="s">
        <v>1488</v>
      </c>
      <c r="I685" s="132">
        <v>4951320</v>
      </c>
      <c r="J685" s="101" t="s">
        <v>889</v>
      </c>
      <c r="K685" s="245" t="s">
        <v>390</v>
      </c>
      <c r="L685" s="245">
        <v>43132</v>
      </c>
      <c r="M685" s="245" t="s">
        <v>421</v>
      </c>
      <c r="N685" s="101">
        <v>0</v>
      </c>
      <c r="O685" s="101" t="s">
        <v>392</v>
      </c>
      <c r="P685" s="101">
        <v>0</v>
      </c>
      <c r="Q685" s="101">
        <v>0</v>
      </c>
      <c r="R685" s="101" t="s">
        <v>410</v>
      </c>
      <c r="S685" s="101" t="s">
        <v>637</v>
      </c>
      <c r="T685" s="101" t="s">
        <v>394</v>
      </c>
      <c r="U685" s="101" t="s">
        <v>84</v>
      </c>
      <c r="V685" s="245">
        <v>46600</v>
      </c>
      <c r="W685" s="101" t="s">
        <v>417</v>
      </c>
      <c r="X685" s="101" t="s">
        <v>76</v>
      </c>
      <c r="Y685" s="101" t="s">
        <v>392</v>
      </c>
      <c r="Z685" s="101" t="s">
        <v>412</v>
      </c>
      <c r="AA685" s="101" t="s">
        <v>638</v>
      </c>
      <c r="AB685" s="101">
        <v>3101051675</v>
      </c>
      <c r="AC685" s="101" t="s">
        <v>414</v>
      </c>
      <c r="AD685" s="101" t="s">
        <v>79</v>
      </c>
      <c r="AE685" s="101" t="s">
        <v>75</v>
      </c>
      <c r="AF685" s="101" t="s">
        <v>400</v>
      </c>
      <c r="AI685" s="101" t="s">
        <v>172</v>
      </c>
    </row>
    <row r="686" spans="1:35">
      <c r="A686" s="246" t="s">
        <v>113</v>
      </c>
      <c r="B686" s="246" t="s">
        <v>66</v>
      </c>
      <c r="C686" s="246" t="s">
        <v>264</v>
      </c>
      <c r="D686" s="246" t="s">
        <v>285</v>
      </c>
      <c r="E686" s="246"/>
      <c r="F686" s="246"/>
      <c r="G686" s="132" t="s">
        <v>642</v>
      </c>
      <c r="H686" s="132" t="s">
        <v>1500</v>
      </c>
      <c r="I686" s="132">
        <v>-8102231.2499999991</v>
      </c>
      <c r="J686" s="101" t="s">
        <v>889</v>
      </c>
      <c r="K686" s="245" t="s">
        <v>390</v>
      </c>
      <c r="L686" s="245">
        <v>43133</v>
      </c>
      <c r="M686" s="245" t="s">
        <v>421</v>
      </c>
      <c r="N686" s="101">
        <v>0</v>
      </c>
      <c r="O686" s="101" t="s">
        <v>392</v>
      </c>
      <c r="P686" s="101">
        <v>0</v>
      </c>
      <c r="Q686" s="101">
        <v>0</v>
      </c>
      <c r="R686" s="101" t="s">
        <v>422</v>
      </c>
      <c r="S686" s="101" t="s">
        <v>637</v>
      </c>
      <c r="T686" s="101" t="s">
        <v>394</v>
      </c>
      <c r="U686" s="101" t="s">
        <v>84</v>
      </c>
      <c r="V686" s="245">
        <v>46600</v>
      </c>
      <c r="W686" s="101" t="s">
        <v>417</v>
      </c>
      <c r="X686" s="101" t="s">
        <v>76</v>
      </c>
      <c r="Y686" s="101" t="s">
        <v>392</v>
      </c>
      <c r="Z686" s="101" t="s">
        <v>412</v>
      </c>
      <c r="AA686" s="101" t="s">
        <v>638</v>
      </c>
      <c r="AB686" s="101">
        <v>3101051675</v>
      </c>
      <c r="AC686" s="101" t="s">
        <v>414</v>
      </c>
      <c r="AD686" s="101" t="s">
        <v>79</v>
      </c>
      <c r="AE686" s="101" t="s">
        <v>75</v>
      </c>
      <c r="AF686" s="101" t="s">
        <v>400</v>
      </c>
      <c r="AI686" s="101" t="s">
        <v>172</v>
      </c>
    </row>
    <row r="687" spans="1:35">
      <c r="A687" s="246" t="s">
        <v>113</v>
      </c>
      <c r="B687" s="246" t="s">
        <v>66</v>
      </c>
      <c r="C687" s="246" t="s">
        <v>126</v>
      </c>
      <c r="D687" s="246" t="s">
        <v>271</v>
      </c>
      <c r="E687" s="246"/>
      <c r="F687" s="246"/>
      <c r="G687" s="132" t="s">
        <v>835</v>
      </c>
      <c r="H687" s="132" t="s">
        <v>1501</v>
      </c>
      <c r="I687" s="132">
        <v>-71770.23</v>
      </c>
      <c r="J687" s="101" t="s">
        <v>889</v>
      </c>
      <c r="K687" s="245" t="s">
        <v>390</v>
      </c>
      <c r="L687" s="245">
        <v>43160</v>
      </c>
      <c r="M687" s="245" t="s">
        <v>391</v>
      </c>
      <c r="N687" s="101">
        <v>0</v>
      </c>
      <c r="O687" s="101" t="s">
        <v>392</v>
      </c>
      <c r="P687" s="101">
        <v>0</v>
      </c>
      <c r="Q687" s="101">
        <v>0</v>
      </c>
      <c r="R687" s="101" t="s">
        <v>422</v>
      </c>
      <c r="S687" s="101" t="s">
        <v>637</v>
      </c>
      <c r="T687" s="101" t="s">
        <v>394</v>
      </c>
      <c r="U687" s="101" t="s">
        <v>84</v>
      </c>
      <c r="V687" s="245">
        <v>46600</v>
      </c>
      <c r="W687" s="101" t="s">
        <v>417</v>
      </c>
      <c r="X687" s="101" t="s">
        <v>76</v>
      </c>
      <c r="Y687" s="101" t="s">
        <v>392</v>
      </c>
      <c r="Z687" s="101" t="s">
        <v>412</v>
      </c>
      <c r="AA687" s="101" t="s">
        <v>638</v>
      </c>
      <c r="AB687" s="101">
        <v>3101051675</v>
      </c>
      <c r="AC687" s="101" t="s">
        <v>414</v>
      </c>
      <c r="AD687" s="101" t="s">
        <v>79</v>
      </c>
      <c r="AE687" s="101" t="s">
        <v>75</v>
      </c>
      <c r="AF687" s="101" t="s">
        <v>400</v>
      </c>
      <c r="AI687" s="101" t="s">
        <v>172</v>
      </c>
    </row>
    <row r="688" spans="1:35">
      <c r="A688" s="246" t="s">
        <v>113</v>
      </c>
      <c r="B688" s="246" t="s">
        <v>66</v>
      </c>
      <c r="C688" s="246" t="s">
        <v>264</v>
      </c>
      <c r="D688" s="246" t="s">
        <v>285</v>
      </c>
      <c r="E688" s="246"/>
      <c r="F688" s="246"/>
      <c r="G688" s="132">
        <v>4951320</v>
      </c>
      <c r="H688" s="132" t="s">
        <v>1488</v>
      </c>
      <c r="I688" s="132">
        <v>4951320</v>
      </c>
      <c r="J688" s="101" t="s">
        <v>889</v>
      </c>
      <c r="K688" s="245" t="s">
        <v>390</v>
      </c>
      <c r="L688" s="245">
        <v>43160</v>
      </c>
      <c r="M688" s="245" t="s">
        <v>421</v>
      </c>
      <c r="N688" s="101">
        <v>0</v>
      </c>
      <c r="O688" s="101" t="s">
        <v>392</v>
      </c>
      <c r="P688" s="101">
        <v>0</v>
      </c>
      <c r="Q688" s="101">
        <v>0</v>
      </c>
      <c r="R688" s="101" t="s">
        <v>410</v>
      </c>
      <c r="S688" s="101" t="s">
        <v>637</v>
      </c>
      <c r="T688" s="101" t="s">
        <v>394</v>
      </c>
      <c r="U688" s="101" t="s">
        <v>84</v>
      </c>
      <c r="V688" s="245">
        <v>46600</v>
      </c>
      <c r="W688" s="101" t="s">
        <v>417</v>
      </c>
      <c r="X688" s="101" t="s">
        <v>76</v>
      </c>
      <c r="Y688" s="101" t="s">
        <v>392</v>
      </c>
      <c r="Z688" s="101" t="s">
        <v>412</v>
      </c>
      <c r="AA688" s="101" t="s">
        <v>638</v>
      </c>
      <c r="AB688" s="101">
        <v>3101051675</v>
      </c>
      <c r="AC688" s="101" t="s">
        <v>414</v>
      </c>
      <c r="AD688" s="101" t="s">
        <v>79</v>
      </c>
      <c r="AE688" s="101" t="s">
        <v>75</v>
      </c>
      <c r="AF688" s="101" t="s">
        <v>400</v>
      </c>
      <c r="AI688" s="101" t="s">
        <v>172</v>
      </c>
    </row>
    <row r="689" spans="1:35">
      <c r="A689" s="246" t="s">
        <v>113</v>
      </c>
      <c r="B689" s="246" t="s">
        <v>66</v>
      </c>
      <c r="C689" s="246" t="s">
        <v>126</v>
      </c>
      <c r="D689" s="246" t="s">
        <v>271</v>
      </c>
      <c r="E689" s="246"/>
      <c r="F689" s="246"/>
      <c r="G689" s="132" t="s">
        <v>836</v>
      </c>
      <c r="H689" s="132" t="s">
        <v>1502</v>
      </c>
      <c r="I689" s="132">
        <v>-93877.42</v>
      </c>
      <c r="J689" s="101" t="s">
        <v>889</v>
      </c>
      <c r="K689" s="245" t="s">
        <v>390</v>
      </c>
      <c r="L689" s="245">
        <v>43191</v>
      </c>
      <c r="M689" s="245" t="s">
        <v>391</v>
      </c>
      <c r="N689" s="101">
        <v>0</v>
      </c>
      <c r="O689" s="101" t="s">
        <v>392</v>
      </c>
      <c r="P689" s="101">
        <v>0</v>
      </c>
      <c r="Q689" s="101">
        <v>0</v>
      </c>
      <c r="R689" s="101" t="s">
        <v>422</v>
      </c>
      <c r="S689" s="101" t="s">
        <v>637</v>
      </c>
      <c r="T689" s="101" t="s">
        <v>394</v>
      </c>
      <c r="U689" s="101" t="s">
        <v>84</v>
      </c>
      <c r="V689" s="245">
        <v>46600</v>
      </c>
      <c r="W689" s="101" t="s">
        <v>417</v>
      </c>
      <c r="X689" s="101" t="s">
        <v>76</v>
      </c>
      <c r="Y689" s="101" t="s">
        <v>392</v>
      </c>
      <c r="Z689" s="101" t="s">
        <v>412</v>
      </c>
      <c r="AA689" s="101" t="s">
        <v>638</v>
      </c>
      <c r="AB689" s="101">
        <v>3101051675</v>
      </c>
      <c r="AC689" s="101" t="s">
        <v>414</v>
      </c>
      <c r="AD689" s="101" t="s">
        <v>79</v>
      </c>
      <c r="AE689" s="101" t="s">
        <v>75</v>
      </c>
      <c r="AF689" s="101" t="s">
        <v>400</v>
      </c>
      <c r="AI689" s="101" t="s">
        <v>172</v>
      </c>
    </row>
    <row r="690" spans="1:35">
      <c r="A690" s="246" t="s">
        <v>113</v>
      </c>
      <c r="B690" s="246" t="s">
        <v>66</v>
      </c>
      <c r="C690" s="246" t="s">
        <v>264</v>
      </c>
      <c r="D690" s="246" t="s">
        <v>285</v>
      </c>
      <c r="E690" s="246"/>
      <c r="F690" s="246"/>
      <c r="G690" s="132">
        <v>4472160</v>
      </c>
      <c r="H690" s="132" t="s">
        <v>1492</v>
      </c>
      <c r="I690" s="132">
        <v>4472160</v>
      </c>
      <c r="J690" s="101" t="s">
        <v>889</v>
      </c>
      <c r="K690" s="245" t="s">
        <v>390</v>
      </c>
      <c r="L690" s="245">
        <v>43191</v>
      </c>
      <c r="M690" s="245" t="s">
        <v>421</v>
      </c>
      <c r="N690" s="101">
        <v>0</v>
      </c>
      <c r="O690" s="101" t="s">
        <v>392</v>
      </c>
      <c r="P690" s="101">
        <v>0</v>
      </c>
      <c r="Q690" s="101">
        <v>0</v>
      </c>
      <c r="R690" s="101" t="s">
        <v>410</v>
      </c>
      <c r="S690" s="101" t="s">
        <v>637</v>
      </c>
      <c r="T690" s="101" t="s">
        <v>394</v>
      </c>
      <c r="U690" s="101" t="s">
        <v>84</v>
      </c>
      <c r="V690" s="245">
        <v>46600</v>
      </c>
      <c r="W690" s="101" t="s">
        <v>417</v>
      </c>
      <c r="X690" s="101" t="s">
        <v>76</v>
      </c>
      <c r="Y690" s="101" t="s">
        <v>392</v>
      </c>
      <c r="Z690" s="101" t="s">
        <v>412</v>
      </c>
      <c r="AA690" s="101" t="s">
        <v>638</v>
      </c>
      <c r="AB690" s="101">
        <v>3101051675</v>
      </c>
      <c r="AC690" s="101" t="s">
        <v>414</v>
      </c>
      <c r="AD690" s="101" t="s">
        <v>79</v>
      </c>
      <c r="AE690" s="101" t="s">
        <v>75</v>
      </c>
      <c r="AF690" s="101" t="s">
        <v>400</v>
      </c>
      <c r="AI690" s="101" t="s">
        <v>172</v>
      </c>
    </row>
    <row r="691" spans="1:35">
      <c r="A691" s="246" t="s">
        <v>113</v>
      </c>
      <c r="B691" s="246" t="s">
        <v>66</v>
      </c>
      <c r="C691" s="246" t="s">
        <v>126</v>
      </c>
      <c r="D691" s="246" t="s">
        <v>271</v>
      </c>
      <c r="E691" s="246"/>
      <c r="F691" s="246"/>
      <c r="G691" s="132" t="s">
        <v>837</v>
      </c>
      <c r="H691" s="132" t="s">
        <v>1503</v>
      </c>
      <c r="I691" s="132">
        <v>-114997.19999999998</v>
      </c>
      <c r="J691" s="101" t="s">
        <v>889</v>
      </c>
      <c r="K691" s="245" t="s">
        <v>390</v>
      </c>
      <c r="L691" s="245">
        <v>43221</v>
      </c>
      <c r="M691" s="245" t="s">
        <v>391</v>
      </c>
      <c r="N691" s="101">
        <v>0</v>
      </c>
      <c r="O691" s="101" t="s">
        <v>392</v>
      </c>
      <c r="P691" s="101">
        <v>0</v>
      </c>
      <c r="Q691" s="101">
        <v>0</v>
      </c>
      <c r="R691" s="101" t="s">
        <v>422</v>
      </c>
      <c r="S691" s="101" t="s">
        <v>637</v>
      </c>
      <c r="T691" s="101" t="s">
        <v>394</v>
      </c>
      <c r="U691" s="101" t="s">
        <v>84</v>
      </c>
      <c r="V691" s="245">
        <v>46600</v>
      </c>
      <c r="W691" s="101" t="s">
        <v>417</v>
      </c>
      <c r="X691" s="101" t="s">
        <v>76</v>
      </c>
      <c r="Y691" s="101" t="s">
        <v>392</v>
      </c>
      <c r="Z691" s="101" t="s">
        <v>412</v>
      </c>
      <c r="AA691" s="101" t="s">
        <v>638</v>
      </c>
      <c r="AB691" s="101">
        <v>3101051675</v>
      </c>
      <c r="AC691" s="101" t="s">
        <v>414</v>
      </c>
      <c r="AD691" s="101" t="s">
        <v>79</v>
      </c>
      <c r="AE691" s="101" t="s">
        <v>75</v>
      </c>
      <c r="AF691" s="101" t="s">
        <v>400</v>
      </c>
      <c r="AI691" s="101" t="s">
        <v>172</v>
      </c>
    </row>
    <row r="692" spans="1:35">
      <c r="A692" s="246" t="s">
        <v>113</v>
      </c>
      <c r="B692" s="246" t="s">
        <v>66</v>
      </c>
      <c r="C692" s="246" t="s">
        <v>264</v>
      </c>
      <c r="D692" s="246" t="s">
        <v>285</v>
      </c>
      <c r="E692" s="246"/>
      <c r="F692" s="246"/>
      <c r="G692" s="132">
        <v>4726260</v>
      </c>
      <c r="H692" s="132" t="s">
        <v>1494</v>
      </c>
      <c r="I692" s="132">
        <v>4726260</v>
      </c>
      <c r="J692" s="101" t="s">
        <v>889</v>
      </c>
      <c r="K692" s="245" t="s">
        <v>390</v>
      </c>
      <c r="L692" s="245">
        <v>43221</v>
      </c>
      <c r="M692" s="245" t="s">
        <v>421</v>
      </c>
      <c r="N692" s="101">
        <v>0</v>
      </c>
      <c r="O692" s="101" t="s">
        <v>392</v>
      </c>
      <c r="P692" s="101">
        <v>0</v>
      </c>
      <c r="Q692" s="101">
        <v>0</v>
      </c>
      <c r="R692" s="101" t="s">
        <v>410</v>
      </c>
      <c r="S692" s="101" t="s">
        <v>637</v>
      </c>
      <c r="T692" s="101" t="s">
        <v>394</v>
      </c>
      <c r="U692" s="101" t="s">
        <v>84</v>
      </c>
      <c r="V692" s="245">
        <v>46600</v>
      </c>
      <c r="W692" s="101" t="s">
        <v>417</v>
      </c>
      <c r="X692" s="101" t="s">
        <v>76</v>
      </c>
      <c r="Y692" s="101" t="s">
        <v>392</v>
      </c>
      <c r="Z692" s="101" t="s">
        <v>412</v>
      </c>
      <c r="AA692" s="101" t="s">
        <v>638</v>
      </c>
      <c r="AB692" s="101">
        <v>3101051675</v>
      </c>
      <c r="AC692" s="101" t="s">
        <v>414</v>
      </c>
      <c r="AD692" s="101" t="s">
        <v>79</v>
      </c>
      <c r="AE692" s="101" t="s">
        <v>75</v>
      </c>
      <c r="AF692" s="101" t="s">
        <v>400</v>
      </c>
      <c r="AI692" s="101" t="s">
        <v>172</v>
      </c>
    </row>
    <row r="693" spans="1:35">
      <c r="A693" s="246" t="s">
        <v>109</v>
      </c>
      <c r="B693" s="246" t="s">
        <v>66</v>
      </c>
      <c r="C693" s="246" t="s">
        <v>126</v>
      </c>
      <c r="D693" s="246" t="s">
        <v>272</v>
      </c>
      <c r="E693" s="246"/>
      <c r="F693" s="246"/>
      <c r="G693" s="132">
        <v>37500</v>
      </c>
      <c r="H693" s="132" t="s">
        <v>1504</v>
      </c>
      <c r="I693" s="132">
        <v>37500</v>
      </c>
      <c r="J693" s="101" t="s">
        <v>889</v>
      </c>
      <c r="K693" s="245" t="s">
        <v>390</v>
      </c>
      <c r="L693" s="245">
        <v>42536</v>
      </c>
      <c r="M693" s="245" t="s">
        <v>391</v>
      </c>
      <c r="N693" s="101">
        <v>0</v>
      </c>
      <c r="O693" s="101" t="s">
        <v>392</v>
      </c>
      <c r="P693" s="101">
        <v>0</v>
      </c>
      <c r="Q693" s="101">
        <v>0</v>
      </c>
      <c r="R693" s="101" t="s">
        <v>450</v>
      </c>
      <c r="S693" s="101">
        <v>193008</v>
      </c>
      <c r="T693" s="101" t="s">
        <v>394</v>
      </c>
      <c r="V693" s="245">
        <v>42536</v>
      </c>
      <c r="W693" s="101" t="s">
        <v>441</v>
      </c>
      <c r="X693" s="101" t="s">
        <v>76</v>
      </c>
      <c r="Y693" s="101" t="s">
        <v>392</v>
      </c>
      <c r="Z693" s="101" t="s">
        <v>430</v>
      </c>
      <c r="AA693" s="101" t="s">
        <v>531</v>
      </c>
      <c r="AB693" s="101">
        <v>3101053435</v>
      </c>
      <c r="AC693" s="101" t="s">
        <v>431</v>
      </c>
      <c r="AD693" s="101" t="s">
        <v>431</v>
      </c>
      <c r="AE693" s="101" t="s">
        <v>75</v>
      </c>
      <c r="AF693" s="101" t="s">
        <v>400</v>
      </c>
      <c r="AG693" s="101" t="s">
        <v>532</v>
      </c>
      <c r="AI693" s="101" t="s">
        <v>760</v>
      </c>
    </row>
    <row r="694" spans="1:35">
      <c r="A694" s="246" t="s">
        <v>109</v>
      </c>
      <c r="B694" s="246" t="s">
        <v>66</v>
      </c>
      <c r="C694" s="246" t="s">
        <v>116</v>
      </c>
      <c r="D694" s="246" t="s">
        <v>338</v>
      </c>
      <c r="E694" s="246"/>
      <c r="F694" s="246"/>
      <c r="G694" s="132">
        <v>15000000</v>
      </c>
      <c r="H694" s="132" t="s">
        <v>1505</v>
      </c>
      <c r="I694" s="132">
        <v>15000000</v>
      </c>
      <c r="J694" s="101" t="s">
        <v>889</v>
      </c>
      <c r="K694" s="245" t="s">
        <v>390</v>
      </c>
      <c r="L694" s="245">
        <v>42536</v>
      </c>
      <c r="M694" s="245" t="s">
        <v>421</v>
      </c>
      <c r="N694" s="101">
        <v>0</v>
      </c>
      <c r="O694" s="101" t="s">
        <v>392</v>
      </c>
      <c r="P694" s="101">
        <v>0</v>
      </c>
      <c r="Q694" s="101">
        <v>0</v>
      </c>
      <c r="R694" s="101" t="s">
        <v>450</v>
      </c>
      <c r="S694" s="101">
        <v>193008</v>
      </c>
      <c r="T694" s="101" t="s">
        <v>394</v>
      </c>
      <c r="V694" s="245">
        <v>42536</v>
      </c>
      <c r="W694" s="101" t="s">
        <v>441</v>
      </c>
      <c r="X694" s="101" t="s">
        <v>76</v>
      </c>
      <c r="Y694" s="101" t="s">
        <v>392</v>
      </c>
      <c r="Z694" s="101" t="s">
        <v>430</v>
      </c>
      <c r="AA694" s="101" t="s">
        <v>531</v>
      </c>
      <c r="AB694" s="101">
        <v>3101053435</v>
      </c>
      <c r="AC694" s="101" t="s">
        <v>431</v>
      </c>
      <c r="AD694" s="101" t="s">
        <v>431</v>
      </c>
      <c r="AE694" s="101" t="s">
        <v>75</v>
      </c>
      <c r="AF694" s="101" t="s">
        <v>400</v>
      </c>
      <c r="AG694" s="101" t="s">
        <v>532</v>
      </c>
      <c r="AI694" s="101" t="s">
        <v>760</v>
      </c>
    </row>
    <row r="695" spans="1:35">
      <c r="A695" s="246" t="s">
        <v>108</v>
      </c>
      <c r="B695" s="246" t="s">
        <v>66</v>
      </c>
      <c r="C695" s="246" t="s">
        <v>126</v>
      </c>
      <c r="D695" s="246" t="s">
        <v>280</v>
      </c>
      <c r="E695" s="246"/>
      <c r="F695" s="246"/>
      <c r="G695" s="132">
        <v>131250</v>
      </c>
      <c r="H695" s="132" t="s">
        <v>1506</v>
      </c>
      <c r="I695" s="132">
        <v>131250</v>
      </c>
      <c r="J695" s="101" t="s">
        <v>889</v>
      </c>
      <c r="K695" s="245" t="s">
        <v>390</v>
      </c>
      <c r="L695" s="245">
        <v>42530</v>
      </c>
      <c r="M695" s="245" t="s">
        <v>391</v>
      </c>
      <c r="N695" s="101">
        <v>0</v>
      </c>
      <c r="O695" s="101" t="s">
        <v>392</v>
      </c>
      <c r="P695" s="101">
        <v>0</v>
      </c>
      <c r="Q695" s="101">
        <v>0</v>
      </c>
      <c r="R695" s="101" t="s">
        <v>438</v>
      </c>
      <c r="S695" s="101">
        <v>162110</v>
      </c>
      <c r="T695" s="101" t="s">
        <v>394</v>
      </c>
      <c r="V695" s="245">
        <v>44904</v>
      </c>
      <c r="W695" s="101" t="s">
        <v>718</v>
      </c>
      <c r="X695" s="101" t="s">
        <v>76</v>
      </c>
      <c r="Y695" s="101" t="s">
        <v>392</v>
      </c>
      <c r="Z695" s="101" t="s">
        <v>430</v>
      </c>
      <c r="AA695" s="101" t="s">
        <v>451</v>
      </c>
      <c r="AB695" s="101">
        <v>1101005009</v>
      </c>
      <c r="AC695" s="101" t="s">
        <v>431</v>
      </c>
      <c r="AD695" s="101" t="s">
        <v>431</v>
      </c>
      <c r="AE695" s="101" t="s">
        <v>75</v>
      </c>
      <c r="AF695" s="101" t="s">
        <v>400</v>
      </c>
      <c r="AG695" s="101" t="s">
        <v>567</v>
      </c>
      <c r="AI695" s="101" t="s">
        <v>760</v>
      </c>
    </row>
    <row r="696" spans="1:35">
      <c r="A696" s="246" t="s">
        <v>111</v>
      </c>
      <c r="B696" s="246" t="s">
        <v>66</v>
      </c>
      <c r="C696" s="246" t="s">
        <v>126</v>
      </c>
      <c r="D696" s="246" t="s">
        <v>273</v>
      </c>
      <c r="E696" s="246"/>
      <c r="F696" s="246"/>
      <c r="G696" s="132">
        <v>131250</v>
      </c>
      <c r="H696" s="132" t="s">
        <v>1506</v>
      </c>
      <c r="I696" s="132">
        <v>131250</v>
      </c>
      <c r="J696" s="101" t="s">
        <v>889</v>
      </c>
      <c r="K696" s="245" t="s">
        <v>390</v>
      </c>
      <c r="L696" s="245">
        <v>42713</v>
      </c>
      <c r="M696" s="245" t="s">
        <v>391</v>
      </c>
      <c r="N696" s="101">
        <v>0</v>
      </c>
      <c r="O696" s="101" t="s">
        <v>392</v>
      </c>
      <c r="P696" s="101">
        <v>0</v>
      </c>
      <c r="Q696" s="101">
        <v>0</v>
      </c>
      <c r="R696" s="101" t="s">
        <v>438</v>
      </c>
      <c r="S696" s="101">
        <v>162110</v>
      </c>
      <c r="T696" s="101" t="s">
        <v>394</v>
      </c>
      <c r="V696" s="245">
        <v>44904</v>
      </c>
      <c r="W696" s="101" t="s">
        <v>718</v>
      </c>
      <c r="X696" s="101" t="s">
        <v>76</v>
      </c>
      <c r="Y696" s="101" t="s">
        <v>392</v>
      </c>
      <c r="Z696" s="101" t="s">
        <v>430</v>
      </c>
      <c r="AA696" s="101" t="s">
        <v>451</v>
      </c>
      <c r="AB696" s="101">
        <v>1101005009</v>
      </c>
      <c r="AC696" s="101" t="s">
        <v>431</v>
      </c>
      <c r="AD696" s="101" t="s">
        <v>431</v>
      </c>
      <c r="AE696" s="101" t="s">
        <v>75</v>
      </c>
      <c r="AF696" s="101" t="s">
        <v>400</v>
      </c>
      <c r="AG696" s="101" t="s">
        <v>567</v>
      </c>
      <c r="AI696" s="101" t="s">
        <v>760</v>
      </c>
    </row>
    <row r="697" spans="1:35">
      <c r="A697" s="246" t="s">
        <v>112</v>
      </c>
      <c r="B697" s="246" t="s">
        <v>66</v>
      </c>
      <c r="C697" s="246" t="s">
        <v>126</v>
      </c>
      <c r="D697" s="246" t="s">
        <v>270</v>
      </c>
      <c r="E697" s="246"/>
      <c r="F697" s="246"/>
      <c r="G697" s="132">
        <v>131250</v>
      </c>
      <c r="H697" s="132" t="s">
        <v>1506</v>
      </c>
      <c r="I697" s="132">
        <v>131250</v>
      </c>
      <c r="J697" s="101" t="s">
        <v>889</v>
      </c>
      <c r="K697" s="245" t="s">
        <v>390</v>
      </c>
      <c r="L697" s="245">
        <v>42895</v>
      </c>
      <c r="M697" s="245" t="s">
        <v>391</v>
      </c>
      <c r="N697" s="101">
        <v>0</v>
      </c>
      <c r="O697" s="101" t="s">
        <v>392</v>
      </c>
      <c r="P697" s="101">
        <v>0</v>
      </c>
      <c r="Q697" s="101">
        <v>0</v>
      </c>
      <c r="R697" s="101" t="s">
        <v>438</v>
      </c>
      <c r="S697" s="101">
        <v>162110</v>
      </c>
      <c r="T697" s="101" t="s">
        <v>394</v>
      </c>
      <c r="V697" s="245">
        <v>44904</v>
      </c>
      <c r="W697" s="101" t="s">
        <v>718</v>
      </c>
      <c r="X697" s="101" t="s">
        <v>76</v>
      </c>
      <c r="Y697" s="101" t="s">
        <v>392</v>
      </c>
      <c r="Z697" s="101" t="s">
        <v>430</v>
      </c>
      <c r="AA697" s="101" t="s">
        <v>451</v>
      </c>
      <c r="AB697" s="101">
        <v>1101005009</v>
      </c>
      <c r="AC697" s="101" t="s">
        <v>431</v>
      </c>
      <c r="AD697" s="101" t="s">
        <v>431</v>
      </c>
      <c r="AE697" s="101" t="s">
        <v>75</v>
      </c>
      <c r="AF697" s="101" t="s">
        <v>400</v>
      </c>
      <c r="AG697" s="101" t="s">
        <v>567</v>
      </c>
      <c r="AI697" s="101" t="s">
        <v>760</v>
      </c>
    </row>
    <row r="698" spans="1:35">
      <c r="A698" s="246" t="s">
        <v>113</v>
      </c>
      <c r="B698" s="246" t="s">
        <v>66</v>
      </c>
      <c r="C698" s="246" t="s">
        <v>126</v>
      </c>
      <c r="D698" s="246" t="s">
        <v>271</v>
      </c>
      <c r="E698" s="246"/>
      <c r="F698" s="246"/>
      <c r="G698" s="132">
        <v>131250</v>
      </c>
      <c r="H698" s="132" t="s">
        <v>1506</v>
      </c>
      <c r="I698" s="132">
        <v>131250</v>
      </c>
      <c r="J698" s="101" t="s">
        <v>889</v>
      </c>
      <c r="K698" s="245" t="s">
        <v>390</v>
      </c>
      <c r="L698" s="245">
        <v>43080</v>
      </c>
      <c r="M698" s="245" t="s">
        <v>391</v>
      </c>
      <c r="N698" s="101">
        <v>0</v>
      </c>
      <c r="O698" s="101" t="s">
        <v>392</v>
      </c>
      <c r="P698" s="101">
        <v>0</v>
      </c>
      <c r="Q698" s="101">
        <v>0</v>
      </c>
      <c r="R698" s="101" t="s">
        <v>438</v>
      </c>
      <c r="S698" s="101">
        <v>162110</v>
      </c>
      <c r="T698" s="101" t="s">
        <v>394</v>
      </c>
      <c r="V698" s="245">
        <v>44904</v>
      </c>
      <c r="W698" s="101" t="s">
        <v>718</v>
      </c>
      <c r="X698" s="101" t="s">
        <v>76</v>
      </c>
      <c r="Y698" s="101" t="s">
        <v>392</v>
      </c>
      <c r="Z698" s="101" t="s">
        <v>430</v>
      </c>
      <c r="AA698" s="101" t="s">
        <v>451</v>
      </c>
      <c r="AB698" s="101">
        <v>1101005009</v>
      </c>
      <c r="AC698" s="101" t="s">
        <v>431</v>
      </c>
      <c r="AD698" s="101" t="s">
        <v>431</v>
      </c>
      <c r="AE698" s="101" t="s">
        <v>75</v>
      </c>
      <c r="AF698" s="101" t="s">
        <v>400</v>
      </c>
      <c r="AG698" s="101" t="s">
        <v>567</v>
      </c>
      <c r="AI698" s="101" t="s">
        <v>760</v>
      </c>
    </row>
    <row r="699" spans="1:35">
      <c r="A699" s="246" t="s">
        <v>106</v>
      </c>
      <c r="B699" s="246" t="s">
        <v>78</v>
      </c>
      <c r="C699" s="246" t="s">
        <v>126</v>
      </c>
      <c r="D699" s="246" t="s">
        <v>882</v>
      </c>
      <c r="E699" s="246" t="s">
        <v>883</v>
      </c>
      <c r="F699" s="246" t="s">
        <v>763</v>
      </c>
      <c r="G699" s="132" t="s">
        <v>636</v>
      </c>
      <c r="H699" s="132" t="s">
        <v>1507</v>
      </c>
      <c r="I699" s="132">
        <v>86.16</v>
      </c>
      <c r="J699" s="101" t="s">
        <v>889</v>
      </c>
      <c r="K699" s="245" t="s">
        <v>390</v>
      </c>
      <c r="L699" s="245">
        <v>42509</v>
      </c>
      <c r="M699" s="245" t="s">
        <v>391</v>
      </c>
      <c r="N699" s="101">
        <v>0</v>
      </c>
      <c r="O699" s="101" t="s">
        <v>392</v>
      </c>
      <c r="P699" s="101">
        <v>0</v>
      </c>
      <c r="Q699" s="101">
        <v>0</v>
      </c>
      <c r="R699" s="101" t="s">
        <v>393</v>
      </c>
      <c r="S699" s="101" t="s">
        <v>794</v>
      </c>
      <c r="T699" s="101" t="s">
        <v>394</v>
      </c>
      <c r="V699" s="245">
        <v>17976</v>
      </c>
      <c r="W699" s="101" t="s">
        <v>395</v>
      </c>
      <c r="X699" s="101" t="s">
        <v>795</v>
      </c>
      <c r="Y699" s="101" t="s">
        <v>396</v>
      </c>
      <c r="Z699" s="101" t="s">
        <v>402</v>
      </c>
      <c r="AA699" s="101" t="s">
        <v>78</v>
      </c>
      <c r="AB699" s="101">
        <v>4101000279</v>
      </c>
      <c r="AC699" s="101" t="s">
        <v>398</v>
      </c>
      <c r="AD699" s="101" t="s">
        <v>403</v>
      </c>
      <c r="AE699" s="101" t="s">
        <v>6</v>
      </c>
      <c r="AF699" s="101" t="s">
        <v>400</v>
      </c>
      <c r="AI699" s="101" t="s">
        <v>760</v>
      </c>
    </row>
    <row r="700" spans="1:35">
      <c r="A700" s="246" t="s">
        <v>109</v>
      </c>
      <c r="B700" s="246" t="s">
        <v>78</v>
      </c>
      <c r="C700" s="246" t="s">
        <v>126</v>
      </c>
      <c r="D700" s="246" t="s">
        <v>337</v>
      </c>
      <c r="E700" s="246" t="s">
        <v>336</v>
      </c>
      <c r="F700" s="246" t="s">
        <v>275</v>
      </c>
      <c r="G700" s="132" t="s">
        <v>1508</v>
      </c>
      <c r="H700" s="132" t="s">
        <v>1509</v>
      </c>
      <c r="I700" s="132">
        <v>82.19</v>
      </c>
      <c r="J700" s="101" t="s">
        <v>889</v>
      </c>
      <c r="K700" s="245" t="s">
        <v>390</v>
      </c>
      <c r="L700" s="245">
        <v>42538</v>
      </c>
      <c r="M700" s="245" t="s">
        <v>391</v>
      </c>
      <c r="N700" s="101">
        <v>0</v>
      </c>
      <c r="O700" s="101" t="s">
        <v>392</v>
      </c>
      <c r="P700" s="101">
        <v>0</v>
      </c>
      <c r="Q700" s="101">
        <v>0</v>
      </c>
      <c r="R700" s="101" t="s">
        <v>393</v>
      </c>
      <c r="S700" s="101" t="s">
        <v>794</v>
      </c>
      <c r="T700" s="101" t="s">
        <v>394</v>
      </c>
      <c r="V700" s="245">
        <v>17976</v>
      </c>
      <c r="W700" s="101" t="s">
        <v>395</v>
      </c>
      <c r="X700" s="101" t="s">
        <v>795</v>
      </c>
      <c r="Y700" s="101" t="s">
        <v>396</v>
      </c>
      <c r="Z700" s="101" t="s">
        <v>402</v>
      </c>
      <c r="AA700" s="101" t="s">
        <v>78</v>
      </c>
      <c r="AB700" s="101">
        <v>4101000279</v>
      </c>
      <c r="AC700" s="101" t="s">
        <v>398</v>
      </c>
      <c r="AD700" s="101" t="s">
        <v>403</v>
      </c>
      <c r="AE700" s="101" t="s">
        <v>6</v>
      </c>
      <c r="AF700" s="101" t="s">
        <v>400</v>
      </c>
      <c r="AI700" s="101" t="s">
        <v>760</v>
      </c>
    </row>
    <row r="701" spans="1:35">
      <c r="A701" s="246" t="s">
        <v>109</v>
      </c>
      <c r="B701" s="246" t="s">
        <v>78</v>
      </c>
      <c r="C701" s="246" t="s">
        <v>126</v>
      </c>
      <c r="D701" s="246" t="s">
        <v>337</v>
      </c>
      <c r="E701" s="246" t="s">
        <v>336</v>
      </c>
      <c r="F701" s="246" t="s">
        <v>275</v>
      </c>
      <c r="G701" s="132" t="s">
        <v>1510</v>
      </c>
      <c r="H701" s="132" t="s">
        <v>1511</v>
      </c>
      <c r="I701" s="132">
        <v>88.05</v>
      </c>
      <c r="J701" s="101" t="s">
        <v>889</v>
      </c>
      <c r="K701" s="245" t="s">
        <v>390</v>
      </c>
      <c r="L701" s="245">
        <v>42570</v>
      </c>
      <c r="M701" s="245" t="s">
        <v>391</v>
      </c>
      <c r="N701" s="101">
        <v>0</v>
      </c>
      <c r="O701" s="101" t="s">
        <v>392</v>
      </c>
      <c r="P701" s="101">
        <v>0</v>
      </c>
      <c r="Q701" s="101">
        <v>0</v>
      </c>
      <c r="R701" s="101" t="s">
        <v>393</v>
      </c>
      <c r="S701" s="101" t="s">
        <v>794</v>
      </c>
      <c r="T701" s="101" t="s">
        <v>394</v>
      </c>
      <c r="V701" s="245">
        <v>17976</v>
      </c>
      <c r="W701" s="101" t="s">
        <v>395</v>
      </c>
      <c r="X701" s="101" t="s">
        <v>795</v>
      </c>
      <c r="Y701" s="101" t="s">
        <v>396</v>
      </c>
      <c r="Z701" s="101" t="s">
        <v>402</v>
      </c>
      <c r="AA701" s="101" t="s">
        <v>78</v>
      </c>
      <c r="AB701" s="101">
        <v>4101000279</v>
      </c>
      <c r="AC701" s="101" t="s">
        <v>398</v>
      </c>
      <c r="AD701" s="101" t="s">
        <v>403</v>
      </c>
      <c r="AE701" s="101" t="s">
        <v>6</v>
      </c>
      <c r="AF701" s="101" t="s">
        <v>400</v>
      </c>
      <c r="AI701" s="101" t="s">
        <v>760</v>
      </c>
    </row>
    <row r="702" spans="1:35">
      <c r="A702" s="246" t="s">
        <v>110</v>
      </c>
      <c r="B702" s="246" t="s">
        <v>78</v>
      </c>
      <c r="C702" s="246" t="s">
        <v>126</v>
      </c>
      <c r="D702" s="246" t="s">
        <v>770</v>
      </c>
      <c r="E702" s="246" t="s">
        <v>771</v>
      </c>
      <c r="F702" s="246" t="s">
        <v>276</v>
      </c>
      <c r="G702" s="132" t="s">
        <v>1512</v>
      </c>
      <c r="H702" s="132" t="s">
        <v>1513</v>
      </c>
      <c r="I702" s="132">
        <v>80.44</v>
      </c>
      <c r="J702" s="101" t="s">
        <v>889</v>
      </c>
      <c r="K702" s="245" t="s">
        <v>390</v>
      </c>
      <c r="L702" s="245">
        <v>42601</v>
      </c>
      <c r="M702" s="245" t="s">
        <v>391</v>
      </c>
      <c r="N702" s="101">
        <v>0</v>
      </c>
      <c r="O702" s="101" t="s">
        <v>392</v>
      </c>
      <c r="P702" s="101">
        <v>0</v>
      </c>
      <c r="Q702" s="101">
        <v>0</v>
      </c>
      <c r="R702" s="101" t="s">
        <v>393</v>
      </c>
      <c r="S702" s="101" t="s">
        <v>794</v>
      </c>
      <c r="T702" s="101" t="s">
        <v>394</v>
      </c>
      <c r="V702" s="245">
        <v>17976</v>
      </c>
      <c r="W702" s="101" t="s">
        <v>395</v>
      </c>
      <c r="X702" s="101" t="s">
        <v>795</v>
      </c>
      <c r="Y702" s="101" t="s">
        <v>396</v>
      </c>
      <c r="Z702" s="101" t="s">
        <v>402</v>
      </c>
      <c r="AA702" s="101" t="s">
        <v>78</v>
      </c>
      <c r="AB702" s="101">
        <v>4101000279</v>
      </c>
      <c r="AC702" s="101" t="s">
        <v>398</v>
      </c>
      <c r="AD702" s="101" t="s">
        <v>403</v>
      </c>
      <c r="AE702" s="101" t="s">
        <v>6</v>
      </c>
      <c r="AF702" s="101" t="s">
        <v>400</v>
      </c>
      <c r="AI702" s="101" t="s">
        <v>760</v>
      </c>
    </row>
    <row r="703" spans="1:35">
      <c r="A703" s="246" t="s">
        <v>110</v>
      </c>
      <c r="B703" s="246" t="s">
        <v>78</v>
      </c>
      <c r="C703" s="246" t="s">
        <v>126</v>
      </c>
      <c r="D703" s="246" t="s">
        <v>770</v>
      </c>
      <c r="E703" s="246" t="s">
        <v>771</v>
      </c>
      <c r="F703" s="246" t="s">
        <v>276</v>
      </c>
      <c r="G703" s="132" t="s">
        <v>1514</v>
      </c>
      <c r="H703" s="132" t="s">
        <v>1515</v>
      </c>
      <c r="I703" s="132">
        <v>65.27</v>
      </c>
      <c r="J703" s="101" t="s">
        <v>889</v>
      </c>
      <c r="K703" s="245" t="s">
        <v>390</v>
      </c>
      <c r="L703" s="245">
        <v>42632</v>
      </c>
      <c r="M703" s="245" t="s">
        <v>391</v>
      </c>
      <c r="N703" s="101">
        <v>0</v>
      </c>
      <c r="O703" s="101" t="s">
        <v>392</v>
      </c>
      <c r="P703" s="101">
        <v>0</v>
      </c>
      <c r="Q703" s="101">
        <v>0</v>
      </c>
      <c r="R703" s="101" t="s">
        <v>393</v>
      </c>
      <c r="S703" s="101" t="s">
        <v>794</v>
      </c>
      <c r="T703" s="101" t="s">
        <v>394</v>
      </c>
      <c r="V703" s="245">
        <v>17976</v>
      </c>
      <c r="W703" s="101" t="s">
        <v>395</v>
      </c>
      <c r="X703" s="101" t="s">
        <v>795</v>
      </c>
      <c r="Y703" s="101" t="s">
        <v>396</v>
      </c>
      <c r="Z703" s="101" t="s">
        <v>402</v>
      </c>
      <c r="AA703" s="101" t="s">
        <v>78</v>
      </c>
      <c r="AB703" s="101">
        <v>4101000279</v>
      </c>
      <c r="AC703" s="101" t="s">
        <v>398</v>
      </c>
      <c r="AD703" s="101" t="s">
        <v>403</v>
      </c>
      <c r="AE703" s="101" t="s">
        <v>6</v>
      </c>
      <c r="AF703" s="101" t="s">
        <v>400</v>
      </c>
      <c r="AI703" s="101" t="s">
        <v>760</v>
      </c>
    </row>
    <row r="704" spans="1:35">
      <c r="A704" s="246" t="s">
        <v>110</v>
      </c>
      <c r="B704" s="246" t="s">
        <v>78</v>
      </c>
      <c r="C704" s="246" t="s">
        <v>126</v>
      </c>
      <c r="D704" s="246" t="s">
        <v>770</v>
      </c>
      <c r="E704" s="246" t="s">
        <v>771</v>
      </c>
      <c r="F704" s="246" t="s">
        <v>276</v>
      </c>
      <c r="G704" s="132" t="s">
        <v>1516</v>
      </c>
      <c r="H704" s="132" t="s">
        <v>1517</v>
      </c>
      <c r="I704" s="132">
        <v>124.57999999999998</v>
      </c>
      <c r="J704" s="101" t="s">
        <v>889</v>
      </c>
      <c r="K704" s="245" t="s">
        <v>390</v>
      </c>
      <c r="L704" s="245">
        <v>42662</v>
      </c>
      <c r="M704" s="245" t="s">
        <v>391</v>
      </c>
      <c r="N704" s="101">
        <v>0</v>
      </c>
      <c r="O704" s="101" t="s">
        <v>392</v>
      </c>
      <c r="P704" s="101">
        <v>0</v>
      </c>
      <c r="Q704" s="101">
        <v>0</v>
      </c>
      <c r="R704" s="101" t="s">
        <v>393</v>
      </c>
      <c r="S704" s="101" t="s">
        <v>794</v>
      </c>
      <c r="T704" s="101" t="s">
        <v>394</v>
      </c>
      <c r="V704" s="245">
        <v>17976</v>
      </c>
      <c r="W704" s="101" t="s">
        <v>395</v>
      </c>
      <c r="X704" s="101" t="s">
        <v>795</v>
      </c>
      <c r="Y704" s="101" t="s">
        <v>396</v>
      </c>
      <c r="Z704" s="101" t="s">
        <v>402</v>
      </c>
      <c r="AA704" s="101" t="s">
        <v>78</v>
      </c>
      <c r="AB704" s="101">
        <v>4101000279</v>
      </c>
      <c r="AC704" s="101" t="s">
        <v>398</v>
      </c>
      <c r="AD704" s="101" t="s">
        <v>403</v>
      </c>
      <c r="AE704" s="101" t="s">
        <v>6</v>
      </c>
      <c r="AF704" s="101" t="s">
        <v>400</v>
      </c>
      <c r="AI704" s="101" t="s">
        <v>760</v>
      </c>
    </row>
    <row r="705" spans="1:35">
      <c r="A705" s="246" t="s">
        <v>111</v>
      </c>
      <c r="B705" s="246" t="s">
        <v>78</v>
      </c>
      <c r="C705" s="246" t="s">
        <v>126</v>
      </c>
      <c r="D705" s="246" t="s">
        <v>768</v>
      </c>
      <c r="E705" s="246" t="s">
        <v>769</v>
      </c>
      <c r="F705" s="246" t="s">
        <v>277</v>
      </c>
      <c r="G705" s="132" t="s">
        <v>1518</v>
      </c>
      <c r="H705" s="132" t="s">
        <v>1519</v>
      </c>
      <c r="I705" s="132">
        <v>118.47</v>
      </c>
      <c r="J705" s="101" t="s">
        <v>889</v>
      </c>
      <c r="K705" s="245" t="s">
        <v>390</v>
      </c>
      <c r="L705" s="245">
        <v>42692</v>
      </c>
      <c r="M705" s="245" t="s">
        <v>391</v>
      </c>
      <c r="N705" s="101">
        <v>0</v>
      </c>
      <c r="O705" s="101" t="s">
        <v>392</v>
      </c>
      <c r="P705" s="101">
        <v>0</v>
      </c>
      <c r="Q705" s="101">
        <v>0</v>
      </c>
      <c r="R705" s="101" t="s">
        <v>393</v>
      </c>
      <c r="S705" s="101" t="s">
        <v>794</v>
      </c>
      <c r="T705" s="101" t="s">
        <v>394</v>
      </c>
      <c r="V705" s="245">
        <v>17976</v>
      </c>
      <c r="W705" s="101" t="s">
        <v>395</v>
      </c>
      <c r="X705" s="101" t="s">
        <v>795</v>
      </c>
      <c r="Y705" s="101" t="s">
        <v>396</v>
      </c>
      <c r="Z705" s="101" t="s">
        <v>402</v>
      </c>
      <c r="AA705" s="101" t="s">
        <v>78</v>
      </c>
      <c r="AB705" s="101">
        <v>4101000279</v>
      </c>
      <c r="AC705" s="101" t="s">
        <v>398</v>
      </c>
      <c r="AD705" s="101" t="s">
        <v>403</v>
      </c>
      <c r="AE705" s="101" t="s">
        <v>6</v>
      </c>
      <c r="AF705" s="101" t="s">
        <v>400</v>
      </c>
      <c r="AI705" s="101" t="s">
        <v>760</v>
      </c>
    </row>
    <row r="706" spans="1:35">
      <c r="A706" s="246" t="s">
        <v>111</v>
      </c>
      <c r="B706" s="246" t="s">
        <v>78</v>
      </c>
      <c r="C706" s="246" t="s">
        <v>126</v>
      </c>
      <c r="D706" s="246" t="s">
        <v>768</v>
      </c>
      <c r="E706" s="246" t="s">
        <v>769</v>
      </c>
      <c r="F706" s="246" t="s">
        <v>277</v>
      </c>
      <c r="G706" s="132" t="s">
        <v>1520</v>
      </c>
      <c r="H706" s="132" t="s">
        <v>1521</v>
      </c>
      <c r="I706" s="132">
        <v>81.349999999999994</v>
      </c>
      <c r="J706" s="101" t="s">
        <v>889</v>
      </c>
      <c r="K706" s="245" t="s">
        <v>390</v>
      </c>
      <c r="L706" s="245">
        <v>42723</v>
      </c>
      <c r="M706" s="245" t="s">
        <v>391</v>
      </c>
      <c r="N706" s="101">
        <v>0</v>
      </c>
      <c r="O706" s="101" t="s">
        <v>392</v>
      </c>
      <c r="P706" s="101">
        <v>0</v>
      </c>
      <c r="Q706" s="101">
        <v>0</v>
      </c>
      <c r="R706" s="101" t="s">
        <v>393</v>
      </c>
      <c r="S706" s="101" t="s">
        <v>794</v>
      </c>
      <c r="T706" s="101" t="s">
        <v>394</v>
      </c>
      <c r="V706" s="245">
        <v>17976</v>
      </c>
      <c r="W706" s="101" t="s">
        <v>395</v>
      </c>
      <c r="X706" s="101" t="s">
        <v>795</v>
      </c>
      <c r="Y706" s="101" t="s">
        <v>396</v>
      </c>
      <c r="Z706" s="101" t="s">
        <v>402</v>
      </c>
      <c r="AA706" s="101" t="s">
        <v>78</v>
      </c>
      <c r="AB706" s="101">
        <v>4101000279</v>
      </c>
      <c r="AC706" s="101" t="s">
        <v>398</v>
      </c>
      <c r="AD706" s="101" t="s">
        <v>403</v>
      </c>
      <c r="AE706" s="101" t="s">
        <v>6</v>
      </c>
      <c r="AF706" s="101" t="s">
        <v>400</v>
      </c>
      <c r="AI706" s="101" t="s">
        <v>760</v>
      </c>
    </row>
    <row r="707" spans="1:35">
      <c r="A707" s="246" t="s">
        <v>111</v>
      </c>
      <c r="B707" s="246" t="s">
        <v>78</v>
      </c>
      <c r="C707" s="246" t="s">
        <v>126</v>
      </c>
      <c r="D707" s="246" t="s">
        <v>768</v>
      </c>
      <c r="E707" s="246" t="s">
        <v>769</v>
      </c>
      <c r="F707" s="246" t="s">
        <v>277</v>
      </c>
      <c r="G707" s="132" t="s">
        <v>1520</v>
      </c>
      <c r="H707" s="132" t="s">
        <v>1521</v>
      </c>
      <c r="I707" s="132">
        <v>81.349999999999994</v>
      </c>
      <c r="J707" s="101" t="s">
        <v>889</v>
      </c>
      <c r="K707" s="245" t="s">
        <v>390</v>
      </c>
      <c r="L707" s="245">
        <v>42754</v>
      </c>
      <c r="M707" s="245" t="s">
        <v>391</v>
      </c>
      <c r="N707" s="101">
        <v>0</v>
      </c>
      <c r="O707" s="101" t="s">
        <v>392</v>
      </c>
      <c r="P707" s="101">
        <v>0</v>
      </c>
      <c r="Q707" s="101">
        <v>0</v>
      </c>
      <c r="R707" s="101" t="s">
        <v>393</v>
      </c>
      <c r="S707" s="101" t="s">
        <v>794</v>
      </c>
      <c r="T707" s="101" t="s">
        <v>394</v>
      </c>
      <c r="V707" s="245">
        <v>17976</v>
      </c>
      <c r="W707" s="101" t="s">
        <v>395</v>
      </c>
      <c r="X707" s="101" t="s">
        <v>795</v>
      </c>
      <c r="Y707" s="101" t="s">
        <v>396</v>
      </c>
      <c r="Z707" s="101" t="s">
        <v>402</v>
      </c>
      <c r="AA707" s="101" t="s">
        <v>78</v>
      </c>
      <c r="AB707" s="101">
        <v>4101000279</v>
      </c>
      <c r="AC707" s="101" t="s">
        <v>398</v>
      </c>
      <c r="AD707" s="101" t="s">
        <v>403</v>
      </c>
      <c r="AE707" s="101" t="s">
        <v>6</v>
      </c>
      <c r="AF707" s="101" t="s">
        <v>400</v>
      </c>
      <c r="AI707" s="101" t="s">
        <v>760</v>
      </c>
    </row>
    <row r="708" spans="1:35">
      <c r="A708" s="246" t="s">
        <v>111</v>
      </c>
      <c r="B708" s="246" t="s">
        <v>78</v>
      </c>
      <c r="C708" s="246" t="s">
        <v>126</v>
      </c>
      <c r="D708" s="246" t="s">
        <v>768</v>
      </c>
      <c r="E708" s="246" t="s">
        <v>769</v>
      </c>
      <c r="F708" s="246" t="s">
        <v>277</v>
      </c>
      <c r="G708" s="132" t="s">
        <v>1522</v>
      </c>
      <c r="H708" s="132" t="s">
        <v>1523</v>
      </c>
      <c r="I708" s="132">
        <v>68.97999999999999</v>
      </c>
      <c r="J708" s="101" t="s">
        <v>889</v>
      </c>
      <c r="K708" s="245" t="s">
        <v>390</v>
      </c>
      <c r="L708" s="245">
        <v>42783</v>
      </c>
      <c r="M708" s="245" t="s">
        <v>391</v>
      </c>
      <c r="N708" s="101">
        <v>0</v>
      </c>
      <c r="O708" s="101" t="s">
        <v>392</v>
      </c>
      <c r="P708" s="101">
        <v>0</v>
      </c>
      <c r="Q708" s="101">
        <v>0</v>
      </c>
      <c r="R708" s="101" t="s">
        <v>393</v>
      </c>
      <c r="S708" s="101" t="s">
        <v>794</v>
      </c>
      <c r="T708" s="101" t="s">
        <v>394</v>
      </c>
      <c r="V708" s="245">
        <v>17976</v>
      </c>
      <c r="W708" s="101" t="s">
        <v>395</v>
      </c>
      <c r="X708" s="101" t="s">
        <v>795</v>
      </c>
      <c r="Y708" s="101" t="s">
        <v>396</v>
      </c>
      <c r="Z708" s="101" t="s">
        <v>402</v>
      </c>
      <c r="AA708" s="101" t="s">
        <v>78</v>
      </c>
      <c r="AB708" s="101">
        <v>4101000279</v>
      </c>
      <c r="AC708" s="101" t="s">
        <v>398</v>
      </c>
      <c r="AD708" s="101" t="s">
        <v>403</v>
      </c>
      <c r="AE708" s="101" t="s">
        <v>6</v>
      </c>
      <c r="AF708" s="101" t="s">
        <v>400</v>
      </c>
      <c r="AI708" s="101" t="s">
        <v>760</v>
      </c>
    </row>
    <row r="709" spans="1:35">
      <c r="A709" s="246" t="s">
        <v>111</v>
      </c>
      <c r="B709" s="246" t="s">
        <v>78</v>
      </c>
      <c r="C709" s="246" t="s">
        <v>126</v>
      </c>
      <c r="D709" s="246" t="s">
        <v>768</v>
      </c>
      <c r="E709" s="246" t="s">
        <v>769</v>
      </c>
      <c r="F709" s="246" t="s">
        <v>277</v>
      </c>
      <c r="G709" s="132" t="s">
        <v>1524</v>
      </c>
      <c r="H709" s="132" t="s">
        <v>1525</v>
      </c>
      <c r="I709" s="132">
        <v>23.56</v>
      </c>
      <c r="J709" s="101" t="s">
        <v>889</v>
      </c>
      <c r="K709" s="245" t="s">
        <v>390</v>
      </c>
      <c r="L709" s="245">
        <v>42811</v>
      </c>
      <c r="M709" s="245" t="s">
        <v>391</v>
      </c>
      <c r="N709" s="101">
        <v>0</v>
      </c>
      <c r="O709" s="101" t="s">
        <v>392</v>
      </c>
      <c r="P709" s="101">
        <v>0</v>
      </c>
      <c r="Q709" s="101">
        <v>0</v>
      </c>
      <c r="R709" s="101" t="s">
        <v>393</v>
      </c>
      <c r="S709" s="101" t="s">
        <v>794</v>
      </c>
      <c r="T709" s="101" t="s">
        <v>394</v>
      </c>
      <c r="V709" s="245">
        <v>17976</v>
      </c>
      <c r="W709" s="101" t="s">
        <v>395</v>
      </c>
      <c r="X709" s="101" t="s">
        <v>795</v>
      </c>
      <c r="Y709" s="101" t="s">
        <v>396</v>
      </c>
      <c r="Z709" s="101" t="s">
        <v>402</v>
      </c>
      <c r="AA709" s="101" t="s">
        <v>78</v>
      </c>
      <c r="AB709" s="101">
        <v>4101000279</v>
      </c>
      <c r="AC709" s="101" t="s">
        <v>398</v>
      </c>
      <c r="AD709" s="101" t="s">
        <v>403</v>
      </c>
      <c r="AE709" s="101" t="s">
        <v>6</v>
      </c>
      <c r="AF709" s="101" t="s">
        <v>400</v>
      </c>
      <c r="AI709" s="101" t="s">
        <v>760</v>
      </c>
    </row>
    <row r="710" spans="1:35">
      <c r="A710" s="246" t="s">
        <v>111</v>
      </c>
      <c r="B710" s="246" t="s">
        <v>78</v>
      </c>
      <c r="C710" s="246" t="s">
        <v>126</v>
      </c>
      <c r="D710" s="246" t="s">
        <v>768</v>
      </c>
      <c r="E710" s="246" t="s">
        <v>769</v>
      </c>
      <c r="F710" s="246" t="s">
        <v>277</v>
      </c>
      <c r="G710" s="132" t="s">
        <v>1526</v>
      </c>
      <c r="H710" s="132" t="s">
        <v>1527</v>
      </c>
      <c r="I710" s="132">
        <v>27.749999999999996</v>
      </c>
      <c r="J710" s="101" t="s">
        <v>889</v>
      </c>
      <c r="K710" s="245" t="s">
        <v>390</v>
      </c>
      <c r="L710" s="245">
        <v>42844</v>
      </c>
      <c r="M710" s="245" t="s">
        <v>391</v>
      </c>
      <c r="N710" s="101">
        <v>0</v>
      </c>
      <c r="O710" s="101" t="s">
        <v>392</v>
      </c>
      <c r="P710" s="101">
        <v>0</v>
      </c>
      <c r="Q710" s="101">
        <v>0</v>
      </c>
      <c r="R710" s="101" t="s">
        <v>393</v>
      </c>
      <c r="S710" s="101" t="s">
        <v>794</v>
      </c>
      <c r="T710" s="101" t="s">
        <v>394</v>
      </c>
      <c r="V710" s="245">
        <v>17976</v>
      </c>
      <c r="W710" s="101" t="s">
        <v>395</v>
      </c>
      <c r="X710" s="101" t="s">
        <v>795</v>
      </c>
      <c r="Y710" s="101" t="s">
        <v>396</v>
      </c>
      <c r="Z710" s="101" t="s">
        <v>402</v>
      </c>
      <c r="AA710" s="101" t="s">
        <v>78</v>
      </c>
      <c r="AB710" s="101">
        <v>4101000279</v>
      </c>
      <c r="AC710" s="101" t="s">
        <v>398</v>
      </c>
      <c r="AD710" s="101" t="s">
        <v>403</v>
      </c>
      <c r="AE710" s="101" t="s">
        <v>6</v>
      </c>
      <c r="AF710" s="101" t="s">
        <v>400</v>
      </c>
      <c r="AI710" s="101" t="s">
        <v>760</v>
      </c>
    </row>
    <row r="711" spans="1:35">
      <c r="A711" s="246" t="s">
        <v>112</v>
      </c>
      <c r="B711" s="246" t="s">
        <v>78</v>
      </c>
      <c r="C711" s="246" t="s">
        <v>126</v>
      </c>
      <c r="D711" s="246" t="s">
        <v>341</v>
      </c>
      <c r="E711" s="246" t="s">
        <v>342</v>
      </c>
      <c r="F711" s="246" t="s">
        <v>278</v>
      </c>
      <c r="G711" s="132" t="s">
        <v>1528</v>
      </c>
      <c r="H711" s="132" t="s">
        <v>1529</v>
      </c>
      <c r="I711" s="132">
        <v>12.97</v>
      </c>
      <c r="J711" s="101" t="s">
        <v>889</v>
      </c>
      <c r="K711" s="245" t="s">
        <v>390</v>
      </c>
      <c r="L711" s="245">
        <v>42874</v>
      </c>
      <c r="M711" s="245" t="s">
        <v>391</v>
      </c>
      <c r="N711" s="101">
        <v>0</v>
      </c>
      <c r="O711" s="101" t="s">
        <v>392</v>
      </c>
      <c r="P711" s="101">
        <v>0</v>
      </c>
      <c r="Q711" s="101">
        <v>0</v>
      </c>
      <c r="R711" s="101" t="s">
        <v>393</v>
      </c>
      <c r="S711" s="101" t="s">
        <v>794</v>
      </c>
      <c r="T711" s="101" t="s">
        <v>394</v>
      </c>
      <c r="V711" s="245">
        <v>17976</v>
      </c>
      <c r="W711" s="101" t="s">
        <v>395</v>
      </c>
      <c r="X711" s="101" t="s">
        <v>795</v>
      </c>
      <c r="Y711" s="101" t="s">
        <v>396</v>
      </c>
      <c r="Z711" s="101" t="s">
        <v>402</v>
      </c>
      <c r="AA711" s="101" t="s">
        <v>78</v>
      </c>
      <c r="AB711" s="101">
        <v>4101000279</v>
      </c>
      <c r="AC711" s="101" t="s">
        <v>398</v>
      </c>
      <c r="AD711" s="101" t="s">
        <v>403</v>
      </c>
      <c r="AE711" s="101" t="s">
        <v>6</v>
      </c>
      <c r="AF711" s="101" t="s">
        <v>400</v>
      </c>
      <c r="AI711" s="101" t="s">
        <v>760</v>
      </c>
    </row>
    <row r="712" spans="1:35">
      <c r="A712" s="246" t="s">
        <v>112</v>
      </c>
      <c r="B712" s="246" t="s">
        <v>78</v>
      </c>
      <c r="C712" s="246" t="s">
        <v>126</v>
      </c>
      <c r="D712" s="246" t="s">
        <v>341</v>
      </c>
      <c r="E712" s="246" t="s">
        <v>342</v>
      </c>
      <c r="F712" s="246" t="s">
        <v>278</v>
      </c>
      <c r="G712" s="132" t="s">
        <v>1530</v>
      </c>
      <c r="H712" s="132" t="s">
        <v>1531</v>
      </c>
      <c r="I712" s="132">
        <v>-28.25</v>
      </c>
      <c r="J712" s="101" t="s">
        <v>889</v>
      </c>
      <c r="K712" s="245" t="s">
        <v>390</v>
      </c>
      <c r="L712" s="245">
        <v>42905</v>
      </c>
      <c r="M712" s="245" t="s">
        <v>391</v>
      </c>
      <c r="N712" s="101">
        <v>0</v>
      </c>
      <c r="O712" s="101" t="s">
        <v>392</v>
      </c>
      <c r="P712" s="101">
        <v>0</v>
      </c>
      <c r="Q712" s="101">
        <v>0</v>
      </c>
      <c r="R712" s="101" t="s">
        <v>393</v>
      </c>
      <c r="S712" s="101" t="s">
        <v>794</v>
      </c>
      <c r="T712" s="101" t="s">
        <v>394</v>
      </c>
      <c r="V712" s="245">
        <v>17976</v>
      </c>
      <c r="W712" s="101" t="s">
        <v>395</v>
      </c>
      <c r="X712" s="101" t="s">
        <v>795</v>
      </c>
      <c r="Y712" s="101" t="s">
        <v>396</v>
      </c>
      <c r="Z712" s="101" t="s">
        <v>402</v>
      </c>
      <c r="AA712" s="101" t="s">
        <v>78</v>
      </c>
      <c r="AB712" s="101">
        <v>4101000279</v>
      </c>
      <c r="AC712" s="101" t="s">
        <v>398</v>
      </c>
      <c r="AD712" s="101" t="s">
        <v>403</v>
      </c>
      <c r="AE712" s="101" t="s">
        <v>6</v>
      </c>
      <c r="AF712" s="101" t="s">
        <v>400</v>
      </c>
      <c r="AI712" s="101" t="s">
        <v>760</v>
      </c>
    </row>
    <row r="713" spans="1:35">
      <c r="A713" s="246" t="s">
        <v>112</v>
      </c>
      <c r="B713" s="246" t="s">
        <v>78</v>
      </c>
      <c r="C713" s="246" t="s">
        <v>126</v>
      </c>
      <c r="D713" s="246" t="s">
        <v>341</v>
      </c>
      <c r="E713" s="246" t="s">
        <v>342</v>
      </c>
      <c r="F713" s="246" t="s">
        <v>278</v>
      </c>
      <c r="G713" s="132" t="s">
        <v>1532</v>
      </c>
      <c r="H713" s="132" t="s">
        <v>1533</v>
      </c>
      <c r="I713" s="132">
        <v>-27.33</v>
      </c>
      <c r="J713" s="101" t="s">
        <v>889</v>
      </c>
      <c r="K713" s="245" t="s">
        <v>390</v>
      </c>
      <c r="L713" s="245">
        <v>42935</v>
      </c>
      <c r="M713" s="245" t="s">
        <v>391</v>
      </c>
      <c r="N713" s="101">
        <v>0</v>
      </c>
      <c r="O713" s="101" t="s">
        <v>392</v>
      </c>
      <c r="P713" s="101">
        <v>0</v>
      </c>
      <c r="Q713" s="101">
        <v>0</v>
      </c>
      <c r="R713" s="101" t="s">
        <v>393</v>
      </c>
      <c r="S713" s="101" t="s">
        <v>794</v>
      </c>
      <c r="T713" s="101" t="s">
        <v>394</v>
      </c>
      <c r="V713" s="245">
        <v>17976</v>
      </c>
      <c r="W713" s="101" t="s">
        <v>395</v>
      </c>
      <c r="X713" s="101" t="s">
        <v>795</v>
      </c>
      <c r="Y713" s="101" t="s">
        <v>396</v>
      </c>
      <c r="Z713" s="101" t="s">
        <v>402</v>
      </c>
      <c r="AA713" s="101" t="s">
        <v>78</v>
      </c>
      <c r="AB713" s="101">
        <v>4101000279</v>
      </c>
      <c r="AC713" s="101" t="s">
        <v>398</v>
      </c>
      <c r="AD713" s="101" t="s">
        <v>403</v>
      </c>
      <c r="AE713" s="101" t="s">
        <v>6</v>
      </c>
      <c r="AF713" s="101" t="s">
        <v>400</v>
      </c>
      <c r="AI713" s="101" t="s">
        <v>760</v>
      </c>
    </row>
    <row r="714" spans="1:35">
      <c r="A714" s="246" t="s">
        <v>112</v>
      </c>
      <c r="B714" s="246" t="s">
        <v>78</v>
      </c>
      <c r="C714" s="246" t="s">
        <v>126</v>
      </c>
      <c r="D714" s="246" t="s">
        <v>341</v>
      </c>
      <c r="E714" s="246" t="s">
        <v>342</v>
      </c>
      <c r="F714" s="246" t="s">
        <v>278</v>
      </c>
      <c r="G714" s="132" t="s">
        <v>1532</v>
      </c>
      <c r="H714" s="132" t="s">
        <v>1533</v>
      </c>
      <c r="I714" s="132">
        <v>-27.33</v>
      </c>
      <c r="J714" s="101" t="s">
        <v>889</v>
      </c>
      <c r="K714" s="245" t="s">
        <v>390</v>
      </c>
      <c r="L714" s="245">
        <v>42965</v>
      </c>
      <c r="M714" s="245" t="s">
        <v>391</v>
      </c>
      <c r="N714" s="101">
        <v>0</v>
      </c>
      <c r="O714" s="101" t="s">
        <v>392</v>
      </c>
      <c r="P714" s="101">
        <v>0</v>
      </c>
      <c r="Q714" s="101">
        <v>0</v>
      </c>
      <c r="R714" s="101" t="s">
        <v>393</v>
      </c>
      <c r="S714" s="101" t="s">
        <v>794</v>
      </c>
      <c r="T714" s="101" t="s">
        <v>394</v>
      </c>
      <c r="V714" s="245">
        <v>17976</v>
      </c>
      <c r="W714" s="101" t="s">
        <v>395</v>
      </c>
      <c r="X714" s="101" t="s">
        <v>795</v>
      </c>
      <c r="Y714" s="101" t="s">
        <v>396</v>
      </c>
      <c r="Z714" s="101" t="s">
        <v>402</v>
      </c>
      <c r="AA714" s="101" t="s">
        <v>78</v>
      </c>
      <c r="AB714" s="101">
        <v>4101000279</v>
      </c>
      <c r="AC714" s="101" t="s">
        <v>398</v>
      </c>
      <c r="AD714" s="101" t="s">
        <v>403</v>
      </c>
      <c r="AE714" s="101" t="s">
        <v>6</v>
      </c>
      <c r="AF714" s="101" t="s">
        <v>400</v>
      </c>
      <c r="AI714" s="101" t="s">
        <v>760</v>
      </c>
    </row>
    <row r="715" spans="1:35">
      <c r="A715" s="246" t="s">
        <v>112</v>
      </c>
      <c r="B715" s="246" t="s">
        <v>78</v>
      </c>
      <c r="C715" s="246" t="s">
        <v>126</v>
      </c>
      <c r="D715" s="246" t="s">
        <v>341</v>
      </c>
      <c r="E715" s="246" t="s">
        <v>342</v>
      </c>
      <c r="F715" s="246" t="s">
        <v>278</v>
      </c>
      <c r="G715" s="132" t="s">
        <v>1534</v>
      </c>
      <c r="H715" s="132" t="s">
        <v>1535</v>
      </c>
      <c r="I715" s="132">
        <v>-29.16</v>
      </c>
      <c r="J715" s="101" t="s">
        <v>889</v>
      </c>
      <c r="K715" s="245" t="s">
        <v>390</v>
      </c>
      <c r="L715" s="245">
        <v>42997</v>
      </c>
      <c r="M715" s="245" t="s">
        <v>391</v>
      </c>
      <c r="N715" s="101">
        <v>0</v>
      </c>
      <c r="O715" s="101" t="s">
        <v>392</v>
      </c>
      <c r="P715" s="101">
        <v>0</v>
      </c>
      <c r="Q715" s="101">
        <v>0</v>
      </c>
      <c r="R715" s="101" t="s">
        <v>393</v>
      </c>
      <c r="S715" s="101" t="s">
        <v>794</v>
      </c>
      <c r="T715" s="101" t="s">
        <v>394</v>
      </c>
      <c r="V715" s="245">
        <v>17976</v>
      </c>
      <c r="W715" s="101" t="s">
        <v>395</v>
      </c>
      <c r="X715" s="101" t="s">
        <v>795</v>
      </c>
      <c r="Y715" s="101" t="s">
        <v>396</v>
      </c>
      <c r="Z715" s="101" t="s">
        <v>402</v>
      </c>
      <c r="AA715" s="101" t="s">
        <v>78</v>
      </c>
      <c r="AB715" s="101">
        <v>4101000279</v>
      </c>
      <c r="AC715" s="101" t="s">
        <v>398</v>
      </c>
      <c r="AD715" s="101" t="s">
        <v>403</v>
      </c>
      <c r="AE715" s="101" t="s">
        <v>6</v>
      </c>
      <c r="AF715" s="101" t="s">
        <v>400</v>
      </c>
      <c r="AI715" s="101" t="s">
        <v>760</v>
      </c>
    </row>
    <row r="716" spans="1:35">
      <c r="A716" s="246" t="s">
        <v>112</v>
      </c>
      <c r="B716" s="246" t="s">
        <v>78</v>
      </c>
      <c r="C716" s="246" t="s">
        <v>126</v>
      </c>
      <c r="D716" s="246" t="s">
        <v>341</v>
      </c>
      <c r="E716" s="246" t="s">
        <v>342</v>
      </c>
      <c r="F716" s="246" t="s">
        <v>278</v>
      </c>
      <c r="G716" s="132" t="s">
        <v>1532</v>
      </c>
      <c r="H716" s="132" t="s">
        <v>1533</v>
      </c>
      <c r="I716" s="132">
        <v>-27.33</v>
      </c>
      <c r="J716" s="101" t="s">
        <v>889</v>
      </c>
      <c r="K716" s="245" t="s">
        <v>390</v>
      </c>
      <c r="L716" s="245">
        <v>43027</v>
      </c>
      <c r="M716" s="245" t="s">
        <v>391</v>
      </c>
      <c r="N716" s="101">
        <v>0</v>
      </c>
      <c r="O716" s="101" t="s">
        <v>392</v>
      </c>
      <c r="P716" s="101">
        <v>0</v>
      </c>
      <c r="Q716" s="101">
        <v>0</v>
      </c>
      <c r="R716" s="101" t="s">
        <v>393</v>
      </c>
      <c r="S716" s="101" t="s">
        <v>794</v>
      </c>
      <c r="T716" s="101" t="s">
        <v>394</v>
      </c>
      <c r="V716" s="245">
        <v>17976</v>
      </c>
      <c r="W716" s="101" t="s">
        <v>395</v>
      </c>
      <c r="X716" s="101" t="s">
        <v>795</v>
      </c>
      <c r="Y716" s="101" t="s">
        <v>396</v>
      </c>
      <c r="Z716" s="101" t="s">
        <v>402</v>
      </c>
      <c r="AA716" s="101" t="s">
        <v>78</v>
      </c>
      <c r="AB716" s="101">
        <v>4101000279</v>
      </c>
      <c r="AC716" s="101" t="s">
        <v>398</v>
      </c>
      <c r="AD716" s="101" t="s">
        <v>403</v>
      </c>
      <c r="AE716" s="101" t="s">
        <v>6</v>
      </c>
      <c r="AF716" s="101" t="s">
        <v>400</v>
      </c>
      <c r="AI716" s="101" t="s">
        <v>760</v>
      </c>
    </row>
    <row r="717" spans="1:35">
      <c r="A717" s="246" t="s">
        <v>113</v>
      </c>
      <c r="B717" s="246" t="s">
        <v>78</v>
      </c>
      <c r="C717" s="246" t="s">
        <v>126</v>
      </c>
      <c r="D717" s="246" t="s">
        <v>339</v>
      </c>
      <c r="E717" s="246" t="s">
        <v>340</v>
      </c>
      <c r="F717" s="246" t="s">
        <v>279</v>
      </c>
      <c r="G717" s="132" t="s">
        <v>1536</v>
      </c>
      <c r="H717" s="132" t="s">
        <v>1537</v>
      </c>
      <c r="I717" s="132">
        <v>-26.419999999999998</v>
      </c>
      <c r="J717" s="101" t="s">
        <v>889</v>
      </c>
      <c r="K717" s="245" t="s">
        <v>390</v>
      </c>
      <c r="L717" s="245">
        <v>43056</v>
      </c>
      <c r="M717" s="245" t="s">
        <v>391</v>
      </c>
      <c r="N717" s="101">
        <v>0</v>
      </c>
      <c r="O717" s="101" t="s">
        <v>392</v>
      </c>
      <c r="P717" s="101">
        <v>0</v>
      </c>
      <c r="Q717" s="101">
        <v>0</v>
      </c>
      <c r="R717" s="101" t="s">
        <v>393</v>
      </c>
      <c r="S717" s="101" t="s">
        <v>794</v>
      </c>
      <c r="T717" s="101" t="s">
        <v>394</v>
      </c>
      <c r="V717" s="245">
        <v>17976</v>
      </c>
      <c r="W717" s="101" t="s">
        <v>395</v>
      </c>
      <c r="X717" s="101" t="s">
        <v>795</v>
      </c>
      <c r="Y717" s="101" t="s">
        <v>396</v>
      </c>
      <c r="Z717" s="101" t="s">
        <v>402</v>
      </c>
      <c r="AA717" s="101" t="s">
        <v>78</v>
      </c>
      <c r="AB717" s="101">
        <v>4101000279</v>
      </c>
      <c r="AC717" s="101" t="s">
        <v>398</v>
      </c>
      <c r="AD717" s="101" t="s">
        <v>403</v>
      </c>
      <c r="AE717" s="101" t="s">
        <v>6</v>
      </c>
      <c r="AF717" s="101" t="s">
        <v>400</v>
      </c>
      <c r="AI717" s="101" t="s">
        <v>760</v>
      </c>
    </row>
    <row r="718" spans="1:35">
      <c r="A718" s="246" t="s">
        <v>113</v>
      </c>
      <c r="B718" s="246" t="s">
        <v>78</v>
      </c>
      <c r="C718" s="246" t="s">
        <v>126</v>
      </c>
      <c r="D718" s="246" t="s">
        <v>339</v>
      </c>
      <c r="E718" s="246" t="s">
        <v>340</v>
      </c>
      <c r="F718" s="246" t="s">
        <v>279</v>
      </c>
      <c r="G718" s="132" t="s">
        <v>1534</v>
      </c>
      <c r="H718" s="132" t="s">
        <v>1535</v>
      </c>
      <c r="I718" s="132">
        <v>-29.16</v>
      </c>
      <c r="J718" s="101" t="s">
        <v>889</v>
      </c>
      <c r="K718" s="245" t="s">
        <v>390</v>
      </c>
      <c r="L718" s="245">
        <v>43088</v>
      </c>
      <c r="M718" s="245" t="s">
        <v>391</v>
      </c>
      <c r="N718" s="101">
        <v>0</v>
      </c>
      <c r="O718" s="101" t="s">
        <v>392</v>
      </c>
      <c r="P718" s="101">
        <v>0</v>
      </c>
      <c r="Q718" s="101">
        <v>0</v>
      </c>
      <c r="R718" s="101" t="s">
        <v>393</v>
      </c>
      <c r="S718" s="101" t="s">
        <v>794</v>
      </c>
      <c r="T718" s="101" t="s">
        <v>394</v>
      </c>
      <c r="V718" s="245">
        <v>17976</v>
      </c>
      <c r="W718" s="101" t="s">
        <v>395</v>
      </c>
      <c r="X718" s="101" t="s">
        <v>795</v>
      </c>
      <c r="Y718" s="101" t="s">
        <v>396</v>
      </c>
      <c r="Z718" s="101" t="s">
        <v>402</v>
      </c>
      <c r="AA718" s="101" t="s">
        <v>78</v>
      </c>
      <c r="AB718" s="101">
        <v>4101000279</v>
      </c>
      <c r="AC718" s="101" t="s">
        <v>398</v>
      </c>
      <c r="AD718" s="101" t="s">
        <v>403</v>
      </c>
      <c r="AE718" s="101" t="s">
        <v>6</v>
      </c>
      <c r="AF718" s="101" t="s">
        <v>400</v>
      </c>
      <c r="AI718" s="101" t="s">
        <v>760</v>
      </c>
    </row>
    <row r="719" spans="1:35">
      <c r="A719" s="246" t="s">
        <v>113</v>
      </c>
      <c r="B719" s="246" t="s">
        <v>78</v>
      </c>
      <c r="C719" s="246" t="s">
        <v>126</v>
      </c>
      <c r="D719" s="246" t="s">
        <v>339</v>
      </c>
      <c r="E719" s="246" t="s">
        <v>340</v>
      </c>
      <c r="F719" s="246" t="s">
        <v>279</v>
      </c>
      <c r="G719" s="132" t="s">
        <v>1530</v>
      </c>
      <c r="H719" s="132" t="s">
        <v>1531</v>
      </c>
      <c r="I719" s="132">
        <v>-28.25</v>
      </c>
      <c r="J719" s="101" t="s">
        <v>889</v>
      </c>
      <c r="K719" s="245" t="s">
        <v>390</v>
      </c>
      <c r="L719" s="245">
        <v>43119</v>
      </c>
      <c r="M719" s="245" t="s">
        <v>391</v>
      </c>
      <c r="N719" s="101">
        <v>0</v>
      </c>
      <c r="O719" s="101" t="s">
        <v>392</v>
      </c>
      <c r="P719" s="101">
        <v>0</v>
      </c>
      <c r="Q719" s="101">
        <v>0</v>
      </c>
      <c r="R719" s="101" t="s">
        <v>393</v>
      </c>
      <c r="S719" s="101" t="s">
        <v>794</v>
      </c>
      <c r="T719" s="101" t="s">
        <v>394</v>
      </c>
      <c r="V719" s="245">
        <v>17976</v>
      </c>
      <c r="W719" s="101" t="s">
        <v>395</v>
      </c>
      <c r="X719" s="101" t="s">
        <v>795</v>
      </c>
      <c r="Y719" s="101" t="s">
        <v>396</v>
      </c>
      <c r="Z719" s="101" t="s">
        <v>402</v>
      </c>
      <c r="AA719" s="101" t="s">
        <v>78</v>
      </c>
      <c r="AB719" s="101">
        <v>4101000279</v>
      </c>
      <c r="AC719" s="101" t="s">
        <v>398</v>
      </c>
      <c r="AD719" s="101" t="s">
        <v>403</v>
      </c>
      <c r="AE719" s="101" t="s">
        <v>6</v>
      </c>
      <c r="AF719" s="101" t="s">
        <v>400</v>
      </c>
      <c r="AI719" s="101" t="s">
        <v>760</v>
      </c>
    </row>
    <row r="720" spans="1:35">
      <c r="A720" s="246" t="s">
        <v>113</v>
      </c>
      <c r="B720" s="246" t="s">
        <v>78</v>
      </c>
      <c r="C720" s="246" t="s">
        <v>126</v>
      </c>
      <c r="D720" s="246" t="s">
        <v>339</v>
      </c>
      <c r="E720" s="246" t="s">
        <v>340</v>
      </c>
      <c r="F720" s="246" t="s">
        <v>279</v>
      </c>
      <c r="G720" s="132" t="s">
        <v>1538</v>
      </c>
      <c r="H720" s="132" t="s">
        <v>1539</v>
      </c>
      <c r="I720" s="132">
        <v>-25.499999999999996</v>
      </c>
      <c r="J720" s="101" t="s">
        <v>889</v>
      </c>
      <c r="K720" s="245" t="s">
        <v>390</v>
      </c>
      <c r="L720" s="245">
        <v>43147</v>
      </c>
      <c r="M720" s="245" t="s">
        <v>391</v>
      </c>
      <c r="N720" s="101">
        <v>0</v>
      </c>
      <c r="O720" s="101" t="s">
        <v>392</v>
      </c>
      <c r="P720" s="101">
        <v>0</v>
      </c>
      <c r="Q720" s="101">
        <v>0</v>
      </c>
      <c r="R720" s="101" t="s">
        <v>393</v>
      </c>
      <c r="S720" s="101" t="s">
        <v>794</v>
      </c>
      <c r="T720" s="101" t="s">
        <v>394</v>
      </c>
      <c r="V720" s="245">
        <v>17976</v>
      </c>
      <c r="W720" s="101" t="s">
        <v>395</v>
      </c>
      <c r="X720" s="101" t="s">
        <v>795</v>
      </c>
      <c r="Y720" s="101" t="s">
        <v>396</v>
      </c>
      <c r="Z720" s="101" t="s">
        <v>402</v>
      </c>
      <c r="AA720" s="101" t="s">
        <v>78</v>
      </c>
      <c r="AB720" s="101">
        <v>4101000279</v>
      </c>
      <c r="AC720" s="101" t="s">
        <v>398</v>
      </c>
      <c r="AD720" s="101" t="s">
        <v>403</v>
      </c>
      <c r="AE720" s="101" t="s">
        <v>6</v>
      </c>
      <c r="AF720" s="101" t="s">
        <v>400</v>
      </c>
      <c r="AI720" s="101" t="s">
        <v>760</v>
      </c>
    </row>
    <row r="721" spans="1:35">
      <c r="A721" s="246" t="s">
        <v>113</v>
      </c>
      <c r="B721" s="246" t="s">
        <v>78</v>
      </c>
      <c r="C721" s="246" t="s">
        <v>126</v>
      </c>
      <c r="D721" s="246" t="s">
        <v>339</v>
      </c>
      <c r="E721" s="246" t="s">
        <v>340</v>
      </c>
      <c r="F721" s="246" t="s">
        <v>279</v>
      </c>
      <c r="G721" s="132" t="s">
        <v>1530</v>
      </c>
      <c r="H721" s="132" t="s">
        <v>1531</v>
      </c>
      <c r="I721" s="132">
        <v>-28.25</v>
      </c>
      <c r="J721" s="101" t="s">
        <v>889</v>
      </c>
      <c r="K721" s="245" t="s">
        <v>390</v>
      </c>
      <c r="L721" s="245">
        <v>43178</v>
      </c>
      <c r="M721" s="245" t="s">
        <v>391</v>
      </c>
      <c r="N721" s="101">
        <v>0</v>
      </c>
      <c r="O721" s="101" t="s">
        <v>392</v>
      </c>
      <c r="P721" s="101">
        <v>0</v>
      </c>
      <c r="Q721" s="101">
        <v>0</v>
      </c>
      <c r="R721" s="101" t="s">
        <v>393</v>
      </c>
      <c r="S721" s="101" t="s">
        <v>794</v>
      </c>
      <c r="T721" s="101" t="s">
        <v>394</v>
      </c>
      <c r="V721" s="245">
        <v>17976</v>
      </c>
      <c r="W721" s="101" t="s">
        <v>395</v>
      </c>
      <c r="X721" s="101" t="s">
        <v>795</v>
      </c>
      <c r="Y721" s="101" t="s">
        <v>396</v>
      </c>
      <c r="Z721" s="101" t="s">
        <v>402</v>
      </c>
      <c r="AA721" s="101" t="s">
        <v>78</v>
      </c>
      <c r="AB721" s="101">
        <v>4101000279</v>
      </c>
      <c r="AC721" s="101" t="s">
        <v>398</v>
      </c>
      <c r="AD721" s="101" t="s">
        <v>403</v>
      </c>
      <c r="AE721" s="101" t="s">
        <v>6</v>
      </c>
      <c r="AF721" s="101" t="s">
        <v>400</v>
      </c>
      <c r="AI721" s="101" t="s">
        <v>760</v>
      </c>
    </row>
    <row r="722" spans="1:35">
      <c r="A722" s="246" t="s">
        <v>113</v>
      </c>
      <c r="B722" s="246" t="s">
        <v>78</v>
      </c>
      <c r="C722" s="246" t="s">
        <v>126</v>
      </c>
      <c r="D722" s="246" t="s">
        <v>339</v>
      </c>
      <c r="E722" s="246" t="s">
        <v>340</v>
      </c>
      <c r="F722" s="246" t="s">
        <v>279</v>
      </c>
      <c r="G722" s="132" t="s">
        <v>1530</v>
      </c>
      <c r="H722" s="132" t="s">
        <v>1531</v>
      </c>
      <c r="I722" s="132">
        <v>-28.25</v>
      </c>
      <c r="J722" s="101" t="s">
        <v>889</v>
      </c>
      <c r="K722" s="245" t="s">
        <v>390</v>
      </c>
      <c r="L722" s="245">
        <v>43209</v>
      </c>
      <c r="M722" s="245" t="s">
        <v>391</v>
      </c>
      <c r="N722" s="101">
        <v>0</v>
      </c>
      <c r="O722" s="101" t="s">
        <v>392</v>
      </c>
      <c r="P722" s="101">
        <v>0</v>
      </c>
      <c r="Q722" s="101">
        <v>0</v>
      </c>
      <c r="R722" s="101" t="s">
        <v>393</v>
      </c>
      <c r="S722" s="101" t="s">
        <v>794</v>
      </c>
      <c r="T722" s="101" t="s">
        <v>394</v>
      </c>
      <c r="V722" s="245">
        <v>17976</v>
      </c>
      <c r="W722" s="101" t="s">
        <v>395</v>
      </c>
      <c r="X722" s="101" t="s">
        <v>795</v>
      </c>
      <c r="Y722" s="101" t="s">
        <v>396</v>
      </c>
      <c r="Z722" s="101" t="s">
        <v>402</v>
      </c>
      <c r="AA722" s="101" t="s">
        <v>78</v>
      </c>
      <c r="AB722" s="101">
        <v>4101000279</v>
      </c>
      <c r="AC722" s="101" t="s">
        <v>398</v>
      </c>
      <c r="AD722" s="101" t="s">
        <v>403</v>
      </c>
      <c r="AE722" s="101" t="s">
        <v>6</v>
      </c>
      <c r="AF722" s="101" t="s">
        <v>400</v>
      </c>
      <c r="AI722" s="101" t="s">
        <v>760</v>
      </c>
    </row>
    <row r="723" spans="1:35">
      <c r="A723" s="246" t="s">
        <v>101</v>
      </c>
      <c r="B723" s="246" t="s">
        <v>66</v>
      </c>
      <c r="C723" s="246" t="s">
        <v>126</v>
      </c>
      <c r="D723" s="246" t="s">
        <v>282</v>
      </c>
      <c r="E723" s="246"/>
      <c r="F723" s="246"/>
      <c r="G723" s="132">
        <v>0</v>
      </c>
      <c r="H723" s="132">
        <v>0</v>
      </c>
      <c r="I723" s="132">
        <v>0</v>
      </c>
      <c r="J723" s="101" t="s">
        <v>889</v>
      </c>
      <c r="K723" s="245" t="s">
        <v>390</v>
      </c>
      <c r="L723" s="245">
        <v>42502</v>
      </c>
      <c r="M723" s="245" t="s">
        <v>391</v>
      </c>
      <c r="N723" s="101">
        <v>0</v>
      </c>
      <c r="O723" s="101" t="s">
        <v>392</v>
      </c>
      <c r="P723" s="101">
        <v>0</v>
      </c>
      <c r="Q723" s="101">
        <v>0</v>
      </c>
      <c r="R723" s="101" t="s">
        <v>450</v>
      </c>
      <c r="S723" s="101">
        <v>194016</v>
      </c>
      <c r="T723" s="101" t="s">
        <v>394</v>
      </c>
      <c r="V723" s="245">
        <v>42502</v>
      </c>
      <c r="W723" s="101" t="s">
        <v>441</v>
      </c>
      <c r="X723" s="101" t="s">
        <v>76</v>
      </c>
      <c r="Y723" s="101" t="s">
        <v>392</v>
      </c>
      <c r="Z723" s="101" t="s">
        <v>430</v>
      </c>
      <c r="AA723" s="101" t="s">
        <v>531</v>
      </c>
      <c r="AB723" s="101">
        <v>3101053435</v>
      </c>
      <c r="AC723" s="101" t="s">
        <v>431</v>
      </c>
      <c r="AD723" s="101" t="s">
        <v>431</v>
      </c>
      <c r="AE723" s="101" t="s">
        <v>75</v>
      </c>
      <c r="AF723" s="101" t="s">
        <v>400</v>
      </c>
      <c r="AG723" s="101" t="s">
        <v>554</v>
      </c>
      <c r="AI723" s="101" t="s">
        <v>760</v>
      </c>
    </row>
    <row r="724" spans="1:35">
      <c r="A724" s="246" t="s">
        <v>107</v>
      </c>
      <c r="B724" s="246" t="s">
        <v>78</v>
      </c>
      <c r="C724" s="246" t="s">
        <v>126</v>
      </c>
      <c r="D724" s="246" t="s">
        <v>772</v>
      </c>
      <c r="E724" s="246" t="s">
        <v>773</v>
      </c>
      <c r="F724" s="246"/>
      <c r="G724" s="132">
        <v>73350</v>
      </c>
      <c r="H724" s="132" t="s">
        <v>1540</v>
      </c>
      <c r="I724" s="132">
        <v>73350</v>
      </c>
      <c r="J724" s="101" t="s">
        <v>889</v>
      </c>
      <c r="K724" s="245" t="s">
        <v>390</v>
      </c>
      <c r="L724" s="245">
        <v>42522</v>
      </c>
      <c r="M724" s="245" t="s">
        <v>391</v>
      </c>
      <c r="N724" s="101">
        <v>0</v>
      </c>
      <c r="O724" s="101" t="s">
        <v>392</v>
      </c>
      <c r="P724" s="101">
        <v>0</v>
      </c>
      <c r="Q724" s="101">
        <v>0</v>
      </c>
      <c r="R724" s="101" t="s">
        <v>393</v>
      </c>
      <c r="S724" s="101" t="s">
        <v>805</v>
      </c>
      <c r="T724" s="101" t="s">
        <v>394</v>
      </c>
      <c r="V724" s="245">
        <v>46539</v>
      </c>
      <c r="W724" s="101" t="s">
        <v>535</v>
      </c>
      <c r="X724" s="101" t="s">
        <v>76</v>
      </c>
      <c r="Y724" s="101" t="s">
        <v>471</v>
      </c>
      <c r="Z724" s="101" t="s">
        <v>402</v>
      </c>
      <c r="AA724" s="101" t="s">
        <v>78</v>
      </c>
      <c r="AB724" s="101">
        <v>4101000279</v>
      </c>
      <c r="AC724" s="101" t="s">
        <v>398</v>
      </c>
      <c r="AD724" s="101" t="s">
        <v>403</v>
      </c>
      <c r="AE724" s="101" t="s">
        <v>75</v>
      </c>
      <c r="AF724" s="101" t="s">
        <v>400</v>
      </c>
      <c r="AI724" s="101" t="s">
        <v>760</v>
      </c>
    </row>
    <row r="725" spans="1:35">
      <c r="A725" s="246" t="s">
        <v>111</v>
      </c>
      <c r="B725" s="246" t="s">
        <v>78</v>
      </c>
      <c r="C725" s="246" t="s">
        <v>126</v>
      </c>
      <c r="D725" s="246" t="s">
        <v>768</v>
      </c>
      <c r="E725" s="246" t="s">
        <v>769</v>
      </c>
      <c r="F725" s="246"/>
      <c r="G725" s="132">
        <v>73350</v>
      </c>
      <c r="H725" s="132" t="s">
        <v>1540</v>
      </c>
      <c r="I725" s="132">
        <v>73350</v>
      </c>
      <c r="J725" s="101" t="s">
        <v>889</v>
      </c>
      <c r="K725" s="245" t="s">
        <v>390</v>
      </c>
      <c r="L725" s="245">
        <v>42705</v>
      </c>
      <c r="M725" s="245" t="s">
        <v>391</v>
      </c>
      <c r="N725" s="101">
        <v>0</v>
      </c>
      <c r="O725" s="101" t="s">
        <v>392</v>
      </c>
      <c r="P725" s="101">
        <v>0</v>
      </c>
      <c r="Q725" s="101">
        <v>0</v>
      </c>
      <c r="R725" s="101" t="s">
        <v>393</v>
      </c>
      <c r="S725" s="101" t="s">
        <v>805</v>
      </c>
      <c r="T725" s="101" t="s">
        <v>394</v>
      </c>
      <c r="V725" s="245">
        <v>46539</v>
      </c>
      <c r="W725" s="101" t="s">
        <v>535</v>
      </c>
      <c r="X725" s="101" t="s">
        <v>76</v>
      </c>
      <c r="Y725" s="101" t="s">
        <v>471</v>
      </c>
      <c r="Z725" s="101" t="s">
        <v>402</v>
      </c>
      <c r="AA725" s="101" t="s">
        <v>78</v>
      </c>
      <c r="AB725" s="101">
        <v>4101000279</v>
      </c>
      <c r="AC725" s="101" t="s">
        <v>398</v>
      </c>
      <c r="AD725" s="101" t="s">
        <v>403</v>
      </c>
      <c r="AE725" s="101" t="s">
        <v>75</v>
      </c>
      <c r="AF725" s="101" t="s">
        <v>400</v>
      </c>
      <c r="AI725" s="101" t="s">
        <v>760</v>
      </c>
    </row>
    <row r="726" spans="1:35">
      <c r="A726" s="246" t="s">
        <v>112</v>
      </c>
      <c r="B726" s="246" t="s">
        <v>78</v>
      </c>
      <c r="C726" s="246" t="s">
        <v>126</v>
      </c>
      <c r="D726" s="246" t="s">
        <v>341</v>
      </c>
      <c r="E726" s="246" t="s">
        <v>342</v>
      </c>
      <c r="F726" s="246"/>
      <c r="G726" s="132">
        <v>73350</v>
      </c>
      <c r="H726" s="132" t="s">
        <v>1540</v>
      </c>
      <c r="I726" s="132">
        <v>73350</v>
      </c>
      <c r="J726" s="101" t="s">
        <v>889</v>
      </c>
      <c r="K726" s="245" t="s">
        <v>390</v>
      </c>
      <c r="L726" s="245">
        <v>42887</v>
      </c>
      <c r="M726" s="245" t="s">
        <v>391</v>
      </c>
      <c r="N726" s="101">
        <v>0</v>
      </c>
      <c r="O726" s="101" t="s">
        <v>392</v>
      </c>
      <c r="P726" s="101">
        <v>0</v>
      </c>
      <c r="Q726" s="101">
        <v>0</v>
      </c>
      <c r="R726" s="101" t="s">
        <v>393</v>
      </c>
      <c r="S726" s="101" t="s">
        <v>805</v>
      </c>
      <c r="T726" s="101" t="s">
        <v>394</v>
      </c>
      <c r="V726" s="245">
        <v>46539</v>
      </c>
      <c r="W726" s="101" t="s">
        <v>535</v>
      </c>
      <c r="X726" s="101" t="s">
        <v>76</v>
      </c>
      <c r="Y726" s="101" t="s">
        <v>471</v>
      </c>
      <c r="Z726" s="101" t="s">
        <v>402</v>
      </c>
      <c r="AA726" s="101" t="s">
        <v>78</v>
      </c>
      <c r="AB726" s="101">
        <v>4101000279</v>
      </c>
      <c r="AC726" s="101" t="s">
        <v>398</v>
      </c>
      <c r="AD726" s="101" t="s">
        <v>403</v>
      </c>
      <c r="AE726" s="101" t="s">
        <v>75</v>
      </c>
      <c r="AF726" s="101" t="s">
        <v>400</v>
      </c>
      <c r="AI726" s="101" t="s">
        <v>760</v>
      </c>
    </row>
    <row r="727" spans="1:35">
      <c r="A727" s="246" t="s">
        <v>113</v>
      </c>
      <c r="B727" s="246" t="s">
        <v>78</v>
      </c>
      <c r="C727" s="246" t="s">
        <v>126</v>
      </c>
      <c r="D727" s="246" t="s">
        <v>339</v>
      </c>
      <c r="E727" s="246" t="s">
        <v>340</v>
      </c>
      <c r="F727" s="246"/>
      <c r="G727" s="132">
        <v>73350</v>
      </c>
      <c r="H727" s="132" t="s">
        <v>1540</v>
      </c>
      <c r="I727" s="132">
        <v>73350</v>
      </c>
      <c r="J727" s="101" t="s">
        <v>889</v>
      </c>
      <c r="K727" s="245" t="s">
        <v>390</v>
      </c>
      <c r="L727" s="245">
        <v>43070</v>
      </c>
      <c r="M727" s="245" t="s">
        <v>391</v>
      </c>
      <c r="N727" s="101">
        <v>0</v>
      </c>
      <c r="O727" s="101" t="s">
        <v>392</v>
      </c>
      <c r="P727" s="101">
        <v>0</v>
      </c>
      <c r="Q727" s="101">
        <v>0</v>
      </c>
      <c r="R727" s="101" t="s">
        <v>393</v>
      </c>
      <c r="S727" s="101" t="s">
        <v>805</v>
      </c>
      <c r="T727" s="101" t="s">
        <v>394</v>
      </c>
      <c r="V727" s="245">
        <v>46539</v>
      </c>
      <c r="W727" s="101" t="s">
        <v>535</v>
      </c>
      <c r="X727" s="101" t="s">
        <v>76</v>
      </c>
      <c r="Y727" s="101" t="s">
        <v>471</v>
      </c>
      <c r="Z727" s="101" t="s">
        <v>402</v>
      </c>
      <c r="AA727" s="101" t="s">
        <v>78</v>
      </c>
      <c r="AB727" s="101">
        <v>4101000279</v>
      </c>
      <c r="AC727" s="101" t="s">
        <v>398</v>
      </c>
      <c r="AD727" s="101" t="s">
        <v>403</v>
      </c>
      <c r="AE727" s="101" t="s">
        <v>75</v>
      </c>
      <c r="AF727" s="101" t="s">
        <v>400</v>
      </c>
      <c r="AI727" s="101" t="s">
        <v>760</v>
      </c>
    </row>
    <row r="728" spans="1:35">
      <c r="A728" s="246" t="s">
        <v>107</v>
      </c>
      <c r="B728" s="246" t="s">
        <v>78</v>
      </c>
      <c r="C728" s="246" t="s">
        <v>126</v>
      </c>
      <c r="D728" s="246" t="s">
        <v>772</v>
      </c>
      <c r="E728" s="246" t="s">
        <v>773</v>
      </c>
      <c r="F728" s="246"/>
      <c r="G728" s="132" t="s">
        <v>871</v>
      </c>
      <c r="H728" s="132" t="s">
        <v>1541</v>
      </c>
      <c r="I728" s="132">
        <v>-10555.199999999999</v>
      </c>
      <c r="J728" s="101" t="s">
        <v>889</v>
      </c>
      <c r="K728" s="245" t="s">
        <v>390</v>
      </c>
      <c r="L728" s="245">
        <v>42521</v>
      </c>
      <c r="M728" s="245" t="s">
        <v>391</v>
      </c>
      <c r="N728" s="101">
        <v>0</v>
      </c>
      <c r="O728" s="101" t="s">
        <v>392</v>
      </c>
      <c r="P728" s="101">
        <v>0</v>
      </c>
      <c r="Q728" s="101">
        <v>0</v>
      </c>
      <c r="R728" s="101" t="s">
        <v>393</v>
      </c>
      <c r="S728" s="101" t="s">
        <v>647</v>
      </c>
      <c r="T728" s="101" t="s">
        <v>394</v>
      </c>
      <c r="V728" s="245">
        <v>46371</v>
      </c>
      <c r="W728" s="101" t="s">
        <v>535</v>
      </c>
      <c r="X728" s="101" t="s">
        <v>362</v>
      </c>
      <c r="Y728" s="101" t="s">
        <v>471</v>
      </c>
      <c r="Z728" s="101" t="s">
        <v>402</v>
      </c>
      <c r="AA728" s="101" t="s">
        <v>78</v>
      </c>
      <c r="AB728" s="101">
        <v>4101000279</v>
      </c>
      <c r="AC728" s="101" t="s">
        <v>398</v>
      </c>
      <c r="AD728" s="101" t="s">
        <v>403</v>
      </c>
      <c r="AE728" s="101" t="s">
        <v>75</v>
      </c>
      <c r="AF728" s="101" t="s">
        <v>400</v>
      </c>
      <c r="AI728" s="101" t="s">
        <v>760</v>
      </c>
    </row>
    <row r="729" spans="1:35">
      <c r="A729" s="246" t="s">
        <v>109</v>
      </c>
      <c r="B729" s="246" t="s">
        <v>78</v>
      </c>
      <c r="C729" s="246" t="s">
        <v>126</v>
      </c>
      <c r="D729" s="246" t="s">
        <v>337</v>
      </c>
      <c r="E729" s="246" t="s">
        <v>336</v>
      </c>
      <c r="F729" s="246"/>
      <c r="G729" s="132" t="s">
        <v>1542</v>
      </c>
      <c r="H729" s="132" t="s">
        <v>1543</v>
      </c>
      <c r="I729" s="132">
        <v>-10481.5</v>
      </c>
      <c r="J729" s="101" t="s">
        <v>889</v>
      </c>
      <c r="K729" s="245" t="s">
        <v>390</v>
      </c>
      <c r="L729" s="245">
        <v>42551</v>
      </c>
      <c r="M729" s="245" t="s">
        <v>391</v>
      </c>
      <c r="N729" s="101">
        <v>0</v>
      </c>
      <c r="O729" s="101" t="s">
        <v>392</v>
      </c>
      <c r="P729" s="101">
        <v>0</v>
      </c>
      <c r="Q729" s="101">
        <v>0</v>
      </c>
      <c r="R729" s="101" t="s">
        <v>393</v>
      </c>
      <c r="S729" s="101" t="s">
        <v>647</v>
      </c>
      <c r="T729" s="101" t="s">
        <v>394</v>
      </c>
      <c r="V729" s="245">
        <v>46371</v>
      </c>
      <c r="W729" s="101" t="s">
        <v>535</v>
      </c>
      <c r="X729" s="101" t="s">
        <v>362</v>
      </c>
      <c r="Y729" s="101" t="s">
        <v>471</v>
      </c>
      <c r="Z729" s="101" t="s">
        <v>402</v>
      </c>
      <c r="AA729" s="101" t="s">
        <v>78</v>
      </c>
      <c r="AB729" s="101">
        <v>4101000279</v>
      </c>
      <c r="AC729" s="101" t="s">
        <v>398</v>
      </c>
      <c r="AD729" s="101" t="s">
        <v>403</v>
      </c>
      <c r="AE729" s="101" t="s">
        <v>75</v>
      </c>
      <c r="AF729" s="101" t="s">
        <v>400</v>
      </c>
      <c r="AI729" s="101" t="s">
        <v>760</v>
      </c>
    </row>
    <row r="730" spans="1:35">
      <c r="A730" s="246" t="s">
        <v>109</v>
      </c>
      <c r="B730" s="246" t="s">
        <v>78</v>
      </c>
      <c r="C730" s="246" t="s">
        <v>126</v>
      </c>
      <c r="D730" s="246" t="s">
        <v>337</v>
      </c>
      <c r="E730" s="246" t="s">
        <v>336</v>
      </c>
      <c r="F730" s="246"/>
      <c r="G730" s="132" t="s">
        <v>1544</v>
      </c>
      <c r="H730" s="132" t="s">
        <v>1545</v>
      </c>
      <c r="I730" s="132">
        <v>-10709.85</v>
      </c>
      <c r="J730" s="101" t="s">
        <v>889</v>
      </c>
      <c r="K730" s="245" t="s">
        <v>390</v>
      </c>
      <c r="L730" s="245">
        <v>42580</v>
      </c>
      <c r="M730" s="245" t="s">
        <v>391</v>
      </c>
      <c r="N730" s="101">
        <v>0</v>
      </c>
      <c r="O730" s="101" t="s">
        <v>392</v>
      </c>
      <c r="P730" s="101">
        <v>0</v>
      </c>
      <c r="Q730" s="101">
        <v>0</v>
      </c>
      <c r="R730" s="101" t="s">
        <v>393</v>
      </c>
      <c r="S730" s="101" t="s">
        <v>647</v>
      </c>
      <c r="T730" s="101" t="s">
        <v>394</v>
      </c>
      <c r="V730" s="245">
        <v>46371</v>
      </c>
      <c r="W730" s="101" t="s">
        <v>535</v>
      </c>
      <c r="X730" s="101" t="s">
        <v>362</v>
      </c>
      <c r="Y730" s="101" t="s">
        <v>471</v>
      </c>
      <c r="Z730" s="101" t="s">
        <v>402</v>
      </c>
      <c r="AA730" s="101" t="s">
        <v>78</v>
      </c>
      <c r="AB730" s="101">
        <v>4101000279</v>
      </c>
      <c r="AC730" s="101" t="s">
        <v>398</v>
      </c>
      <c r="AD730" s="101" t="s">
        <v>403</v>
      </c>
      <c r="AE730" s="101" t="s">
        <v>75</v>
      </c>
      <c r="AF730" s="101" t="s">
        <v>400</v>
      </c>
      <c r="AI730" s="101" t="s">
        <v>760</v>
      </c>
    </row>
    <row r="731" spans="1:35">
      <c r="A731" s="246" t="s">
        <v>110</v>
      </c>
      <c r="B731" s="246" t="s">
        <v>78</v>
      </c>
      <c r="C731" s="246" t="s">
        <v>126</v>
      </c>
      <c r="D731" s="246" t="s">
        <v>770</v>
      </c>
      <c r="E731" s="246" t="s">
        <v>771</v>
      </c>
      <c r="F731" s="246"/>
      <c r="G731" s="132" t="s">
        <v>1546</v>
      </c>
      <c r="H731" s="132" t="s">
        <v>1547</v>
      </c>
      <c r="I731" s="132">
        <v>-17515.5</v>
      </c>
      <c r="J731" s="101" t="s">
        <v>889</v>
      </c>
      <c r="K731" s="245" t="s">
        <v>390</v>
      </c>
      <c r="L731" s="245">
        <v>42613</v>
      </c>
      <c r="M731" s="245" t="s">
        <v>391</v>
      </c>
      <c r="N731" s="101">
        <v>0</v>
      </c>
      <c r="O731" s="101" t="s">
        <v>392</v>
      </c>
      <c r="P731" s="101">
        <v>0</v>
      </c>
      <c r="Q731" s="101">
        <v>0</v>
      </c>
      <c r="R731" s="101" t="s">
        <v>393</v>
      </c>
      <c r="S731" s="101" t="s">
        <v>647</v>
      </c>
      <c r="T731" s="101" t="s">
        <v>394</v>
      </c>
      <c r="V731" s="245">
        <v>46371</v>
      </c>
      <c r="W731" s="101" t="s">
        <v>535</v>
      </c>
      <c r="X731" s="101" t="s">
        <v>362</v>
      </c>
      <c r="Y731" s="101" t="s">
        <v>471</v>
      </c>
      <c r="Z731" s="101" t="s">
        <v>402</v>
      </c>
      <c r="AA731" s="101" t="s">
        <v>78</v>
      </c>
      <c r="AB731" s="101">
        <v>4101000279</v>
      </c>
      <c r="AC731" s="101" t="s">
        <v>398</v>
      </c>
      <c r="AD731" s="101" t="s">
        <v>403</v>
      </c>
      <c r="AE731" s="101" t="s">
        <v>75</v>
      </c>
      <c r="AF731" s="101" t="s">
        <v>400</v>
      </c>
      <c r="AI731" s="101" t="s">
        <v>760</v>
      </c>
    </row>
    <row r="732" spans="1:35">
      <c r="A732" s="246" t="s">
        <v>110</v>
      </c>
      <c r="B732" s="246" t="s">
        <v>78</v>
      </c>
      <c r="C732" s="246" t="s">
        <v>126</v>
      </c>
      <c r="D732" s="246" t="s">
        <v>770</v>
      </c>
      <c r="E732" s="246" t="s">
        <v>771</v>
      </c>
      <c r="F732" s="246"/>
      <c r="G732" s="132" t="s">
        <v>1548</v>
      </c>
      <c r="H732" s="132" t="s">
        <v>1549</v>
      </c>
      <c r="I732" s="132">
        <v>-19265.949999999997</v>
      </c>
      <c r="J732" s="101" t="s">
        <v>889</v>
      </c>
      <c r="K732" s="245" t="s">
        <v>390</v>
      </c>
      <c r="L732" s="245">
        <v>42643</v>
      </c>
      <c r="M732" s="245" t="s">
        <v>391</v>
      </c>
      <c r="N732" s="101">
        <v>0</v>
      </c>
      <c r="O732" s="101" t="s">
        <v>392</v>
      </c>
      <c r="P732" s="101">
        <v>0</v>
      </c>
      <c r="Q732" s="101">
        <v>0</v>
      </c>
      <c r="R732" s="101" t="s">
        <v>393</v>
      </c>
      <c r="S732" s="101" t="s">
        <v>647</v>
      </c>
      <c r="T732" s="101" t="s">
        <v>394</v>
      </c>
      <c r="V732" s="245">
        <v>46371</v>
      </c>
      <c r="W732" s="101" t="s">
        <v>535</v>
      </c>
      <c r="X732" s="101" t="s">
        <v>362</v>
      </c>
      <c r="Y732" s="101" t="s">
        <v>471</v>
      </c>
      <c r="Z732" s="101" t="s">
        <v>402</v>
      </c>
      <c r="AA732" s="101" t="s">
        <v>78</v>
      </c>
      <c r="AB732" s="101">
        <v>4101000279</v>
      </c>
      <c r="AC732" s="101" t="s">
        <v>398</v>
      </c>
      <c r="AD732" s="101" t="s">
        <v>403</v>
      </c>
      <c r="AE732" s="101" t="s">
        <v>75</v>
      </c>
      <c r="AF732" s="101" t="s">
        <v>400</v>
      </c>
      <c r="AI732" s="101" t="s">
        <v>760</v>
      </c>
    </row>
    <row r="733" spans="1:35">
      <c r="A733" s="246" t="s">
        <v>110</v>
      </c>
      <c r="B733" s="246" t="s">
        <v>78</v>
      </c>
      <c r="C733" s="246" t="s">
        <v>126</v>
      </c>
      <c r="D733" s="246" t="s">
        <v>770</v>
      </c>
      <c r="E733" s="246" t="s">
        <v>771</v>
      </c>
      <c r="F733" s="246"/>
      <c r="G733" s="132" t="s">
        <v>1550</v>
      </c>
      <c r="H733" s="132" t="s">
        <v>1551</v>
      </c>
      <c r="I733" s="132">
        <v>-21312.19</v>
      </c>
      <c r="J733" s="101" t="s">
        <v>889</v>
      </c>
      <c r="K733" s="245" t="s">
        <v>390</v>
      </c>
      <c r="L733" s="245">
        <v>42674</v>
      </c>
      <c r="M733" s="245" t="s">
        <v>391</v>
      </c>
      <c r="N733" s="101">
        <v>0</v>
      </c>
      <c r="O733" s="101" t="s">
        <v>392</v>
      </c>
      <c r="P733" s="101">
        <v>0</v>
      </c>
      <c r="Q733" s="101">
        <v>0</v>
      </c>
      <c r="R733" s="101" t="s">
        <v>393</v>
      </c>
      <c r="S733" s="101" t="s">
        <v>647</v>
      </c>
      <c r="T733" s="101" t="s">
        <v>394</v>
      </c>
      <c r="V733" s="245">
        <v>46371</v>
      </c>
      <c r="W733" s="101" t="s">
        <v>535</v>
      </c>
      <c r="X733" s="101" t="s">
        <v>362</v>
      </c>
      <c r="Y733" s="101" t="s">
        <v>471</v>
      </c>
      <c r="Z733" s="101" t="s">
        <v>402</v>
      </c>
      <c r="AA733" s="101" t="s">
        <v>78</v>
      </c>
      <c r="AB733" s="101">
        <v>4101000279</v>
      </c>
      <c r="AC733" s="101" t="s">
        <v>398</v>
      </c>
      <c r="AD733" s="101" t="s">
        <v>403</v>
      </c>
      <c r="AE733" s="101" t="s">
        <v>75</v>
      </c>
      <c r="AF733" s="101" t="s">
        <v>400</v>
      </c>
      <c r="AI733" s="101" t="s">
        <v>760</v>
      </c>
    </row>
    <row r="734" spans="1:35">
      <c r="A734" s="246" t="s">
        <v>111</v>
      </c>
      <c r="B734" s="246" t="s">
        <v>78</v>
      </c>
      <c r="C734" s="246" t="s">
        <v>126</v>
      </c>
      <c r="D734" s="246" t="s">
        <v>768</v>
      </c>
      <c r="E734" s="246" t="s">
        <v>769</v>
      </c>
      <c r="F734" s="246"/>
      <c r="G734" s="132" t="s">
        <v>1552</v>
      </c>
      <c r="H734" s="132" t="s">
        <v>1553</v>
      </c>
      <c r="I734" s="132">
        <v>-27732.420000000002</v>
      </c>
      <c r="J734" s="101" t="s">
        <v>889</v>
      </c>
      <c r="K734" s="245" t="s">
        <v>390</v>
      </c>
      <c r="L734" s="245">
        <v>42704</v>
      </c>
      <c r="M734" s="245" t="s">
        <v>391</v>
      </c>
      <c r="N734" s="101">
        <v>0</v>
      </c>
      <c r="O734" s="101" t="s">
        <v>392</v>
      </c>
      <c r="P734" s="101">
        <v>0</v>
      </c>
      <c r="Q734" s="101">
        <v>0</v>
      </c>
      <c r="R734" s="101" t="s">
        <v>393</v>
      </c>
      <c r="S734" s="101" t="s">
        <v>647</v>
      </c>
      <c r="T734" s="101" t="s">
        <v>394</v>
      </c>
      <c r="V734" s="245">
        <v>46371</v>
      </c>
      <c r="W734" s="101" t="s">
        <v>535</v>
      </c>
      <c r="X734" s="101" t="s">
        <v>362</v>
      </c>
      <c r="Y734" s="101" t="s">
        <v>471</v>
      </c>
      <c r="Z734" s="101" t="s">
        <v>402</v>
      </c>
      <c r="AA734" s="101" t="s">
        <v>78</v>
      </c>
      <c r="AB734" s="101">
        <v>4101000279</v>
      </c>
      <c r="AC734" s="101" t="s">
        <v>398</v>
      </c>
      <c r="AD734" s="101" t="s">
        <v>403</v>
      </c>
      <c r="AE734" s="101" t="s">
        <v>75</v>
      </c>
      <c r="AF734" s="101" t="s">
        <v>400</v>
      </c>
      <c r="AI734" s="101" t="s">
        <v>760</v>
      </c>
    </row>
    <row r="735" spans="1:35">
      <c r="A735" s="246" t="s">
        <v>111</v>
      </c>
      <c r="B735" s="246" t="s">
        <v>78</v>
      </c>
      <c r="C735" s="246" t="s">
        <v>126</v>
      </c>
      <c r="D735" s="246" t="s">
        <v>768</v>
      </c>
      <c r="E735" s="246" t="s">
        <v>769</v>
      </c>
      <c r="F735" s="246"/>
      <c r="G735" s="132" t="s">
        <v>1554</v>
      </c>
      <c r="H735" s="132" t="s">
        <v>1555</v>
      </c>
      <c r="I735" s="132">
        <v>-19385.45</v>
      </c>
      <c r="J735" s="101" t="s">
        <v>889</v>
      </c>
      <c r="K735" s="245" t="s">
        <v>390</v>
      </c>
      <c r="L735" s="245">
        <v>42734</v>
      </c>
      <c r="M735" s="245" t="s">
        <v>391</v>
      </c>
      <c r="N735" s="101">
        <v>0</v>
      </c>
      <c r="O735" s="101" t="s">
        <v>392</v>
      </c>
      <c r="P735" s="101">
        <v>0</v>
      </c>
      <c r="Q735" s="101">
        <v>0</v>
      </c>
      <c r="R735" s="101" t="s">
        <v>393</v>
      </c>
      <c r="S735" s="101" t="s">
        <v>647</v>
      </c>
      <c r="T735" s="101" t="s">
        <v>394</v>
      </c>
      <c r="V735" s="245">
        <v>46371</v>
      </c>
      <c r="W735" s="101" t="s">
        <v>535</v>
      </c>
      <c r="X735" s="101" t="s">
        <v>362</v>
      </c>
      <c r="Y735" s="101" t="s">
        <v>471</v>
      </c>
      <c r="Z735" s="101" t="s">
        <v>402</v>
      </c>
      <c r="AA735" s="101" t="s">
        <v>78</v>
      </c>
      <c r="AB735" s="101">
        <v>4101000279</v>
      </c>
      <c r="AC735" s="101" t="s">
        <v>398</v>
      </c>
      <c r="AD735" s="101" t="s">
        <v>403</v>
      </c>
      <c r="AE735" s="101" t="s">
        <v>75</v>
      </c>
      <c r="AF735" s="101" t="s">
        <v>400</v>
      </c>
      <c r="AI735" s="101" t="s">
        <v>760</v>
      </c>
    </row>
    <row r="736" spans="1:35">
      <c r="A736" s="246" t="s">
        <v>111</v>
      </c>
      <c r="B736" s="246" t="s">
        <v>78</v>
      </c>
      <c r="C736" s="246" t="s">
        <v>126</v>
      </c>
      <c r="D736" s="246" t="s">
        <v>768</v>
      </c>
      <c r="E736" s="246" t="s">
        <v>769</v>
      </c>
      <c r="F736" s="246"/>
      <c r="G736" s="132" t="s">
        <v>1556</v>
      </c>
      <c r="H736" s="132" t="s">
        <v>1557</v>
      </c>
      <c r="I736" s="132">
        <v>-4497.78</v>
      </c>
      <c r="J736" s="101" t="s">
        <v>889</v>
      </c>
      <c r="K736" s="245" t="s">
        <v>390</v>
      </c>
      <c r="L736" s="245">
        <v>42766</v>
      </c>
      <c r="M736" s="245" t="s">
        <v>391</v>
      </c>
      <c r="N736" s="101">
        <v>0</v>
      </c>
      <c r="O736" s="101" t="s">
        <v>392</v>
      </c>
      <c r="P736" s="101">
        <v>0</v>
      </c>
      <c r="Q736" s="101">
        <v>0</v>
      </c>
      <c r="R736" s="101" t="s">
        <v>393</v>
      </c>
      <c r="S736" s="101" t="s">
        <v>647</v>
      </c>
      <c r="T736" s="101" t="s">
        <v>394</v>
      </c>
      <c r="V736" s="245">
        <v>46371</v>
      </c>
      <c r="W736" s="101" t="s">
        <v>535</v>
      </c>
      <c r="X736" s="101" t="s">
        <v>362</v>
      </c>
      <c r="Y736" s="101" t="s">
        <v>471</v>
      </c>
      <c r="Z736" s="101" t="s">
        <v>402</v>
      </c>
      <c r="AA736" s="101" t="s">
        <v>78</v>
      </c>
      <c r="AB736" s="101">
        <v>4101000279</v>
      </c>
      <c r="AC736" s="101" t="s">
        <v>398</v>
      </c>
      <c r="AD736" s="101" t="s">
        <v>403</v>
      </c>
      <c r="AE736" s="101" t="s">
        <v>75</v>
      </c>
      <c r="AF736" s="101" t="s">
        <v>400</v>
      </c>
      <c r="AI736" s="101" t="s">
        <v>760</v>
      </c>
    </row>
    <row r="737" spans="1:35">
      <c r="A737" s="246" t="s">
        <v>111</v>
      </c>
      <c r="B737" s="246" t="s">
        <v>78</v>
      </c>
      <c r="C737" s="246" t="s">
        <v>126</v>
      </c>
      <c r="D737" s="246" t="s">
        <v>768</v>
      </c>
      <c r="E737" s="246" t="s">
        <v>769</v>
      </c>
      <c r="F737" s="246"/>
      <c r="G737" s="132" t="s">
        <v>1558</v>
      </c>
      <c r="H737" s="132" t="s">
        <v>1559</v>
      </c>
      <c r="I737" s="132">
        <v>-10165.849999999999</v>
      </c>
      <c r="J737" s="101" t="s">
        <v>889</v>
      </c>
      <c r="K737" s="245" t="s">
        <v>390</v>
      </c>
      <c r="L737" s="245">
        <v>42794</v>
      </c>
      <c r="M737" s="245" t="s">
        <v>391</v>
      </c>
      <c r="N737" s="101">
        <v>0</v>
      </c>
      <c r="O737" s="101" t="s">
        <v>392</v>
      </c>
      <c r="P737" s="101">
        <v>0</v>
      </c>
      <c r="Q737" s="101">
        <v>0</v>
      </c>
      <c r="R737" s="101" t="s">
        <v>393</v>
      </c>
      <c r="S737" s="101" t="s">
        <v>647</v>
      </c>
      <c r="T737" s="101" t="s">
        <v>394</v>
      </c>
      <c r="V737" s="245">
        <v>46371</v>
      </c>
      <c r="W737" s="101" t="s">
        <v>535</v>
      </c>
      <c r="X737" s="101" t="s">
        <v>362</v>
      </c>
      <c r="Y737" s="101" t="s">
        <v>471</v>
      </c>
      <c r="Z737" s="101" t="s">
        <v>402</v>
      </c>
      <c r="AA737" s="101" t="s">
        <v>78</v>
      </c>
      <c r="AB737" s="101">
        <v>4101000279</v>
      </c>
      <c r="AC737" s="101" t="s">
        <v>398</v>
      </c>
      <c r="AD737" s="101" t="s">
        <v>403</v>
      </c>
      <c r="AE737" s="101" t="s">
        <v>75</v>
      </c>
      <c r="AF737" s="101" t="s">
        <v>400</v>
      </c>
      <c r="AI737" s="101" t="s">
        <v>760</v>
      </c>
    </row>
    <row r="738" spans="1:35">
      <c r="A738" s="246" t="s">
        <v>111</v>
      </c>
      <c r="B738" s="246" t="s">
        <v>78</v>
      </c>
      <c r="C738" s="246" t="s">
        <v>126</v>
      </c>
      <c r="D738" s="246" t="s">
        <v>768</v>
      </c>
      <c r="E738" s="246" t="s">
        <v>769</v>
      </c>
      <c r="F738" s="246"/>
      <c r="G738" s="132" t="s">
        <v>1560</v>
      </c>
      <c r="H738" s="132" t="s">
        <v>1561</v>
      </c>
      <c r="I738" s="132">
        <v>-17290.28</v>
      </c>
      <c r="J738" s="101" t="s">
        <v>889</v>
      </c>
      <c r="K738" s="245" t="s">
        <v>390</v>
      </c>
      <c r="L738" s="245">
        <v>42825</v>
      </c>
      <c r="M738" s="245" t="s">
        <v>391</v>
      </c>
      <c r="N738" s="101">
        <v>0</v>
      </c>
      <c r="O738" s="101" t="s">
        <v>392</v>
      </c>
      <c r="P738" s="101">
        <v>0</v>
      </c>
      <c r="Q738" s="101">
        <v>0</v>
      </c>
      <c r="R738" s="101" t="s">
        <v>393</v>
      </c>
      <c r="S738" s="101" t="s">
        <v>647</v>
      </c>
      <c r="T738" s="101" t="s">
        <v>394</v>
      </c>
      <c r="V738" s="245">
        <v>46371</v>
      </c>
      <c r="W738" s="101" t="s">
        <v>535</v>
      </c>
      <c r="X738" s="101" t="s">
        <v>362</v>
      </c>
      <c r="Y738" s="101" t="s">
        <v>471</v>
      </c>
      <c r="Z738" s="101" t="s">
        <v>402</v>
      </c>
      <c r="AA738" s="101" t="s">
        <v>78</v>
      </c>
      <c r="AB738" s="101">
        <v>4101000279</v>
      </c>
      <c r="AC738" s="101" t="s">
        <v>398</v>
      </c>
      <c r="AD738" s="101" t="s">
        <v>403</v>
      </c>
      <c r="AE738" s="101" t="s">
        <v>75</v>
      </c>
      <c r="AF738" s="101" t="s">
        <v>400</v>
      </c>
      <c r="AI738" s="101" t="s">
        <v>760</v>
      </c>
    </row>
    <row r="739" spans="1:35">
      <c r="A739" s="246" t="s">
        <v>111</v>
      </c>
      <c r="B739" s="246" t="s">
        <v>78</v>
      </c>
      <c r="C739" s="246" t="s">
        <v>126</v>
      </c>
      <c r="D739" s="246" t="s">
        <v>768</v>
      </c>
      <c r="E739" s="246" t="s">
        <v>769</v>
      </c>
      <c r="F739" s="246"/>
      <c r="G739" s="132" t="s">
        <v>1562</v>
      </c>
      <c r="H739" s="132" t="s">
        <v>1563</v>
      </c>
      <c r="I739" s="132">
        <v>-19565.96</v>
      </c>
      <c r="J739" s="101" t="s">
        <v>889</v>
      </c>
      <c r="K739" s="245" t="s">
        <v>390</v>
      </c>
      <c r="L739" s="245">
        <v>42853</v>
      </c>
      <c r="M739" s="245" t="s">
        <v>391</v>
      </c>
      <c r="N739" s="101">
        <v>0</v>
      </c>
      <c r="O739" s="101" t="s">
        <v>392</v>
      </c>
      <c r="P739" s="101">
        <v>0</v>
      </c>
      <c r="Q739" s="101">
        <v>0</v>
      </c>
      <c r="R739" s="101" t="s">
        <v>393</v>
      </c>
      <c r="S739" s="101" t="s">
        <v>647</v>
      </c>
      <c r="T739" s="101" t="s">
        <v>394</v>
      </c>
      <c r="V739" s="245">
        <v>46371</v>
      </c>
      <c r="W739" s="101" t="s">
        <v>535</v>
      </c>
      <c r="X739" s="101" t="s">
        <v>362</v>
      </c>
      <c r="Y739" s="101" t="s">
        <v>471</v>
      </c>
      <c r="Z739" s="101" t="s">
        <v>402</v>
      </c>
      <c r="AA739" s="101" t="s">
        <v>78</v>
      </c>
      <c r="AB739" s="101">
        <v>4101000279</v>
      </c>
      <c r="AC739" s="101" t="s">
        <v>398</v>
      </c>
      <c r="AD739" s="101" t="s">
        <v>403</v>
      </c>
      <c r="AE739" s="101" t="s">
        <v>75</v>
      </c>
      <c r="AF739" s="101" t="s">
        <v>400</v>
      </c>
      <c r="AI739" s="101" t="s">
        <v>760</v>
      </c>
    </row>
    <row r="740" spans="1:35">
      <c r="A740" s="246" t="s">
        <v>112</v>
      </c>
      <c r="B740" s="246" t="s">
        <v>78</v>
      </c>
      <c r="C740" s="246" t="s">
        <v>126</v>
      </c>
      <c r="D740" s="246" t="s">
        <v>341</v>
      </c>
      <c r="E740" s="246" t="s">
        <v>342</v>
      </c>
      <c r="F740" s="246"/>
      <c r="G740" s="132" t="s">
        <v>1564</v>
      </c>
      <c r="H740" s="132" t="s">
        <v>1565</v>
      </c>
      <c r="I740" s="132">
        <v>-34410.69</v>
      </c>
      <c r="J740" s="101" t="s">
        <v>889</v>
      </c>
      <c r="K740" s="245" t="s">
        <v>390</v>
      </c>
      <c r="L740" s="245">
        <v>42886</v>
      </c>
      <c r="M740" s="245" t="s">
        <v>391</v>
      </c>
      <c r="N740" s="101">
        <v>0</v>
      </c>
      <c r="O740" s="101" t="s">
        <v>392</v>
      </c>
      <c r="P740" s="101">
        <v>0</v>
      </c>
      <c r="Q740" s="101">
        <v>0</v>
      </c>
      <c r="R740" s="101" t="s">
        <v>393</v>
      </c>
      <c r="S740" s="101" t="s">
        <v>647</v>
      </c>
      <c r="T740" s="101" t="s">
        <v>394</v>
      </c>
      <c r="V740" s="245">
        <v>46371</v>
      </c>
      <c r="W740" s="101" t="s">
        <v>535</v>
      </c>
      <c r="X740" s="101" t="s">
        <v>362</v>
      </c>
      <c r="Y740" s="101" t="s">
        <v>471</v>
      </c>
      <c r="Z740" s="101" t="s">
        <v>402</v>
      </c>
      <c r="AA740" s="101" t="s">
        <v>78</v>
      </c>
      <c r="AB740" s="101">
        <v>4101000279</v>
      </c>
      <c r="AC740" s="101" t="s">
        <v>398</v>
      </c>
      <c r="AD740" s="101" t="s">
        <v>403</v>
      </c>
      <c r="AE740" s="101" t="s">
        <v>75</v>
      </c>
      <c r="AF740" s="101" t="s">
        <v>400</v>
      </c>
      <c r="AI740" s="101" t="s">
        <v>760</v>
      </c>
    </row>
    <row r="741" spans="1:35">
      <c r="A741" s="246" t="s">
        <v>112</v>
      </c>
      <c r="B741" s="246" t="s">
        <v>78</v>
      </c>
      <c r="C741" s="246" t="s">
        <v>126</v>
      </c>
      <c r="D741" s="246" t="s">
        <v>341</v>
      </c>
      <c r="E741" s="246" t="s">
        <v>342</v>
      </c>
      <c r="F741" s="246"/>
      <c r="G741" s="132" t="s">
        <v>1566</v>
      </c>
      <c r="H741" s="132" t="s">
        <v>1567</v>
      </c>
      <c r="I741" s="132">
        <v>-34337.21</v>
      </c>
      <c r="J741" s="101" t="s">
        <v>889</v>
      </c>
      <c r="K741" s="245" t="s">
        <v>390</v>
      </c>
      <c r="L741" s="245">
        <v>42916</v>
      </c>
      <c r="M741" s="245" t="s">
        <v>391</v>
      </c>
      <c r="N741" s="101">
        <v>0</v>
      </c>
      <c r="O741" s="101" t="s">
        <v>392</v>
      </c>
      <c r="P741" s="101">
        <v>0</v>
      </c>
      <c r="Q741" s="101">
        <v>0</v>
      </c>
      <c r="R741" s="101" t="s">
        <v>393</v>
      </c>
      <c r="S741" s="101" t="s">
        <v>647</v>
      </c>
      <c r="T741" s="101" t="s">
        <v>394</v>
      </c>
      <c r="V741" s="245">
        <v>46371</v>
      </c>
      <c r="W741" s="101" t="s">
        <v>535</v>
      </c>
      <c r="X741" s="101" t="s">
        <v>362</v>
      </c>
      <c r="Y741" s="101" t="s">
        <v>471</v>
      </c>
      <c r="Z741" s="101" t="s">
        <v>402</v>
      </c>
      <c r="AA741" s="101" t="s">
        <v>78</v>
      </c>
      <c r="AB741" s="101">
        <v>4101000279</v>
      </c>
      <c r="AC741" s="101" t="s">
        <v>398</v>
      </c>
      <c r="AD741" s="101" t="s">
        <v>403</v>
      </c>
      <c r="AE741" s="101" t="s">
        <v>75</v>
      </c>
      <c r="AF741" s="101" t="s">
        <v>400</v>
      </c>
      <c r="AI741" s="101" t="s">
        <v>760</v>
      </c>
    </row>
    <row r="742" spans="1:35">
      <c r="A742" s="246" t="s">
        <v>112</v>
      </c>
      <c r="B742" s="246" t="s">
        <v>78</v>
      </c>
      <c r="C742" s="246" t="s">
        <v>126</v>
      </c>
      <c r="D742" s="246" t="s">
        <v>341</v>
      </c>
      <c r="E742" s="246" t="s">
        <v>342</v>
      </c>
      <c r="F742" s="246"/>
      <c r="G742" s="132" t="s">
        <v>1568</v>
      </c>
      <c r="H742" s="132" t="s">
        <v>1569</v>
      </c>
      <c r="I742" s="132">
        <v>-36677.06</v>
      </c>
      <c r="J742" s="101" t="s">
        <v>889</v>
      </c>
      <c r="K742" s="245" t="s">
        <v>390</v>
      </c>
      <c r="L742" s="245">
        <v>42947</v>
      </c>
      <c r="M742" s="245" t="s">
        <v>391</v>
      </c>
      <c r="N742" s="101">
        <v>0</v>
      </c>
      <c r="O742" s="101" t="s">
        <v>392</v>
      </c>
      <c r="P742" s="101">
        <v>0</v>
      </c>
      <c r="Q742" s="101">
        <v>0</v>
      </c>
      <c r="R742" s="101" t="s">
        <v>393</v>
      </c>
      <c r="S742" s="101" t="s">
        <v>647</v>
      </c>
      <c r="T742" s="101" t="s">
        <v>394</v>
      </c>
      <c r="V742" s="245">
        <v>46371</v>
      </c>
      <c r="W742" s="101" t="s">
        <v>535</v>
      </c>
      <c r="X742" s="101" t="s">
        <v>362</v>
      </c>
      <c r="Y742" s="101" t="s">
        <v>471</v>
      </c>
      <c r="Z742" s="101" t="s">
        <v>402</v>
      </c>
      <c r="AA742" s="101" t="s">
        <v>78</v>
      </c>
      <c r="AB742" s="101">
        <v>4101000279</v>
      </c>
      <c r="AC742" s="101" t="s">
        <v>398</v>
      </c>
      <c r="AD742" s="101" t="s">
        <v>403</v>
      </c>
      <c r="AE742" s="101" t="s">
        <v>75</v>
      </c>
      <c r="AF742" s="101" t="s">
        <v>400</v>
      </c>
      <c r="AI742" s="101" t="s">
        <v>760</v>
      </c>
    </row>
    <row r="743" spans="1:35">
      <c r="A743" s="246" t="s">
        <v>112</v>
      </c>
      <c r="B743" s="246" t="s">
        <v>78</v>
      </c>
      <c r="C743" s="246" t="s">
        <v>126</v>
      </c>
      <c r="D743" s="246" t="s">
        <v>341</v>
      </c>
      <c r="E743" s="246" t="s">
        <v>342</v>
      </c>
      <c r="F743" s="246"/>
      <c r="G743" s="132" t="s">
        <v>1570</v>
      </c>
      <c r="H743" s="132" t="s">
        <v>1571</v>
      </c>
      <c r="I743" s="132">
        <v>-42360.59</v>
      </c>
      <c r="J743" s="101" t="s">
        <v>889</v>
      </c>
      <c r="K743" s="245" t="s">
        <v>390</v>
      </c>
      <c r="L743" s="245">
        <v>42978</v>
      </c>
      <c r="M743" s="245" t="s">
        <v>391</v>
      </c>
      <c r="N743" s="101">
        <v>0</v>
      </c>
      <c r="O743" s="101" t="s">
        <v>392</v>
      </c>
      <c r="P743" s="101">
        <v>0</v>
      </c>
      <c r="Q743" s="101">
        <v>0</v>
      </c>
      <c r="R743" s="101" t="s">
        <v>393</v>
      </c>
      <c r="S743" s="101" t="s">
        <v>647</v>
      </c>
      <c r="T743" s="101" t="s">
        <v>394</v>
      </c>
      <c r="V743" s="245">
        <v>46371</v>
      </c>
      <c r="W743" s="101" t="s">
        <v>535</v>
      </c>
      <c r="X743" s="101" t="s">
        <v>362</v>
      </c>
      <c r="Y743" s="101" t="s">
        <v>471</v>
      </c>
      <c r="Z743" s="101" t="s">
        <v>402</v>
      </c>
      <c r="AA743" s="101" t="s">
        <v>78</v>
      </c>
      <c r="AB743" s="101">
        <v>4101000279</v>
      </c>
      <c r="AC743" s="101" t="s">
        <v>398</v>
      </c>
      <c r="AD743" s="101" t="s">
        <v>403</v>
      </c>
      <c r="AE743" s="101" t="s">
        <v>75</v>
      </c>
      <c r="AF743" s="101" t="s">
        <v>400</v>
      </c>
      <c r="AI743" s="101" t="s">
        <v>760</v>
      </c>
    </row>
    <row r="744" spans="1:35">
      <c r="A744" s="246" t="s">
        <v>112</v>
      </c>
      <c r="B744" s="246" t="s">
        <v>78</v>
      </c>
      <c r="C744" s="246" t="s">
        <v>126</v>
      </c>
      <c r="D744" s="246" t="s">
        <v>341</v>
      </c>
      <c r="E744" s="246" t="s">
        <v>342</v>
      </c>
      <c r="F744" s="246"/>
      <c r="G744" s="132" t="s">
        <v>1572</v>
      </c>
      <c r="H744" s="132" t="s">
        <v>1573</v>
      </c>
      <c r="I744" s="132">
        <v>-42336.07</v>
      </c>
      <c r="J744" s="101" t="s">
        <v>889</v>
      </c>
      <c r="K744" s="245" t="s">
        <v>390</v>
      </c>
      <c r="L744" s="245">
        <v>43007</v>
      </c>
      <c r="M744" s="245" t="s">
        <v>391</v>
      </c>
      <c r="N744" s="101">
        <v>0</v>
      </c>
      <c r="O744" s="101" t="s">
        <v>392</v>
      </c>
      <c r="P744" s="101">
        <v>0</v>
      </c>
      <c r="Q744" s="101">
        <v>0</v>
      </c>
      <c r="R744" s="101" t="s">
        <v>393</v>
      </c>
      <c r="S744" s="101" t="s">
        <v>647</v>
      </c>
      <c r="T744" s="101" t="s">
        <v>394</v>
      </c>
      <c r="V744" s="245">
        <v>46371</v>
      </c>
      <c r="W744" s="101" t="s">
        <v>535</v>
      </c>
      <c r="X744" s="101" t="s">
        <v>362</v>
      </c>
      <c r="Y744" s="101" t="s">
        <v>471</v>
      </c>
      <c r="Z744" s="101" t="s">
        <v>402</v>
      </c>
      <c r="AA744" s="101" t="s">
        <v>78</v>
      </c>
      <c r="AB744" s="101">
        <v>4101000279</v>
      </c>
      <c r="AC744" s="101" t="s">
        <v>398</v>
      </c>
      <c r="AD744" s="101" t="s">
        <v>403</v>
      </c>
      <c r="AE744" s="101" t="s">
        <v>75</v>
      </c>
      <c r="AF744" s="101" t="s">
        <v>400</v>
      </c>
      <c r="AI744" s="101" t="s">
        <v>760</v>
      </c>
    </row>
    <row r="745" spans="1:35">
      <c r="A745" s="246" t="s">
        <v>112</v>
      </c>
      <c r="B745" s="246" t="s">
        <v>78</v>
      </c>
      <c r="C745" s="246" t="s">
        <v>126</v>
      </c>
      <c r="D745" s="246" t="s">
        <v>341</v>
      </c>
      <c r="E745" s="246" t="s">
        <v>342</v>
      </c>
      <c r="F745" s="246"/>
      <c r="G745" s="132" t="s">
        <v>1574</v>
      </c>
      <c r="H745" s="132" t="s">
        <v>1575</v>
      </c>
      <c r="I745" s="132">
        <v>-50055.14</v>
      </c>
      <c r="J745" s="101" t="s">
        <v>889</v>
      </c>
      <c r="K745" s="245" t="s">
        <v>390</v>
      </c>
      <c r="L745" s="245">
        <v>43039</v>
      </c>
      <c r="M745" s="245" t="s">
        <v>391</v>
      </c>
      <c r="N745" s="101">
        <v>0</v>
      </c>
      <c r="O745" s="101" t="s">
        <v>392</v>
      </c>
      <c r="P745" s="101">
        <v>0</v>
      </c>
      <c r="Q745" s="101">
        <v>0</v>
      </c>
      <c r="R745" s="101" t="s">
        <v>393</v>
      </c>
      <c r="S745" s="101" t="s">
        <v>647</v>
      </c>
      <c r="T745" s="101" t="s">
        <v>394</v>
      </c>
      <c r="V745" s="245">
        <v>46371</v>
      </c>
      <c r="W745" s="101" t="s">
        <v>535</v>
      </c>
      <c r="X745" s="101" t="s">
        <v>362</v>
      </c>
      <c r="Y745" s="101" t="s">
        <v>471</v>
      </c>
      <c r="Z745" s="101" t="s">
        <v>402</v>
      </c>
      <c r="AA745" s="101" t="s">
        <v>78</v>
      </c>
      <c r="AB745" s="101">
        <v>4101000279</v>
      </c>
      <c r="AC745" s="101" t="s">
        <v>398</v>
      </c>
      <c r="AD745" s="101" t="s">
        <v>403</v>
      </c>
      <c r="AE745" s="101" t="s">
        <v>75</v>
      </c>
      <c r="AF745" s="101" t="s">
        <v>400</v>
      </c>
      <c r="AI745" s="101" t="s">
        <v>760</v>
      </c>
    </row>
    <row r="746" spans="1:35">
      <c r="A746" s="246" t="s">
        <v>113</v>
      </c>
      <c r="B746" s="246" t="s">
        <v>78</v>
      </c>
      <c r="C746" s="246" t="s">
        <v>126</v>
      </c>
      <c r="D746" s="246" t="s">
        <v>339</v>
      </c>
      <c r="E746" s="246" t="s">
        <v>340</v>
      </c>
      <c r="F746" s="246"/>
      <c r="G746" s="132" t="s">
        <v>1576</v>
      </c>
      <c r="H746" s="132" t="s">
        <v>1577</v>
      </c>
      <c r="I746" s="132">
        <v>-52888.17</v>
      </c>
      <c r="J746" s="101" t="s">
        <v>889</v>
      </c>
      <c r="K746" s="245" t="s">
        <v>390</v>
      </c>
      <c r="L746" s="245">
        <v>43069</v>
      </c>
      <c r="M746" s="245" t="s">
        <v>391</v>
      </c>
      <c r="N746" s="101">
        <v>0</v>
      </c>
      <c r="O746" s="101" t="s">
        <v>392</v>
      </c>
      <c r="P746" s="101">
        <v>0</v>
      </c>
      <c r="Q746" s="101">
        <v>0</v>
      </c>
      <c r="R746" s="101" t="s">
        <v>393</v>
      </c>
      <c r="S746" s="101" t="s">
        <v>647</v>
      </c>
      <c r="T746" s="101" t="s">
        <v>394</v>
      </c>
      <c r="V746" s="245">
        <v>46371</v>
      </c>
      <c r="W746" s="101" t="s">
        <v>535</v>
      </c>
      <c r="X746" s="101" t="s">
        <v>362</v>
      </c>
      <c r="Y746" s="101" t="s">
        <v>471</v>
      </c>
      <c r="Z746" s="101" t="s">
        <v>402</v>
      </c>
      <c r="AA746" s="101" t="s">
        <v>78</v>
      </c>
      <c r="AB746" s="101">
        <v>4101000279</v>
      </c>
      <c r="AC746" s="101" t="s">
        <v>398</v>
      </c>
      <c r="AD746" s="101" t="s">
        <v>403</v>
      </c>
      <c r="AE746" s="101" t="s">
        <v>75</v>
      </c>
      <c r="AF746" s="101" t="s">
        <v>400</v>
      </c>
      <c r="AI746" s="101" t="s">
        <v>760</v>
      </c>
    </row>
    <row r="747" spans="1:35">
      <c r="A747" s="246" t="s">
        <v>113</v>
      </c>
      <c r="B747" s="246" t="s">
        <v>78</v>
      </c>
      <c r="C747" s="246" t="s">
        <v>126</v>
      </c>
      <c r="D747" s="246" t="s">
        <v>339</v>
      </c>
      <c r="E747" s="246" t="s">
        <v>340</v>
      </c>
      <c r="F747" s="246"/>
      <c r="G747" s="132" t="s">
        <v>1578</v>
      </c>
      <c r="H747" s="132" t="s">
        <v>1579</v>
      </c>
      <c r="I747" s="132">
        <v>-32065.37</v>
      </c>
      <c r="J747" s="101" t="s">
        <v>889</v>
      </c>
      <c r="K747" s="245" t="s">
        <v>390</v>
      </c>
      <c r="L747" s="245">
        <v>43098</v>
      </c>
      <c r="M747" s="245" t="s">
        <v>391</v>
      </c>
      <c r="N747" s="101">
        <v>0</v>
      </c>
      <c r="O747" s="101" t="s">
        <v>392</v>
      </c>
      <c r="P747" s="101">
        <v>0</v>
      </c>
      <c r="Q747" s="101">
        <v>0</v>
      </c>
      <c r="R747" s="101" t="s">
        <v>393</v>
      </c>
      <c r="S747" s="101" t="s">
        <v>647</v>
      </c>
      <c r="T747" s="101" t="s">
        <v>394</v>
      </c>
      <c r="V747" s="245">
        <v>46371</v>
      </c>
      <c r="W747" s="101" t="s">
        <v>535</v>
      </c>
      <c r="X747" s="101" t="s">
        <v>362</v>
      </c>
      <c r="Y747" s="101" t="s">
        <v>471</v>
      </c>
      <c r="Z747" s="101" t="s">
        <v>402</v>
      </c>
      <c r="AA747" s="101" t="s">
        <v>78</v>
      </c>
      <c r="AB747" s="101">
        <v>4101000279</v>
      </c>
      <c r="AC747" s="101" t="s">
        <v>398</v>
      </c>
      <c r="AD747" s="101" t="s">
        <v>403</v>
      </c>
      <c r="AE747" s="101" t="s">
        <v>75</v>
      </c>
      <c r="AF747" s="101" t="s">
        <v>400</v>
      </c>
      <c r="AI747" s="101" t="s">
        <v>760</v>
      </c>
    </row>
    <row r="748" spans="1:35">
      <c r="A748" s="246" t="s">
        <v>113</v>
      </c>
      <c r="B748" s="246" t="s">
        <v>78</v>
      </c>
      <c r="C748" s="246" t="s">
        <v>126</v>
      </c>
      <c r="D748" s="246" t="s">
        <v>339</v>
      </c>
      <c r="E748" s="246" t="s">
        <v>340</v>
      </c>
      <c r="F748" s="246"/>
      <c r="G748" s="132" t="s">
        <v>1580</v>
      </c>
      <c r="H748" s="132" t="s">
        <v>1581</v>
      </c>
      <c r="I748" s="132">
        <v>-7570.5199999999995</v>
      </c>
      <c r="J748" s="101" t="s">
        <v>889</v>
      </c>
      <c r="K748" s="245" t="s">
        <v>390</v>
      </c>
      <c r="L748" s="245">
        <v>43131</v>
      </c>
      <c r="M748" s="245" t="s">
        <v>391</v>
      </c>
      <c r="N748" s="101">
        <v>0</v>
      </c>
      <c r="O748" s="101" t="s">
        <v>392</v>
      </c>
      <c r="P748" s="101">
        <v>0</v>
      </c>
      <c r="Q748" s="101">
        <v>0</v>
      </c>
      <c r="R748" s="101" t="s">
        <v>393</v>
      </c>
      <c r="S748" s="101" t="s">
        <v>647</v>
      </c>
      <c r="T748" s="101" t="s">
        <v>394</v>
      </c>
      <c r="V748" s="245">
        <v>46371</v>
      </c>
      <c r="W748" s="101" t="s">
        <v>535</v>
      </c>
      <c r="X748" s="101" t="s">
        <v>362</v>
      </c>
      <c r="Y748" s="101" t="s">
        <v>471</v>
      </c>
      <c r="Z748" s="101" t="s">
        <v>402</v>
      </c>
      <c r="AA748" s="101" t="s">
        <v>78</v>
      </c>
      <c r="AB748" s="101">
        <v>4101000279</v>
      </c>
      <c r="AC748" s="101" t="s">
        <v>398</v>
      </c>
      <c r="AD748" s="101" t="s">
        <v>403</v>
      </c>
      <c r="AE748" s="101" t="s">
        <v>75</v>
      </c>
      <c r="AF748" s="101" t="s">
        <v>400</v>
      </c>
      <c r="AI748" s="101" t="s">
        <v>760</v>
      </c>
    </row>
    <row r="749" spans="1:35">
      <c r="A749" s="246" t="s">
        <v>113</v>
      </c>
      <c r="B749" s="246" t="s">
        <v>78</v>
      </c>
      <c r="C749" s="246" t="s">
        <v>126</v>
      </c>
      <c r="D749" s="246" t="s">
        <v>339</v>
      </c>
      <c r="E749" s="246" t="s">
        <v>340</v>
      </c>
      <c r="F749" s="246"/>
      <c r="G749" s="132" t="s">
        <v>1582</v>
      </c>
      <c r="H749" s="132" t="s">
        <v>1583</v>
      </c>
      <c r="I749" s="132">
        <v>-14239.74</v>
      </c>
      <c r="J749" s="101" t="s">
        <v>889</v>
      </c>
      <c r="K749" s="245" t="s">
        <v>390</v>
      </c>
      <c r="L749" s="245">
        <v>43159</v>
      </c>
      <c r="M749" s="245" t="s">
        <v>391</v>
      </c>
      <c r="N749" s="101">
        <v>0</v>
      </c>
      <c r="O749" s="101" t="s">
        <v>392</v>
      </c>
      <c r="P749" s="101">
        <v>0</v>
      </c>
      <c r="Q749" s="101">
        <v>0</v>
      </c>
      <c r="R749" s="101" t="s">
        <v>393</v>
      </c>
      <c r="S749" s="101" t="s">
        <v>647</v>
      </c>
      <c r="T749" s="101" t="s">
        <v>394</v>
      </c>
      <c r="V749" s="245">
        <v>46371</v>
      </c>
      <c r="W749" s="101" t="s">
        <v>535</v>
      </c>
      <c r="X749" s="101" t="s">
        <v>362</v>
      </c>
      <c r="Y749" s="101" t="s">
        <v>471</v>
      </c>
      <c r="Z749" s="101" t="s">
        <v>402</v>
      </c>
      <c r="AA749" s="101" t="s">
        <v>78</v>
      </c>
      <c r="AB749" s="101">
        <v>4101000279</v>
      </c>
      <c r="AC749" s="101" t="s">
        <v>398</v>
      </c>
      <c r="AD749" s="101" t="s">
        <v>403</v>
      </c>
      <c r="AE749" s="101" t="s">
        <v>75</v>
      </c>
      <c r="AF749" s="101" t="s">
        <v>400</v>
      </c>
      <c r="AI749" s="101" t="s">
        <v>760</v>
      </c>
    </row>
    <row r="750" spans="1:35">
      <c r="A750" s="246" t="s">
        <v>113</v>
      </c>
      <c r="B750" s="246" t="s">
        <v>78</v>
      </c>
      <c r="C750" s="246" t="s">
        <v>126</v>
      </c>
      <c r="D750" s="246" t="s">
        <v>339</v>
      </c>
      <c r="E750" s="246" t="s">
        <v>340</v>
      </c>
      <c r="F750" s="246"/>
      <c r="G750" s="132" t="s">
        <v>1584</v>
      </c>
      <c r="H750" s="132" t="s">
        <v>1585</v>
      </c>
      <c r="I750" s="132">
        <v>-21308.219999999998</v>
      </c>
      <c r="J750" s="101" t="s">
        <v>889</v>
      </c>
      <c r="K750" s="245" t="s">
        <v>390</v>
      </c>
      <c r="L750" s="245">
        <v>43189</v>
      </c>
      <c r="M750" s="245" t="s">
        <v>391</v>
      </c>
      <c r="N750" s="101">
        <v>0</v>
      </c>
      <c r="O750" s="101" t="s">
        <v>392</v>
      </c>
      <c r="P750" s="101">
        <v>0</v>
      </c>
      <c r="Q750" s="101">
        <v>0</v>
      </c>
      <c r="R750" s="101" t="s">
        <v>393</v>
      </c>
      <c r="S750" s="101" t="s">
        <v>647</v>
      </c>
      <c r="T750" s="101" t="s">
        <v>394</v>
      </c>
      <c r="V750" s="245">
        <v>46371</v>
      </c>
      <c r="W750" s="101" t="s">
        <v>535</v>
      </c>
      <c r="X750" s="101" t="s">
        <v>362</v>
      </c>
      <c r="Y750" s="101" t="s">
        <v>471</v>
      </c>
      <c r="Z750" s="101" t="s">
        <v>402</v>
      </c>
      <c r="AA750" s="101" t="s">
        <v>78</v>
      </c>
      <c r="AB750" s="101">
        <v>4101000279</v>
      </c>
      <c r="AC750" s="101" t="s">
        <v>398</v>
      </c>
      <c r="AD750" s="101" t="s">
        <v>403</v>
      </c>
      <c r="AE750" s="101" t="s">
        <v>75</v>
      </c>
      <c r="AF750" s="101" t="s">
        <v>400</v>
      </c>
      <c r="AI750" s="101" t="s">
        <v>760</v>
      </c>
    </row>
    <row r="751" spans="1:35">
      <c r="A751" s="246" t="s">
        <v>113</v>
      </c>
      <c r="B751" s="246" t="s">
        <v>78</v>
      </c>
      <c r="C751" s="246" t="s">
        <v>126</v>
      </c>
      <c r="D751" s="246" t="s">
        <v>339</v>
      </c>
      <c r="E751" s="246" t="s">
        <v>340</v>
      </c>
      <c r="F751" s="246"/>
      <c r="G751" s="132" t="s">
        <v>1586</v>
      </c>
      <c r="H751" s="132" t="s">
        <v>1587</v>
      </c>
      <c r="I751" s="132">
        <v>-27501.64</v>
      </c>
      <c r="J751" s="101" t="s">
        <v>889</v>
      </c>
      <c r="K751" s="245" t="s">
        <v>390</v>
      </c>
      <c r="L751" s="245">
        <v>43220</v>
      </c>
      <c r="M751" s="245" t="s">
        <v>391</v>
      </c>
      <c r="N751" s="101">
        <v>0</v>
      </c>
      <c r="O751" s="101" t="s">
        <v>392</v>
      </c>
      <c r="P751" s="101">
        <v>0</v>
      </c>
      <c r="Q751" s="101">
        <v>0</v>
      </c>
      <c r="R751" s="101" t="s">
        <v>393</v>
      </c>
      <c r="S751" s="101" t="s">
        <v>647</v>
      </c>
      <c r="T751" s="101" t="s">
        <v>394</v>
      </c>
      <c r="V751" s="245">
        <v>46371</v>
      </c>
      <c r="W751" s="101" t="s">
        <v>535</v>
      </c>
      <c r="X751" s="101" t="s">
        <v>362</v>
      </c>
      <c r="Y751" s="101" t="s">
        <v>471</v>
      </c>
      <c r="Z751" s="101" t="s">
        <v>402</v>
      </c>
      <c r="AA751" s="101" t="s">
        <v>78</v>
      </c>
      <c r="AB751" s="101">
        <v>4101000279</v>
      </c>
      <c r="AC751" s="101" t="s">
        <v>398</v>
      </c>
      <c r="AD751" s="101" t="s">
        <v>403</v>
      </c>
      <c r="AE751" s="101" t="s">
        <v>75</v>
      </c>
      <c r="AF751" s="101" t="s">
        <v>400</v>
      </c>
      <c r="AI751" s="101" t="s">
        <v>760</v>
      </c>
    </row>
    <row r="752" spans="1:35">
      <c r="A752" s="246" t="s">
        <v>109</v>
      </c>
      <c r="B752" s="246" t="s">
        <v>66</v>
      </c>
      <c r="C752" s="246" t="s">
        <v>126</v>
      </c>
      <c r="D752" s="246" t="s">
        <v>272</v>
      </c>
      <c r="E752" s="246"/>
      <c r="F752" s="246" t="s">
        <v>275</v>
      </c>
      <c r="G752" s="132" t="s">
        <v>820</v>
      </c>
      <c r="H752" s="132" t="s">
        <v>1588</v>
      </c>
      <c r="I752" s="132">
        <v>-8281.7899999999991</v>
      </c>
      <c r="J752" s="101" t="s">
        <v>889</v>
      </c>
      <c r="K752" s="245" t="s">
        <v>390</v>
      </c>
      <c r="L752" s="245">
        <v>42551</v>
      </c>
      <c r="M752" s="245" t="s">
        <v>391</v>
      </c>
      <c r="N752" s="101">
        <v>0</v>
      </c>
      <c r="O752" s="101" t="s">
        <v>392</v>
      </c>
      <c r="P752" s="101">
        <v>0</v>
      </c>
      <c r="Q752" s="101">
        <v>0</v>
      </c>
      <c r="R752" s="101" t="s">
        <v>422</v>
      </c>
      <c r="S752" s="101" t="s">
        <v>446</v>
      </c>
      <c r="T752" s="101" t="s">
        <v>394</v>
      </c>
      <c r="U752" s="101" t="s">
        <v>17</v>
      </c>
      <c r="V752" s="245">
        <v>14427</v>
      </c>
      <c r="W752" s="101" t="s">
        <v>411</v>
      </c>
      <c r="X752" s="101" t="s">
        <v>77</v>
      </c>
      <c r="Y752" s="101" t="s">
        <v>392</v>
      </c>
      <c r="Z752" s="101" t="s">
        <v>412</v>
      </c>
      <c r="AA752" s="101" t="s">
        <v>413</v>
      </c>
      <c r="AB752" s="101">
        <v>101000512</v>
      </c>
      <c r="AC752" s="101" t="s">
        <v>414</v>
      </c>
      <c r="AD752" s="101" t="s">
        <v>79</v>
      </c>
      <c r="AE752" s="101" t="s">
        <v>6</v>
      </c>
      <c r="AF752" s="101" t="s">
        <v>400</v>
      </c>
      <c r="AI752" s="101" t="s">
        <v>190</v>
      </c>
    </row>
    <row r="753" spans="1:35">
      <c r="A753" s="246" t="s">
        <v>109</v>
      </c>
      <c r="B753" s="246" t="s">
        <v>66</v>
      </c>
      <c r="C753" s="246" t="s">
        <v>265</v>
      </c>
      <c r="D753" s="246" t="s">
        <v>291</v>
      </c>
      <c r="E753" s="246"/>
      <c r="F753" s="246" t="s">
        <v>275</v>
      </c>
      <c r="G753" s="132" t="s">
        <v>821</v>
      </c>
      <c r="H753" s="132" t="s">
        <v>1589</v>
      </c>
      <c r="I753" s="132">
        <v>-241989.28</v>
      </c>
      <c r="J753" s="101" t="s">
        <v>889</v>
      </c>
      <c r="K753" s="245" t="s">
        <v>390</v>
      </c>
      <c r="L753" s="245">
        <v>42551</v>
      </c>
      <c r="M753" s="245" t="s">
        <v>421</v>
      </c>
      <c r="N753" s="101">
        <v>0</v>
      </c>
      <c r="O753" s="101" t="s">
        <v>392</v>
      </c>
      <c r="P753" s="101">
        <v>0</v>
      </c>
      <c r="Q753" s="101">
        <v>0</v>
      </c>
      <c r="R753" s="101" t="s">
        <v>422</v>
      </c>
      <c r="S753" s="101" t="s">
        <v>446</v>
      </c>
      <c r="T753" s="101" t="s">
        <v>394</v>
      </c>
      <c r="U753" s="101" t="s">
        <v>17</v>
      </c>
      <c r="V753" s="245">
        <v>14427</v>
      </c>
      <c r="W753" s="101" t="s">
        <v>411</v>
      </c>
      <c r="X753" s="101" t="s">
        <v>77</v>
      </c>
      <c r="Y753" s="101" t="s">
        <v>392</v>
      </c>
      <c r="Z753" s="101" t="s">
        <v>412</v>
      </c>
      <c r="AA753" s="101" t="s">
        <v>413</v>
      </c>
      <c r="AB753" s="101">
        <v>101000512</v>
      </c>
      <c r="AC753" s="101" t="s">
        <v>414</v>
      </c>
      <c r="AD753" s="101" t="s">
        <v>79</v>
      </c>
      <c r="AE753" s="101" t="s">
        <v>6</v>
      </c>
      <c r="AF753" s="101" t="s">
        <v>400</v>
      </c>
      <c r="AI753" s="101" t="s">
        <v>190</v>
      </c>
    </row>
    <row r="754" spans="1:35">
      <c r="A754" s="246" t="s">
        <v>111</v>
      </c>
      <c r="B754" s="246" t="s">
        <v>66</v>
      </c>
      <c r="C754" s="246" t="s">
        <v>126</v>
      </c>
      <c r="D754" s="246" t="s">
        <v>273</v>
      </c>
      <c r="E754" s="246"/>
      <c r="F754" s="246" t="s">
        <v>277</v>
      </c>
      <c r="G754" s="132">
        <v>-6600</v>
      </c>
      <c r="H754" s="132" t="s">
        <v>1590</v>
      </c>
      <c r="I754" s="132">
        <v>-6600</v>
      </c>
      <c r="J754" s="101" t="s">
        <v>889</v>
      </c>
      <c r="K754" s="245" t="s">
        <v>390</v>
      </c>
      <c r="L754" s="245">
        <v>42734</v>
      </c>
      <c r="M754" s="245" t="s">
        <v>391</v>
      </c>
      <c r="N754" s="101">
        <v>0</v>
      </c>
      <c r="O754" s="101" t="s">
        <v>392</v>
      </c>
      <c r="P754" s="101">
        <v>0</v>
      </c>
      <c r="Q754" s="101">
        <v>0</v>
      </c>
      <c r="R754" s="101" t="s">
        <v>422</v>
      </c>
      <c r="S754" s="101" t="s">
        <v>446</v>
      </c>
      <c r="T754" s="101" t="s">
        <v>394</v>
      </c>
      <c r="U754" s="101" t="s">
        <v>17</v>
      </c>
      <c r="V754" s="245">
        <v>14427</v>
      </c>
      <c r="W754" s="101" t="s">
        <v>411</v>
      </c>
      <c r="X754" s="101" t="s">
        <v>77</v>
      </c>
      <c r="Y754" s="101" t="s">
        <v>392</v>
      </c>
      <c r="Z754" s="101" t="s">
        <v>412</v>
      </c>
      <c r="AA754" s="101" t="s">
        <v>413</v>
      </c>
      <c r="AB754" s="101">
        <v>101000512</v>
      </c>
      <c r="AC754" s="101" t="s">
        <v>414</v>
      </c>
      <c r="AD754" s="101" t="s">
        <v>79</v>
      </c>
      <c r="AE754" s="101" t="s">
        <v>6</v>
      </c>
      <c r="AF754" s="101" t="s">
        <v>400</v>
      </c>
      <c r="AI754" s="101" t="s">
        <v>190</v>
      </c>
    </row>
    <row r="755" spans="1:35">
      <c r="A755" s="246" t="s">
        <v>112</v>
      </c>
      <c r="B755" s="246" t="s">
        <v>66</v>
      </c>
      <c r="C755" s="246" t="s">
        <v>126</v>
      </c>
      <c r="D755" s="246" t="s">
        <v>270</v>
      </c>
      <c r="E755" s="246"/>
      <c r="F755" s="246" t="s">
        <v>278</v>
      </c>
      <c r="G755" s="132">
        <v>-6600</v>
      </c>
      <c r="H755" s="132" t="s">
        <v>1590</v>
      </c>
      <c r="I755" s="132">
        <v>-6600</v>
      </c>
      <c r="J755" s="101" t="s">
        <v>889</v>
      </c>
      <c r="K755" s="245" t="s">
        <v>390</v>
      </c>
      <c r="L755" s="245">
        <v>42916</v>
      </c>
      <c r="M755" s="245" t="s">
        <v>391</v>
      </c>
      <c r="N755" s="101">
        <v>0</v>
      </c>
      <c r="O755" s="101" t="s">
        <v>392</v>
      </c>
      <c r="P755" s="101">
        <v>0</v>
      </c>
      <c r="Q755" s="101">
        <v>0</v>
      </c>
      <c r="R755" s="101" t="s">
        <v>422</v>
      </c>
      <c r="S755" s="101" t="s">
        <v>446</v>
      </c>
      <c r="T755" s="101" t="s">
        <v>394</v>
      </c>
      <c r="U755" s="101" t="s">
        <v>17</v>
      </c>
      <c r="V755" s="245">
        <v>14427</v>
      </c>
      <c r="W755" s="101" t="s">
        <v>411</v>
      </c>
      <c r="X755" s="101" t="s">
        <v>77</v>
      </c>
      <c r="Y755" s="101" t="s">
        <v>392</v>
      </c>
      <c r="Z755" s="101" t="s">
        <v>412</v>
      </c>
      <c r="AA755" s="101" t="s">
        <v>413</v>
      </c>
      <c r="AB755" s="101">
        <v>101000512</v>
      </c>
      <c r="AC755" s="101" t="s">
        <v>414</v>
      </c>
      <c r="AD755" s="101" t="s">
        <v>79</v>
      </c>
      <c r="AE755" s="101" t="s">
        <v>6</v>
      </c>
      <c r="AF755" s="101" t="s">
        <v>400</v>
      </c>
      <c r="AI755" s="101" t="s">
        <v>190</v>
      </c>
    </row>
    <row r="756" spans="1:35">
      <c r="A756" s="246" t="s">
        <v>113</v>
      </c>
      <c r="B756" s="246" t="s">
        <v>66</v>
      </c>
      <c r="C756" s="246" t="s">
        <v>126</v>
      </c>
      <c r="D756" s="246" t="s">
        <v>271</v>
      </c>
      <c r="E756" s="246"/>
      <c r="F756" s="246" t="s">
        <v>279</v>
      </c>
      <c r="G756" s="132" t="s">
        <v>648</v>
      </c>
      <c r="H756" s="132" t="s">
        <v>1591</v>
      </c>
      <c r="I756" s="132">
        <v>-6563.329999999999</v>
      </c>
      <c r="J756" s="101" t="s">
        <v>889</v>
      </c>
      <c r="K756" s="245" t="s">
        <v>390</v>
      </c>
      <c r="L756" s="245">
        <v>43098</v>
      </c>
      <c r="M756" s="245" t="s">
        <v>391</v>
      </c>
      <c r="N756" s="101">
        <v>0</v>
      </c>
      <c r="O756" s="101" t="s">
        <v>392</v>
      </c>
      <c r="P756" s="101">
        <v>0</v>
      </c>
      <c r="Q756" s="101">
        <v>0</v>
      </c>
      <c r="R756" s="101" t="s">
        <v>422</v>
      </c>
      <c r="S756" s="101" t="s">
        <v>446</v>
      </c>
      <c r="T756" s="101" t="s">
        <v>394</v>
      </c>
      <c r="U756" s="101" t="s">
        <v>17</v>
      </c>
      <c r="V756" s="245">
        <v>14427</v>
      </c>
      <c r="W756" s="101" t="s">
        <v>411</v>
      </c>
      <c r="X756" s="101" t="s">
        <v>77</v>
      </c>
      <c r="Y756" s="101" t="s">
        <v>392</v>
      </c>
      <c r="Z756" s="101" t="s">
        <v>412</v>
      </c>
      <c r="AA756" s="101" t="s">
        <v>413</v>
      </c>
      <c r="AB756" s="101">
        <v>101000512</v>
      </c>
      <c r="AC756" s="101" t="s">
        <v>414</v>
      </c>
      <c r="AD756" s="101" t="s">
        <v>79</v>
      </c>
      <c r="AE756" s="101" t="s">
        <v>6</v>
      </c>
      <c r="AF756" s="101" t="s">
        <v>400</v>
      </c>
      <c r="AI756" s="101" t="s">
        <v>190</v>
      </c>
    </row>
    <row r="757" spans="1:35">
      <c r="A757" s="246" t="s">
        <v>107</v>
      </c>
      <c r="B757" s="246" t="s">
        <v>66</v>
      </c>
      <c r="C757" s="246" t="s">
        <v>126</v>
      </c>
      <c r="D757" s="246" t="s">
        <v>1769</v>
      </c>
      <c r="E757" s="246"/>
      <c r="F757" s="246"/>
      <c r="G757" s="132">
        <v>0</v>
      </c>
      <c r="H757" s="132">
        <v>0</v>
      </c>
      <c r="I757" s="132">
        <v>0</v>
      </c>
      <c r="J757" s="101" t="s">
        <v>889</v>
      </c>
      <c r="K757" s="245" t="s">
        <v>390</v>
      </c>
      <c r="L757" s="245">
        <v>42522</v>
      </c>
      <c r="M757" s="245" t="s">
        <v>391</v>
      </c>
      <c r="N757" s="101">
        <v>0</v>
      </c>
      <c r="O757" s="101" t="s">
        <v>392</v>
      </c>
      <c r="P757" s="101">
        <v>0</v>
      </c>
      <c r="Q757" s="101">
        <v>0</v>
      </c>
      <c r="R757" s="101" t="s">
        <v>428</v>
      </c>
      <c r="S757" s="101">
        <v>154787</v>
      </c>
      <c r="T757" s="101" t="s">
        <v>394</v>
      </c>
      <c r="V757" s="245">
        <v>42932</v>
      </c>
      <c r="W757" s="101" t="s">
        <v>424</v>
      </c>
      <c r="X757" s="101" t="s">
        <v>429</v>
      </c>
      <c r="Y757" s="101" t="s">
        <v>392</v>
      </c>
      <c r="Z757" s="101" t="s">
        <v>430</v>
      </c>
      <c r="AA757" s="101" t="s">
        <v>621</v>
      </c>
      <c r="AB757" s="101">
        <v>3101054021</v>
      </c>
      <c r="AC757" s="101" t="s">
        <v>431</v>
      </c>
      <c r="AD757" s="101" t="s">
        <v>431</v>
      </c>
      <c r="AE757" s="101" t="s">
        <v>75</v>
      </c>
      <c r="AF757" s="101" t="s">
        <v>400</v>
      </c>
      <c r="AG757" s="101" t="s">
        <v>432</v>
      </c>
      <c r="AI757" s="101" t="s">
        <v>760</v>
      </c>
    </row>
    <row r="758" spans="1:35">
      <c r="A758" s="246" t="s">
        <v>109</v>
      </c>
      <c r="B758" s="246" t="s">
        <v>66</v>
      </c>
      <c r="C758" s="246" t="s">
        <v>126</v>
      </c>
      <c r="D758" s="246" t="s">
        <v>272</v>
      </c>
      <c r="E758" s="246"/>
      <c r="F758" s="246"/>
      <c r="G758" s="132">
        <v>0</v>
      </c>
      <c r="H758" s="132">
        <v>0</v>
      </c>
      <c r="I758" s="132">
        <v>0</v>
      </c>
      <c r="J758" s="101" t="s">
        <v>889</v>
      </c>
      <c r="K758" s="245" t="s">
        <v>390</v>
      </c>
      <c r="L758" s="245">
        <v>42552</v>
      </c>
      <c r="M758" s="245" t="s">
        <v>391</v>
      </c>
      <c r="N758" s="101">
        <v>0</v>
      </c>
      <c r="O758" s="101" t="s">
        <v>392</v>
      </c>
      <c r="P758" s="101">
        <v>0</v>
      </c>
      <c r="Q758" s="101">
        <v>0</v>
      </c>
      <c r="R758" s="101" t="s">
        <v>428</v>
      </c>
      <c r="S758" s="101">
        <v>154787</v>
      </c>
      <c r="T758" s="101" t="s">
        <v>394</v>
      </c>
      <c r="V758" s="245">
        <v>42932</v>
      </c>
      <c r="W758" s="101" t="s">
        <v>424</v>
      </c>
      <c r="X758" s="101" t="s">
        <v>429</v>
      </c>
      <c r="Y758" s="101" t="s">
        <v>392</v>
      </c>
      <c r="Z758" s="101" t="s">
        <v>430</v>
      </c>
      <c r="AA758" s="101" t="s">
        <v>621</v>
      </c>
      <c r="AB758" s="101">
        <v>3101054021</v>
      </c>
      <c r="AC758" s="101" t="s">
        <v>431</v>
      </c>
      <c r="AD758" s="101" t="s">
        <v>431</v>
      </c>
      <c r="AE758" s="101" t="s">
        <v>75</v>
      </c>
      <c r="AF758" s="101" t="s">
        <v>400</v>
      </c>
      <c r="AG758" s="101" t="s">
        <v>432</v>
      </c>
      <c r="AI758" s="101" t="s">
        <v>760</v>
      </c>
    </row>
    <row r="759" spans="1:35">
      <c r="A759" s="246" t="s">
        <v>109</v>
      </c>
      <c r="B759" s="246" t="s">
        <v>66</v>
      </c>
      <c r="C759" s="246" t="s">
        <v>126</v>
      </c>
      <c r="D759" s="246" t="s">
        <v>272</v>
      </c>
      <c r="E759" s="246"/>
      <c r="F759" s="246"/>
      <c r="G759" s="132">
        <v>0</v>
      </c>
      <c r="H759" s="132">
        <v>0</v>
      </c>
      <c r="I759" s="132">
        <v>0</v>
      </c>
      <c r="J759" s="101" t="s">
        <v>889</v>
      </c>
      <c r="K759" s="245" t="s">
        <v>390</v>
      </c>
      <c r="L759" s="245">
        <v>42583</v>
      </c>
      <c r="M759" s="245" t="s">
        <v>391</v>
      </c>
      <c r="N759" s="101">
        <v>0</v>
      </c>
      <c r="O759" s="101" t="s">
        <v>392</v>
      </c>
      <c r="P759" s="101">
        <v>0</v>
      </c>
      <c r="Q759" s="101">
        <v>0</v>
      </c>
      <c r="R759" s="101" t="s">
        <v>428</v>
      </c>
      <c r="S759" s="101">
        <v>154787</v>
      </c>
      <c r="T759" s="101" t="s">
        <v>394</v>
      </c>
      <c r="V759" s="245">
        <v>42932</v>
      </c>
      <c r="W759" s="101" t="s">
        <v>424</v>
      </c>
      <c r="X759" s="101" t="s">
        <v>429</v>
      </c>
      <c r="Y759" s="101" t="s">
        <v>392</v>
      </c>
      <c r="Z759" s="101" t="s">
        <v>430</v>
      </c>
      <c r="AA759" s="101" t="s">
        <v>621</v>
      </c>
      <c r="AB759" s="101">
        <v>3101054021</v>
      </c>
      <c r="AC759" s="101" t="s">
        <v>431</v>
      </c>
      <c r="AD759" s="101" t="s">
        <v>431</v>
      </c>
      <c r="AE759" s="101" t="s">
        <v>75</v>
      </c>
      <c r="AF759" s="101" t="s">
        <v>400</v>
      </c>
      <c r="AG759" s="101" t="s">
        <v>432</v>
      </c>
      <c r="AI759" s="101" t="s">
        <v>760</v>
      </c>
    </row>
    <row r="760" spans="1:35">
      <c r="A760" s="246" t="s">
        <v>110</v>
      </c>
      <c r="B760" s="246" t="s">
        <v>66</v>
      </c>
      <c r="C760" s="246" t="s">
        <v>126</v>
      </c>
      <c r="D760" s="246" t="s">
        <v>281</v>
      </c>
      <c r="E760" s="246"/>
      <c r="F760" s="246"/>
      <c r="G760" s="132">
        <v>0</v>
      </c>
      <c r="H760" s="132">
        <v>0</v>
      </c>
      <c r="I760" s="132">
        <v>0</v>
      </c>
      <c r="J760" s="101" t="s">
        <v>889</v>
      </c>
      <c r="K760" s="245" t="s">
        <v>390</v>
      </c>
      <c r="L760" s="245">
        <v>42614</v>
      </c>
      <c r="M760" s="245" t="s">
        <v>391</v>
      </c>
      <c r="N760" s="101">
        <v>0</v>
      </c>
      <c r="O760" s="101" t="s">
        <v>392</v>
      </c>
      <c r="P760" s="101">
        <v>0</v>
      </c>
      <c r="Q760" s="101">
        <v>0</v>
      </c>
      <c r="R760" s="101" t="s">
        <v>428</v>
      </c>
      <c r="S760" s="101">
        <v>154787</v>
      </c>
      <c r="T760" s="101" t="s">
        <v>394</v>
      </c>
      <c r="V760" s="245">
        <v>42932</v>
      </c>
      <c r="W760" s="101" t="s">
        <v>424</v>
      </c>
      <c r="X760" s="101" t="s">
        <v>429</v>
      </c>
      <c r="Y760" s="101" t="s">
        <v>392</v>
      </c>
      <c r="Z760" s="101" t="s">
        <v>430</v>
      </c>
      <c r="AA760" s="101" t="s">
        <v>621</v>
      </c>
      <c r="AB760" s="101">
        <v>3101054021</v>
      </c>
      <c r="AC760" s="101" t="s">
        <v>431</v>
      </c>
      <c r="AD760" s="101" t="s">
        <v>431</v>
      </c>
      <c r="AE760" s="101" t="s">
        <v>75</v>
      </c>
      <c r="AF760" s="101" t="s">
        <v>400</v>
      </c>
      <c r="AG760" s="101" t="s">
        <v>432</v>
      </c>
      <c r="AI760" s="101" t="s">
        <v>760</v>
      </c>
    </row>
    <row r="761" spans="1:35">
      <c r="A761" s="246" t="s">
        <v>110</v>
      </c>
      <c r="B761" s="246" t="s">
        <v>66</v>
      </c>
      <c r="C761" s="246" t="s">
        <v>126</v>
      </c>
      <c r="D761" s="246" t="s">
        <v>281</v>
      </c>
      <c r="E761" s="246"/>
      <c r="F761" s="246"/>
      <c r="G761" s="132">
        <v>0</v>
      </c>
      <c r="H761" s="132">
        <v>0</v>
      </c>
      <c r="I761" s="132">
        <v>0</v>
      </c>
      <c r="J761" s="101" t="s">
        <v>889</v>
      </c>
      <c r="K761" s="245" t="s">
        <v>390</v>
      </c>
      <c r="L761" s="245">
        <v>42646</v>
      </c>
      <c r="M761" s="245" t="s">
        <v>391</v>
      </c>
      <c r="N761" s="101">
        <v>0</v>
      </c>
      <c r="O761" s="101" t="s">
        <v>392</v>
      </c>
      <c r="P761" s="101">
        <v>0</v>
      </c>
      <c r="Q761" s="101">
        <v>0</v>
      </c>
      <c r="R761" s="101" t="s">
        <v>428</v>
      </c>
      <c r="S761" s="101">
        <v>154787</v>
      </c>
      <c r="T761" s="101" t="s">
        <v>394</v>
      </c>
      <c r="V761" s="245">
        <v>42932</v>
      </c>
      <c r="W761" s="101" t="s">
        <v>424</v>
      </c>
      <c r="X761" s="101" t="s">
        <v>429</v>
      </c>
      <c r="Y761" s="101" t="s">
        <v>392</v>
      </c>
      <c r="Z761" s="101" t="s">
        <v>430</v>
      </c>
      <c r="AA761" s="101" t="s">
        <v>621</v>
      </c>
      <c r="AB761" s="101">
        <v>3101054021</v>
      </c>
      <c r="AC761" s="101" t="s">
        <v>431</v>
      </c>
      <c r="AD761" s="101" t="s">
        <v>431</v>
      </c>
      <c r="AE761" s="101" t="s">
        <v>75</v>
      </c>
      <c r="AF761" s="101" t="s">
        <v>400</v>
      </c>
      <c r="AG761" s="101" t="s">
        <v>432</v>
      </c>
      <c r="AI761" s="101" t="s">
        <v>760</v>
      </c>
    </row>
    <row r="762" spans="1:35">
      <c r="A762" s="246" t="s">
        <v>110</v>
      </c>
      <c r="B762" s="246" t="s">
        <v>66</v>
      </c>
      <c r="C762" s="246" t="s">
        <v>126</v>
      </c>
      <c r="D762" s="246" t="s">
        <v>281</v>
      </c>
      <c r="E762" s="246"/>
      <c r="F762" s="246"/>
      <c r="G762" s="132">
        <v>0</v>
      </c>
      <c r="H762" s="132">
        <v>0</v>
      </c>
      <c r="I762" s="132">
        <v>0</v>
      </c>
      <c r="J762" s="101" t="s">
        <v>889</v>
      </c>
      <c r="K762" s="245" t="s">
        <v>390</v>
      </c>
      <c r="L762" s="245">
        <v>42675</v>
      </c>
      <c r="M762" s="245" t="s">
        <v>391</v>
      </c>
      <c r="N762" s="101">
        <v>0</v>
      </c>
      <c r="O762" s="101" t="s">
        <v>392</v>
      </c>
      <c r="P762" s="101">
        <v>0</v>
      </c>
      <c r="Q762" s="101">
        <v>0</v>
      </c>
      <c r="R762" s="101" t="s">
        <v>428</v>
      </c>
      <c r="S762" s="101">
        <v>154787</v>
      </c>
      <c r="T762" s="101" t="s">
        <v>394</v>
      </c>
      <c r="V762" s="245">
        <v>42932</v>
      </c>
      <c r="W762" s="101" t="s">
        <v>424</v>
      </c>
      <c r="X762" s="101" t="s">
        <v>429</v>
      </c>
      <c r="Y762" s="101" t="s">
        <v>392</v>
      </c>
      <c r="Z762" s="101" t="s">
        <v>430</v>
      </c>
      <c r="AA762" s="101" t="s">
        <v>621</v>
      </c>
      <c r="AB762" s="101">
        <v>3101054021</v>
      </c>
      <c r="AC762" s="101" t="s">
        <v>431</v>
      </c>
      <c r="AD762" s="101" t="s">
        <v>431</v>
      </c>
      <c r="AE762" s="101" t="s">
        <v>75</v>
      </c>
      <c r="AF762" s="101" t="s">
        <v>400</v>
      </c>
      <c r="AG762" s="101" t="s">
        <v>432</v>
      </c>
      <c r="AI762" s="101" t="s">
        <v>760</v>
      </c>
    </row>
    <row r="763" spans="1:35">
      <c r="A763" s="246" t="s">
        <v>111</v>
      </c>
      <c r="B763" s="246" t="s">
        <v>66</v>
      </c>
      <c r="C763" s="246" t="s">
        <v>126</v>
      </c>
      <c r="D763" s="246" t="s">
        <v>273</v>
      </c>
      <c r="E763" s="246"/>
      <c r="F763" s="246"/>
      <c r="G763" s="132">
        <v>0</v>
      </c>
      <c r="H763" s="132">
        <v>0</v>
      </c>
      <c r="I763" s="132">
        <v>0</v>
      </c>
      <c r="J763" s="101" t="s">
        <v>889</v>
      </c>
      <c r="K763" s="245" t="s">
        <v>390</v>
      </c>
      <c r="L763" s="245">
        <v>42705</v>
      </c>
      <c r="M763" s="245" t="s">
        <v>391</v>
      </c>
      <c r="N763" s="101">
        <v>0</v>
      </c>
      <c r="O763" s="101" t="s">
        <v>392</v>
      </c>
      <c r="P763" s="101">
        <v>0</v>
      </c>
      <c r="Q763" s="101">
        <v>0</v>
      </c>
      <c r="R763" s="101" t="s">
        <v>428</v>
      </c>
      <c r="S763" s="101">
        <v>154787</v>
      </c>
      <c r="T763" s="101" t="s">
        <v>394</v>
      </c>
      <c r="V763" s="245">
        <v>42932</v>
      </c>
      <c r="W763" s="101" t="s">
        <v>424</v>
      </c>
      <c r="X763" s="101" t="s">
        <v>429</v>
      </c>
      <c r="Y763" s="101" t="s">
        <v>392</v>
      </c>
      <c r="Z763" s="101" t="s">
        <v>430</v>
      </c>
      <c r="AA763" s="101" t="s">
        <v>621</v>
      </c>
      <c r="AB763" s="101">
        <v>3101054021</v>
      </c>
      <c r="AC763" s="101" t="s">
        <v>431</v>
      </c>
      <c r="AD763" s="101" t="s">
        <v>431</v>
      </c>
      <c r="AE763" s="101" t="s">
        <v>75</v>
      </c>
      <c r="AF763" s="101" t="s">
        <v>400</v>
      </c>
      <c r="AG763" s="101" t="s">
        <v>432</v>
      </c>
      <c r="AI763" s="101" t="s">
        <v>760</v>
      </c>
    </row>
    <row r="764" spans="1:35">
      <c r="A764" s="246" t="s">
        <v>111</v>
      </c>
      <c r="B764" s="246" t="s">
        <v>66</v>
      </c>
      <c r="C764" s="246" t="s">
        <v>126</v>
      </c>
      <c r="D764" s="246" t="s">
        <v>273</v>
      </c>
      <c r="E764" s="246"/>
      <c r="F764" s="246"/>
      <c r="G764" s="132">
        <v>0</v>
      </c>
      <c r="H764" s="132">
        <v>0</v>
      </c>
      <c r="I764" s="132">
        <v>0</v>
      </c>
      <c r="J764" s="101" t="s">
        <v>889</v>
      </c>
      <c r="K764" s="245" t="s">
        <v>390</v>
      </c>
      <c r="L764" s="245">
        <v>42738</v>
      </c>
      <c r="M764" s="245" t="s">
        <v>391</v>
      </c>
      <c r="N764" s="101">
        <v>0</v>
      </c>
      <c r="O764" s="101" t="s">
        <v>392</v>
      </c>
      <c r="P764" s="101">
        <v>0</v>
      </c>
      <c r="Q764" s="101">
        <v>0</v>
      </c>
      <c r="R764" s="101" t="s">
        <v>428</v>
      </c>
      <c r="S764" s="101">
        <v>154787</v>
      </c>
      <c r="T764" s="101" t="s">
        <v>394</v>
      </c>
      <c r="V764" s="245">
        <v>42932</v>
      </c>
      <c r="W764" s="101" t="s">
        <v>424</v>
      </c>
      <c r="X764" s="101" t="s">
        <v>429</v>
      </c>
      <c r="Y764" s="101" t="s">
        <v>392</v>
      </c>
      <c r="Z764" s="101" t="s">
        <v>430</v>
      </c>
      <c r="AA764" s="101" t="s">
        <v>621</v>
      </c>
      <c r="AB764" s="101">
        <v>3101054021</v>
      </c>
      <c r="AC764" s="101" t="s">
        <v>431</v>
      </c>
      <c r="AD764" s="101" t="s">
        <v>431</v>
      </c>
      <c r="AE764" s="101" t="s">
        <v>75</v>
      </c>
      <c r="AF764" s="101" t="s">
        <v>400</v>
      </c>
      <c r="AG764" s="101" t="s">
        <v>432</v>
      </c>
      <c r="AI764" s="101" t="s">
        <v>760</v>
      </c>
    </row>
    <row r="765" spans="1:35">
      <c r="A765" s="246" t="s">
        <v>111</v>
      </c>
      <c r="B765" s="246" t="s">
        <v>66</v>
      </c>
      <c r="C765" s="246" t="s">
        <v>126</v>
      </c>
      <c r="D765" s="246" t="s">
        <v>273</v>
      </c>
      <c r="E765" s="246"/>
      <c r="F765" s="246"/>
      <c r="G765" s="132">
        <v>0</v>
      </c>
      <c r="H765" s="132">
        <v>0</v>
      </c>
      <c r="I765" s="132">
        <v>0</v>
      </c>
      <c r="J765" s="101" t="s">
        <v>889</v>
      </c>
      <c r="K765" s="245" t="s">
        <v>390</v>
      </c>
      <c r="L765" s="245">
        <v>42767</v>
      </c>
      <c r="M765" s="245" t="s">
        <v>391</v>
      </c>
      <c r="N765" s="101">
        <v>0</v>
      </c>
      <c r="O765" s="101" t="s">
        <v>392</v>
      </c>
      <c r="P765" s="101">
        <v>0</v>
      </c>
      <c r="Q765" s="101">
        <v>0</v>
      </c>
      <c r="R765" s="101" t="s">
        <v>428</v>
      </c>
      <c r="S765" s="101">
        <v>154787</v>
      </c>
      <c r="T765" s="101" t="s">
        <v>394</v>
      </c>
      <c r="V765" s="245">
        <v>42932</v>
      </c>
      <c r="W765" s="101" t="s">
        <v>424</v>
      </c>
      <c r="X765" s="101" t="s">
        <v>429</v>
      </c>
      <c r="Y765" s="101" t="s">
        <v>392</v>
      </c>
      <c r="Z765" s="101" t="s">
        <v>430</v>
      </c>
      <c r="AA765" s="101" t="s">
        <v>621</v>
      </c>
      <c r="AB765" s="101">
        <v>3101054021</v>
      </c>
      <c r="AC765" s="101" t="s">
        <v>431</v>
      </c>
      <c r="AD765" s="101" t="s">
        <v>431</v>
      </c>
      <c r="AE765" s="101" t="s">
        <v>75</v>
      </c>
      <c r="AF765" s="101" t="s">
        <v>400</v>
      </c>
      <c r="AG765" s="101" t="s">
        <v>432</v>
      </c>
      <c r="AI765" s="101" t="s">
        <v>760</v>
      </c>
    </row>
    <row r="766" spans="1:35">
      <c r="A766" s="246" t="s">
        <v>111</v>
      </c>
      <c r="B766" s="246" t="s">
        <v>66</v>
      </c>
      <c r="C766" s="246" t="s">
        <v>126</v>
      </c>
      <c r="D766" s="246" t="s">
        <v>273</v>
      </c>
      <c r="E766" s="246"/>
      <c r="F766" s="246"/>
      <c r="G766" s="132">
        <v>0</v>
      </c>
      <c r="H766" s="132">
        <v>0</v>
      </c>
      <c r="I766" s="132">
        <v>0</v>
      </c>
      <c r="J766" s="101" t="s">
        <v>889</v>
      </c>
      <c r="K766" s="245" t="s">
        <v>390</v>
      </c>
      <c r="L766" s="245">
        <v>42795</v>
      </c>
      <c r="M766" s="245" t="s">
        <v>391</v>
      </c>
      <c r="N766" s="101">
        <v>0</v>
      </c>
      <c r="O766" s="101" t="s">
        <v>392</v>
      </c>
      <c r="P766" s="101">
        <v>0</v>
      </c>
      <c r="Q766" s="101">
        <v>0</v>
      </c>
      <c r="R766" s="101" t="s">
        <v>428</v>
      </c>
      <c r="S766" s="101">
        <v>154787</v>
      </c>
      <c r="T766" s="101" t="s">
        <v>394</v>
      </c>
      <c r="V766" s="245">
        <v>42932</v>
      </c>
      <c r="W766" s="101" t="s">
        <v>424</v>
      </c>
      <c r="X766" s="101" t="s">
        <v>429</v>
      </c>
      <c r="Y766" s="101" t="s">
        <v>392</v>
      </c>
      <c r="Z766" s="101" t="s">
        <v>430</v>
      </c>
      <c r="AA766" s="101" t="s">
        <v>621</v>
      </c>
      <c r="AB766" s="101">
        <v>3101054021</v>
      </c>
      <c r="AC766" s="101" t="s">
        <v>431</v>
      </c>
      <c r="AD766" s="101" t="s">
        <v>431</v>
      </c>
      <c r="AE766" s="101" t="s">
        <v>75</v>
      </c>
      <c r="AF766" s="101" t="s">
        <v>400</v>
      </c>
      <c r="AG766" s="101" t="s">
        <v>432</v>
      </c>
      <c r="AI766" s="101" t="s">
        <v>760</v>
      </c>
    </row>
    <row r="767" spans="1:35">
      <c r="A767" s="246" t="s">
        <v>111</v>
      </c>
      <c r="B767" s="246" t="s">
        <v>66</v>
      </c>
      <c r="C767" s="246" t="s">
        <v>126</v>
      </c>
      <c r="D767" s="246" t="s">
        <v>273</v>
      </c>
      <c r="E767" s="246"/>
      <c r="F767" s="246"/>
      <c r="G767" s="132">
        <v>0</v>
      </c>
      <c r="H767" s="132">
        <v>0</v>
      </c>
      <c r="I767" s="132">
        <v>0</v>
      </c>
      <c r="J767" s="101" t="s">
        <v>889</v>
      </c>
      <c r="K767" s="245" t="s">
        <v>390</v>
      </c>
      <c r="L767" s="245">
        <v>42828</v>
      </c>
      <c r="M767" s="245" t="s">
        <v>391</v>
      </c>
      <c r="N767" s="101">
        <v>0</v>
      </c>
      <c r="O767" s="101" t="s">
        <v>392</v>
      </c>
      <c r="P767" s="101">
        <v>0</v>
      </c>
      <c r="Q767" s="101">
        <v>0</v>
      </c>
      <c r="R767" s="101" t="s">
        <v>428</v>
      </c>
      <c r="S767" s="101">
        <v>154787</v>
      </c>
      <c r="T767" s="101" t="s">
        <v>394</v>
      </c>
      <c r="V767" s="245">
        <v>42932</v>
      </c>
      <c r="W767" s="101" t="s">
        <v>424</v>
      </c>
      <c r="X767" s="101" t="s">
        <v>429</v>
      </c>
      <c r="Y767" s="101" t="s">
        <v>392</v>
      </c>
      <c r="Z767" s="101" t="s">
        <v>430</v>
      </c>
      <c r="AA767" s="101" t="s">
        <v>621</v>
      </c>
      <c r="AB767" s="101">
        <v>3101054021</v>
      </c>
      <c r="AC767" s="101" t="s">
        <v>431</v>
      </c>
      <c r="AD767" s="101" t="s">
        <v>431</v>
      </c>
      <c r="AE767" s="101" t="s">
        <v>75</v>
      </c>
      <c r="AF767" s="101" t="s">
        <v>400</v>
      </c>
      <c r="AG767" s="101" t="s">
        <v>432</v>
      </c>
      <c r="AI767" s="101" t="s">
        <v>760</v>
      </c>
    </row>
    <row r="768" spans="1:35">
      <c r="A768" s="246" t="s">
        <v>111</v>
      </c>
      <c r="B768" s="246" t="s">
        <v>66</v>
      </c>
      <c r="C768" s="246" t="s">
        <v>126</v>
      </c>
      <c r="D768" s="246" t="s">
        <v>273</v>
      </c>
      <c r="E768" s="246"/>
      <c r="F768" s="246"/>
      <c r="G768" s="132">
        <v>0</v>
      </c>
      <c r="H768" s="132">
        <v>0</v>
      </c>
      <c r="I768" s="132">
        <v>0</v>
      </c>
      <c r="J768" s="101" t="s">
        <v>889</v>
      </c>
      <c r="K768" s="245" t="s">
        <v>390</v>
      </c>
      <c r="L768" s="245">
        <v>42856</v>
      </c>
      <c r="M768" s="245" t="s">
        <v>391</v>
      </c>
      <c r="N768" s="101">
        <v>0</v>
      </c>
      <c r="O768" s="101" t="s">
        <v>392</v>
      </c>
      <c r="P768" s="101">
        <v>0</v>
      </c>
      <c r="Q768" s="101">
        <v>0</v>
      </c>
      <c r="R768" s="101" t="s">
        <v>428</v>
      </c>
      <c r="S768" s="101">
        <v>154787</v>
      </c>
      <c r="T768" s="101" t="s">
        <v>394</v>
      </c>
      <c r="V768" s="245">
        <v>42932</v>
      </c>
      <c r="W768" s="101" t="s">
        <v>424</v>
      </c>
      <c r="X768" s="101" t="s">
        <v>429</v>
      </c>
      <c r="Y768" s="101" t="s">
        <v>392</v>
      </c>
      <c r="Z768" s="101" t="s">
        <v>430</v>
      </c>
      <c r="AA768" s="101" t="s">
        <v>621</v>
      </c>
      <c r="AB768" s="101">
        <v>3101054021</v>
      </c>
      <c r="AC768" s="101" t="s">
        <v>431</v>
      </c>
      <c r="AD768" s="101" t="s">
        <v>431</v>
      </c>
      <c r="AE768" s="101" t="s">
        <v>75</v>
      </c>
      <c r="AF768" s="101" t="s">
        <v>400</v>
      </c>
      <c r="AG768" s="101" t="s">
        <v>432</v>
      </c>
      <c r="AI768" s="101" t="s">
        <v>760</v>
      </c>
    </row>
    <row r="769" spans="1:35">
      <c r="A769" s="246" t="s">
        <v>112</v>
      </c>
      <c r="B769" s="246" t="s">
        <v>66</v>
      </c>
      <c r="C769" s="246" t="s">
        <v>126</v>
      </c>
      <c r="D769" s="246" t="s">
        <v>270</v>
      </c>
      <c r="E769" s="246"/>
      <c r="F769" s="246"/>
      <c r="G769" s="132">
        <v>0</v>
      </c>
      <c r="H769" s="132">
        <v>0</v>
      </c>
      <c r="I769" s="132">
        <v>0</v>
      </c>
      <c r="J769" s="101" t="s">
        <v>889</v>
      </c>
      <c r="K769" s="245" t="s">
        <v>390</v>
      </c>
      <c r="L769" s="245">
        <v>42887</v>
      </c>
      <c r="M769" s="245" t="s">
        <v>391</v>
      </c>
      <c r="N769" s="101">
        <v>0</v>
      </c>
      <c r="O769" s="101" t="s">
        <v>392</v>
      </c>
      <c r="P769" s="101">
        <v>0</v>
      </c>
      <c r="Q769" s="101">
        <v>0</v>
      </c>
      <c r="R769" s="101" t="s">
        <v>428</v>
      </c>
      <c r="S769" s="101">
        <v>154787</v>
      </c>
      <c r="T769" s="101" t="s">
        <v>394</v>
      </c>
      <c r="V769" s="245">
        <v>42932</v>
      </c>
      <c r="W769" s="101" t="s">
        <v>424</v>
      </c>
      <c r="X769" s="101" t="s">
        <v>429</v>
      </c>
      <c r="Y769" s="101" t="s">
        <v>392</v>
      </c>
      <c r="Z769" s="101" t="s">
        <v>430</v>
      </c>
      <c r="AA769" s="101" t="s">
        <v>621</v>
      </c>
      <c r="AB769" s="101">
        <v>3101054021</v>
      </c>
      <c r="AC769" s="101" t="s">
        <v>431</v>
      </c>
      <c r="AD769" s="101" t="s">
        <v>431</v>
      </c>
      <c r="AE769" s="101" t="s">
        <v>75</v>
      </c>
      <c r="AF769" s="101" t="s">
        <v>400</v>
      </c>
      <c r="AG769" s="101" t="s">
        <v>432</v>
      </c>
      <c r="AI769" s="101" t="s">
        <v>760</v>
      </c>
    </row>
    <row r="770" spans="1:35">
      <c r="A770" s="246" t="s">
        <v>112</v>
      </c>
      <c r="B770" s="246" t="s">
        <v>66</v>
      </c>
      <c r="C770" s="246" t="s">
        <v>126</v>
      </c>
      <c r="D770" s="246" t="s">
        <v>270</v>
      </c>
      <c r="E770" s="246"/>
      <c r="F770" s="246"/>
      <c r="G770" s="132">
        <v>0</v>
      </c>
      <c r="H770" s="132">
        <v>0</v>
      </c>
      <c r="I770" s="132">
        <v>0</v>
      </c>
      <c r="J770" s="101" t="s">
        <v>889</v>
      </c>
      <c r="K770" s="245" t="s">
        <v>390</v>
      </c>
      <c r="L770" s="245">
        <v>42933</v>
      </c>
      <c r="M770" s="245" t="s">
        <v>391</v>
      </c>
      <c r="N770" s="101">
        <v>0</v>
      </c>
      <c r="O770" s="101" t="s">
        <v>392</v>
      </c>
      <c r="P770" s="101">
        <v>0</v>
      </c>
      <c r="Q770" s="101">
        <v>0</v>
      </c>
      <c r="R770" s="101" t="s">
        <v>428</v>
      </c>
      <c r="S770" s="101">
        <v>154787</v>
      </c>
      <c r="T770" s="101" t="s">
        <v>394</v>
      </c>
      <c r="V770" s="245">
        <v>42932</v>
      </c>
      <c r="W770" s="101" t="s">
        <v>424</v>
      </c>
      <c r="X770" s="101" t="s">
        <v>429</v>
      </c>
      <c r="Y770" s="101" t="s">
        <v>392</v>
      </c>
      <c r="Z770" s="101" t="s">
        <v>430</v>
      </c>
      <c r="AA770" s="101" t="s">
        <v>621</v>
      </c>
      <c r="AB770" s="101">
        <v>3101054021</v>
      </c>
      <c r="AC770" s="101" t="s">
        <v>431</v>
      </c>
      <c r="AD770" s="101" t="s">
        <v>431</v>
      </c>
      <c r="AE770" s="101" t="s">
        <v>75</v>
      </c>
      <c r="AF770" s="101" t="s">
        <v>400</v>
      </c>
      <c r="AG770" s="101" t="s">
        <v>432</v>
      </c>
      <c r="AI770" s="101" t="s">
        <v>760</v>
      </c>
    </row>
    <row r="771" spans="1:35">
      <c r="A771" s="246" t="s">
        <v>112</v>
      </c>
      <c r="B771" s="246" t="s">
        <v>66</v>
      </c>
      <c r="C771" s="246" t="s">
        <v>116</v>
      </c>
      <c r="D771" s="246" t="s">
        <v>330</v>
      </c>
      <c r="E771" s="246"/>
      <c r="F771" s="246"/>
      <c r="G771" s="132">
        <v>0</v>
      </c>
      <c r="H771" s="132">
        <v>0</v>
      </c>
      <c r="I771" s="132">
        <v>0</v>
      </c>
      <c r="J771" s="101" t="s">
        <v>889</v>
      </c>
      <c r="K771" s="245" t="s">
        <v>390</v>
      </c>
      <c r="L771" s="245">
        <v>42933</v>
      </c>
      <c r="M771" s="245" t="s">
        <v>421</v>
      </c>
      <c r="N771" s="101">
        <v>0</v>
      </c>
      <c r="O771" s="101" t="s">
        <v>392</v>
      </c>
      <c r="P771" s="101">
        <v>0</v>
      </c>
      <c r="Q771" s="101">
        <v>0</v>
      </c>
      <c r="R771" s="101" t="s">
        <v>428</v>
      </c>
      <c r="S771" s="101">
        <v>154787</v>
      </c>
      <c r="T771" s="101" t="s">
        <v>394</v>
      </c>
      <c r="V771" s="245">
        <v>42932</v>
      </c>
      <c r="W771" s="101" t="s">
        <v>424</v>
      </c>
      <c r="X771" s="101" t="s">
        <v>429</v>
      </c>
      <c r="Y771" s="101" t="s">
        <v>392</v>
      </c>
      <c r="Z771" s="101" t="s">
        <v>430</v>
      </c>
      <c r="AA771" s="101" t="s">
        <v>621</v>
      </c>
      <c r="AB771" s="101">
        <v>3101054021</v>
      </c>
      <c r="AC771" s="101" t="s">
        <v>431</v>
      </c>
      <c r="AD771" s="101" t="s">
        <v>431</v>
      </c>
      <c r="AE771" s="101" t="s">
        <v>75</v>
      </c>
      <c r="AF771" s="101" t="s">
        <v>400</v>
      </c>
      <c r="AG771" s="101" t="s">
        <v>432</v>
      </c>
      <c r="AI771" s="101" t="s">
        <v>760</v>
      </c>
    </row>
    <row r="772" spans="1:35">
      <c r="A772" s="246" t="s">
        <v>101</v>
      </c>
      <c r="B772" s="246" t="s">
        <v>66</v>
      </c>
      <c r="C772" s="246" t="s">
        <v>116</v>
      </c>
      <c r="D772" s="246" t="s">
        <v>1779</v>
      </c>
      <c r="E772" s="246"/>
      <c r="F772" s="246"/>
      <c r="G772" s="132">
        <v>30000000</v>
      </c>
      <c r="H772" s="132" t="s">
        <v>1592</v>
      </c>
      <c r="I772" s="132">
        <v>30000000</v>
      </c>
      <c r="J772" s="101" t="s">
        <v>889</v>
      </c>
      <c r="K772" s="245" t="s">
        <v>390</v>
      </c>
      <c r="L772" s="245">
        <v>42502</v>
      </c>
      <c r="M772" s="245" t="s">
        <v>421</v>
      </c>
      <c r="N772" s="101">
        <v>0</v>
      </c>
      <c r="O772" s="101" t="s">
        <v>392</v>
      </c>
      <c r="P772" s="101">
        <v>0</v>
      </c>
      <c r="Q772" s="101">
        <v>0</v>
      </c>
      <c r="R772" s="101" t="s">
        <v>450</v>
      </c>
      <c r="S772" s="101">
        <v>194016</v>
      </c>
      <c r="T772" s="101" t="s">
        <v>394</v>
      </c>
      <c r="V772" s="245">
        <v>42502</v>
      </c>
      <c r="W772" s="101" t="s">
        <v>441</v>
      </c>
      <c r="X772" s="101" t="s">
        <v>76</v>
      </c>
      <c r="Y772" s="101" t="s">
        <v>392</v>
      </c>
      <c r="Z772" s="101" t="s">
        <v>430</v>
      </c>
      <c r="AA772" s="101" t="s">
        <v>531</v>
      </c>
      <c r="AB772" s="101">
        <v>3101053435</v>
      </c>
      <c r="AC772" s="101" t="s">
        <v>431</v>
      </c>
      <c r="AD772" s="101" t="s">
        <v>431</v>
      </c>
      <c r="AE772" s="101" t="s">
        <v>75</v>
      </c>
      <c r="AF772" s="101" t="s">
        <v>400</v>
      </c>
      <c r="AG772" s="101" t="s">
        <v>554</v>
      </c>
      <c r="AI772" s="101" t="s">
        <v>760</v>
      </c>
    </row>
    <row r="773" spans="1:35">
      <c r="A773" s="246" t="s">
        <v>110</v>
      </c>
      <c r="B773" s="246" t="s">
        <v>66</v>
      </c>
      <c r="C773" s="246" t="s">
        <v>265</v>
      </c>
      <c r="D773" s="246" t="s">
        <v>283</v>
      </c>
      <c r="E773" s="246"/>
      <c r="F773" s="246" t="s">
        <v>276</v>
      </c>
      <c r="G773" s="132" t="s">
        <v>801</v>
      </c>
      <c r="H773" s="132" t="s">
        <v>1593</v>
      </c>
      <c r="I773" s="132">
        <v>276838.37</v>
      </c>
      <c r="J773" s="101" t="s">
        <v>889</v>
      </c>
      <c r="K773" s="245" t="s">
        <v>390</v>
      </c>
      <c r="L773" s="245">
        <v>42611</v>
      </c>
      <c r="M773" s="245" t="s">
        <v>421</v>
      </c>
      <c r="N773" s="101">
        <v>0</v>
      </c>
      <c r="O773" s="101" t="s">
        <v>392</v>
      </c>
      <c r="P773" s="101">
        <v>0</v>
      </c>
      <c r="Q773" s="101">
        <v>0</v>
      </c>
      <c r="R773" s="101" t="s">
        <v>453</v>
      </c>
      <c r="S773" s="101" t="s">
        <v>643</v>
      </c>
      <c r="T773" s="101" t="s">
        <v>394</v>
      </c>
      <c r="U773" s="101" t="s">
        <v>50</v>
      </c>
      <c r="V773" s="245">
        <v>14124</v>
      </c>
      <c r="W773" s="101" t="s">
        <v>411</v>
      </c>
      <c r="X773" s="101" t="s">
        <v>77</v>
      </c>
      <c r="Y773" s="101" t="s">
        <v>392</v>
      </c>
      <c r="Z773" s="101" t="s">
        <v>412</v>
      </c>
      <c r="AA773" s="101" t="s">
        <v>644</v>
      </c>
      <c r="AB773" s="101">
        <v>101000531</v>
      </c>
      <c r="AC773" s="101" t="s">
        <v>414</v>
      </c>
      <c r="AD773" s="101" t="s">
        <v>79</v>
      </c>
      <c r="AE773" s="101" t="s">
        <v>6</v>
      </c>
      <c r="AF773" s="101" t="s">
        <v>400</v>
      </c>
      <c r="AI773" s="101" t="s">
        <v>190</v>
      </c>
    </row>
    <row r="774" spans="1:35">
      <c r="A774" s="246" t="s">
        <v>110</v>
      </c>
      <c r="B774" s="246" t="s">
        <v>66</v>
      </c>
      <c r="C774" s="246" t="s">
        <v>126</v>
      </c>
      <c r="D774" s="246" t="s">
        <v>281</v>
      </c>
      <c r="E774" s="246"/>
      <c r="F774" s="246" t="s">
        <v>276</v>
      </c>
      <c r="G774" s="132" t="s">
        <v>802</v>
      </c>
      <c r="H774" s="132" t="s">
        <v>1594</v>
      </c>
      <c r="I774" s="132">
        <v>-12458.05</v>
      </c>
      <c r="J774" s="101" t="s">
        <v>889</v>
      </c>
      <c r="K774" s="245" t="s">
        <v>390</v>
      </c>
      <c r="L774" s="245">
        <v>42613</v>
      </c>
      <c r="M774" s="245" t="s">
        <v>391</v>
      </c>
      <c r="N774" s="101">
        <v>0</v>
      </c>
      <c r="O774" s="101" t="s">
        <v>392</v>
      </c>
      <c r="P774" s="101">
        <v>0</v>
      </c>
      <c r="Q774" s="101">
        <v>0</v>
      </c>
      <c r="R774" s="101" t="s">
        <v>444</v>
      </c>
      <c r="S774" s="101" t="s">
        <v>643</v>
      </c>
      <c r="T774" s="101" t="s">
        <v>394</v>
      </c>
      <c r="U774" s="101" t="s">
        <v>50</v>
      </c>
      <c r="V774" s="245">
        <v>14124</v>
      </c>
      <c r="W774" s="101" t="s">
        <v>411</v>
      </c>
      <c r="X774" s="101" t="s">
        <v>77</v>
      </c>
      <c r="Y774" s="101" t="s">
        <v>392</v>
      </c>
      <c r="Z774" s="101" t="s">
        <v>412</v>
      </c>
      <c r="AA774" s="101" t="s">
        <v>644</v>
      </c>
      <c r="AB774" s="101">
        <v>101000531</v>
      </c>
      <c r="AC774" s="101" t="s">
        <v>414</v>
      </c>
      <c r="AD774" s="101" t="s">
        <v>79</v>
      </c>
      <c r="AE774" s="101" t="s">
        <v>6</v>
      </c>
      <c r="AF774" s="101" t="s">
        <v>400</v>
      </c>
      <c r="AI774" s="101" t="s">
        <v>190</v>
      </c>
    </row>
    <row r="775" spans="1:35">
      <c r="A775" s="246" t="s">
        <v>111</v>
      </c>
      <c r="B775" s="246" t="s">
        <v>66</v>
      </c>
      <c r="C775" s="246" t="s">
        <v>126</v>
      </c>
      <c r="D775" s="246" t="s">
        <v>273</v>
      </c>
      <c r="E775" s="246"/>
      <c r="F775" s="246" t="s">
        <v>277</v>
      </c>
      <c r="G775" s="132" t="s">
        <v>404</v>
      </c>
      <c r="H775" s="132" t="s">
        <v>1595</v>
      </c>
      <c r="I775" s="132">
        <v>-20692.5</v>
      </c>
      <c r="J775" s="101" t="s">
        <v>889</v>
      </c>
      <c r="K775" s="245" t="s">
        <v>390</v>
      </c>
      <c r="L775" s="245">
        <v>42794</v>
      </c>
      <c r="M775" s="245" t="s">
        <v>391</v>
      </c>
      <c r="N775" s="101">
        <v>0</v>
      </c>
      <c r="O775" s="101" t="s">
        <v>392</v>
      </c>
      <c r="P775" s="101">
        <v>0</v>
      </c>
      <c r="Q775" s="101">
        <v>0</v>
      </c>
      <c r="R775" s="101" t="s">
        <v>444</v>
      </c>
      <c r="S775" s="101" t="s">
        <v>643</v>
      </c>
      <c r="T775" s="101" t="s">
        <v>394</v>
      </c>
      <c r="U775" s="101" t="s">
        <v>50</v>
      </c>
      <c r="V775" s="245">
        <v>14124</v>
      </c>
      <c r="W775" s="101" t="s">
        <v>411</v>
      </c>
      <c r="X775" s="101" t="s">
        <v>77</v>
      </c>
      <c r="Y775" s="101" t="s">
        <v>392</v>
      </c>
      <c r="Z775" s="101" t="s">
        <v>412</v>
      </c>
      <c r="AA775" s="101" t="s">
        <v>644</v>
      </c>
      <c r="AB775" s="101">
        <v>101000531</v>
      </c>
      <c r="AC775" s="101" t="s">
        <v>414</v>
      </c>
      <c r="AD775" s="101" t="s">
        <v>79</v>
      </c>
      <c r="AE775" s="101" t="s">
        <v>6</v>
      </c>
      <c r="AF775" s="101" t="s">
        <v>400</v>
      </c>
      <c r="AI775" s="101" t="s">
        <v>190</v>
      </c>
    </row>
    <row r="776" spans="1:35">
      <c r="A776" s="246" t="s">
        <v>112</v>
      </c>
      <c r="B776" s="246" t="s">
        <v>66</v>
      </c>
      <c r="C776" s="246" t="s">
        <v>126</v>
      </c>
      <c r="D776" s="246" t="s">
        <v>270</v>
      </c>
      <c r="E776" s="246"/>
      <c r="F776" s="246" t="s">
        <v>278</v>
      </c>
      <c r="G776" s="132" t="s">
        <v>645</v>
      </c>
      <c r="H776" s="132" t="s">
        <v>1596</v>
      </c>
      <c r="I776" s="132">
        <v>-21273.75</v>
      </c>
      <c r="J776" s="101" t="s">
        <v>889</v>
      </c>
      <c r="K776" s="245" t="s">
        <v>390</v>
      </c>
      <c r="L776" s="245">
        <v>42978</v>
      </c>
      <c r="M776" s="245" t="s">
        <v>391</v>
      </c>
      <c r="N776" s="101">
        <v>0</v>
      </c>
      <c r="O776" s="101" t="s">
        <v>392</v>
      </c>
      <c r="P776" s="101">
        <v>0</v>
      </c>
      <c r="Q776" s="101">
        <v>0</v>
      </c>
      <c r="R776" s="101" t="s">
        <v>444</v>
      </c>
      <c r="S776" s="101" t="s">
        <v>643</v>
      </c>
      <c r="T776" s="101" t="s">
        <v>394</v>
      </c>
      <c r="U776" s="101" t="s">
        <v>50</v>
      </c>
      <c r="V776" s="245">
        <v>14124</v>
      </c>
      <c r="W776" s="101" t="s">
        <v>411</v>
      </c>
      <c r="X776" s="101" t="s">
        <v>77</v>
      </c>
      <c r="Y776" s="101" t="s">
        <v>392</v>
      </c>
      <c r="Z776" s="101" t="s">
        <v>412</v>
      </c>
      <c r="AA776" s="101" t="s">
        <v>644</v>
      </c>
      <c r="AB776" s="101">
        <v>101000531</v>
      </c>
      <c r="AC776" s="101" t="s">
        <v>414</v>
      </c>
      <c r="AD776" s="101" t="s">
        <v>79</v>
      </c>
      <c r="AE776" s="101" t="s">
        <v>6</v>
      </c>
      <c r="AF776" s="101" t="s">
        <v>400</v>
      </c>
      <c r="AI776" s="101" t="s">
        <v>190</v>
      </c>
    </row>
    <row r="777" spans="1:35">
      <c r="A777" s="246" t="s">
        <v>113</v>
      </c>
      <c r="B777" s="246" t="s">
        <v>66</v>
      </c>
      <c r="C777" s="246" t="s">
        <v>126</v>
      </c>
      <c r="D777" s="246" t="s">
        <v>271</v>
      </c>
      <c r="E777" s="246"/>
      <c r="F777" s="246" t="s">
        <v>279</v>
      </c>
      <c r="G777" s="132" t="s">
        <v>404</v>
      </c>
      <c r="H777" s="132" t="s">
        <v>1595</v>
      </c>
      <c r="I777" s="132">
        <v>-20692.5</v>
      </c>
      <c r="J777" s="101" t="s">
        <v>889</v>
      </c>
      <c r="K777" s="245" t="s">
        <v>390</v>
      </c>
      <c r="L777" s="245">
        <v>43159</v>
      </c>
      <c r="M777" s="245" t="s">
        <v>391</v>
      </c>
      <c r="N777" s="101">
        <v>0</v>
      </c>
      <c r="O777" s="101" t="s">
        <v>392</v>
      </c>
      <c r="P777" s="101">
        <v>0</v>
      </c>
      <c r="Q777" s="101">
        <v>0</v>
      </c>
      <c r="R777" s="101" t="s">
        <v>444</v>
      </c>
      <c r="S777" s="101" t="s">
        <v>643</v>
      </c>
      <c r="T777" s="101" t="s">
        <v>394</v>
      </c>
      <c r="U777" s="101" t="s">
        <v>50</v>
      </c>
      <c r="V777" s="245">
        <v>14124</v>
      </c>
      <c r="W777" s="101" t="s">
        <v>411</v>
      </c>
      <c r="X777" s="101" t="s">
        <v>77</v>
      </c>
      <c r="Y777" s="101" t="s">
        <v>392</v>
      </c>
      <c r="Z777" s="101" t="s">
        <v>412</v>
      </c>
      <c r="AA777" s="101" t="s">
        <v>644</v>
      </c>
      <c r="AB777" s="101">
        <v>101000531</v>
      </c>
      <c r="AC777" s="101" t="s">
        <v>414</v>
      </c>
      <c r="AD777" s="101" t="s">
        <v>79</v>
      </c>
      <c r="AE777" s="101" t="s">
        <v>6</v>
      </c>
      <c r="AF777" s="101" t="s">
        <v>400</v>
      </c>
      <c r="AI777" s="101" t="s">
        <v>190</v>
      </c>
    </row>
    <row r="778" spans="1:35">
      <c r="A778" s="246" t="s">
        <v>110</v>
      </c>
      <c r="B778" s="246" t="s">
        <v>78</v>
      </c>
      <c r="C778" s="246" t="s">
        <v>126</v>
      </c>
      <c r="D778" s="246" t="s">
        <v>770</v>
      </c>
      <c r="E778" s="246" t="s">
        <v>771</v>
      </c>
      <c r="F778" s="246" t="s">
        <v>276</v>
      </c>
      <c r="G778" s="132" t="s">
        <v>710</v>
      </c>
      <c r="H778" s="132" t="s">
        <v>1597</v>
      </c>
      <c r="I778" s="132">
        <v>565.06999999999994</v>
      </c>
      <c r="J778" s="101" t="s">
        <v>889</v>
      </c>
      <c r="K778" s="245" t="s">
        <v>390</v>
      </c>
      <c r="L778" s="245">
        <v>42632</v>
      </c>
      <c r="M778" s="245" t="s">
        <v>391</v>
      </c>
      <c r="N778" s="101">
        <v>0</v>
      </c>
      <c r="O778" s="101" t="s">
        <v>392</v>
      </c>
      <c r="P778" s="101">
        <v>0</v>
      </c>
      <c r="Q778" s="101">
        <v>0</v>
      </c>
      <c r="R778" s="101" t="s">
        <v>393</v>
      </c>
      <c r="S778" s="101" t="s">
        <v>794</v>
      </c>
      <c r="T778" s="101" t="s">
        <v>394</v>
      </c>
      <c r="V778" s="245">
        <v>17976</v>
      </c>
      <c r="W778" s="101" t="s">
        <v>395</v>
      </c>
      <c r="X778" s="101" t="s">
        <v>795</v>
      </c>
      <c r="Y778" s="101" t="s">
        <v>396</v>
      </c>
      <c r="Z778" s="101" t="s">
        <v>402</v>
      </c>
      <c r="AA778" s="101" t="s">
        <v>78</v>
      </c>
      <c r="AB778" s="101">
        <v>4101000279</v>
      </c>
      <c r="AC778" s="101" t="s">
        <v>398</v>
      </c>
      <c r="AD778" s="101" t="s">
        <v>403</v>
      </c>
      <c r="AE778" s="101" t="s">
        <v>6</v>
      </c>
      <c r="AF778" s="101" t="s">
        <v>400</v>
      </c>
      <c r="AI778" s="101" t="s">
        <v>760</v>
      </c>
    </row>
    <row r="779" spans="1:35">
      <c r="A779" s="246" t="s">
        <v>110</v>
      </c>
      <c r="B779" s="246" t="s">
        <v>78</v>
      </c>
      <c r="C779" s="246" t="s">
        <v>126</v>
      </c>
      <c r="D779" s="246" t="s">
        <v>770</v>
      </c>
      <c r="E779" s="246" t="s">
        <v>771</v>
      </c>
      <c r="F779" s="246" t="s">
        <v>276</v>
      </c>
      <c r="G779" s="132" t="s">
        <v>711</v>
      </c>
      <c r="H779" s="132" t="s">
        <v>1598</v>
      </c>
      <c r="I779" s="132">
        <v>5904.52</v>
      </c>
      <c r="J779" s="101" t="s">
        <v>889</v>
      </c>
      <c r="K779" s="245" t="s">
        <v>390</v>
      </c>
      <c r="L779" s="245">
        <v>42632</v>
      </c>
      <c r="M779" s="245" t="s">
        <v>391</v>
      </c>
      <c r="N779" s="101">
        <v>0</v>
      </c>
      <c r="O779" s="101" t="s">
        <v>392</v>
      </c>
      <c r="P779" s="101">
        <v>0</v>
      </c>
      <c r="Q779" s="101">
        <v>0</v>
      </c>
      <c r="R779" s="101" t="s">
        <v>393</v>
      </c>
      <c r="S779" s="101" t="s">
        <v>794</v>
      </c>
      <c r="T779" s="101" t="s">
        <v>394</v>
      </c>
      <c r="V779" s="245">
        <v>17976</v>
      </c>
      <c r="W779" s="101" t="s">
        <v>395</v>
      </c>
      <c r="X779" s="101" t="s">
        <v>795</v>
      </c>
      <c r="Y779" s="101" t="s">
        <v>396</v>
      </c>
      <c r="Z779" s="101" t="s">
        <v>402</v>
      </c>
      <c r="AA779" s="101" t="s">
        <v>78</v>
      </c>
      <c r="AB779" s="101">
        <v>4101000279</v>
      </c>
      <c r="AC779" s="101" t="s">
        <v>398</v>
      </c>
      <c r="AD779" s="101" t="s">
        <v>403</v>
      </c>
      <c r="AE779" s="101" t="s">
        <v>6</v>
      </c>
      <c r="AF779" s="101" t="s">
        <v>400</v>
      </c>
      <c r="AI779" s="101" t="s">
        <v>760</v>
      </c>
    </row>
    <row r="780" spans="1:35">
      <c r="A780" s="246" t="s">
        <v>111</v>
      </c>
      <c r="B780" s="246" t="s">
        <v>78</v>
      </c>
      <c r="C780" s="246" t="s">
        <v>126</v>
      </c>
      <c r="D780" s="246" t="s">
        <v>768</v>
      </c>
      <c r="E780" s="246" t="s">
        <v>769</v>
      </c>
      <c r="F780" s="246" t="s">
        <v>277</v>
      </c>
      <c r="G780" s="132" t="s">
        <v>712</v>
      </c>
      <c r="H780" s="132" t="s">
        <v>1599</v>
      </c>
      <c r="I780" s="132">
        <v>13819.72</v>
      </c>
      <c r="J780" s="101" t="s">
        <v>889</v>
      </c>
      <c r="K780" s="245" t="s">
        <v>390</v>
      </c>
      <c r="L780" s="245">
        <v>42811</v>
      </c>
      <c r="M780" s="245" t="s">
        <v>391</v>
      </c>
      <c r="N780" s="101">
        <v>0</v>
      </c>
      <c r="O780" s="101" t="s">
        <v>392</v>
      </c>
      <c r="P780" s="101">
        <v>0</v>
      </c>
      <c r="Q780" s="101">
        <v>0</v>
      </c>
      <c r="R780" s="101" t="s">
        <v>393</v>
      </c>
      <c r="S780" s="101" t="s">
        <v>794</v>
      </c>
      <c r="T780" s="101" t="s">
        <v>394</v>
      </c>
      <c r="V780" s="245">
        <v>17976</v>
      </c>
      <c r="W780" s="101" t="s">
        <v>395</v>
      </c>
      <c r="X780" s="101" t="s">
        <v>795</v>
      </c>
      <c r="Y780" s="101" t="s">
        <v>396</v>
      </c>
      <c r="Z780" s="101" t="s">
        <v>402</v>
      </c>
      <c r="AA780" s="101" t="s">
        <v>78</v>
      </c>
      <c r="AB780" s="101">
        <v>4101000279</v>
      </c>
      <c r="AC780" s="101" t="s">
        <v>398</v>
      </c>
      <c r="AD780" s="101" t="s">
        <v>403</v>
      </c>
      <c r="AE780" s="101" t="s">
        <v>6</v>
      </c>
      <c r="AF780" s="101" t="s">
        <v>400</v>
      </c>
      <c r="AI780" s="101" t="s">
        <v>760</v>
      </c>
    </row>
    <row r="781" spans="1:35">
      <c r="A781" s="246" t="s">
        <v>112</v>
      </c>
      <c r="B781" s="246" t="s">
        <v>78</v>
      </c>
      <c r="C781" s="246" t="s">
        <v>126</v>
      </c>
      <c r="D781" s="246" t="s">
        <v>341</v>
      </c>
      <c r="E781" s="246" t="s">
        <v>342</v>
      </c>
      <c r="F781" s="246" t="s">
        <v>278</v>
      </c>
      <c r="G781" s="132" t="s">
        <v>713</v>
      </c>
      <c r="H781" s="132" t="s">
        <v>1600</v>
      </c>
      <c r="I781" s="132">
        <v>14130.28</v>
      </c>
      <c r="J781" s="101" t="s">
        <v>889</v>
      </c>
      <c r="K781" s="245" t="s">
        <v>390</v>
      </c>
      <c r="L781" s="245">
        <v>42997</v>
      </c>
      <c r="M781" s="245" t="s">
        <v>391</v>
      </c>
      <c r="N781" s="101">
        <v>0</v>
      </c>
      <c r="O781" s="101" t="s">
        <v>392</v>
      </c>
      <c r="P781" s="101">
        <v>0</v>
      </c>
      <c r="Q781" s="101">
        <v>0</v>
      </c>
      <c r="R781" s="101" t="s">
        <v>393</v>
      </c>
      <c r="S781" s="101" t="s">
        <v>794</v>
      </c>
      <c r="T781" s="101" t="s">
        <v>394</v>
      </c>
      <c r="V781" s="245">
        <v>17976</v>
      </c>
      <c r="W781" s="101" t="s">
        <v>395</v>
      </c>
      <c r="X781" s="101" t="s">
        <v>795</v>
      </c>
      <c r="Y781" s="101" t="s">
        <v>396</v>
      </c>
      <c r="Z781" s="101" t="s">
        <v>402</v>
      </c>
      <c r="AA781" s="101" t="s">
        <v>78</v>
      </c>
      <c r="AB781" s="101">
        <v>4101000279</v>
      </c>
      <c r="AC781" s="101" t="s">
        <v>398</v>
      </c>
      <c r="AD781" s="101" t="s">
        <v>403</v>
      </c>
      <c r="AE781" s="101" t="s">
        <v>6</v>
      </c>
      <c r="AF781" s="101" t="s">
        <v>400</v>
      </c>
      <c r="AI781" s="101" t="s">
        <v>760</v>
      </c>
    </row>
    <row r="782" spans="1:35">
      <c r="A782" s="246" t="s">
        <v>113</v>
      </c>
      <c r="B782" s="246" t="s">
        <v>78</v>
      </c>
      <c r="C782" s="246" t="s">
        <v>126</v>
      </c>
      <c r="D782" s="246" t="s">
        <v>339</v>
      </c>
      <c r="E782" s="246" t="s">
        <v>340</v>
      </c>
      <c r="F782" s="246" t="s">
        <v>279</v>
      </c>
      <c r="G782" s="132">
        <v>13975</v>
      </c>
      <c r="H782" s="132" t="s">
        <v>1601</v>
      </c>
      <c r="I782" s="132">
        <v>13975</v>
      </c>
      <c r="J782" s="101" t="s">
        <v>889</v>
      </c>
      <c r="K782" s="245" t="s">
        <v>390</v>
      </c>
      <c r="L782" s="245">
        <v>43178</v>
      </c>
      <c r="M782" s="245" t="s">
        <v>391</v>
      </c>
      <c r="N782" s="101">
        <v>0</v>
      </c>
      <c r="O782" s="101" t="s">
        <v>392</v>
      </c>
      <c r="P782" s="101">
        <v>0</v>
      </c>
      <c r="Q782" s="101">
        <v>0</v>
      </c>
      <c r="R782" s="101" t="s">
        <v>393</v>
      </c>
      <c r="S782" s="101" t="s">
        <v>794</v>
      </c>
      <c r="T782" s="101" t="s">
        <v>394</v>
      </c>
      <c r="V782" s="245">
        <v>17976</v>
      </c>
      <c r="W782" s="101" t="s">
        <v>395</v>
      </c>
      <c r="X782" s="101" t="s">
        <v>795</v>
      </c>
      <c r="Y782" s="101" t="s">
        <v>396</v>
      </c>
      <c r="Z782" s="101" t="s">
        <v>402</v>
      </c>
      <c r="AA782" s="101" t="s">
        <v>78</v>
      </c>
      <c r="AB782" s="101">
        <v>4101000279</v>
      </c>
      <c r="AC782" s="101" t="s">
        <v>398</v>
      </c>
      <c r="AD782" s="101" t="s">
        <v>403</v>
      </c>
      <c r="AE782" s="101" t="s">
        <v>6</v>
      </c>
      <c r="AF782" s="101" t="s">
        <v>400</v>
      </c>
      <c r="AI782" s="101" t="s">
        <v>760</v>
      </c>
    </row>
    <row r="783" spans="1:35">
      <c r="A783" s="246" t="s">
        <v>107</v>
      </c>
      <c r="B783" s="246" t="s">
        <v>78</v>
      </c>
      <c r="C783" s="246" t="s">
        <v>126</v>
      </c>
      <c r="D783" s="246" t="s">
        <v>772</v>
      </c>
      <c r="E783" s="246" t="s">
        <v>773</v>
      </c>
      <c r="F783" s="246"/>
      <c r="G783" s="132" t="s">
        <v>635</v>
      </c>
      <c r="H783" s="132" t="s">
        <v>1602</v>
      </c>
      <c r="I783" s="132">
        <v>-4869.0999999999995</v>
      </c>
      <c r="J783" s="101" t="s">
        <v>889</v>
      </c>
      <c r="K783" s="245" t="s">
        <v>390</v>
      </c>
      <c r="L783" s="245">
        <v>42522</v>
      </c>
      <c r="M783" s="245" t="s">
        <v>391</v>
      </c>
      <c r="N783" s="101">
        <v>0</v>
      </c>
      <c r="O783" s="101" t="s">
        <v>392</v>
      </c>
      <c r="P783" s="101">
        <v>0</v>
      </c>
      <c r="Q783" s="101">
        <v>0</v>
      </c>
      <c r="R783" s="101" t="s">
        <v>393</v>
      </c>
      <c r="S783" s="101" t="s">
        <v>805</v>
      </c>
      <c r="T783" s="101" t="s">
        <v>394</v>
      </c>
      <c r="V783" s="245">
        <v>46539</v>
      </c>
      <c r="W783" s="101" t="s">
        <v>535</v>
      </c>
      <c r="X783" s="101" t="s">
        <v>76</v>
      </c>
      <c r="Y783" s="101" t="s">
        <v>471</v>
      </c>
      <c r="Z783" s="101" t="s">
        <v>402</v>
      </c>
      <c r="AA783" s="101" t="s">
        <v>78</v>
      </c>
      <c r="AB783" s="101">
        <v>4101000279</v>
      </c>
      <c r="AC783" s="101" t="s">
        <v>398</v>
      </c>
      <c r="AD783" s="101" t="s">
        <v>403</v>
      </c>
      <c r="AE783" s="101" t="s">
        <v>75</v>
      </c>
      <c r="AF783" s="101" t="s">
        <v>400</v>
      </c>
      <c r="AI783" s="101" t="s">
        <v>760</v>
      </c>
    </row>
    <row r="784" spans="1:35">
      <c r="A784" s="246" t="s">
        <v>110</v>
      </c>
      <c r="B784" s="246" t="s">
        <v>78</v>
      </c>
      <c r="C784" s="246" t="s">
        <v>126</v>
      </c>
      <c r="D784" s="246" t="s">
        <v>770</v>
      </c>
      <c r="E784" s="246" t="s">
        <v>771</v>
      </c>
      <c r="F784" s="246"/>
      <c r="G784" s="132" t="s">
        <v>1603</v>
      </c>
      <c r="H784" s="132" t="s">
        <v>1604</v>
      </c>
      <c r="I784" s="132">
        <v>-5357.23</v>
      </c>
      <c r="J784" s="101" t="s">
        <v>889</v>
      </c>
      <c r="K784" s="245" t="s">
        <v>390</v>
      </c>
      <c r="L784" s="245">
        <v>42614</v>
      </c>
      <c r="M784" s="245" t="s">
        <v>391</v>
      </c>
      <c r="N784" s="101">
        <v>0</v>
      </c>
      <c r="O784" s="101" t="s">
        <v>392</v>
      </c>
      <c r="P784" s="101">
        <v>0</v>
      </c>
      <c r="Q784" s="101">
        <v>0</v>
      </c>
      <c r="R784" s="101" t="s">
        <v>393</v>
      </c>
      <c r="S784" s="101" t="s">
        <v>805</v>
      </c>
      <c r="T784" s="101" t="s">
        <v>394</v>
      </c>
      <c r="V784" s="245">
        <v>46539</v>
      </c>
      <c r="W784" s="101" t="s">
        <v>535</v>
      </c>
      <c r="X784" s="101" t="s">
        <v>76</v>
      </c>
      <c r="Y784" s="101" t="s">
        <v>471</v>
      </c>
      <c r="Z784" s="101" t="s">
        <v>402</v>
      </c>
      <c r="AA784" s="101" t="s">
        <v>78</v>
      </c>
      <c r="AB784" s="101">
        <v>4101000279</v>
      </c>
      <c r="AC784" s="101" t="s">
        <v>398</v>
      </c>
      <c r="AD784" s="101" t="s">
        <v>403</v>
      </c>
      <c r="AE784" s="101" t="s">
        <v>75</v>
      </c>
      <c r="AF784" s="101" t="s">
        <v>400</v>
      </c>
      <c r="AI784" s="101" t="s">
        <v>760</v>
      </c>
    </row>
    <row r="785" spans="1:35">
      <c r="A785" s="246" t="s">
        <v>111</v>
      </c>
      <c r="B785" s="246" t="s">
        <v>78</v>
      </c>
      <c r="C785" s="246" t="s">
        <v>126</v>
      </c>
      <c r="D785" s="246" t="s">
        <v>768</v>
      </c>
      <c r="E785" s="246" t="s">
        <v>769</v>
      </c>
      <c r="F785" s="246"/>
      <c r="G785" s="132" t="s">
        <v>1605</v>
      </c>
      <c r="H785" s="132" t="s">
        <v>1606</v>
      </c>
      <c r="I785" s="132">
        <v>-5520.37</v>
      </c>
      <c r="J785" s="101" t="s">
        <v>889</v>
      </c>
      <c r="K785" s="245" t="s">
        <v>390</v>
      </c>
      <c r="L785" s="245">
        <v>42705</v>
      </c>
      <c r="M785" s="245" t="s">
        <v>391</v>
      </c>
      <c r="N785" s="101">
        <v>0</v>
      </c>
      <c r="O785" s="101" t="s">
        <v>392</v>
      </c>
      <c r="P785" s="101">
        <v>0</v>
      </c>
      <c r="Q785" s="101">
        <v>0</v>
      </c>
      <c r="R785" s="101" t="s">
        <v>393</v>
      </c>
      <c r="S785" s="101" t="s">
        <v>805</v>
      </c>
      <c r="T785" s="101" t="s">
        <v>394</v>
      </c>
      <c r="V785" s="245">
        <v>46539</v>
      </c>
      <c r="W785" s="101" t="s">
        <v>535</v>
      </c>
      <c r="X785" s="101" t="s">
        <v>76</v>
      </c>
      <c r="Y785" s="101" t="s">
        <v>471</v>
      </c>
      <c r="Z785" s="101" t="s">
        <v>402</v>
      </c>
      <c r="AA785" s="101" t="s">
        <v>78</v>
      </c>
      <c r="AB785" s="101">
        <v>4101000279</v>
      </c>
      <c r="AC785" s="101" t="s">
        <v>398</v>
      </c>
      <c r="AD785" s="101" t="s">
        <v>403</v>
      </c>
      <c r="AE785" s="101" t="s">
        <v>75</v>
      </c>
      <c r="AF785" s="101" t="s">
        <v>400</v>
      </c>
      <c r="AI785" s="101" t="s">
        <v>760</v>
      </c>
    </row>
    <row r="786" spans="1:35">
      <c r="A786" s="246" t="s">
        <v>111</v>
      </c>
      <c r="B786" s="246" t="s">
        <v>78</v>
      </c>
      <c r="C786" s="246" t="s">
        <v>126</v>
      </c>
      <c r="D786" s="246" t="s">
        <v>768</v>
      </c>
      <c r="E786" s="246" t="s">
        <v>769</v>
      </c>
      <c r="F786" s="246"/>
      <c r="G786" s="132" t="s">
        <v>1607</v>
      </c>
      <c r="H786" s="132" t="s">
        <v>1608</v>
      </c>
      <c r="I786" s="132">
        <v>-5950.9199999999992</v>
      </c>
      <c r="J786" s="101" t="s">
        <v>889</v>
      </c>
      <c r="K786" s="245" t="s">
        <v>390</v>
      </c>
      <c r="L786" s="245">
        <v>42795</v>
      </c>
      <c r="M786" s="245" t="s">
        <v>391</v>
      </c>
      <c r="N786" s="101">
        <v>0</v>
      </c>
      <c r="O786" s="101" t="s">
        <v>392</v>
      </c>
      <c r="P786" s="101">
        <v>0</v>
      </c>
      <c r="Q786" s="101">
        <v>0</v>
      </c>
      <c r="R786" s="101" t="s">
        <v>393</v>
      </c>
      <c r="S786" s="101" t="s">
        <v>805</v>
      </c>
      <c r="T786" s="101" t="s">
        <v>394</v>
      </c>
      <c r="V786" s="245">
        <v>46539</v>
      </c>
      <c r="W786" s="101" t="s">
        <v>535</v>
      </c>
      <c r="X786" s="101" t="s">
        <v>76</v>
      </c>
      <c r="Y786" s="101" t="s">
        <v>471</v>
      </c>
      <c r="Z786" s="101" t="s">
        <v>402</v>
      </c>
      <c r="AA786" s="101" t="s">
        <v>78</v>
      </c>
      <c r="AB786" s="101">
        <v>4101000279</v>
      </c>
      <c r="AC786" s="101" t="s">
        <v>398</v>
      </c>
      <c r="AD786" s="101" t="s">
        <v>403</v>
      </c>
      <c r="AE786" s="101" t="s">
        <v>75</v>
      </c>
      <c r="AF786" s="101" t="s">
        <v>400</v>
      </c>
      <c r="AI786" s="101" t="s">
        <v>760</v>
      </c>
    </row>
    <row r="787" spans="1:35">
      <c r="A787" s="246" t="s">
        <v>112</v>
      </c>
      <c r="B787" s="246" t="s">
        <v>78</v>
      </c>
      <c r="C787" s="246" t="s">
        <v>126</v>
      </c>
      <c r="D787" s="246" t="s">
        <v>341</v>
      </c>
      <c r="E787" s="246" t="s">
        <v>342</v>
      </c>
      <c r="F787" s="246"/>
      <c r="G787" s="132" t="s">
        <v>1609</v>
      </c>
      <c r="H787" s="132" t="s">
        <v>1610</v>
      </c>
      <c r="I787" s="132">
        <v>-6445.7699999999995</v>
      </c>
      <c r="J787" s="101" t="s">
        <v>889</v>
      </c>
      <c r="K787" s="245" t="s">
        <v>390</v>
      </c>
      <c r="L787" s="245">
        <v>42887</v>
      </c>
      <c r="M787" s="245" t="s">
        <v>391</v>
      </c>
      <c r="N787" s="101">
        <v>0</v>
      </c>
      <c r="O787" s="101" t="s">
        <v>392</v>
      </c>
      <c r="P787" s="101">
        <v>0</v>
      </c>
      <c r="Q787" s="101">
        <v>0</v>
      </c>
      <c r="R787" s="101" t="s">
        <v>393</v>
      </c>
      <c r="S787" s="101" t="s">
        <v>805</v>
      </c>
      <c r="T787" s="101" t="s">
        <v>394</v>
      </c>
      <c r="V787" s="245">
        <v>46539</v>
      </c>
      <c r="W787" s="101" t="s">
        <v>535</v>
      </c>
      <c r="X787" s="101" t="s">
        <v>76</v>
      </c>
      <c r="Y787" s="101" t="s">
        <v>471</v>
      </c>
      <c r="Z787" s="101" t="s">
        <v>402</v>
      </c>
      <c r="AA787" s="101" t="s">
        <v>78</v>
      </c>
      <c r="AB787" s="101">
        <v>4101000279</v>
      </c>
      <c r="AC787" s="101" t="s">
        <v>398</v>
      </c>
      <c r="AD787" s="101" t="s">
        <v>403</v>
      </c>
      <c r="AE787" s="101" t="s">
        <v>75</v>
      </c>
      <c r="AF787" s="101" t="s">
        <v>400</v>
      </c>
      <c r="AI787" s="101" t="s">
        <v>760</v>
      </c>
    </row>
    <row r="788" spans="1:35">
      <c r="A788" s="246" t="s">
        <v>112</v>
      </c>
      <c r="B788" s="246" t="s">
        <v>78</v>
      </c>
      <c r="C788" s="246" t="s">
        <v>126</v>
      </c>
      <c r="D788" s="246" t="s">
        <v>341</v>
      </c>
      <c r="E788" s="246" t="s">
        <v>342</v>
      </c>
      <c r="F788" s="246"/>
      <c r="G788" s="132" t="s">
        <v>1611</v>
      </c>
      <c r="H788" s="132" t="s">
        <v>1612</v>
      </c>
      <c r="I788" s="132">
        <v>-7413.79</v>
      </c>
      <c r="J788" s="101" t="s">
        <v>889</v>
      </c>
      <c r="K788" s="245" t="s">
        <v>390</v>
      </c>
      <c r="L788" s="245">
        <v>42979</v>
      </c>
      <c r="M788" s="245" t="s">
        <v>391</v>
      </c>
      <c r="N788" s="101">
        <v>0</v>
      </c>
      <c r="O788" s="101" t="s">
        <v>392</v>
      </c>
      <c r="P788" s="101">
        <v>0</v>
      </c>
      <c r="Q788" s="101">
        <v>0</v>
      </c>
      <c r="R788" s="101" t="s">
        <v>393</v>
      </c>
      <c r="S788" s="101" t="s">
        <v>805</v>
      </c>
      <c r="T788" s="101" t="s">
        <v>394</v>
      </c>
      <c r="V788" s="245">
        <v>46539</v>
      </c>
      <c r="W788" s="101" t="s">
        <v>535</v>
      </c>
      <c r="X788" s="101" t="s">
        <v>76</v>
      </c>
      <c r="Y788" s="101" t="s">
        <v>471</v>
      </c>
      <c r="Z788" s="101" t="s">
        <v>402</v>
      </c>
      <c r="AA788" s="101" t="s">
        <v>78</v>
      </c>
      <c r="AB788" s="101">
        <v>4101000279</v>
      </c>
      <c r="AC788" s="101" t="s">
        <v>398</v>
      </c>
      <c r="AD788" s="101" t="s">
        <v>403</v>
      </c>
      <c r="AE788" s="101" t="s">
        <v>75</v>
      </c>
      <c r="AF788" s="101" t="s">
        <v>400</v>
      </c>
      <c r="AI788" s="101" t="s">
        <v>760</v>
      </c>
    </row>
    <row r="789" spans="1:35">
      <c r="A789" s="246" t="s">
        <v>113</v>
      </c>
      <c r="B789" s="246" t="s">
        <v>78</v>
      </c>
      <c r="C789" s="246" t="s">
        <v>126</v>
      </c>
      <c r="D789" s="246" t="s">
        <v>339</v>
      </c>
      <c r="E789" s="246" t="s">
        <v>340</v>
      </c>
      <c r="F789" s="246"/>
      <c r="G789" s="132" t="s">
        <v>1613</v>
      </c>
      <c r="H789" s="132" t="s">
        <v>1614</v>
      </c>
      <c r="I789" s="132">
        <v>-7333.0999999999995</v>
      </c>
      <c r="J789" s="101" t="s">
        <v>889</v>
      </c>
      <c r="K789" s="245" t="s">
        <v>390</v>
      </c>
      <c r="L789" s="245">
        <v>43070</v>
      </c>
      <c r="M789" s="245" t="s">
        <v>391</v>
      </c>
      <c r="N789" s="101">
        <v>0</v>
      </c>
      <c r="O789" s="101" t="s">
        <v>392</v>
      </c>
      <c r="P789" s="101">
        <v>0</v>
      </c>
      <c r="Q789" s="101">
        <v>0</v>
      </c>
      <c r="R789" s="101" t="s">
        <v>393</v>
      </c>
      <c r="S789" s="101" t="s">
        <v>805</v>
      </c>
      <c r="T789" s="101" t="s">
        <v>394</v>
      </c>
      <c r="V789" s="245">
        <v>46539</v>
      </c>
      <c r="W789" s="101" t="s">
        <v>535</v>
      </c>
      <c r="X789" s="101" t="s">
        <v>76</v>
      </c>
      <c r="Y789" s="101" t="s">
        <v>471</v>
      </c>
      <c r="Z789" s="101" t="s">
        <v>402</v>
      </c>
      <c r="AA789" s="101" t="s">
        <v>78</v>
      </c>
      <c r="AB789" s="101">
        <v>4101000279</v>
      </c>
      <c r="AC789" s="101" t="s">
        <v>398</v>
      </c>
      <c r="AD789" s="101" t="s">
        <v>403</v>
      </c>
      <c r="AE789" s="101" t="s">
        <v>75</v>
      </c>
      <c r="AF789" s="101" t="s">
        <v>400</v>
      </c>
      <c r="AI789" s="101" t="s">
        <v>760</v>
      </c>
    </row>
    <row r="790" spans="1:35">
      <c r="A790" s="246" t="s">
        <v>113</v>
      </c>
      <c r="B790" s="246" t="s">
        <v>78</v>
      </c>
      <c r="C790" s="246" t="s">
        <v>126</v>
      </c>
      <c r="D790" s="246" t="s">
        <v>339</v>
      </c>
      <c r="E790" s="246" t="s">
        <v>340</v>
      </c>
      <c r="F790" s="246"/>
      <c r="G790" s="132" t="s">
        <v>1615</v>
      </c>
      <c r="H790" s="132" t="s">
        <v>1616</v>
      </c>
      <c r="I790" s="132">
        <v>-7252.42</v>
      </c>
      <c r="J790" s="101" t="s">
        <v>889</v>
      </c>
      <c r="K790" s="245" t="s">
        <v>390</v>
      </c>
      <c r="L790" s="245">
        <v>43160</v>
      </c>
      <c r="M790" s="245" t="s">
        <v>391</v>
      </c>
      <c r="N790" s="101">
        <v>0</v>
      </c>
      <c r="O790" s="101" t="s">
        <v>392</v>
      </c>
      <c r="P790" s="101">
        <v>0</v>
      </c>
      <c r="Q790" s="101">
        <v>0</v>
      </c>
      <c r="R790" s="101" t="s">
        <v>393</v>
      </c>
      <c r="S790" s="101" t="s">
        <v>805</v>
      </c>
      <c r="T790" s="101" t="s">
        <v>394</v>
      </c>
      <c r="V790" s="245">
        <v>46539</v>
      </c>
      <c r="W790" s="101" t="s">
        <v>535</v>
      </c>
      <c r="X790" s="101" t="s">
        <v>76</v>
      </c>
      <c r="Y790" s="101" t="s">
        <v>471</v>
      </c>
      <c r="Z790" s="101" t="s">
        <v>402</v>
      </c>
      <c r="AA790" s="101" t="s">
        <v>78</v>
      </c>
      <c r="AB790" s="101">
        <v>4101000279</v>
      </c>
      <c r="AC790" s="101" t="s">
        <v>398</v>
      </c>
      <c r="AD790" s="101" t="s">
        <v>403</v>
      </c>
      <c r="AE790" s="101" t="s">
        <v>75</v>
      </c>
      <c r="AF790" s="101" t="s">
        <v>400</v>
      </c>
      <c r="AI790" s="101" t="s">
        <v>760</v>
      </c>
    </row>
    <row r="791" spans="1:35">
      <c r="A791" s="246" t="s">
        <v>109</v>
      </c>
      <c r="B791" s="246" t="s">
        <v>66</v>
      </c>
      <c r="C791" s="246" t="s">
        <v>126</v>
      </c>
      <c r="D791" s="246" t="s">
        <v>272</v>
      </c>
      <c r="E791" s="246"/>
      <c r="F791" s="246"/>
      <c r="G791" s="132" t="s">
        <v>559</v>
      </c>
      <c r="H791" s="132" t="s">
        <v>1617</v>
      </c>
      <c r="I791" s="132">
        <v>-234204.5</v>
      </c>
      <c r="J791" s="101" t="s">
        <v>889</v>
      </c>
      <c r="K791" s="245" t="s">
        <v>390</v>
      </c>
      <c r="L791" s="245">
        <v>42578</v>
      </c>
      <c r="M791" s="245" t="s">
        <v>391</v>
      </c>
      <c r="N791" s="101">
        <v>0</v>
      </c>
      <c r="O791" s="101" t="s">
        <v>392</v>
      </c>
      <c r="P791" s="101">
        <v>0</v>
      </c>
      <c r="Q791" s="101">
        <v>0</v>
      </c>
      <c r="R791" s="101" t="s">
        <v>444</v>
      </c>
      <c r="S791" s="101" t="s">
        <v>560</v>
      </c>
      <c r="T791" s="101" t="s">
        <v>394</v>
      </c>
      <c r="U791" s="101" t="s">
        <v>87</v>
      </c>
      <c r="V791" s="245">
        <v>45505</v>
      </c>
      <c r="W791" s="101" t="s">
        <v>445</v>
      </c>
      <c r="X791" s="101" t="s">
        <v>76</v>
      </c>
      <c r="Y791" s="101" t="s">
        <v>392</v>
      </c>
      <c r="Z791" s="101" t="s">
        <v>412</v>
      </c>
      <c r="AA791" s="101" t="s">
        <v>561</v>
      </c>
      <c r="AB791" s="101">
        <v>101002085</v>
      </c>
      <c r="AC791" s="101" t="s">
        <v>414</v>
      </c>
      <c r="AD791" s="101" t="s">
        <v>79</v>
      </c>
      <c r="AE791" s="101" t="s">
        <v>75</v>
      </c>
      <c r="AF791" s="101" t="s">
        <v>400</v>
      </c>
      <c r="AI791" s="101" t="s">
        <v>172</v>
      </c>
    </row>
    <row r="792" spans="1:35">
      <c r="A792" s="246" t="s">
        <v>111</v>
      </c>
      <c r="B792" s="246" t="s">
        <v>66</v>
      </c>
      <c r="C792" s="246" t="s">
        <v>126</v>
      </c>
      <c r="D792" s="246" t="s">
        <v>273</v>
      </c>
      <c r="E792" s="246"/>
      <c r="F792" s="246"/>
      <c r="G792" s="132" t="s">
        <v>559</v>
      </c>
      <c r="H792" s="132" t="s">
        <v>1617</v>
      </c>
      <c r="I792" s="132">
        <v>-234204.5</v>
      </c>
      <c r="J792" s="101" t="s">
        <v>889</v>
      </c>
      <c r="K792" s="245" t="s">
        <v>390</v>
      </c>
      <c r="L792" s="245">
        <v>42762</v>
      </c>
      <c r="M792" s="245" t="s">
        <v>391</v>
      </c>
      <c r="N792" s="101">
        <v>0</v>
      </c>
      <c r="O792" s="101" t="s">
        <v>392</v>
      </c>
      <c r="P792" s="101">
        <v>0</v>
      </c>
      <c r="Q792" s="101">
        <v>0</v>
      </c>
      <c r="R792" s="101" t="s">
        <v>444</v>
      </c>
      <c r="S792" s="101" t="s">
        <v>560</v>
      </c>
      <c r="T792" s="101" t="s">
        <v>394</v>
      </c>
      <c r="U792" s="101" t="s">
        <v>87</v>
      </c>
      <c r="V792" s="245">
        <v>45505</v>
      </c>
      <c r="W792" s="101" t="s">
        <v>445</v>
      </c>
      <c r="X792" s="101" t="s">
        <v>76</v>
      </c>
      <c r="Y792" s="101" t="s">
        <v>392</v>
      </c>
      <c r="Z792" s="101" t="s">
        <v>412</v>
      </c>
      <c r="AA792" s="101" t="s">
        <v>561</v>
      </c>
      <c r="AB792" s="101">
        <v>101002085</v>
      </c>
      <c r="AC792" s="101" t="s">
        <v>414</v>
      </c>
      <c r="AD792" s="101" t="s">
        <v>79</v>
      </c>
      <c r="AE792" s="101" t="s">
        <v>75</v>
      </c>
      <c r="AF792" s="101" t="s">
        <v>400</v>
      </c>
      <c r="AI792" s="101" t="s">
        <v>172</v>
      </c>
    </row>
    <row r="793" spans="1:35">
      <c r="A793" s="246" t="s">
        <v>112</v>
      </c>
      <c r="B793" s="246" t="s">
        <v>66</v>
      </c>
      <c r="C793" s="246" t="s">
        <v>126</v>
      </c>
      <c r="D793" s="246" t="s">
        <v>270</v>
      </c>
      <c r="E793" s="246"/>
      <c r="F793" s="246"/>
      <c r="G793" s="132" t="s">
        <v>559</v>
      </c>
      <c r="H793" s="132" t="s">
        <v>1617</v>
      </c>
      <c r="I793" s="132">
        <v>-234204.5</v>
      </c>
      <c r="J793" s="101" t="s">
        <v>889</v>
      </c>
      <c r="K793" s="245" t="s">
        <v>390</v>
      </c>
      <c r="L793" s="245">
        <v>42943</v>
      </c>
      <c r="M793" s="245" t="s">
        <v>391</v>
      </c>
      <c r="N793" s="101">
        <v>0</v>
      </c>
      <c r="O793" s="101" t="s">
        <v>392</v>
      </c>
      <c r="P793" s="101">
        <v>0</v>
      </c>
      <c r="Q793" s="101">
        <v>0</v>
      </c>
      <c r="R793" s="101" t="s">
        <v>444</v>
      </c>
      <c r="S793" s="101" t="s">
        <v>560</v>
      </c>
      <c r="T793" s="101" t="s">
        <v>394</v>
      </c>
      <c r="U793" s="101" t="s">
        <v>87</v>
      </c>
      <c r="V793" s="245">
        <v>45505</v>
      </c>
      <c r="W793" s="101" t="s">
        <v>445</v>
      </c>
      <c r="X793" s="101" t="s">
        <v>76</v>
      </c>
      <c r="Y793" s="101" t="s">
        <v>392</v>
      </c>
      <c r="Z793" s="101" t="s">
        <v>412</v>
      </c>
      <c r="AA793" s="101" t="s">
        <v>561</v>
      </c>
      <c r="AB793" s="101">
        <v>101002085</v>
      </c>
      <c r="AC793" s="101" t="s">
        <v>414</v>
      </c>
      <c r="AD793" s="101" t="s">
        <v>79</v>
      </c>
      <c r="AE793" s="101" t="s">
        <v>75</v>
      </c>
      <c r="AF793" s="101" t="s">
        <v>400</v>
      </c>
      <c r="AI793" s="101" t="s">
        <v>172</v>
      </c>
    </row>
    <row r="794" spans="1:35">
      <c r="A794" s="246" t="s">
        <v>113</v>
      </c>
      <c r="B794" s="246" t="s">
        <v>66</v>
      </c>
      <c r="C794" s="246" t="s">
        <v>126</v>
      </c>
      <c r="D794" s="246" t="s">
        <v>271</v>
      </c>
      <c r="E794" s="246"/>
      <c r="F794" s="246"/>
      <c r="G794" s="132" t="s">
        <v>559</v>
      </c>
      <c r="H794" s="132" t="s">
        <v>1617</v>
      </c>
      <c r="I794" s="132">
        <v>-234204.5</v>
      </c>
      <c r="J794" s="101" t="s">
        <v>889</v>
      </c>
      <c r="K794" s="245" t="s">
        <v>390</v>
      </c>
      <c r="L794" s="245">
        <v>43129</v>
      </c>
      <c r="M794" s="245" t="s">
        <v>391</v>
      </c>
      <c r="N794" s="101">
        <v>0</v>
      </c>
      <c r="O794" s="101" t="s">
        <v>392</v>
      </c>
      <c r="P794" s="101">
        <v>0</v>
      </c>
      <c r="Q794" s="101">
        <v>0</v>
      </c>
      <c r="R794" s="101" t="s">
        <v>444</v>
      </c>
      <c r="S794" s="101" t="s">
        <v>560</v>
      </c>
      <c r="T794" s="101" t="s">
        <v>394</v>
      </c>
      <c r="U794" s="101" t="s">
        <v>87</v>
      </c>
      <c r="V794" s="245">
        <v>45505</v>
      </c>
      <c r="W794" s="101" t="s">
        <v>445</v>
      </c>
      <c r="X794" s="101" t="s">
        <v>76</v>
      </c>
      <c r="Y794" s="101" t="s">
        <v>392</v>
      </c>
      <c r="Z794" s="101" t="s">
        <v>412</v>
      </c>
      <c r="AA794" s="101" t="s">
        <v>561</v>
      </c>
      <c r="AB794" s="101">
        <v>101002085</v>
      </c>
      <c r="AC794" s="101" t="s">
        <v>414</v>
      </c>
      <c r="AD794" s="101" t="s">
        <v>79</v>
      </c>
      <c r="AE794" s="101" t="s">
        <v>75</v>
      </c>
      <c r="AF794" s="101" t="s">
        <v>400</v>
      </c>
      <c r="AI794" s="101" t="s">
        <v>172</v>
      </c>
    </row>
    <row r="795" spans="1:35">
      <c r="A795" s="246" t="s">
        <v>109</v>
      </c>
      <c r="B795" s="246" t="s">
        <v>66</v>
      </c>
      <c r="C795" s="246" t="s">
        <v>126</v>
      </c>
      <c r="D795" s="246" t="s">
        <v>272</v>
      </c>
      <c r="E795" s="246"/>
      <c r="F795" s="246" t="s">
        <v>275</v>
      </c>
      <c r="G795" s="132" t="s">
        <v>714</v>
      </c>
      <c r="H795" s="132" t="s">
        <v>1618</v>
      </c>
      <c r="I795" s="132">
        <v>-149193.83000000002</v>
      </c>
      <c r="J795" s="101" t="s">
        <v>889</v>
      </c>
      <c r="K795" s="245" t="s">
        <v>390</v>
      </c>
      <c r="L795" s="245">
        <v>42552</v>
      </c>
      <c r="M795" s="245" t="s">
        <v>391</v>
      </c>
      <c r="N795" s="101">
        <v>0</v>
      </c>
      <c r="O795" s="101" t="s">
        <v>392</v>
      </c>
      <c r="P795" s="101">
        <v>0</v>
      </c>
      <c r="Q795" s="101">
        <v>0</v>
      </c>
      <c r="R795" s="101" t="s">
        <v>422</v>
      </c>
      <c r="S795" s="101" t="s">
        <v>719</v>
      </c>
      <c r="T795" s="101" t="s">
        <v>394</v>
      </c>
      <c r="U795" s="101" t="s">
        <v>5</v>
      </c>
      <c r="V795" s="245">
        <v>13697</v>
      </c>
      <c r="W795" s="101" t="s">
        <v>411</v>
      </c>
      <c r="X795" s="101" t="s">
        <v>77</v>
      </c>
      <c r="Y795" s="101" t="s">
        <v>392</v>
      </c>
      <c r="Z795" s="101" t="s">
        <v>412</v>
      </c>
      <c r="AA795" s="101" t="s">
        <v>720</v>
      </c>
      <c r="AB795" s="101">
        <v>3101006981</v>
      </c>
      <c r="AC795" s="101" t="s">
        <v>414</v>
      </c>
      <c r="AD795" s="101" t="s">
        <v>79</v>
      </c>
      <c r="AE795" s="101" t="s">
        <v>6</v>
      </c>
      <c r="AF795" s="101" t="s">
        <v>400</v>
      </c>
      <c r="AI795" s="101" t="s">
        <v>190</v>
      </c>
    </row>
    <row r="796" spans="1:35">
      <c r="A796" s="246" t="s">
        <v>111</v>
      </c>
      <c r="B796" s="246" t="s">
        <v>66</v>
      </c>
      <c r="C796" s="246" t="s">
        <v>126</v>
      </c>
      <c r="D796" s="246" t="s">
        <v>273</v>
      </c>
      <c r="E796" s="246"/>
      <c r="F796" s="246" t="s">
        <v>277</v>
      </c>
      <c r="G796" s="132" t="s">
        <v>715</v>
      </c>
      <c r="H796" s="132" t="s">
        <v>1619</v>
      </c>
      <c r="I796" s="132">
        <v>-153408.34</v>
      </c>
      <c r="J796" s="101" t="s">
        <v>889</v>
      </c>
      <c r="K796" s="245" t="s">
        <v>390</v>
      </c>
      <c r="L796" s="245">
        <v>42738</v>
      </c>
      <c r="M796" s="245" t="s">
        <v>391</v>
      </c>
      <c r="N796" s="101">
        <v>0</v>
      </c>
      <c r="O796" s="101" t="s">
        <v>392</v>
      </c>
      <c r="P796" s="101">
        <v>0</v>
      </c>
      <c r="Q796" s="101">
        <v>0</v>
      </c>
      <c r="R796" s="101" t="s">
        <v>422</v>
      </c>
      <c r="S796" s="101" t="s">
        <v>719</v>
      </c>
      <c r="T796" s="101" t="s">
        <v>394</v>
      </c>
      <c r="U796" s="101" t="s">
        <v>5</v>
      </c>
      <c r="V796" s="245">
        <v>13697</v>
      </c>
      <c r="W796" s="101" t="s">
        <v>411</v>
      </c>
      <c r="X796" s="101" t="s">
        <v>77</v>
      </c>
      <c r="Y796" s="101" t="s">
        <v>392</v>
      </c>
      <c r="Z796" s="101" t="s">
        <v>412</v>
      </c>
      <c r="AA796" s="101" t="s">
        <v>720</v>
      </c>
      <c r="AB796" s="101">
        <v>3101006981</v>
      </c>
      <c r="AC796" s="101" t="s">
        <v>414</v>
      </c>
      <c r="AD796" s="101" t="s">
        <v>79</v>
      </c>
      <c r="AE796" s="101" t="s">
        <v>6</v>
      </c>
      <c r="AF796" s="101" t="s">
        <v>400</v>
      </c>
      <c r="AI796" s="101" t="s">
        <v>190</v>
      </c>
    </row>
    <row r="797" spans="1:35">
      <c r="A797" s="246" t="s">
        <v>112</v>
      </c>
      <c r="B797" s="246" t="s">
        <v>66</v>
      </c>
      <c r="C797" s="246" t="s">
        <v>126</v>
      </c>
      <c r="D797" s="246" t="s">
        <v>270</v>
      </c>
      <c r="E797" s="246"/>
      <c r="F797" s="246" t="s">
        <v>278</v>
      </c>
      <c r="G797" s="132" t="s">
        <v>716</v>
      </c>
      <c r="H797" s="132" t="s">
        <v>1620</v>
      </c>
      <c r="I797" s="132">
        <v>-151722.53999999998</v>
      </c>
      <c r="J797" s="101" t="s">
        <v>889</v>
      </c>
      <c r="K797" s="245" t="s">
        <v>390</v>
      </c>
      <c r="L797" s="245">
        <v>42919</v>
      </c>
      <c r="M797" s="245" t="s">
        <v>391</v>
      </c>
      <c r="N797" s="101">
        <v>0</v>
      </c>
      <c r="O797" s="101" t="s">
        <v>392</v>
      </c>
      <c r="P797" s="101">
        <v>0</v>
      </c>
      <c r="Q797" s="101">
        <v>0</v>
      </c>
      <c r="R797" s="101" t="s">
        <v>422</v>
      </c>
      <c r="S797" s="101" t="s">
        <v>719</v>
      </c>
      <c r="T797" s="101" t="s">
        <v>394</v>
      </c>
      <c r="U797" s="101" t="s">
        <v>5</v>
      </c>
      <c r="V797" s="245">
        <v>13697</v>
      </c>
      <c r="W797" s="101" t="s">
        <v>411</v>
      </c>
      <c r="X797" s="101" t="s">
        <v>77</v>
      </c>
      <c r="Y797" s="101" t="s">
        <v>392</v>
      </c>
      <c r="Z797" s="101" t="s">
        <v>412</v>
      </c>
      <c r="AA797" s="101" t="s">
        <v>720</v>
      </c>
      <c r="AB797" s="101">
        <v>3101006981</v>
      </c>
      <c r="AC797" s="101" t="s">
        <v>414</v>
      </c>
      <c r="AD797" s="101" t="s">
        <v>79</v>
      </c>
      <c r="AE797" s="101" t="s">
        <v>6</v>
      </c>
      <c r="AF797" s="101" t="s">
        <v>400</v>
      </c>
      <c r="AI797" s="101" t="s">
        <v>190</v>
      </c>
    </row>
    <row r="798" spans="1:35">
      <c r="A798" s="246" t="s">
        <v>113</v>
      </c>
      <c r="B798" s="246" t="s">
        <v>66</v>
      </c>
      <c r="C798" s="246" t="s">
        <v>126</v>
      </c>
      <c r="D798" s="246" t="s">
        <v>271</v>
      </c>
      <c r="E798" s="246"/>
      <c r="F798" s="246" t="s">
        <v>279</v>
      </c>
      <c r="G798" s="132" t="s">
        <v>717</v>
      </c>
      <c r="H798" s="132" t="s">
        <v>1621</v>
      </c>
      <c r="I798" s="132">
        <v>-150879.63</v>
      </c>
      <c r="J798" s="101" t="s">
        <v>889</v>
      </c>
      <c r="K798" s="245" t="s">
        <v>390</v>
      </c>
      <c r="L798" s="245">
        <v>43102</v>
      </c>
      <c r="M798" s="245" t="s">
        <v>391</v>
      </c>
      <c r="N798" s="101">
        <v>0</v>
      </c>
      <c r="O798" s="101" t="s">
        <v>392</v>
      </c>
      <c r="P798" s="101">
        <v>0</v>
      </c>
      <c r="Q798" s="101">
        <v>0</v>
      </c>
      <c r="R798" s="101" t="s">
        <v>422</v>
      </c>
      <c r="S798" s="101" t="s">
        <v>719</v>
      </c>
      <c r="T798" s="101" t="s">
        <v>394</v>
      </c>
      <c r="U798" s="101" t="s">
        <v>5</v>
      </c>
      <c r="V798" s="245">
        <v>13697</v>
      </c>
      <c r="W798" s="101" t="s">
        <v>411</v>
      </c>
      <c r="X798" s="101" t="s">
        <v>77</v>
      </c>
      <c r="Y798" s="101" t="s">
        <v>392</v>
      </c>
      <c r="Z798" s="101" t="s">
        <v>412</v>
      </c>
      <c r="AA798" s="101" t="s">
        <v>720</v>
      </c>
      <c r="AB798" s="101">
        <v>3101006981</v>
      </c>
      <c r="AC798" s="101" t="s">
        <v>414</v>
      </c>
      <c r="AD798" s="101" t="s">
        <v>79</v>
      </c>
      <c r="AE798" s="101" t="s">
        <v>6</v>
      </c>
      <c r="AF798" s="101" t="s">
        <v>400</v>
      </c>
      <c r="AI798" s="101" t="s">
        <v>190</v>
      </c>
    </row>
    <row r="799" spans="1:35">
      <c r="A799" s="246" t="s">
        <v>110</v>
      </c>
      <c r="B799" s="246" t="s">
        <v>78</v>
      </c>
      <c r="C799" s="246" t="s">
        <v>126</v>
      </c>
      <c r="D799" s="246" t="s">
        <v>770</v>
      </c>
      <c r="E799" s="246" t="s">
        <v>771</v>
      </c>
      <c r="F799" s="246"/>
      <c r="G799" s="132">
        <v>-221375</v>
      </c>
      <c r="H799" s="132" t="s">
        <v>1622</v>
      </c>
      <c r="I799" s="132">
        <v>-221375</v>
      </c>
      <c r="J799" s="101" t="s">
        <v>889</v>
      </c>
      <c r="K799" s="245" t="s">
        <v>390</v>
      </c>
      <c r="L799" s="245">
        <v>42597</v>
      </c>
      <c r="M799" s="245" t="s">
        <v>391</v>
      </c>
      <c r="N799" s="101">
        <v>0</v>
      </c>
      <c r="O799" s="101" t="s">
        <v>392</v>
      </c>
      <c r="P799" s="101">
        <v>0</v>
      </c>
      <c r="Q799" s="101">
        <v>0</v>
      </c>
      <c r="R799" s="101" t="s">
        <v>450</v>
      </c>
      <c r="S799" s="101">
        <v>193988</v>
      </c>
      <c r="T799" s="101" t="s">
        <v>394</v>
      </c>
      <c r="V799" s="245">
        <v>46980</v>
      </c>
      <c r="W799" s="101" t="s">
        <v>411</v>
      </c>
      <c r="X799" s="101" t="s">
        <v>77</v>
      </c>
      <c r="Y799" s="101" t="s">
        <v>392</v>
      </c>
      <c r="Z799" s="101" t="s">
        <v>430</v>
      </c>
      <c r="AA799" s="101" t="s">
        <v>78</v>
      </c>
      <c r="AB799" s="101">
        <v>4101000279</v>
      </c>
      <c r="AC799" s="101" t="s">
        <v>431</v>
      </c>
      <c r="AD799" s="101" t="s">
        <v>431</v>
      </c>
      <c r="AE799" s="101" t="s">
        <v>75</v>
      </c>
      <c r="AF799" s="101" t="s">
        <v>400</v>
      </c>
      <c r="AG799" s="101" t="s">
        <v>452</v>
      </c>
      <c r="AI799" s="101" t="s">
        <v>760</v>
      </c>
    </row>
    <row r="800" spans="1:35">
      <c r="A800" s="246" t="s">
        <v>111</v>
      </c>
      <c r="B800" s="246" t="s">
        <v>78</v>
      </c>
      <c r="C800" s="246" t="s">
        <v>126</v>
      </c>
      <c r="D800" s="246" t="s">
        <v>768</v>
      </c>
      <c r="E800" s="246" t="s">
        <v>769</v>
      </c>
      <c r="F800" s="246"/>
      <c r="G800" s="132">
        <v>-221375</v>
      </c>
      <c r="H800" s="132" t="s">
        <v>1622</v>
      </c>
      <c r="I800" s="132">
        <v>-221375</v>
      </c>
      <c r="J800" s="101" t="s">
        <v>889</v>
      </c>
      <c r="K800" s="245" t="s">
        <v>390</v>
      </c>
      <c r="L800" s="245">
        <v>42781</v>
      </c>
      <c r="M800" s="245" t="s">
        <v>391</v>
      </c>
      <c r="N800" s="101">
        <v>0</v>
      </c>
      <c r="O800" s="101" t="s">
        <v>392</v>
      </c>
      <c r="P800" s="101">
        <v>0</v>
      </c>
      <c r="Q800" s="101">
        <v>0</v>
      </c>
      <c r="R800" s="101" t="s">
        <v>450</v>
      </c>
      <c r="S800" s="101">
        <v>193988</v>
      </c>
      <c r="T800" s="101" t="s">
        <v>394</v>
      </c>
      <c r="V800" s="245">
        <v>46980</v>
      </c>
      <c r="W800" s="101" t="s">
        <v>411</v>
      </c>
      <c r="X800" s="101" t="s">
        <v>77</v>
      </c>
      <c r="Y800" s="101" t="s">
        <v>392</v>
      </c>
      <c r="Z800" s="101" t="s">
        <v>430</v>
      </c>
      <c r="AA800" s="101" t="s">
        <v>78</v>
      </c>
      <c r="AB800" s="101">
        <v>4101000279</v>
      </c>
      <c r="AC800" s="101" t="s">
        <v>431</v>
      </c>
      <c r="AD800" s="101" t="s">
        <v>431</v>
      </c>
      <c r="AE800" s="101" t="s">
        <v>75</v>
      </c>
      <c r="AF800" s="101" t="s">
        <v>400</v>
      </c>
      <c r="AG800" s="101" t="s">
        <v>452</v>
      </c>
      <c r="AI800" s="101" t="s">
        <v>760</v>
      </c>
    </row>
    <row r="801" spans="1:35">
      <c r="A801" s="246" t="s">
        <v>112</v>
      </c>
      <c r="B801" s="246" t="s">
        <v>78</v>
      </c>
      <c r="C801" s="246" t="s">
        <v>126</v>
      </c>
      <c r="D801" s="246" t="s">
        <v>341</v>
      </c>
      <c r="E801" s="246" t="s">
        <v>342</v>
      </c>
      <c r="F801" s="246"/>
      <c r="G801" s="132">
        <v>-221375</v>
      </c>
      <c r="H801" s="132" t="s">
        <v>1622</v>
      </c>
      <c r="I801" s="132">
        <v>-221375</v>
      </c>
      <c r="J801" s="101" t="s">
        <v>889</v>
      </c>
      <c r="K801" s="245" t="s">
        <v>390</v>
      </c>
      <c r="L801" s="245">
        <v>42962</v>
      </c>
      <c r="M801" s="245" t="s">
        <v>391</v>
      </c>
      <c r="N801" s="101">
        <v>0</v>
      </c>
      <c r="O801" s="101" t="s">
        <v>392</v>
      </c>
      <c r="P801" s="101">
        <v>0</v>
      </c>
      <c r="Q801" s="101">
        <v>0</v>
      </c>
      <c r="R801" s="101" t="s">
        <v>450</v>
      </c>
      <c r="S801" s="101">
        <v>193988</v>
      </c>
      <c r="T801" s="101" t="s">
        <v>394</v>
      </c>
      <c r="V801" s="245">
        <v>46980</v>
      </c>
      <c r="W801" s="101" t="s">
        <v>411</v>
      </c>
      <c r="X801" s="101" t="s">
        <v>77</v>
      </c>
      <c r="Y801" s="101" t="s">
        <v>392</v>
      </c>
      <c r="Z801" s="101" t="s">
        <v>430</v>
      </c>
      <c r="AA801" s="101" t="s">
        <v>78</v>
      </c>
      <c r="AB801" s="101">
        <v>4101000279</v>
      </c>
      <c r="AC801" s="101" t="s">
        <v>431</v>
      </c>
      <c r="AD801" s="101" t="s">
        <v>431</v>
      </c>
      <c r="AE801" s="101" t="s">
        <v>75</v>
      </c>
      <c r="AF801" s="101" t="s">
        <v>400</v>
      </c>
      <c r="AG801" s="101" t="s">
        <v>452</v>
      </c>
      <c r="AI801" s="101" t="s">
        <v>760</v>
      </c>
    </row>
    <row r="802" spans="1:35">
      <c r="A802" s="246" t="s">
        <v>113</v>
      </c>
      <c r="B802" s="246" t="s">
        <v>78</v>
      </c>
      <c r="C802" s="246" t="s">
        <v>126</v>
      </c>
      <c r="D802" s="246" t="s">
        <v>339</v>
      </c>
      <c r="E802" s="246" t="s">
        <v>340</v>
      </c>
      <c r="F802" s="246"/>
      <c r="G802" s="132">
        <v>-221375</v>
      </c>
      <c r="H802" s="132" t="s">
        <v>1622</v>
      </c>
      <c r="I802" s="132">
        <v>-221375</v>
      </c>
      <c r="J802" s="101" t="s">
        <v>889</v>
      </c>
      <c r="K802" s="245" t="s">
        <v>390</v>
      </c>
      <c r="L802" s="245">
        <v>43146</v>
      </c>
      <c r="M802" s="245" t="s">
        <v>391</v>
      </c>
      <c r="N802" s="101">
        <v>0</v>
      </c>
      <c r="O802" s="101" t="s">
        <v>392</v>
      </c>
      <c r="P802" s="101">
        <v>0</v>
      </c>
      <c r="Q802" s="101">
        <v>0</v>
      </c>
      <c r="R802" s="101" t="s">
        <v>450</v>
      </c>
      <c r="S802" s="101">
        <v>193988</v>
      </c>
      <c r="T802" s="101" t="s">
        <v>394</v>
      </c>
      <c r="V802" s="245">
        <v>46980</v>
      </c>
      <c r="W802" s="101" t="s">
        <v>411</v>
      </c>
      <c r="X802" s="101" t="s">
        <v>77</v>
      </c>
      <c r="Y802" s="101" t="s">
        <v>392</v>
      </c>
      <c r="Z802" s="101" t="s">
        <v>430</v>
      </c>
      <c r="AA802" s="101" t="s">
        <v>78</v>
      </c>
      <c r="AB802" s="101">
        <v>4101000279</v>
      </c>
      <c r="AC802" s="101" t="s">
        <v>431</v>
      </c>
      <c r="AD802" s="101" t="s">
        <v>431</v>
      </c>
      <c r="AE802" s="101" t="s">
        <v>75</v>
      </c>
      <c r="AF802" s="101" t="s">
        <v>400</v>
      </c>
      <c r="AG802" s="101" t="s">
        <v>452</v>
      </c>
      <c r="AI802" s="101" t="s">
        <v>760</v>
      </c>
    </row>
    <row r="803" spans="1:35">
      <c r="A803" s="246" t="s">
        <v>107</v>
      </c>
      <c r="B803" s="246" t="s">
        <v>78</v>
      </c>
      <c r="C803" s="246" t="s">
        <v>126</v>
      </c>
      <c r="D803" s="246" t="s">
        <v>772</v>
      </c>
      <c r="E803" s="246" t="s">
        <v>773</v>
      </c>
      <c r="F803" s="246"/>
      <c r="G803" s="132" t="s">
        <v>728</v>
      </c>
      <c r="H803" s="132" t="s">
        <v>1623</v>
      </c>
      <c r="I803" s="132">
        <v>321901.16000000003</v>
      </c>
      <c r="J803" s="101" t="s">
        <v>889</v>
      </c>
      <c r="K803" s="245" t="s">
        <v>390</v>
      </c>
      <c r="L803" s="245">
        <v>42521</v>
      </c>
      <c r="M803" s="245" t="s">
        <v>391</v>
      </c>
      <c r="N803" s="101">
        <v>0</v>
      </c>
      <c r="O803" s="101" t="s">
        <v>392</v>
      </c>
      <c r="P803" s="101">
        <v>0</v>
      </c>
      <c r="Q803" s="101">
        <v>0</v>
      </c>
      <c r="R803" s="101" t="s">
        <v>393</v>
      </c>
      <c r="S803" s="101" t="s">
        <v>647</v>
      </c>
      <c r="T803" s="101" t="s">
        <v>394</v>
      </c>
      <c r="V803" s="245">
        <v>46371</v>
      </c>
      <c r="W803" s="101" t="s">
        <v>535</v>
      </c>
      <c r="X803" s="101" t="s">
        <v>362</v>
      </c>
      <c r="Y803" s="101" t="s">
        <v>471</v>
      </c>
      <c r="Z803" s="101" t="s">
        <v>402</v>
      </c>
      <c r="AA803" s="101" t="s">
        <v>78</v>
      </c>
      <c r="AB803" s="101">
        <v>4101000279</v>
      </c>
      <c r="AC803" s="101" t="s">
        <v>398</v>
      </c>
      <c r="AD803" s="101" t="s">
        <v>403</v>
      </c>
      <c r="AE803" s="101" t="s">
        <v>75</v>
      </c>
      <c r="AF803" s="101" t="s">
        <v>400</v>
      </c>
      <c r="AI803" s="101" t="s">
        <v>760</v>
      </c>
    </row>
    <row r="804" spans="1:35">
      <c r="A804" s="246" t="s">
        <v>109</v>
      </c>
      <c r="B804" s="246" t="s">
        <v>78</v>
      </c>
      <c r="C804" s="246" t="s">
        <v>126</v>
      </c>
      <c r="D804" s="246" t="s">
        <v>337</v>
      </c>
      <c r="E804" s="246" t="s">
        <v>336</v>
      </c>
      <c r="F804" s="246"/>
      <c r="G804" s="132" t="s">
        <v>729</v>
      </c>
      <c r="H804" s="132" t="s">
        <v>1624</v>
      </c>
      <c r="I804" s="132">
        <v>301053.33</v>
      </c>
      <c r="J804" s="101" t="s">
        <v>889</v>
      </c>
      <c r="K804" s="245" t="s">
        <v>390</v>
      </c>
      <c r="L804" s="245">
        <v>42551</v>
      </c>
      <c r="M804" s="245" t="s">
        <v>391</v>
      </c>
      <c r="N804" s="101">
        <v>0</v>
      </c>
      <c r="O804" s="101" t="s">
        <v>392</v>
      </c>
      <c r="P804" s="101">
        <v>0</v>
      </c>
      <c r="Q804" s="101">
        <v>0</v>
      </c>
      <c r="R804" s="101" t="s">
        <v>393</v>
      </c>
      <c r="S804" s="101" t="s">
        <v>647</v>
      </c>
      <c r="T804" s="101" t="s">
        <v>394</v>
      </c>
      <c r="V804" s="245">
        <v>46371</v>
      </c>
      <c r="W804" s="101" t="s">
        <v>535</v>
      </c>
      <c r="X804" s="101" t="s">
        <v>362</v>
      </c>
      <c r="Y804" s="101" t="s">
        <v>471</v>
      </c>
      <c r="Z804" s="101" t="s">
        <v>402</v>
      </c>
      <c r="AA804" s="101" t="s">
        <v>78</v>
      </c>
      <c r="AB804" s="101">
        <v>4101000279</v>
      </c>
      <c r="AC804" s="101" t="s">
        <v>398</v>
      </c>
      <c r="AD804" s="101" t="s">
        <v>403</v>
      </c>
      <c r="AE804" s="101" t="s">
        <v>75</v>
      </c>
      <c r="AF804" s="101" t="s">
        <v>400</v>
      </c>
      <c r="AI804" s="101" t="s">
        <v>760</v>
      </c>
    </row>
    <row r="805" spans="1:35">
      <c r="A805" s="246" t="s">
        <v>109</v>
      </c>
      <c r="B805" s="246" t="s">
        <v>78</v>
      </c>
      <c r="C805" s="246" t="s">
        <v>126</v>
      </c>
      <c r="D805" s="246" t="s">
        <v>337</v>
      </c>
      <c r="E805" s="246" t="s">
        <v>336</v>
      </c>
      <c r="F805" s="246"/>
      <c r="G805" s="132" t="s">
        <v>730</v>
      </c>
      <c r="H805" s="132" t="s">
        <v>1625</v>
      </c>
      <c r="I805" s="132">
        <v>297606.82</v>
      </c>
      <c r="J805" s="101" t="s">
        <v>889</v>
      </c>
      <c r="K805" s="245" t="s">
        <v>390</v>
      </c>
      <c r="L805" s="245">
        <v>42580</v>
      </c>
      <c r="M805" s="245" t="s">
        <v>391</v>
      </c>
      <c r="N805" s="101">
        <v>0</v>
      </c>
      <c r="O805" s="101" t="s">
        <v>392</v>
      </c>
      <c r="P805" s="101">
        <v>0</v>
      </c>
      <c r="Q805" s="101">
        <v>0</v>
      </c>
      <c r="R805" s="101" t="s">
        <v>393</v>
      </c>
      <c r="S805" s="101" t="s">
        <v>647</v>
      </c>
      <c r="T805" s="101" t="s">
        <v>394</v>
      </c>
      <c r="V805" s="245">
        <v>46371</v>
      </c>
      <c r="W805" s="101" t="s">
        <v>535</v>
      </c>
      <c r="X805" s="101" t="s">
        <v>362</v>
      </c>
      <c r="Y805" s="101" t="s">
        <v>471</v>
      </c>
      <c r="Z805" s="101" t="s">
        <v>402</v>
      </c>
      <c r="AA805" s="101" t="s">
        <v>78</v>
      </c>
      <c r="AB805" s="101">
        <v>4101000279</v>
      </c>
      <c r="AC805" s="101" t="s">
        <v>398</v>
      </c>
      <c r="AD805" s="101" t="s">
        <v>403</v>
      </c>
      <c r="AE805" s="101" t="s">
        <v>75</v>
      </c>
      <c r="AF805" s="101" t="s">
        <v>400</v>
      </c>
      <c r="AI805" s="101" t="s">
        <v>760</v>
      </c>
    </row>
    <row r="806" spans="1:35">
      <c r="A806" s="246" t="s">
        <v>110</v>
      </c>
      <c r="B806" s="246" t="s">
        <v>78</v>
      </c>
      <c r="C806" s="246" t="s">
        <v>126</v>
      </c>
      <c r="D806" s="246" t="s">
        <v>770</v>
      </c>
      <c r="E806" s="246" t="s">
        <v>771</v>
      </c>
      <c r="F806" s="246"/>
      <c r="G806" s="132" t="s">
        <v>731</v>
      </c>
      <c r="H806" s="132" t="s">
        <v>1626</v>
      </c>
      <c r="I806" s="132">
        <v>392087.85</v>
      </c>
      <c r="J806" s="101" t="s">
        <v>889</v>
      </c>
      <c r="K806" s="245" t="s">
        <v>390</v>
      </c>
      <c r="L806" s="245">
        <v>42613</v>
      </c>
      <c r="M806" s="245" t="s">
        <v>391</v>
      </c>
      <c r="N806" s="101">
        <v>0</v>
      </c>
      <c r="O806" s="101" t="s">
        <v>392</v>
      </c>
      <c r="P806" s="101">
        <v>0</v>
      </c>
      <c r="Q806" s="101">
        <v>0</v>
      </c>
      <c r="R806" s="101" t="s">
        <v>393</v>
      </c>
      <c r="S806" s="101" t="s">
        <v>647</v>
      </c>
      <c r="T806" s="101" t="s">
        <v>394</v>
      </c>
      <c r="V806" s="245">
        <v>46371</v>
      </c>
      <c r="W806" s="101" t="s">
        <v>535</v>
      </c>
      <c r="X806" s="101" t="s">
        <v>362</v>
      </c>
      <c r="Y806" s="101" t="s">
        <v>471</v>
      </c>
      <c r="Z806" s="101" t="s">
        <v>402</v>
      </c>
      <c r="AA806" s="101" t="s">
        <v>78</v>
      </c>
      <c r="AB806" s="101">
        <v>4101000279</v>
      </c>
      <c r="AC806" s="101" t="s">
        <v>398</v>
      </c>
      <c r="AD806" s="101" t="s">
        <v>403</v>
      </c>
      <c r="AE806" s="101" t="s">
        <v>75</v>
      </c>
      <c r="AF806" s="101" t="s">
        <v>400</v>
      </c>
      <c r="AI806" s="101" t="s">
        <v>760</v>
      </c>
    </row>
    <row r="807" spans="1:35">
      <c r="A807" s="246" t="s">
        <v>110</v>
      </c>
      <c r="B807" s="246" t="s">
        <v>78</v>
      </c>
      <c r="C807" s="246" t="s">
        <v>126</v>
      </c>
      <c r="D807" s="246" t="s">
        <v>770</v>
      </c>
      <c r="E807" s="246" t="s">
        <v>771</v>
      </c>
      <c r="F807" s="246"/>
      <c r="G807" s="132" t="s">
        <v>732</v>
      </c>
      <c r="H807" s="132" t="s">
        <v>1627</v>
      </c>
      <c r="I807" s="132">
        <v>378210.72</v>
      </c>
      <c r="J807" s="101" t="s">
        <v>889</v>
      </c>
      <c r="K807" s="245" t="s">
        <v>390</v>
      </c>
      <c r="L807" s="245">
        <v>42643</v>
      </c>
      <c r="M807" s="245" t="s">
        <v>391</v>
      </c>
      <c r="N807" s="101">
        <v>0</v>
      </c>
      <c r="O807" s="101" t="s">
        <v>392</v>
      </c>
      <c r="P807" s="101">
        <v>0</v>
      </c>
      <c r="Q807" s="101">
        <v>0</v>
      </c>
      <c r="R807" s="101" t="s">
        <v>393</v>
      </c>
      <c r="S807" s="101" t="s">
        <v>647</v>
      </c>
      <c r="T807" s="101" t="s">
        <v>394</v>
      </c>
      <c r="V807" s="245">
        <v>46371</v>
      </c>
      <c r="W807" s="101" t="s">
        <v>535</v>
      </c>
      <c r="X807" s="101" t="s">
        <v>362</v>
      </c>
      <c r="Y807" s="101" t="s">
        <v>471</v>
      </c>
      <c r="Z807" s="101" t="s">
        <v>402</v>
      </c>
      <c r="AA807" s="101" t="s">
        <v>78</v>
      </c>
      <c r="AB807" s="101">
        <v>4101000279</v>
      </c>
      <c r="AC807" s="101" t="s">
        <v>398</v>
      </c>
      <c r="AD807" s="101" t="s">
        <v>403</v>
      </c>
      <c r="AE807" s="101" t="s">
        <v>75</v>
      </c>
      <c r="AF807" s="101" t="s">
        <v>400</v>
      </c>
      <c r="AI807" s="101" t="s">
        <v>760</v>
      </c>
    </row>
    <row r="808" spans="1:35">
      <c r="A808" s="246" t="s">
        <v>110</v>
      </c>
      <c r="B808" s="246" t="s">
        <v>78</v>
      </c>
      <c r="C808" s="246" t="s">
        <v>126</v>
      </c>
      <c r="D808" s="246" t="s">
        <v>770</v>
      </c>
      <c r="E808" s="246" t="s">
        <v>771</v>
      </c>
      <c r="F808" s="246"/>
      <c r="G808" s="132" t="s">
        <v>733</v>
      </c>
      <c r="H808" s="132" t="s">
        <v>1628</v>
      </c>
      <c r="I808" s="132">
        <v>418373.83999999997</v>
      </c>
      <c r="J808" s="101" t="s">
        <v>889</v>
      </c>
      <c r="K808" s="245" t="s">
        <v>390</v>
      </c>
      <c r="L808" s="245">
        <v>42674</v>
      </c>
      <c r="M808" s="245" t="s">
        <v>391</v>
      </c>
      <c r="N808" s="101">
        <v>0</v>
      </c>
      <c r="O808" s="101" t="s">
        <v>392</v>
      </c>
      <c r="P808" s="101">
        <v>0</v>
      </c>
      <c r="Q808" s="101">
        <v>0</v>
      </c>
      <c r="R808" s="101" t="s">
        <v>393</v>
      </c>
      <c r="S808" s="101" t="s">
        <v>647</v>
      </c>
      <c r="T808" s="101" t="s">
        <v>394</v>
      </c>
      <c r="V808" s="245">
        <v>46371</v>
      </c>
      <c r="W808" s="101" t="s">
        <v>535</v>
      </c>
      <c r="X808" s="101" t="s">
        <v>362</v>
      </c>
      <c r="Y808" s="101" t="s">
        <v>471</v>
      </c>
      <c r="Z808" s="101" t="s">
        <v>402</v>
      </c>
      <c r="AA808" s="101" t="s">
        <v>78</v>
      </c>
      <c r="AB808" s="101">
        <v>4101000279</v>
      </c>
      <c r="AC808" s="101" t="s">
        <v>398</v>
      </c>
      <c r="AD808" s="101" t="s">
        <v>403</v>
      </c>
      <c r="AE808" s="101" t="s">
        <v>75</v>
      </c>
      <c r="AF808" s="101" t="s">
        <v>400</v>
      </c>
      <c r="AI808" s="101" t="s">
        <v>760</v>
      </c>
    </row>
    <row r="809" spans="1:35">
      <c r="A809" s="246" t="s">
        <v>111</v>
      </c>
      <c r="B809" s="246" t="s">
        <v>78</v>
      </c>
      <c r="C809" s="246" t="s">
        <v>126</v>
      </c>
      <c r="D809" s="246" t="s">
        <v>768</v>
      </c>
      <c r="E809" s="246" t="s">
        <v>769</v>
      </c>
      <c r="F809" s="246"/>
      <c r="G809" s="132" t="s">
        <v>734</v>
      </c>
      <c r="H809" s="132" t="s">
        <v>1629</v>
      </c>
      <c r="I809" s="132">
        <v>457612.14999999997</v>
      </c>
      <c r="J809" s="101" t="s">
        <v>889</v>
      </c>
      <c r="K809" s="245" t="s">
        <v>390</v>
      </c>
      <c r="L809" s="245">
        <v>42704</v>
      </c>
      <c r="M809" s="245" t="s">
        <v>391</v>
      </c>
      <c r="N809" s="101">
        <v>0</v>
      </c>
      <c r="O809" s="101" t="s">
        <v>392</v>
      </c>
      <c r="P809" s="101">
        <v>0</v>
      </c>
      <c r="Q809" s="101">
        <v>0</v>
      </c>
      <c r="R809" s="101" t="s">
        <v>393</v>
      </c>
      <c r="S809" s="101" t="s">
        <v>647</v>
      </c>
      <c r="T809" s="101" t="s">
        <v>394</v>
      </c>
      <c r="V809" s="245">
        <v>46371</v>
      </c>
      <c r="W809" s="101" t="s">
        <v>535</v>
      </c>
      <c r="X809" s="101" t="s">
        <v>362</v>
      </c>
      <c r="Y809" s="101" t="s">
        <v>471</v>
      </c>
      <c r="Z809" s="101" t="s">
        <v>402</v>
      </c>
      <c r="AA809" s="101" t="s">
        <v>78</v>
      </c>
      <c r="AB809" s="101">
        <v>4101000279</v>
      </c>
      <c r="AC809" s="101" t="s">
        <v>398</v>
      </c>
      <c r="AD809" s="101" t="s">
        <v>403</v>
      </c>
      <c r="AE809" s="101" t="s">
        <v>75</v>
      </c>
      <c r="AF809" s="101" t="s">
        <v>400</v>
      </c>
      <c r="AI809" s="101" t="s">
        <v>760</v>
      </c>
    </row>
    <row r="810" spans="1:35">
      <c r="A810" s="246" t="s">
        <v>111</v>
      </c>
      <c r="B810" s="246" t="s">
        <v>78</v>
      </c>
      <c r="C810" s="246" t="s">
        <v>126</v>
      </c>
      <c r="D810" s="246" t="s">
        <v>768</v>
      </c>
      <c r="E810" s="246" t="s">
        <v>769</v>
      </c>
      <c r="F810" s="246"/>
      <c r="G810" s="132" t="s">
        <v>735</v>
      </c>
      <c r="H810" s="132" t="s">
        <v>1630</v>
      </c>
      <c r="I810" s="132">
        <v>280713.99</v>
      </c>
      <c r="J810" s="101" t="s">
        <v>889</v>
      </c>
      <c r="K810" s="245" t="s">
        <v>390</v>
      </c>
      <c r="L810" s="245">
        <v>42734</v>
      </c>
      <c r="M810" s="245" t="s">
        <v>391</v>
      </c>
      <c r="N810" s="101">
        <v>0</v>
      </c>
      <c r="O810" s="101" t="s">
        <v>392</v>
      </c>
      <c r="P810" s="101">
        <v>0</v>
      </c>
      <c r="Q810" s="101">
        <v>0</v>
      </c>
      <c r="R810" s="101" t="s">
        <v>393</v>
      </c>
      <c r="S810" s="101" t="s">
        <v>647</v>
      </c>
      <c r="T810" s="101" t="s">
        <v>394</v>
      </c>
      <c r="V810" s="245">
        <v>46371</v>
      </c>
      <c r="W810" s="101" t="s">
        <v>535</v>
      </c>
      <c r="X810" s="101" t="s">
        <v>362</v>
      </c>
      <c r="Y810" s="101" t="s">
        <v>471</v>
      </c>
      <c r="Z810" s="101" t="s">
        <v>402</v>
      </c>
      <c r="AA810" s="101" t="s">
        <v>78</v>
      </c>
      <c r="AB810" s="101">
        <v>4101000279</v>
      </c>
      <c r="AC810" s="101" t="s">
        <v>398</v>
      </c>
      <c r="AD810" s="101" t="s">
        <v>403</v>
      </c>
      <c r="AE810" s="101" t="s">
        <v>75</v>
      </c>
      <c r="AF810" s="101" t="s">
        <v>400</v>
      </c>
      <c r="AI810" s="101" t="s">
        <v>760</v>
      </c>
    </row>
    <row r="811" spans="1:35">
      <c r="A811" s="246" t="s">
        <v>111</v>
      </c>
      <c r="B811" s="246" t="s">
        <v>78</v>
      </c>
      <c r="C811" s="246" t="s">
        <v>126</v>
      </c>
      <c r="D811" s="246" t="s">
        <v>768</v>
      </c>
      <c r="E811" s="246" t="s">
        <v>769</v>
      </c>
      <c r="F811" s="246"/>
      <c r="G811" s="132" t="s">
        <v>736</v>
      </c>
      <c r="H811" s="132" t="s">
        <v>1631</v>
      </c>
      <c r="I811" s="132">
        <v>65296.109999999993</v>
      </c>
      <c r="J811" s="101" t="s">
        <v>889</v>
      </c>
      <c r="K811" s="245" t="s">
        <v>390</v>
      </c>
      <c r="L811" s="245">
        <v>42766</v>
      </c>
      <c r="M811" s="245" t="s">
        <v>391</v>
      </c>
      <c r="N811" s="101">
        <v>0</v>
      </c>
      <c r="O811" s="101" t="s">
        <v>392</v>
      </c>
      <c r="P811" s="101">
        <v>0</v>
      </c>
      <c r="Q811" s="101">
        <v>0</v>
      </c>
      <c r="R811" s="101" t="s">
        <v>393</v>
      </c>
      <c r="S811" s="101" t="s">
        <v>647</v>
      </c>
      <c r="T811" s="101" t="s">
        <v>394</v>
      </c>
      <c r="V811" s="245">
        <v>46371</v>
      </c>
      <c r="W811" s="101" t="s">
        <v>535</v>
      </c>
      <c r="X811" s="101" t="s">
        <v>362</v>
      </c>
      <c r="Y811" s="101" t="s">
        <v>471</v>
      </c>
      <c r="Z811" s="101" t="s">
        <v>402</v>
      </c>
      <c r="AA811" s="101" t="s">
        <v>78</v>
      </c>
      <c r="AB811" s="101">
        <v>4101000279</v>
      </c>
      <c r="AC811" s="101" t="s">
        <v>398</v>
      </c>
      <c r="AD811" s="101" t="s">
        <v>403</v>
      </c>
      <c r="AE811" s="101" t="s">
        <v>75</v>
      </c>
      <c r="AF811" s="101" t="s">
        <v>400</v>
      </c>
      <c r="AI811" s="101" t="s">
        <v>760</v>
      </c>
    </row>
    <row r="812" spans="1:35">
      <c r="A812" s="246" t="s">
        <v>111</v>
      </c>
      <c r="B812" s="246" t="s">
        <v>78</v>
      </c>
      <c r="C812" s="246" t="s">
        <v>126</v>
      </c>
      <c r="D812" s="246" t="s">
        <v>768</v>
      </c>
      <c r="E812" s="246" t="s">
        <v>769</v>
      </c>
      <c r="F812" s="246"/>
      <c r="G812" s="132" t="s">
        <v>737</v>
      </c>
      <c r="H812" s="132" t="s">
        <v>1632</v>
      </c>
      <c r="I812" s="132">
        <v>126820.40999999999</v>
      </c>
      <c r="J812" s="101" t="s">
        <v>889</v>
      </c>
      <c r="K812" s="245" t="s">
        <v>390</v>
      </c>
      <c r="L812" s="245">
        <v>42794</v>
      </c>
      <c r="M812" s="245" t="s">
        <v>391</v>
      </c>
      <c r="N812" s="101">
        <v>0</v>
      </c>
      <c r="O812" s="101" t="s">
        <v>392</v>
      </c>
      <c r="P812" s="101">
        <v>0</v>
      </c>
      <c r="Q812" s="101">
        <v>0</v>
      </c>
      <c r="R812" s="101" t="s">
        <v>393</v>
      </c>
      <c r="S812" s="101" t="s">
        <v>647</v>
      </c>
      <c r="T812" s="101" t="s">
        <v>394</v>
      </c>
      <c r="V812" s="245">
        <v>46371</v>
      </c>
      <c r="W812" s="101" t="s">
        <v>535</v>
      </c>
      <c r="X812" s="101" t="s">
        <v>362</v>
      </c>
      <c r="Y812" s="101" t="s">
        <v>471</v>
      </c>
      <c r="Z812" s="101" t="s">
        <v>402</v>
      </c>
      <c r="AA812" s="101" t="s">
        <v>78</v>
      </c>
      <c r="AB812" s="101">
        <v>4101000279</v>
      </c>
      <c r="AC812" s="101" t="s">
        <v>398</v>
      </c>
      <c r="AD812" s="101" t="s">
        <v>403</v>
      </c>
      <c r="AE812" s="101" t="s">
        <v>75</v>
      </c>
      <c r="AF812" s="101" t="s">
        <v>400</v>
      </c>
      <c r="AI812" s="101" t="s">
        <v>760</v>
      </c>
    </row>
    <row r="813" spans="1:35">
      <c r="A813" s="246" t="s">
        <v>111</v>
      </c>
      <c r="B813" s="246" t="s">
        <v>78</v>
      </c>
      <c r="C813" s="246" t="s">
        <v>126</v>
      </c>
      <c r="D813" s="246" t="s">
        <v>768</v>
      </c>
      <c r="E813" s="246" t="s">
        <v>769</v>
      </c>
      <c r="F813" s="246"/>
      <c r="G813" s="132" t="s">
        <v>738</v>
      </c>
      <c r="H813" s="132" t="s">
        <v>1633</v>
      </c>
      <c r="I813" s="132">
        <v>192218.58000000002</v>
      </c>
      <c r="J813" s="101" t="s">
        <v>889</v>
      </c>
      <c r="K813" s="245" t="s">
        <v>390</v>
      </c>
      <c r="L813" s="245">
        <v>42825</v>
      </c>
      <c r="M813" s="245" t="s">
        <v>391</v>
      </c>
      <c r="N813" s="101">
        <v>0</v>
      </c>
      <c r="O813" s="101" t="s">
        <v>392</v>
      </c>
      <c r="P813" s="101">
        <v>0</v>
      </c>
      <c r="Q813" s="101">
        <v>0</v>
      </c>
      <c r="R813" s="101" t="s">
        <v>393</v>
      </c>
      <c r="S813" s="101" t="s">
        <v>647</v>
      </c>
      <c r="T813" s="101" t="s">
        <v>394</v>
      </c>
      <c r="V813" s="245">
        <v>46371</v>
      </c>
      <c r="W813" s="101" t="s">
        <v>535</v>
      </c>
      <c r="X813" s="101" t="s">
        <v>362</v>
      </c>
      <c r="Y813" s="101" t="s">
        <v>471</v>
      </c>
      <c r="Z813" s="101" t="s">
        <v>402</v>
      </c>
      <c r="AA813" s="101" t="s">
        <v>78</v>
      </c>
      <c r="AB813" s="101">
        <v>4101000279</v>
      </c>
      <c r="AC813" s="101" t="s">
        <v>398</v>
      </c>
      <c r="AD813" s="101" t="s">
        <v>403</v>
      </c>
      <c r="AE813" s="101" t="s">
        <v>75</v>
      </c>
      <c r="AF813" s="101" t="s">
        <v>400</v>
      </c>
      <c r="AI813" s="101" t="s">
        <v>760</v>
      </c>
    </row>
    <row r="814" spans="1:35">
      <c r="A814" s="246" t="s">
        <v>111</v>
      </c>
      <c r="B814" s="246" t="s">
        <v>78</v>
      </c>
      <c r="C814" s="246" t="s">
        <v>126</v>
      </c>
      <c r="D814" s="246" t="s">
        <v>768</v>
      </c>
      <c r="E814" s="246" t="s">
        <v>769</v>
      </c>
      <c r="F814" s="246"/>
      <c r="G814" s="132" t="s">
        <v>739</v>
      </c>
      <c r="H814" s="132" t="s">
        <v>1634</v>
      </c>
      <c r="I814" s="132">
        <v>217528.26</v>
      </c>
      <c r="J814" s="101" t="s">
        <v>889</v>
      </c>
      <c r="K814" s="245" t="s">
        <v>390</v>
      </c>
      <c r="L814" s="245">
        <v>42853</v>
      </c>
      <c r="M814" s="245" t="s">
        <v>391</v>
      </c>
      <c r="N814" s="101">
        <v>0</v>
      </c>
      <c r="O814" s="101" t="s">
        <v>392</v>
      </c>
      <c r="P814" s="101">
        <v>0</v>
      </c>
      <c r="Q814" s="101">
        <v>0</v>
      </c>
      <c r="R814" s="101" t="s">
        <v>393</v>
      </c>
      <c r="S814" s="101" t="s">
        <v>647</v>
      </c>
      <c r="T814" s="101" t="s">
        <v>394</v>
      </c>
      <c r="V814" s="245">
        <v>46371</v>
      </c>
      <c r="W814" s="101" t="s">
        <v>535</v>
      </c>
      <c r="X814" s="101" t="s">
        <v>362</v>
      </c>
      <c r="Y814" s="101" t="s">
        <v>471</v>
      </c>
      <c r="Z814" s="101" t="s">
        <v>402</v>
      </c>
      <c r="AA814" s="101" t="s">
        <v>78</v>
      </c>
      <c r="AB814" s="101">
        <v>4101000279</v>
      </c>
      <c r="AC814" s="101" t="s">
        <v>398</v>
      </c>
      <c r="AD814" s="101" t="s">
        <v>403</v>
      </c>
      <c r="AE814" s="101" t="s">
        <v>75</v>
      </c>
      <c r="AF814" s="101" t="s">
        <v>400</v>
      </c>
      <c r="AI814" s="101" t="s">
        <v>760</v>
      </c>
    </row>
    <row r="815" spans="1:35">
      <c r="A815" s="246" t="s">
        <v>112</v>
      </c>
      <c r="B815" s="246" t="s">
        <v>78</v>
      </c>
      <c r="C815" s="246" t="s">
        <v>126</v>
      </c>
      <c r="D815" s="246" t="s">
        <v>341</v>
      </c>
      <c r="E815" s="246" t="s">
        <v>342</v>
      </c>
      <c r="F815" s="246"/>
      <c r="G815" s="132" t="s">
        <v>740</v>
      </c>
      <c r="H815" s="132" t="s">
        <v>1635</v>
      </c>
      <c r="I815" s="132">
        <v>337751.85</v>
      </c>
      <c r="J815" s="101" t="s">
        <v>889</v>
      </c>
      <c r="K815" s="245" t="s">
        <v>390</v>
      </c>
      <c r="L815" s="245">
        <v>42886</v>
      </c>
      <c r="M815" s="245" t="s">
        <v>391</v>
      </c>
      <c r="N815" s="101">
        <v>0</v>
      </c>
      <c r="O815" s="101" t="s">
        <v>392</v>
      </c>
      <c r="P815" s="101">
        <v>0</v>
      </c>
      <c r="Q815" s="101">
        <v>0</v>
      </c>
      <c r="R815" s="101" t="s">
        <v>393</v>
      </c>
      <c r="S815" s="101" t="s">
        <v>647</v>
      </c>
      <c r="T815" s="101" t="s">
        <v>394</v>
      </c>
      <c r="V815" s="245">
        <v>46371</v>
      </c>
      <c r="W815" s="101" t="s">
        <v>535</v>
      </c>
      <c r="X815" s="101" t="s">
        <v>362</v>
      </c>
      <c r="Y815" s="101" t="s">
        <v>471</v>
      </c>
      <c r="Z815" s="101" t="s">
        <v>402</v>
      </c>
      <c r="AA815" s="101" t="s">
        <v>78</v>
      </c>
      <c r="AB815" s="101">
        <v>4101000279</v>
      </c>
      <c r="AC815" s="101" t="s">
        <v>398</v>
      </c>
      <c r="AD815" s="101" t="s">
        <v>403</v>
      </c>
      <c r="AE815" s="101" t="s">
        <v>75</v>
      </c>
      <c r="AF815" s="101" t="s">
        <v>400</v>
      </c>
      <c r="AI815" s="101" t="s">
        <v>760</v>
      </c>
    </row>
    <row r="816" spans="1:35">
      <c r="A816" s="246" t="s">
        <v>112</v>
      </c>
      <c r="B816" s="246" t="s">
        <v>78</v>
      </c>
      <c r="C816" s="246" t="s">
        <v>126</v>
      </c>
      <c r="D816" s="246" t="s">
        <v>341</v>
      </c>
      <c r="E816" s="246" t="s">
        <v>342</v>
      </c>
      <c r="F816" s="246"/>
      <c r="G816" s="132" t="s">
        <v>741</v>
      </c>
      <c r="H816" s="132" t="s">
        <v>1636</v>
      </c>
      <c r="I816" s="132">
        <v>310280.83</v>
      </c>
      <c r="J816" s="101" t="s">
        <v>889</v>
      </c>
      <c r="K816" s="245" t="s">
        <v>390</v>
      </c>
      <c r="L816" s="245">
        <v>42916</v>
      </c>
      <c r="M816" s="245" t="s">
        <v>391</v>
      </c>
      <c r="N816" s="101">
        <v>0</v>
      </c>
      <c r="O816" s="101" t="s">
        <v>392</v>
      </c>
      <c r="P816" s="101">
        <v>0</v>
      </c>
      <c r="Q816" s="101">
        <v>0</v>
      </c>
      <c r="R816" s="101" t="s">
        <v>393</v>
      </c>
      <c r="S816" s="101" t="s">
        <v>647</v>
      </c>
      <c r="T816" s="101" t="s">
        <v>394</v>
      </c>
      <c r="V816" s="245">
        <v>46371</v>
      </c>
      <c r="W816" s="101" t="s">
        <v>535</v>
      </c>
      <c r="X816" s="101" t="s">
        <v>362</v>
      </c>
      <c r="Y816" s="101" t="s">
        <v>471</v>
      </c>
      <c r="Z816" s="101" t="s">
        <v>402</v>
      </c>
      <c r="AA816" s="101" t="s">
        <v>78</v>
      </c>
      <c r="AB816" s="101">
        <v>4101000279</v>
      </c>
      <c r="AC816" s="101" t="s">
        <v>398</v>
      </c>
      <c r="AD816" s="101" t="s">
        <v>403</v>
      </c>
      <c r="AE816" s="101" t="s">
        <v>75</v>
      </c>
      <c r="AF816" s="101" t="s">
        <v>400</v>
      </c>
      <c r="AI816" s="101" t="s">
        <v>760</v>
      </c>
    </row>
    <row r="817" spans="1:35">
      <c r="A817" s="246" t="s">
        <v>112</v>
      </c>
      <c r="B817" s="246" t="s">
        <v>78</v>
      </c>
      <c r="C817" s="246" t="s">
        <v>126</v>
      </c>
      <c r="D817" s="246" t="s">
        <v>341</v>
      </c>
      <c r="E817" s="246" t="s">
        <v>342</v>
      </c>
      <c r="F817" s="246"/>
      <c r="G817" s="132" t="s">
        <v>742</v>
      </c>
      <c r="H817" s="132" t="s">
        <v>1637</v>
      </c>
      <c r="I817" s="132">
        <v>331418.67</v>
      </c>
      <c r="J817" s="101" t="s">
        <v>889</v>
      </c>
      <c r="K817" s="245" t="s">
        <v>390</v>
      </c>
      <c r="L817" s="245">
        <v>42947</v>
      </c>
      <c r="M817" s="245" t="s">
        <v>391</v>
      </c>
      <c r="N817" s="101">
        <v>0</v>
      </c>
      <c r="O817" s="101" t="s">
        <v>392</v>
      </c>
      <c r="P817" s="101">
        <v>0</v>
      </c>
      <c r="Q817" s="101">
        <v>0</v>
      </c>
      <c r="R817" s="101" t="s">
        <v>393</v>
      </c>
      <c r="S817" s="101" t="s">
        <v>647</v>
      </c>
      <c r="T817" s="101" t="s">
        <v>394</v>
      </c>
      <c r="V817" s="245">
        <v>46371</v>
      </c>
      <c r="W817" s="101" t="s">
        <v>535</v>
      </c>
      <c r="X817" s="101" t="s">
        <v>362</v>
      </c>
      <c r="Y817" s="101" t="s">
        <v>471</v>
      </c>
      <c r="Z817" s="101" t="s">
        <v>402</v>
      </c>
      <c r="AA817" s="101" t="s">
        <v>78</v>
      </c>
      <c r="AB817" s="101">
        <v>4101000279</v>
      </c>
      <c r="AC817" s="101" t="s">
        <v>398</v>
      </c>
      <c r="AD817" s="101" t="s">
        <v>403</v>
      </c>
      <c r="AE817" s="101" t="s">
        <v>75</v>
      </c>
      <c r="AF817" s="101" t="s">
        <v>400</v>
      </c>
      <c r="AI817" s="101" t="s">
        <v>760</v>
      </c>
    </row>
    <row r="818" spans="1:35">
      <c r="A818" s="246" t="s">
        <v>112</v>
      </c>
      <c r="B818" s="246" t="s">
        <v>78</v>
      </c>
      <c r="C818" s="246" t="s">
        <v>126</v>
      </c>
      <c r="D818" s="246" t="s">
        <v>341</v>
      </c>
      <c r="E818" s="246" t="s">
        <v>342</v>
      </c>
      <c r="F818" s="246"/>
      <c r="G818" s="132" t="s">
        <v>743</v>
      </c>
      <c r="H818" s="132" t="s">
        <v>1638</v>
      </c>
      <c r="I818" s="132">
        <v>382775.81</v>
      </c>
      <c r="J818" s="101" t="s">
        <v>889</v>
      </c>
      <c r="K818" s="245" t="s">
        <v>390</v>
      </c>
      <c r="L818" s="245">
        <v>42978</v>
      </c>
      <c r="M818" s="245" t="s">
        <v>391</v>
      </c>
      <c r="N818" s="101">
        <v>0</v>
      </c>
      <c r="O818" s="101" t="s">
        <v>392</v>
      </c>
      <c r="P818" s="101">
        <v>0</v>
      </c>
      <c r="Q818" s="101">
        <v>0</v>
      </c>
      <c r="R818" s="101" t="s">
        <v>393</v>
      </c>
      <c r="S818" s="101" t="s">
        <v>647</v>
      </c>
      <c r="T818" s="101" t="s">
        <v>394</v>
      </c>
      <c r="V818" s="245">
        <v>46371</v>
      </c>
      <c r="W818" s="101" t="s">
        <v>535</v>
      </c>
      <c r="X818" s="101" t="s">
        <v>362</v>
      </c>
      <c r="Y818" s="101" t="s">
        <v>471</v>
      </c>
      <c r="Z818" s="101" t="s">
        <v>402</v>
      </c>
      <c r="AA818" s="101" t="s">
        <v>78</v>
      </c>
      <c r="AB818" s="101">
        <v>4101000279</v>
      </c>
      <c r="AC818" s="101" t="s">
        <v>398</v>
      </c>
      <c r="AD818" s="101" t="s">
        <v>403</v>
      </c>
      <c r="AE818" s="101" t="s">
        <v>75</v>
      </c>
      <c r="AF818" s="101" t="s">
        <v>400</v>
      </c>
      <c r="AI818" s="101" t="s">
        <v>760</v>
      </c>
    </row>
    <row r="819" spans="1:35">
      <c r="A819" s="246" t="s">
        <v>112</v>
      </c>
      <c r="B819" s="246" t="s">
        <v>78</v>
      </c>
      <c r="C819" s="246" t="s">
        <v>126</v>
      </c>
      <c r="D819" s="246" t="s">
        <v>341</v>
      </c>
      <c r="E819" s="246" t="s">
        <v>342</v>
      </c>
      <c r="F819" s="246"/>
      <c r="G819" s="132" t="s">
        <v>744</v>
      </c>
      <c r="H819" s="132" t="s">
        <v>1639</v>
      </c>
      <c r="I819" s="132">
        <v>382567.35</v>
      </c>
      <c r="J819" s="101" t="s">
        <v>889</v>
      </c>
      <c r="K819" s="245" t="s">
        <v>390</v>
      </c>
      <c r="L819" s="245">
        <v>43007</v>
      </c>
      <c r="M819" s="245" t="s">
        <v>391</v>
      </c>
      <c r="N819" s="101">
        <v>0</v>
      </c>
      <c r="O819" s="101" t="s">
        <v>392</v>
      </c>
      <c r="P819" s="101">
        <v>0</v>
      </c>
      <c r="Q819" s="101">
        <v>0</v>
      </c>
      <c r="R819" s="101" t="s">
        <v>393</v>
      </c>
      <c r="S819" s="101" t="s">
        <v>647</v>
      </c>
      <c r="T819" s="101" t="s">
        <v>394</v>
      </c>
      <c r="V819" s="245">
        <v>46371</v>
      </c>
      <c r="W819" s="101" t="s">
        <v>535</v>
      </c>
      <c r="X819" s="101" t="s">
        <v>362</v>
      </c>
      <c r="Y819" s="101" t="s">
        <v>471</v>
      </c>
      <c r="Z819" s="101" t="s">
        <v>402</v>
      </c>
      <c r="AA819" s="101" t="s">
        <v>78</v>
      </c>
      <c r="AB819" s="101">
        <v>4101000279</v>
      </c>
      <c r="AC819" s="101" t="s">
        <v>398</v>
      </c>
      <c r="AD819" s="101" t="s">
        <v>403</v>
      </c>
      <c r="AE819" s="101" t="s">
        <v>75</v>
      </c>
      <c r="AF819" s="101" t="s">
        <v>400</v>
      </c>
      <c r="AI819" s="101" t="s">
        <v>760</v>
      </c>
    </row>
    <row r="820" spans="1:35">
      <c r="A820" s="246" t="s">
        <v>112</v>
      </c>
      <c r="B820" s="246" t="s">
        <v>78</v>
      </c>
      <c r="C820" s="246" t="s">
        <v>126</v>
      </c>
      <c r="D820" s="246" t="s">
        <v>341</v>
      </c>
      <c r="E820" s="246" t="s">
        <v>342</v>
      </c>
      <c r="F820" s="246"/>
      <c r="G820" s="132" t="s">
        <v>745</v>
      </c>
      <c r="H820" s="132" t="s">
        <v>1640</v>
      </c>
      <c r="I820" s="132">
        <v>452296.99</v>
      </c>
      <c r="J820" s="101" t="s">
        <v>889</v>
      </c>
      <c r="K820" s="245" t="s">
        <v>390</v>
      </c>
      <c r="L820" s="245">
        <v>43039</v>
      </c>
      <c r="M820" s="245" t="s">
        <v>391</v>
      </c>
      <c r="N820" s="101">
        <v>0</v>
      </c>
      <c r="O820" s="101" t="s">
        <v>392</v>
      </c>
      <c r="P820" s="101">
        <v>0</v>
      </c>
      <c r="Q820" s="101">
        <v>0</v>
      </c>
      <c r="R820" s="101" t="s">
        <v>393</v>
      </c>
      <c r="S820" s="101" t="s">
        <v>647</v>
      </c>
      <c r="T820" s="101" t="s">
        <v>394</v>
      </c>
      <c r="V820" s="245">
        <v>46371</v>
      </c>
      <c r="W820" s="101" t="s">
        <v>535</v>
      </c>
      <c r="X820" s="101" t="s">
        <v>362</v>
      </c>
      <c r="Y820" s="101" t="s">
        <v>471</v>
      </c>
      <c r="Z820" s="101" t="s">
        <v>402</v>
      </c>
      <c r="AA820" s="101" t="s">
        <v>78</v>
      </c>
      <c r="AB820" s="101">
        <v>4101000279</v>
      </c>
      <c r="AC820" s="101" t="s">
        <v>398</v>
      </c>
      <c r="AD820" s="101" t="s">
        <v>403</v>
      </c>
      <c r="AE820" s="101" t="s">
        <v>75</v>
      </c>
      <c r="AF820" s="101" t="s">
        <v>400</v>
      </c>
      <c r="AI820" s="101" t="s">
        <v>760</v>
      </c>
    </row>
    <row r="821" spans="1:35">
      <c r="A821" s="246" t="s">
        <v>113</v>
      </c>
      <c r="B821" s="246" t="s">
        <v>78</v>
      </c>
      <c r="C821" s="246" t="s">
        <v>126</v>
      </c>
      <c r="D821" s="246" t="s">
        <v>339</v>
      </c>
      <c r="E821" s="246" t="s">
        <v>340</v>
      </c>
      <c r="F821" s="246"/>
      <c r="G821" s="132" t="s">
        <v>746</v>
      </c>
      <c r="H821" s="132" t="s">
        <v>1641</v>
      </c>
      <c r="I821" s="132">
        <v>477912.51</v>
      </c>
      <c r="J821" s="101" t="s">
        <v>889</v>
      </c>
      <c r="K821" s="245" t="s">
        <v>390</v>
      </c>
      <c r="L821" s="245">
        <v>43069</v>
      </c>
      <c r="M821" s="245" t="s">
        <v>391</v>
      </c>
      <c r="N821" s="101">
        <v>0</v>
      </c>
      <c r="O821" s="101" t="s">
        <v>392</v>
      </c>
      <c r="P821" s="101">
        <v>0</v>
      </c>
      <c r="Q821" s="101">
        <v>0</v>
      </c>
      <c r="R821" s="101" t="s">
        <v>393</v>
      </c>
      <c r="S821" s="101" t="s">
        <v>647</v>
      </c>
      <c r="T821" s="101" t="s">
        <v>394</v>
      </c>
      <c r="V821" s="245">
        <v>46371</v>
      </c>
      <c r="W821" s="101" t="s">
        <v>535</v>
      </c>
      <c r="X821" s="101" t="s">
        <v>362</v>
      </c>
      <c r="Y821" s="101" t="s">
        <v>471</v>
      </c>
      <c r="Z821" s="101" t="s">
        <v>402</v>
      </c>
      <c r="AA821" s="101" t="s">
        <v>78</v>
      </c>
      <c r="AB821" s="101">
        <v>4101000279</v>
      </c>
      <c r="AC821" s="101" t="s">
        <v>398</v>
      </c>
      <c r="AD821" s="101" t="s">
        <v>403</v>
      </c>
      <c r="AE821" s="101" t="s">
        <v>75</v>
      </c>
      <c r="AF821" s="101" t="s">
        <v>400</v>
      </c>
      <c r="AI821" s="101" t="s">
        <v>760</v>
      </c>
    </row>
    <row r="822" spans="1:35">
      <c r="A822" s="246" t="s">
        <v>113</v>
      </c>
      <c r="B822" s="246" t="s">
        <v>78</v>
      </c>
      <c r="C822" s="246" t="s">
        <v>126</v>
      </c>
      <c r="D822" s="246" t="s">
        <v>339</v>
      </c>
      <c r="E822" s="246" t="s">
        <v>340</v>
      </c>
      <c r="F822" s="246"/>
      <c r="G822" s="132" t="s">
        <v>747</v>
      </c>
      <c r="H822" s="132" t="s">
        <v>1642</v>
      </c>
      <c r="I822" s="132">
        <v>289756.74</v>
      </c>
      <c r="J822" s="101" t="s">
        <v>889</v>
      </c>
      <c r="K822" s="245" t="s">
        <v>390</v>
      </c>
      <c r="L822" s="245">
        <v>43098</v>
      </c>
      <c r="M822" s="245" t="s">
        <v>391</v>
      </c>
      <c r="N822" s="101">
        <v>0</v>
      </c>
      <c r="O822" s="101" t="s">
        <v>392</v>
      </c>
      <c r="P822" s="101">
        <v>0</v>
      </c>
      <c r="Q822" s="101">
        <v>0</v>
      </c>
      <c r="R822" s="101" t="s">
        <v>393</v>
      </c>
      <c r="S822" s="101" t="s">
        <v>647</v>
      </c>
      <c r="T822" s="101" t="s">
        <v>394</v>
      </c>
      <c r="V822" s="245">
        <v>46371</v>
      </c>
      <c r="W822" s="101" t="s">
        <v>535</v>
      </c>
      <c r="X822" s="101" t="s">
        <v>362</v>
      </c>
      <c r="Y822" s="101" t="s">
        <v>471</v>
      </c>
      <c r="Z822" s="101" t="s">
        <v>402</v>
      </c>
      <c r="AA822" s="101" t="s">
        <v>78</v>
      </c>
      <c r="AB822" s="101">
        <v>4101000279</v>
      </c>
      <c r="AC822" s="101" t="s">
        <v>398</v>
      </c>
      <c r="AD822" s="101" t="s">
        <v>403</v>
      </c>
      <c r="AE822" s="101" t="s">
        <v>75</v>
      </c>
      <c r="AF822" s="101" t="s">
        <v>400</v>
      </c>
      <c r="AI822" s="101" t="s">
        <v>760</v>
      </c>
    </row>
    <row r="823" spans="1:35">
      <c r="A823" s="246" t="s">
        <v>113</v>
      </c>
      <c r="B823" s="246" t="s">
        <v>78</v>
      </c>
      <c r="C823" s="246" t="s">
        <v>126</v>
      </c>
      <c r="D823" s="246" t="s">
        <v>339</v>
      </c>
      <c r="E823" s="246" t="s">
        <v>340</v>
      </c>
      <c r="F823" s="246"/>
      <c r="G823" s="132" t="s">
        <v>748</v>
      </c>
      <c r="H823" s="132" t="s">
        <v>1643</v>
      </c>
      <c r="I823" s="132">
        <v>68405.86</v>
      </c>
      <c r="J823" s="101" t="s">
        <v>889</v>
      </c>
      <c r="K823" s="245" t="s">
        <v>390</v>
      </c>
      <c r="L823" s="245">
        <v>43131</v>
      </c>
      <c r="M823" s="245" t="s">
        <v>391</v>
      </c>
      <c r="N823" s="101">
        <v>0</v>
      </c>
      <c r="O823" s="101" t="s">
        <v>392</v>
      </c>
      <c r="P823" s="101">
        <v>0</v>
      </c>
      <c r="Q823" s="101">
        <v>0</v>
      </c>
      <c r="R823" s="101" t="s">
        <v>393</v>
      </c>
      <c r="S823" s="101" t="s">
        <v>647</v>
      </c>
      <c r="T823" s="101" t="s">
        <v>394</v>
      </c>
      <c r="V823" s="245">
        <v>46371</v>
      </c>
      <c r="W823" s="101" t="s">
        <v>535</v>
      </c>
      <c r="X823" s="101" t="s">
        <v>362</v>
      </c>
      <c r="Y823" s="101" t="s">
        <v>471</v>
      </c>
      <c r="Z823" s="101" t="s">
        <v>402</v>
      </c>
      <c r="AA823" s="101" t="s">
        <v>78</v>
      </c>
      <c r="AB823" s="101">
        <v>4101000279</v>
      </c>
      <c r="AC823" s="101" t="s">
        <v>398</v>
      </c>
      <c r="AD823" s="101" t="s">
        <v>403</v>
      </c>
      <c r="AE823" s="101" t="s">
        <v>75</v>
      </c>
      <c r="AF823" s="101" t="s">
        <v>400</v>
      </c>
      <c r="AI823" s="101" t="s">
        <v>760</v>
      </c>
    </row>
    <row r="824" spans="1:35">
      <c r="A824" s="246" t="s">
        <v>113</v>
      </c>
      <c r="B824" s="246" t="s">
        <v>78</v>
      </c>
      <c r="C824" s="246" t="s">
        <v>126</v>
      </c>
      <c r="D824" s="246" t="s">
        <v>339</v>
      </c>
      <c r="E824" s="246" t="s">
        <v>340</v>
      </c>
      <c r="F824" s="246"/>
      <c r="G824" s="132" t="s">
        <v>749</v>
      </c>
      <c r="H824" s="132" t="s">
        <v>1644</v>
      </c>
      <c r="I824" s="132">
        <v>128678.79999999999</v>
      </c>
      <c r="J824" s="101" t="s">
        <v>889</v>
      </c>
      <c r="K824" s="245" t="s">
        <v>390</v>
      </c>
      <c r="L824" s="245">
        <v>43159</v>
      </c>
      <c r="M824" s="245" t="s">
        <v>391</v>
      </c>
      <c r="N824" s="101">
        <v>0</v>
      </c>
      <c r="O824" s="101" t="s">
        <v>392</v>
      </c>
      <c r="P824" s="101">
        <v>0</v>
      </c>
      <c r="Q824" s="101">
        <v>0</v>
      </c>
      <c r="R824" s="101" t="s">
        <v>393</v>
      </c>
      <c r="S824" s="101" t="s">
        <v>647</v>
      </c>
      <c r="T824" s="101" t="s">
        <v>394</v>
      </c>
      <c r="V824" s="245">
        <v>46371</v>
      </c>
      <c r="W824" s="101" t="s">
        <v>535</v>
      </c>
      <c r="X824" s="101" t="s">
        <v>362</v>
      </c>
      <c r="Y824" s="101" t="s">
        <v>471</v>
      </c>
      <c r="Z824" s="101" t="s">
        <v>402</v>
      </c>
      <c r="AA824" s="101" t="s">
        <v>78</v>
      </c>
      <c r="AB824" s="101">
        <v>4101000279</v>
      </c>
      <c r="AC824" s="101" t="s">
        <v>398</v>
      </c>
      <c r="AD824" s="101" t="s">
        <v>403</v>
      </c>
      <c r="AE824" s="101" t="s">
        <v>75</v>
      </c>
      <c r="AF824" s="101" t="s">
        <v>400</v>
      </c>
      <c r="AI824" s="101" t="s">
        <v>760</v>
      </c>
    </row>
    <row r="825" spans="1:35">
      <c r="A825" s="246" t="s">
        <v>113</v>
      </c>
      <c r="B825" s="246" t="s">
        <v>78</v>
      </c>
      <c r="C825" s="246" t="s">
        <v>126</v>
      </c>
      <c r="D825" s="246" t="s">
        <v>339</v>
      </c>
      <c r="E825" s="246" t="s">
        <v>340</v>
      </c>
      <c r="F825" s="246"/>
      <c r="G825" s="132" t="s">
        <v>750</v>
      </c>
      <c r="H825" s="132" t="s">
        <v>1645</v>
      </c>
      <c r="I825" s="132">
        <v>192547.18</v>
      </c>
      <c r="J825" s="101" t="s">
        <v>889</v>
      </c>
      <c r="K825" s="245" t="s">
        <v>390</v>
      </c>
      <c r="L825" s="245">
        <v>43189</v>
      </c>
      <c r="M825" s="245" t="s">
        <v>391</v>
      </c>
      <c r="N825" s="101">
        <v>0</v>
      </c>
      <c r="O825" s="101" t="s">
        <v>392</v>
      </c>
      <c r="P825" s="101">
        <v>0</v>
      </c>
      <c r="Q825" s="101">
        <v>0</v>
      </c>
      <c r="R825" s="101" t="s">
        <v>393</v>
      </c>
      <c r="S825" s="101" t="s">
        <v>647</v>
      </c>
      <c r="T825" s="101" t="s">
        <v>394</v>
      </c>
      <c r="V825" s="245">
        <v>46371</v>
      </c>
      <c r="W825" s="101" t="s">
        <v>535</v>
      </c>
      <c r="X825" s="101" t="s">
        <v>362</v>
      </c>
      <c r="Y825" s="101" t="s">
        <v>471</v>
      </c>
      <c r="Z825" s="101" t="s">
        <v>402</v>
      </c>
      <c r="AA825" s="101" t="s">
        <v>78</v>
      </c>
      <c r="AB825" s="101">
        <v>4101000279</v>
      </c>
      <c r="AC825" s="101" t="s">
        <v>398</v>
      </c>
      <c r="AD825" s="101" t="s">
        <v>403</v>
      </c>
      <c r="AE825" s="101" t="s">
        <v>75</v>
      </c>
      <c r="AF825" s="101" t="s">
        <v>400</v>
      </c>
      <c r="AI825" s="101" t="s">
        <v>760</v>
      </c>
    </row>
    <row r="826" spans="1:35">
      <c r="A826" s="246" t="s">
        <v>113</v>
      </c>
      <c r="B826" s="246" t="s">
        <v>78</v>
      </c>
      <c r="C826" s="246" t="s">
        <v>126</v>
      </c>
      <c r="D826" s="246" t="s">
        <v>339</v>
      </c>
      <c r="E826" s="246" t="s">
        <v>340</v>
      </c>
      <c r="F826" s="246"/>
      <c r="G826" s="132" t="s">
        <v>872</v>
      </c>
      <c r="H826" s="132" t="s">
        <v>1646</v>
      </c>
      <c r="I826" s="132">
        <v>248508.34999999998</v>
      </c>
      <c r="J826" s="101" t="s">
        <v>889</v>
      </c>
      <c r="K826" s="245" t="s">
        <v>390</v>
      </c>
      <c r="L826" s="245">
        <v>43220</v>
      </c>
      <c r="M826" s="245" t="s">
        <v>391</v>
      </c>
      <c r="N826" s="101">
        <v>0</v>
      </c>
      <c r="O826" s="101" t="s">
        <v>392</v>
      </c>
      <c r="P826" s="101">
        <v>0</v>
      </c>
      <c r="Q826" s="101">
        <v>0</v>
      </c>
      <c r="R826" s="101" t="s">
        <v>393</v>
      </c>
      <c r="S826" s="101" t="s">
        <v>647</v>
      </c>
      <c r="T826" s="101" t="s">
        <v>394</v>
      </c>
      <c r="V826" s="245">
        <v>46371</v>
      </c>
      <c r="W826" s="101" t="s">
        <v>535</v>
      </c>
      <c r="X826" s="101" t="s">
        <v>362</v>
      </c>
      <c r="Y826" s="101" t="s">
        <v>471</v>
      </c>
      <c r="Z826" s="101" t="s">
        <v>402</v>
      </c>
      <c r="AA826" s="101" t="s">
        <v>78</v>
      </c>
      <c r="AB826" s="101">
        <v>4101000279</v>
      </c>
      <c r="AC826" s="101" t="s">
        <v>398</v>
      </c>
      <c r="AD826" s="101" t="s">
        <v>403</v>
      </c>
      <c r="AE826" s="101" t="s">
        <v>75</v>
      </c>
      <c r="AF826" s="101" t="s">
        <v>400</v>
      </c>
      <c r="AI826" s="101" t="s">
        <v>760</v>
      </c>
    </row>
    <row r="827" spans="1:35">
      <c r="A827" s="246" t="s">
        <v>101</v>
      </c>
      <c r="B827" s="246" t="s">
        <v>66</v>
      </c>
      <c r="C827" s="246" t="s">
        <v>126</v>
      </c>
      <c r="D827" s="246" t="s">
        <v>282</v>
      </c>
      <c r="E827" s="246"/>
      <c r="F827" s="246"/>
      <c r="G827" s="132">
        <v>0</v>
      </c>
      <c r="H827" s="132">
        <v>0</v>
      </c>
      <c r="I827" s="132">
        <v>0</v>
      </c>
      <c r="J827" s="101" t="s">
        <v>889</v>
      </c>
      <c r="K827" s="245" t="s">
        <v>390</v>
      </c>
      <c r="L827" s="245">
        <v>42502</v>
      </c>
      <c r="M827" s="245" t="s">
        <v>391</v>
      </c>
      <c r="N827" s="101">
        <v>0</v>
      </c>
      <c r="O827" s="101" t="s">
        <v>392</v>
      </c>
      <c r="P827" s="101">
        <v>0</v>
      </c>
      <c r="Q827" s="101">
        <v>0</v>
      </c>
      <c r="S827" s="101">
        <v>194016</v>
      </c>
      <c r="T827" s="101" t="s">
        <v>394</v>
      </c>
      <c r="V827" s="245">
        <v>42502</v>
      </c>
      <c r="W827" s="101" t="s">
        <v>441</v>
      </c>
      <c r="X827" s="101" t="s">
        <v>76</v>
      </c>
      <c r="Y827" s="101" t="s">
        <v>392</v>
      </c>
      <c r="Z827" s="101" t="s">
        <v>430</v>
      </c>
      <c r="AA827" s="101" t="s">
        <v>531</v>
      </c>
      <c r="AB827" s="101">
        <v>3101053435</v>
      </c>
      <c r="AC827" s="101" t="s">
        <v>431</v>
      </c>
      <c r="AD827" s="101" t="s">
        <v>431</v>
      </c>
      <c r="AE827" s="101" t="s">
        <v>75</v>
      </c>
      <c r="AF827" s="101" t="s">
        <v>400</v>
      </c>
      <c r="AG827" s="101" t="s">
        <v>554</v>
      </c>
      <c r="AI827" s="101" t="s">
        <v>760</v>
      </c>
    </row>
    <row r="828" spans="1:35">
      <c r="A828" s="246" t="s">
        <v>101</v>
      </c>
      <c r="B828" s="246" t="s">
        <v>66</v>
      </c>
      <c r="C828" s="246" t="s">
        <v>116</v>
      </c>
      <c r="D828" s="246" t="s">
        <v>1779</v>
      </c>
      <c r="E828" s="246"/>
      <c r="F828" s="246"/>
      <c r="G828" s="132">
        <v>0</v>
      </c>
      <c r="H828" s="132">
        <v>0</v>
      </c>
      <c r="I828" s="132">
        <v>0</v>
      </c>
      <c r="J828" s="101" t="s">
        <v>889</v>
      </c>
      <c r="K828" s="245" t="s">
        <v>390</v>
      </c>
      <c r="L828" s="245">
        <v>42502</v>
      </c>
      <c r="M828" s="245" t="s">
        <v>421</v>
      </c>
      <c r="N828" s="101">
        <v>0</v>
      </c>
      <c r="O828" s="101" t="s">
        <v>392</v>
      </c>
      <c r="P828" s="101">
        <v>0</v>
      </c>
      <c r="Q828" s="101">
        <v>0</v>
      </c>
      <c r="S828" s="101">
        <v>194016</v>
      </c>
      <c r="T828" s="101" t="s">
        <v>394</v>
      </c>
      <c r="V828" s="245">
        <v>42502</v>
      </c>
      <c r="W828" s="101" t="s">
        <v>441</v>
      </c>
      <c r="X828" s="101" t="s">
        <v>76</v>
      </c>
      <c r="Y828" s="101" t="s">
        <v>392</v>
      </c>
      <c r="Z828" s="101" t="s">
        <v>430</v>
      </c>
      <c r="AA828" s="101" t="s">
        <v>531</v>
      </c>
      <c r="AB828" s="101">
        <v>3101053435</v>
      </c>
      <c r="AC828" s="101" t="s">
        <v>431</v>
      </c>
      <c r="AD828" s="101" t="s">
        <v>431</v>
      </c>
      <c r="AE828" s="101" t="s">
        <v>75</v>
      </c>
      <c r="AF828" s="101" t="s">
        <v>400</v>
      </c>
      <c r="AG828" s="101" t="s">
        <v>554</v>
      </c>
      <c r="AI828" s="101" t="s">
        <v>760</v>
      </c>
    </row>
    <row r="829" spans="1:35">
      <c r="A829" s="246" t="s">
        <v>109</v>
      </c>
      <c r="B829" s="246" t="s">
        <v>66</v>
      </c>
      <c r="C829" s="246" t="s">
        <v>126</v>
      </c>
      <c r="D829" s="246" t="s">
        <v>272</v>
      </c>
      <c r="E829" s="246"/>
      <c r="F829" s="246"/>
      <c r="G829" s="132">
        <v>45000</v>
      </c>
      <c r="H829" s="132" t="s">
        <v>1647</v>
      </c>
      <c r="I829" s="132">
        <v>45000</v>
      </c>
      <c r="J829" s="101" t="s">
        <v>889</v>
      </c>
      <c r="K829" s="245" t="s">
        <v>390</v>
      </c>
      <c r="L829" s="245">
        <v>42536</v>
      </c>
      <c r="M829" s="245" t="s">
        <v>391</v>
      </c>
      <c r="N829" s="101">
        <v>0</v>
      </c>
      <c r="O829" s="101" t="s">
        <v>392</v>
      </c>
      <c r="P829" s="101">
        <v>0</v>
      </c>
      <c r="Q829" s="101">
        <v>0</v>
      </c>
      <c r="R829" s="101" t="s">
        <v>450</v>
      </c>
      <c r="S829" s="101">
        <v>193007</v>
      </c>
      <c r="T829" s="101" t="s">
        <v>394</v>
      </c>
      <c r="V829" s="245">
        <v>42536</v>
      </c>
      <c r="W829" s="101" t="s">
        <v>441</v>
      </c>
      <c r="X829" s="101" t="s">
        <v>76</v>
      </c>
      <c r="Y829" s="101" t="s">
        <v>392</v>
      </c>
      <c r="Z829" s="101" t="s">
        <v>430</v>
      </c>
      <c r="AA829" s="101" t="s">
        <v>531</v>
      </c>
      <c r="AB829" s="101">
        <v>3101053435</v>
      </c>
      <c r="AC829" s="101" t="s">
        <v>431</v>
      </c>
      <c r="AD829" s="101" t="s">
        <v>431</v>
      </c>
      <c r="AE829" s="101" t="s">
        <v>75</v>
      </c>
      <c r="AF829" s="101" t="s">
        <v>400</v>
      </c>
      <c r="AG829" s="101" t="s">
        <v>532</v>
      </c>
      <c r="AI829" s="101" t="s">
        <v>760</v>
      </c>
    </row>
    <row r="830" spans="1:35">
      <c r="A830" s="246" t="s">
        <v>109</v>
      </c>
      <c r="B830" s="246" t="s">
        <v>66</v>
      </c>
      <c r="C830" s="246" t="s">
        <v>116</v>
      </c>
      <c r="D830" s="246" t="s">
        <v>338</v>
      </c>
      <c r="E830" s="246"/>
      <c r="F830" s="246"/>
      <c r="G830" s="132">
        <v>18000000</v>
      </c>
      <c r="H830" s="132" t="s">
        <v>1648</v>
      </c>
      <c r="I830" s="132">
        <v>18000000</v>
      </c>
      <c r="J830" s="101" t="s">
        <v>889</v>
      </c>
      <c r="K830" s="245" t="s">
        <v>390</v>
      </c>
      <c r="L830" s="245">
        <v>42536</v>
      </c>
      <c r="M830" s="245" t="s">
        <v>421</v>
      </c>
      <c r="N830" s="101">
        <v>0</v>
      </c>
      <c r="O830" s="101" t="s">
        <v>392</v>
      </c>
      <c r="P830" s="101">
        <v>0</v>
      </c>
      <c r="Q830" s="101">
        <v>0</v>
      </c>
      <c r="R830" s="101" t="s">
        <v>450</v>
      </c>
      <c r="S830" s="101">
        <v>193007</v>
      </c>
      <c r="T830" s="101" t="s">
        <v>394</v>
      </c>
      <c r="V830" s="245">
        <v>42536</v>
      </c>
      <c r="W830" s="101" t="s">
        <v>441</v>
      </c>
      <c r="X830" s="101" t="s">
        <v>76</v>
      </c>
      <c r="Y830" s="101" t="s">
        <v>392</v>
      </c>
      <c r="Z830" s="101" t="s">
        <v>430</v>
      </c>
      <c r="AA830" s="101" t="s">
        <v>531</v>
      </c>
      <c r="AB830" s="101">
        <v>3101053435</v>
      </c>
      <c r="AC830" s="101" t="s">
        <v>431</v>
      </c>
      <c r="AD830" s="101" t="s">
        <v>431</v>
      </c>
      <c r="AE830" s="101" t="s">
        <v>75</v>
      </c>
      <c r="AF830" s="101" t="s">
        <v>400</v>
      </c>
      <c r="AG830" s="101" t="s">
        <v>532</v>
      </c>
      <c r="AI830" s="101" t="s">
        <v>760</v>
      </c>
    </row>
    <row r="831" spans="1:35">
      <c r="A831" s="246" t="s">
        <v>111</v>
      </c>
      <c r="B831" s="246" t="s">
        <v>66</v>
      </c>
      <c r="C831" s="246" t="s">
        <v>126</v>
      </c>
      <c r="D831" s="246" t="s">
        <v>273</v>
      </c>
      <c r="E831" s="246"/>
      <c r="F831" s="246"/>
      <c r="G831" s="132">
        <v>0</v>
      </c>
      <c r="H831" s="132">
        <v>0</v>
      </c>
      <c r="I831" s="132">
        <v>0</v>
      </c>
      <c r="J831" s="101" t="s">
        <v>889</v>
      </c>
      <c r="K831" s="245" t="s">
        <v>390</v>
      </c>
      <c r="L831" s="245">
        <v>42738</v>
      </c>
      <c r="M831" s="245" t="s">
        <v>391</v>
      </c>
      <c r="N831" s="101">
        <v>0</v>
      </c>
      <c r="O831" s="101" t="s">
        <v>392</v>
      </c>
      <c r="P831" s="101">
        <v>0</v>
      </c>
      <c r="Q831" s="101">
        <v>0</v>
      </c>
      <c r="R831" s="101" t="s">
        <v>428</v>
      </c>
      <c r="S831" s="101">
        <v>148669</v>
      </c>
      <c r="T831" s="101" t="s">
        <v>394</v>
      </c>
      <c r="V831" s="245">
        <v>43433</v>
      </c>
      <c r="W831" s="101" t="s">
        <v>424</v>
      </c>
      <c r="X831" s="101" t="s">
        <v>429</v>
      </c>
      <c r="Y831" s="101" t="s">
        <v>392</v>
      </c>
      <c r="Z831" s="101" t="s">
        <v>430</v>
      </c>
      <c r="AA831" s="101" t="s">
        <v>397</v>
      </c>
      <c r="AB831" s="101">
        <v>5101000018</v>
      </c>
      <c r="AC831" s="101" t="s">
        <v>431</v>
      </c>
      <c r="AD831" s="101" t="s">
        <v>431</v>
      </c>
      <c r="AE831" s="101" t="s">
        <v>75</v>
      </c>
      <c r="AF831" s="101" t="s">
        <v>400</v>
      </c>
      <c r="AG831" s="101" t="s">
        <v>704</v>
      </c>
      <c r="AI831" s="101" t="s">
        <v>760</v>
      </c>
    </row>
    <row r="832" spans="1:35">
      <c r="A832" s="246" t="s">
        <v>111</v>
      </c>
      <c r="B832" s="246" t="s">
        <v>66</v>
      </c>
      <c r="C832" s="246" t="s">
        <v>126</v>
      </c>
      <c r="D832" s="246" t="s">
        <v>273</v>
      </c>
      <c r="E832" s="246"/>
      <c r="F832" s="246"/>
      <c r="G832" s="132">
        <v>0</v>
      </c>
      <c r="H832" s="132">
        <v>0</v>
      </c>
      <c r="I832" s="132">
        <v>0</v>
      </c>
      <c r="J832" s="101" t="s">
        <v>889</v>
      </c>
      <c r="K832" s="245" t="s">
        <v>390</v>
      </c>
      <c r="L832" s="245">
        <v>42767</v>
      </c>
      <c r="M832" s="245" t="s">
        <v>391</v>
      </c>
      <c r="N832" s="101">
        <v>0</v>
      </c>
      <c r="O832" s="101" t="s">
        <v>392</v>
      </c>
      <c r="P832" s="101">
        <v>0</v>
      </c>
      <c r="Q832" s="101">
        <v>0</v>
      </c>
      <c r="R832" s="101" t="s">
        <v>428</v>
      </c>
      <c r="S832" s="101">
        <v>148669</v>
      </c>
      <c r="T832" s="101" t="s">
        <v>394</v>
      </c>
      <c r="V832" s="245">
        <v>43433</v>
      </c>
      <c r="W832" s="101" t="s">
        <v>424</v>
      </c>
      <c r="X832" s="101" t="s">
        <v>429</v>
      </c>
      <c r="Y832" s="101" t="s">
        <v>392</v>
      </c>
      <c r="Z832" s="101" t="s">
        <v>430</v>
      </c>
      <c r="AA832" s="101" t="s">
        <v>397</v>
      </c>
      <c r="AB832" s="101">
        <v>5101000018</v>
      </c>
      <c r="AC832" s="101" t="s">
        <v>431</v>
      </c>
      <c r="AD832" s="101" t="s">
        <v>431</v>
      </c>
      <c r="AE832" s="101" t="s">
        <v>75</v>
      </c>
      <c r="AF832" s="101" t="s">
        <v>400</v>
      </c>
      <c r="AG832" s="101" t="s">
        <v>704</v>
      </c>
      <c r="AI832" s="101" t="s">
        <v>760</v>
      </c>
    </row>
    <row r="833" spans="1:35">
      <c r="A833" s="246" t="s">
        <v>111</v>
      </c>
      <c r="B833" s="246" t="s">
        <v>66</v>
      </c>
      <c r="C833" s="246" t="s">
        <v>126</v>
      </c>
      <c r="D833" s="246" t="s">
        <v>273</v>
      </c>
      <c r="E833" s="246"/>
      <c r="F833" s="246"/>
      <c r="G833" s="132">
        <v>0</v>
      </c>
      <c r="H833" s="132">
        <v>0</v>
      </c>
      <c r="I833" s="132">
        <v>0</v>
      </c>
      <c r="J833" s="101" t="s">
        <v>889</v>
      </c>
      <c r="K833" s="245" t="s">
        <v>390</v>
      </c>
      <c r="L833" s="245">
        <v>42795</v>
      </c>
      <c r="M833" s="245" t="s">
        <v>391</v>
      </c>
      <c r="N833" s="101">
        <v>0</v>
      </c>
      <c r="O833" s="101" t="s">
        <v>392</v>
      </c>
      <c r="P833" s="101">
        <v>0</v>
      </c>
      <c r="Q833" s="101">
        <v>0</v>
      </c>
      <c r="R833" s="101" t="s">
        <v>428</v>
      </c>
      <c r="S833" s="101">
        <v>148669</v>
      </c>
      <c r="T833" s="101" t="s">
        <v>394</v>
      </c>
      <c r="V833" s="245">
        <v>43433</v>
      </c>
      <c r="W833" s="101" t="s">
        <v>424</v>
      </c>
      <c r="X833" s="101" t="s">
        <v>429</v>
      </c>
      <c r="Y833" s="101" t="s">
        <v>392</v>
      </c>
      <c r="Z833" s="101" t="s">
        <v>430</v>
      </c>
      <c r="AA833" s="101" t="s">
        <v>397</v>
      </c>
      <c r="AB833" s="101">
        <v>5101000018</v>
      </c>
      <c r="AC833" s="101" t="s">
        <v>431</v>
      </c>
      <c r="AD833" s="101" t="s">
        <v>431</v>
      </c>
      <c r="AE833" s="101" t="s">
        <v>75</v>
      </c>
      <c r="AF833" s="101" t="s">
        <v>400</v>
      </c>
      <c r="AG833" s="101" t="s">
        <v>704</v>
      </c>
      <c r="AI833" s="101" t="s">
        <v>760</v>
      </c>
    </row>
    <row r="834" spans="1:35">
      <c r="A834" s="246" t="s">
        <v>111</v>
      </c>
      <c r="B834" s="246" t="s">
        <v>66</v>
      </c>
      <c r="C834" s="246" t="s">
        <v>126</v>
      </c>
      <c r="D834" s="246" t="s">
        <v>273</v>
      </c>
      <c r="E834" s="246"/>
      <c r="F834" s="246"/>
      <c r="G834" s="132">
        <v>0</v>
      </c>
      <c r="H834" s="132">
        <v>0</v>
      </c>
      <c r="I834" s="132">
        <v>0</v>
      </c>
      <c r="J834" s="101" t="s">
        <v>889</v>
      </c>
      <c r="K834" s="245" t="s">
        <v>390</v>
      </c>
      <c r="L834" s="245">
        <v>42828</v>
      </c>
      <c r="M834" s="245" t="s">
        <v>391</v>
      </c>
      <c r="N834" s="101">
        <v>0</v>
      </c>
      <c r="O834" s="101" t="s">
        <v>392</v>
      </c>
      <c r="P834" s="101">
        <v>0</v>
      </c>
      <c r="Q834" s="101">
        <v>0</v>
      </c>
      <c r="R834" s="101" t="s">
        <v>428</v>
      </c>
      <c r="S834" s="101">
        <v>148669</v>
      </c>
      <c r="T834" s="101" t="s">
        <v>394</v>
      </c>
      <c r="V834" s="245">
        <v>43433</v>
      </c>
      <c r="W834" s="101" t="s">
        <v>424</v>
      </c>
      <c r="X834" s="101" t="s">
        <v>429</v>
      </c>
      <c r="Y834" s="101" t="s">
        <v>392</v>
      </c>
      <c r="Z834" s="101" t="s">
        <v>430</v>
      </c>
      <c r="AA834" s="101" t="s">
        <v>397</v>
      </c>
      <c r="AB834" s="101">
        <v>5101000018</v>
      </c>
      <c r="AC834" s="101" t="s">
        <v>431</v>
      </c>
      <c r="AD834" s="101" t="s">
        <v>431</v>
      </c>
      <c r="AE834" s="101" t="s">
        <v>75</v>
      </c>
      <c r="AF834" s="101" t="s">
        <v>400</v>
      </c>
      <c r="AG834" s="101" t="s">
        <v>704</v>
      </c>
      <c r="AI834" s="101" t="s">
        <v>760</v>
      </c>
    </row>
    <row r="835" spans="1:35">
      <c r="A835" s="246" t="s">
        <v>111</v>
      </c>
      <c r="B835" s="246" t="s">
        <v>66</v>
      </c>
      <c r="C835" s="246" t="s">
        <v>126</v>
      </c>
      <c r="D835" s="246" t="s">
        <v>273</v>
      </c>
      <c r="E835" s="246"/>
      <c r="F835" s="246"/>
      <c r="G835" s="132">
        <v>0</v>
      </c>
      <c r="H835" s="132">
        <v>0</v>
      </c>
      <c r="I835" s="132">
        <v>0</v>
      </c>
      <c r="J835" s="101" t="s">
        <v>889</v>
      </c>
      <c r="K835" s="245" t="s">
        <v>390</v>
      </c>
      <c r="L835" s="245">
        <v>42857</v>
      </c>
      <c r="M835" s="245" t="s">
        <v>391</v>
      </c>
      <c r="N835" s="101">
        <v>0</v>
      </c>
      <c r="O835" s="101" t="s">
        <v>392</v>
      </c>
      <c r="P835" s="101">
        <v>0</v>
      </c>
      <c r="Q835" s="101">
        <v>0</v>
      </c>
      <c r="R835" s="101" t="s">
        <v>428</v>
      </c>
      <c r="S835" s="101">
        <v>148669</v>
      </c>
      <c r="T835" s="101" t="s">
        <v>394</v>
      </c>
      <c r="V835" s="245">
        <v>43433</v>
      </c>
      <c r="W835" s="101" t="s">
        <v>424</v>
      </c>
      <c r="X835" s="101" t="s">
        <v>429</v>
      </c>
      <c r="Y835" s="101" t="s">
        <v>392</v>
      </c>
      <c r="Z835" s="101" t="s">
        <v>430</v>
      </c>
      <c r="AA835" s="101" t="s">
        <v>397</v>
      </c>
      <c r="AB835" s="101">
        <v>5101000018</v>
      </c>
      <c r="AC835" s="101" t="s">
        <v>431</v>
      </c>
      <c r="AD835" s="101" t="s">
        <v>431</v>
      </c>
      <c r="AE835" s="101" t="s">
        <v>75</v>
      </c>
      <c r="AF835" s="101" t="s">
        <v>400</v>
      </c>
      <c r="AG835" s="101" t="s">
        <v>704</v>
      </c>
      <c r="AI835" s="101" t="s">
        <v>760</v>
      </c>
    </row>
    <row r="836" spans="1:35">
      <c r="A836" s="246" t="s">
        <v>112</v>
      </c>
      <c r="B836" s="246" t="s">
        <v>66</v>
      </c>
      <c r="C836" s="246" t="s">
        <v>126</v>
      </c>
      <c r="D836" s="246" t="s">
        <v>270</v>
      </c>
      <c r="E836" s="246"/>
      <c r="F836" s="246"/>
      <c r="G836" s="132">
        <v>0</v>
      </c>
      <c r="H836" s="132">
        <v>0</v>
      </c>
      <c r="I836" s="132">
        <v>0</v>
      </c>
      <c r="J836" s="101" t="s">
        <v>889</v>
      </c>
      <c r="K836" s="245" t="s">
        <v>390</v>
      </c>
      <c r="L836" s="245">
        <v>42887</v>
      </c>
      <c r="M836" s="245" t="s">
        <v>391</v>
      </c>
      <c r="N836" s="101">
        <v>0</v>
      </c>
      <c r="O836" s="101" t="s">
        <v>392</v>
      </c>
      <c r="P836" s="101">
        <v>0</v>
      </c>
      <c r="Q836" s="101">
        <v>0</v>
      </c>
      <c r="R836" s="101" t="s">
        <v>428</v>
      </c>
      <c r="S836" s="101">
        <v>148669</v>
      </c>
      <c r="T836" s="101" t="s">
        <v>394</v>
      </c>
      <c r="V836" s="245">
        <v>43433</v>
      </c>
      <c r="W836" s="101" t="s">
        <v>424</v>
      </c>
      <c r="X836" s="101" t="s">
        <v>429</v>
      </c>
      <c r="Y836" s="101" t="s">
        <v>392</v>
      </c>
      <c r="Z836" s="101" t="s">
        <v>430</v>
      </c>
      <c r="AA836" s="101" t="s">
        <v>397</v>
      </c>
      <c r="AB836" s="101">
        <v>5101000018</v>
      </c>
      <c r="AC836" s="101" t="s">
        <v>431</v>
      </c>
      <c r="AD836" s="101" t="s">
        <v>431</v>
      </c>
      <c r="AE836" s="101" t="s">
        <v>75</v>
      </c>
      <c r="AF836" s="101" t="s">
        <v>400</v>
      </c>
      <c r="AG836" s="101" t="s">
        <v>704</v>
      </c>
      <c r="AI836" s="101" t="s">
        <v>760</v>
      </c>
    </row>
    <row r="837" spans="1:35">
      <c r="A837" s="246" t="s">
        <v>112</v>
      </c>
      <c r="B837" s="246" t="s">
        <v>66</v>
      </c>
      <c r="C837" s="246" t="s">
        <v>126</v>
      </c>
      <c r="D837" s="246" t="s">
        <v>270</v>
      </c>
      <c r="E837" s="246"/>
      <c r="F837" s="246"/>
      <c r="G837" s="132">
        <v>0</v>
      </c>
      <c r="H837" s="132">
        <v>0</v>
      </c>
      <c r="I837" s="132">
        <v>0</v>
      </c>
      <c r="J837" s="101" t="s">
        <v>889</v>
      </c>
      <c r="K837" s="245" t="s">
        <v>390</v>
      </c>
      <c r="L837" s="245">
        <v>42919</v>
      </c>
      <c r="M837" s="245" t="s">
        <v>391</v>
      </c>
      <c r="N837" s="101">
        <v>0</v>
      </c>
      <c r="O837" s="101" t="s">
        <v>392</v>
      </c>
      <c r="P837" s="101">
        <v>0</v>
      </c>
      <c r="Q837" s="101">
        <v>0</v>
      </c>
      <c r="R837" s="101" t="s">
        <v>428</v>
      </c>
      <c r="S837" s="101">
        <v>148669</v>
      </c>
      <c r="T837" s="101" t="s">
        <v>394</v>
      </c>
      <c r="V837" s="245">
        <v>43433</v>
      </c>
      <c r="W837" s="101" t="s">
        <v>424</v>
      </c>
      <c r="X837" s="101" t="s">
        <v>429</v>
      </c>
      <c r="Y837" s="101" t="s">
        <v>392</v>
      </c>
      <c r="Z837" s="101" t="s">
        <v>430</v>
      </c>
      <c r="AA837" s="101" t="s">
        <v>397</v>
      </c>
      <c r="AB837" s="101">
        <v>5101000018</v>
      </c>
      <c r="AC837" s="101" t="s">
        <v>431</v>
      </c>
      <c r="AD837" s="101" t="s">
        <v>431</v>
      </c>
      <c r="AE837" s="101" t="s">
        <v>75</v>
      </c>
      <c r="AF837" s="101" t="s">
        <v>400</v>
      </c>
      <c r="AG837" s="101" t="s">
        <v>704</v>
      </c>
      <c r="AI837" s="101" t="s">
        <v>760</v>
      </c>
    </row>
    <row r="838" spans="1:35">
      <c r="A838" s="246" t="s">
        <v>112</v>
      </c>
      <c r="B838" s="246" t="s">
        <v>66</v>
      </c>
      <c r="C838" s="246" t="s">
        <v>126</v>
      </c>
      <c r="D838" s="246" t="s">
        <v>270</v>
      </c>
      <c r="E838" s="246"/>
      <c r="F838" s="246"/>
      <c r="G838" s="132">
        <v>0</v>
      </c>
      <c r="H838" s="132">
        <v>0</v>
      </c>
      <c r="I838" s="132">
        <v>0</v>
      </c>
      <c r="J838" s="101" t="s">
        <v>889</v>
      </c>
      <c r="K838" s="245" t="s">
        <v>390</v>
      </c>
      <c r="L838" s="245">
        <v>42948</v>
      </c>
      <c r="M838" s="245" t="s">
        <v>391</v>
      </c>
      <c r="N838" s="101">
        <v>0</v>
      </c>
      <c r="O838" s="101" t="s">
        <v>392</v>
      </c>
      <c r="P838" s="101">
        <v>0</v>
      </c>
      <c r="Q838" s="101">
        <v>0</v>
      </c>
      <c r="R838" s="101" t="s">
        <v>428</v>
      </c>
      <c r="S838" s="101">
        <v>148669</v>
      </c>
      <c r="T838" s="101" t="s">
        <v>394</v>
      </c>
      <c r="V838" s="245">
        <v>43433</v>
      </c>
      <c r="W838" s="101" t="s">
        <v>424</v>
      </c>
      <c r="X838" s="101" t="s">
        <v>429</v>
      </c>
      <c r="Y838" s="101" t="s">
        <v>392</v>
      </c>
      <c r="Z838" s="101" t="s">
        <v>430</v>
      </c>
      <c r="AA838" s="101" t="s">
        <v>397</v>
      </c>
      <c r="AB838" s="101">
        <v>5101000018</v>
      </c>
      <c r="AC838" s="101" t="s">
        <v>431</v>
      </c>
      <c r="AD838" s="101" t="s">
        <v>431</v>
      </c>
      <c r="AE838" s="101" t="s">
        <v>75</v>
      </c>
      <c r="AF838" s="101" t="s">
        <v>400</v>
      </c>
      <c r="AG838" s="101" t="s">
        <v>704</v>
      </c>
      <c r="AI838" s="101" t="s">
        <v>760</v>
      </c>
    </row>
    <row r="839" spans="1:35">
      <c r="A839" s="246" t="s">
        <v>112</v>
      </c>
      <c r="B839" s="246" t="s">
        <v>66</v>
      </c>
      <c r="C839" s="246" t="s">
        <v>126</v>
      </c>
      <c r="D839" s="246" t="s">
        <v>270</v>
      </c>
      <c r="E839" s="246"/>
      <c r="F839" s="246"/>
      <c r="G839" s="132">
        <v>0</v>
      </c>
      <c r="H839" s="132">
        <v>0</v>
      </c>
      <c r="I839" s="132">
        <v>0</v>
      </c>
      <c r="J839" s="101" t="s">
        <v>889</v>
      </c>
      <c r="K839" s="245" t="s">
        <v>390</v>
      </c>
      <c r="L839" s="245">
        <v>42979</v>
      </c>
      <c r="M839" s="245" t="s">
        <v>391</v>
      </c>
      <c r="N839" s="101">
        <v>0</v>
      </c>
      <c r="O839" s="101" t="s">
        <v>392</v>
      </c>
      <c r="P839" s="101">
        <v>0</v>
      </c>
      <c r="Q839" s="101">
        <v>0</v>
      </c>
      <c r="R839" s="101" t="s">
        <v>428</v>
      </c>
      <c r="S839" s="101">
        <v>148669</v>
      </c>
      <c r="T839" s="101" t="s">
        <v>394</v>
      </c>
      <c r="V839" s="245">
        <v>43433</v>
      </c>
      <c r="W839" s="101" t="s">
        <v>424</v>
      </c>
      <c r="X839" s="101" t="s">
        <v>429</v>
      </c>
      <c r="Y839" s="101" t="s">
        <v>392</v>
      </c>
      <c r="Z839" s="101" t="s">
        <v>430</v>
      </c>
      <c r="AA839" s="101" t="s">
        <v>397</v>
      </c>
      <c r="AB839" s="101">
        <v>5101000018</v>
      </c>
      <c r="AC839" s="101" t="s">
        <v>431</v>
      </c>
      <c r="AD839" s="101" t="s">
        <v>431</v>
      </c>
      <c r="AE839" s="101" t="s">
        <v>75</v>
      </c>
      <c r="AF839" s="101" t="s">
        <v>400</v>
      </c>
      <c r="AG839" s="101" t="s">
        <v>704</v>
      </c>
      <c r="AI839" s="101" t="s">
        <v>760</v>
      </c>
    </row>
    <row r="840" spans="1:35">
      <c r="A840" s="246" t="s">
        <v>112</v>
      </c>
      <c r="B840" s="246" t="s">
        <v>66</v>
      </c>
      <c r="C840" s="246" t="s">
        <v>126</v>
      </c>
      <c r="D840" s="246" t="s">
        <v>270</v>
      </c>
      <c r="E840" s="246"/>
      <c r="F840" s="246"/>
      <c r="G840" s="132">
        <v>0</v>
      </c>
      <c r="H840" s="132">
        <v>0</v>
      </c>
      <c r="I840" s="132">
        <v>0</v>
      </c>
      <c r="J840" s="101" t="s">
        <v>889</v>
      </c>
      <c r="K840" s="245" t="s">
        <v>390</v>
      </c>
      <c r="L840" s="245">
        <v>43010</v>
      </c>
      <c r="M840" s="245" t="s">
        <v>391</v>
      </c>
      <c r="N840" s="101">
        <v>0</v>
      </c>
      <c r="O840" s="101" t="s">
        <v>392</v>
      </c>
      <c r="P840" s="101">
        <v>0</v>
      </c>
      <c r="Q840" s="101">
        <v>0</v>
      </c>
      <c r="R840" s="101" t="s">
        <v>428</v>
      </c>
      <c r="S840" s="101">
        <v>148669</v>
      </c>
      <c r="T840" s="101" t="s">
        <v>394</v>
      </c>
      <c r="V840" s="245">
        <v>43433</v>
      </c>
      <c r="W840" s="101" t="s">
        <v>424</v>
      </c>
      <c r="X840" s="101" t="s">
        <v>429</v>
      </c>
      <c r="Y840" s="101" t="s">
        <v>392</v>
      </c>
      <c r="Z840" s="101" t="s">
        <v>430</v>
      </c>
      <c r="AA840" s="101" t="s">
        <v>397</v>
      </c>
      <c r="AB840" s="101">
        <v>5101000018</v>
      </c>
      <c r="AC840" s="101" t="s">
        <v>431</v>
      </c>
      <c r="AD840" s="101" t="s">
        <v>431</v>
      </c>
      <c r="AE840" s="101" t="s">
        <v>75</v>
      </c>
      <c r="AF840" s="101" t="s">
        <v>400</v>
      </c>
      <c r="AG840" s="101" t="s">
        <v>704</v>
      </c>
      <c r="AI840" s="101" t="s">
        <v>760</v>
      </c>
    </row>
    <row r="841" spans="1:35">
      <c r="A841" s="246" t="s">
        <v>112</v>
      </c>
      <c r="B841" s="246" t="s">
        <v>66</v>
      </c>
      <c r="C841" s="246" t="s">
        <v>126</v>
      </c>
      <c r="D841" s="246" t="s">
        <v>270</v>
      </c>
      <c r="E841" s="246"/>
      <c r="F841" s="246"/>
      <c r="G841" s="132">
        <v>0</v>
      </c>
      <c r="H841" s="132">
        <v>0</v>
      </c>
      <c r="I841" s="132">
        <v>0</v>
      </c>
      <c r="J841" s="101" t="s">
        <v>889</v>
      </c>
      <c r="K841" s="245" t="s">
        <v>390</v>
      </c>
      <c r="L841" s="245">
        <v>43040</v>
      </c>
      <c r="M841" s="245" t="s">
        <v>391</v>
      </c>
      <c r="N841" s="101">
        <v>0</v>
      </c>
      <c r="O841" s="101" t="s">
        <v>392</v>
      </c>
      <c r="P841" s="101">
        <v>0</v>
      </c>
      <c r="Q841" s="101">
        <v>0</v>
      </c>
      <c r="R841" s="101" t="s">
        <v>428</v>
      </c>
      <c r="S841" s="101">
        <v>148669</v>
      </c>
      <c r="T841" s="101" t="s">
        <v>394</v>
      </c>
      <c r="V841" s="245">
        <v>43433</v>
      </c>
      <c r="W841" s="101" t="s">
        <v>424</v>
      </c>
      <c r="X841" s="101" t="s">
        <v>429</v>
      </c>
      <c r="Y841" s="101" t="s">
        <v>392</v>
      </c>
      <c r="Z841" s="101" t="s">
        <v>430</v>
      </c>
      <c r="AA841" s="101" t="s">
        <v>397</v>
      </c>
      <c r="AB841" s="101">
        <v>5101000018</v>
      </c>
      <c r="AC841" s="101" t="s">
        <v>431</v>
      </c>
      <c r="AD841" s="101" t="s">
        <v>431</v>
      </c>
      <c r="AE841" s="101" t="s">
        <v>75</v>
      </c>
      <c r="AF841" s="101" t="s">
        <v>400</v>
      </c>
      <c r="AG841" s="101" t="s">
        <v>704</v>
      </c>
      <c r="AI841" s="101" t="s">
        <v>760</v>
      </c>
    </row>
    <row r="842" spans="1:35">
      <c r="A842" s="246" t="s">
        <v>113</v>
      </c>
      <c r="B842" s="246" t="s">
        <v>66</v>
      </c>
      <c r="C842" s="246" t="s">
        <v>126</v>
      </c>
      <c r="D842" s="246" t="s">
        <v>271</v>
      </c>
      <c r="E842" s="246"/>
      <c r="F842" s="246"/>
      <c r="G842" s="132">
        <v>0</v>
      </c>
      <c r="H842" s="132">
        <v>0</v>
      </c>
      <c r="I842" s="132">
        <v>0</v>
      </c>
      <c r="J842" s="101" t="s">
        <v>889</v>
      </c>
      <c r="K842" s="245" t="s">
        <v>390</v>
      </c>
      <c r="L842" s="245">
        <v>43070</v>
      </c>
      <c r="M842" s="245" t="s">
        <v>391</v>
      </c>
      <c r="N842" s="101">
        <v>0</v>
      </c>
      <c r="O842" s="101" t="s">
        <v>392</v>
      </c>
      <c r="P842" s="101">
        <v>0</v>
      </c>
      <c r="Q842" s="101">
        <v>0</v>
      </c>
      <c r="R842" s="101" t="s">
        <v>428</v>
      </c>
      <c r="S842" s="101">
        <v>148669</v>
      </c>
      <c r="T842" s="101" t="s">
        <v>394</v>
      </c>
      <c r="V842" s="245">
        <v>43433</v>
      </c>
      <c r="W842" s="101" t="s">
        <v>424</v>
      </c>
      <c r="X842" s="101" t="s">
        <v>429</v>
      </c>
      <c r="Y842" s="101" t="s">
        <v>392</v>
      </c>
      <c r="Z842" s="101" t="s">
        <v>430</v>
      </c>
      <c r="AA842" s="101" t="s">
        <v>397</v>
      </c>
      <c r="AB842" s="101">
        <v>5101000018</v>
      </c>
      <c r="AC842" s="101" t="s">
        <v>431</v>
      </c>
      <c r="AD842" s="101" t="s">
        <v>431</v>
      </c>
      <c r="AE842" s="101" t="s">
        <v>75</v>
      </c>
      <c r="AF842" s="101" t="s">
        <v>400</v>
      </c>
      <c r="AG842" s="101" t="s">
        <v>704</v>
      </c>
      <c r="AI842" s="101" t="s">
        <v>760</v>
      </c>
    </row>
    <row r="843" spans="1:35">
      <c r="A843" s="246" t="s">
        <v>113</v>
      </c>
      <c r="B843" s="246" t="s">
        <v>66</v>
      </c>
      <c r="C843" s="246" t="s">
        <v>126</v>
      </c>
      <c r="D843" s="246" t="s">
        <v>271</v>
      </c>
      <c r="E843" s="246"/>
      <c r="F843" s="246"/>
      <c r="G843" s="132">
        <v>0</v>
      </c>
      <c r="H843" s="132">
        <v>0</v>
      </c>
      <c r="I843" s="132">
        <v>0</v>
      </c>
      <c r="J843" s="101" t="s">
        <v>889</v>
      </c>
      <c r="K843" s="245" t="s">
        <v>390</v>
      </c>
      <c r="L843" s="245">
        <v>43102</v>
      </c>
      <c r="M843" s="245" t="s">
        <v>391</v>
      </c>
      <c r="N843" s="101">
        <v>0</v>
      </c>
      <c r="O843" s="101" t="s">
        <v>392</v>
      </c>
      <c r="P843" s="101">
        <v>0</v>
      </c>
      <c r="Q843" s="101">
        <v>0</v>
      </c>
      <c r="R843" s="101" t="s">
        <v>428</v>
      </c>
      <c r="S843" s="101">
        <v>148669</v>
      </c>
      <c r="T843" s="101" t="s">
        <v>394</v>
      </c>
      <c r="V843" s="245">
        <v>43433</v>
      </c>
      <c r="W843" s="101" t="s">
        <v>424</v>
      </c>
      <c r="X843" s="101" t="s">
        <v>429</v>
      </c>
      <c r="Y843" s="101" t="s">
        <v>392</v>
      </c>
      <c r="Z843" s="101" t="s">
        <v>430</v>
      </c>
      <c r="AA843" s="101" t="s">
        <v>397</v>
      </c>
      <c r="AB843" s="101">
        <v>5101000018</v>
      </c>
      <c r="AC843" s="101" t="s">
        <v>431</v>
      </c>
      <c r="AD843" s="101" t="s">
        <v>431</v>
      </c>
      <c r="AE843" s="101" t="s">
        <v>75</v>
      </c>
      <c r="AF843" s="101" t="s">
        <v>400</v>
      </c>
      <c r="AG843" s="101" t="s">
        <v>704</v>
      </c>
      <c r="AI843" s="101" t="s">
        <v>760</v>
      </c>
    </row>
    <row r="844" spans="1:35">
      <c r="A844" s="246" t="s">
        <v>113</v>
      </c>
      <c r="B844" s="246" t="s">
        <v>66</v>
      </c>
      <c r="C844" s="246" t="s">
        <v>126</v>
      </c>
      <c r="D844" s="246" t="s">
        <v>271</v>
      </c>
      <c r="E844" s="246"/>
      <c r="F844" s="246"/>
      <c r="G844" s="132">
        <v>0</v>
      </c>
      <c r="H844" s="132">
        <v>0</v>
      </c>
      <c r="I844" s="132">
        <v>0</v>
      </c>
      <c r="J844" s="101" t="s">
        <v>889</v>
      </c>
      <c r="K844" s="245" t="s">
        <v>390</v>
      </c>
      <c r="L844" s="245">
        <v>43132</v>
      </c>
      <c r="M844" s="245" t="s">
        <v>391</v>
      </c>
      <c r="N844" s="101">
        <v>0</v>
      </c>
      <c r="O844" s="101" t="s">
        <v>392</v>
      </c>
      <c r="P844" s="101">
        <v>0</v>
      </c>
      <c r="Q844" s="101">
        <v>0</v>
      </c>
      <c r="R844" s="101" t="s">
        <v>428</v>
      </c>
      <c r="S844" s="101">
        <v>148669</v>
      </c>
      <c r="T844" s="101" t="s">
        <v>394</v>
      </c>
      <c r="V844" s="245">
        <v>43433</v>
      </c>
      <c r="W844" s="101" t="s">
        <v>424</v>
      </c>
      <c r="X844" s="101" t="s">
        <v>429</v>
      </c>
      <c r="Y844" s="101" t="s">
        <v>392</v>
      </c>
      <c r="Z844" s="101" t="s">
        <v>430</v>
      </c>
      <c r="AA844" s="101" t="s">
        <v>397</v>
      </c>
      <c r="AB844" s="101">
        <v>5101000018</v>
      </c>
      <c r="AC844" s="101" t="s">
        <v>431</v>
      </c>
      <c r="AD844" s="101" t="s">
        <v>431</v>
      </c>
      <c r="AE844" s="101" t="s">
        <v>75</v>
      </c>
      <c r="AF844" s="101" t="s">
        <v>400</v>
      </c>
      <c r="AG844" s="101" t="s">
        <v>704</v>
      </c>
      <c r="AI844" s="101" t="s">
        <v>760</v>
      </c>
    </row>
    <row r="845" spans="1:35">
      <c r="A845" s="246" t="s">
        <v>113</v>
      </c>
      <c r="B845" s="246" t="s">
        <v>66</v>
      </c>
      <c r="C845" s="246" t="s">
        <v>126</v>
      </c>
      <c r="D845" s="246" t="s">
        <v>271</v>
      </c>
      <c r="E845" s="246"/>
      <c r="F845" s="246"/>
      <c r="G845" s="132">
        <v>0</v>
      </c>
      <c r="H845" s="132">
        <v>0</v>
      </c>
      <c r="I845" s="132">
        <v>0</v>
      </c>
      <c r="J845" s="101" t="s">
        <v>889</v>
      </c>
      <c r="K845" s="245" t="s">
        <v>390</v>
      </c>
      <c r="L845" s="245">
        <v>43160</v>
      </c>
      <c r="M845" s="245" t="s">
        <v>391</v>
      </c>
      <c r="N845" s="101">
        <v>0</v>
      </c>
      <c r="O845" s="101" t="s">
        <v>392</v>
      </c>
      <c r="P845" s="101">
        <v>0</v>
      </c>
      <c r="Q845" s="101">
        <v>0</v>
      </c>
      <c r="R845" s="101" t="s">
        <v>428</v>
      </c>
      <c r="S845" s="101">
        <v>148669</v>
      </c>
      <c r="T845" s="101" t="s">
        <v>394</v>
      </c>
      <c r="V845" s="245">
        <v>43433</v>
      </c>
      <c r="W845" s="101" t="s">
        <v>424</v>
      </c>
      <c r="X845" s="101" t="s">
        <v>429</v>
      </c>
      <c r="Y845" s="101" t="s">
        <v>392</v>
      </c>
      <c r="Z845" s="101" t="s">
        <v>430</v>
      </c>
      <c r="AA845" s="101" t="s">
        <v>397</v>
      </c>
      <c r="AB845" s="101">
        <v>5101000018</v>
      </c>
      <c r="AC845" s="101" t="s">
        <v>431</v>
      </c>
      <c r="AD845" s="101" t="s">
        <v>431</v>
      </c>
      <c r="AE845" s="101" t="s">
        <v>75</v>
      </c>
      <c r="AF845" s="101" t="s">
        <v>400</v>
      </c>
      <c r="AG845" s="101" t="s">
        <v>704</v>
      </c>
      <c r="AI845" s="101" t="s">
        <v>760</v>
      </c>
    </row>
    <row r="846" spans="1:35">
      <c r="A846" s="246" t="s">
        <v>113</v>
      </c>
      <c r="B846" s="246" t="s">
        <v>66</v>
      </c>
      <c r="C846" s="246" t="s">
        <v>126</v>
      </c>
      <c r="D846" s="246" t="s">
        <v>271</v>
      </c>
      <c r="E846" s="246"/>
      <c r="F846" s="246"/>
      <c r="G846" s="132">
        <v>0</v>
      </c>
      <c r="H846" s="132">
        <v>0</v>
      </c>
      <c r="I846" s="132">
        <v>0</v>
      </c>
      <c r="J846" s="101" t="s">
        <v>889</v>
      </c>
      <c r="K846" s="245" t="s">
        <v>390</v>
      </c>
      <c r="L846" s="245">
        <v>43193</v>
      </c>
      <c r="M846" s="245" t="s">
        <v>391</v>
      </c>
      <c r="N846" s="101">
        <v>0</v>
      </c>
      <c r="O846" s="101" t="s">
        <v>392</v>
      </c>
      <c r="P846" s="101">
        <v>0</v>
      </c>
      <c r="Q846" s="101">
        <v>0</v>
      </c>
      <c r="R846" s="101" t="s">
        <v>428</v>
      </c>
      <c r="S846" s="101">
        <v>148669</v>
      </c>
      <c r="T846" s="101" t="s">
        <v>394</v>
      </c>
      <c r="V846" s="245">
        <v>43433</v>
      </c>
      <c r="W846" s="101" t="s">
        <v>424</v>
      </c>
      <c r="X846" s="101" t="s">
        <v>429</v>
      </c>
      <c r="Y846" s="101" t="s">
        <v>392</v>
      </c>
      <c r="Z846" s="101" t="s">
        <v>430</v>
      </c>
      <c r="AA846" s="101" t="s">
        <v>397</v>
      </c>
      <c r="AB846" s="101">
        <v>5101000018</v>
      </c>
      <c r="AC846" s="101" t="s">
        <v>431</v>
      </c>
      <c r="AD846" s="101" t="s">
        <v>431</v>
      </c>
      <c r="AE846" s="101" t="s">
        <v>75</v>
      </c>
      <c r="AF846" s="101" t="s">
        <v>400</v>
      </c>
      <c r="AG846" s="101" t="s">
        <v>704</v>
      </c>
      <c r="AI846" s="101" t="s">
        <v>760</v>
      </c>
    </row>
    <row r="847" spans="1:35">
      <c r="A847" s="246" t="s">
        <v>113</v>
      </c>
      <c r="B847" s="246" t="s">
        <v>66</v>
      </c>
      <c r="C847" s="246" t="s">
        <v>126</v>
      </c>
      <c r="D847" s="246" t="s">
        <v>271</v>
      </c>
      <c r="E847" s="246"/>
      <c r="F847" s="246"/>
      <c r="G847" s="132">
        <v>0</v>
      </c>
      <c r="H847" s="132">
        <v>0</v>
      </c>
      <c r="I847" s="132">
        <v>0</v>
      </c>
      <c r="J847" s="101" t="s">
        <v>889</v>
      </c>
      <c r="K847" s="245" t="s">
        <v>390</v>
      </c>
      <c r="L847" s="245">
        <v>43221</v>
      </c>
      <c r="M847" s="245" t="s">
        <v>391</v>
      </c>
      <c r="N847" s="101">
        <v>0</v>
      </c>
      <c r="O847" s="101" t="s">
        <v>392</v>
      </c>
      <c r="P847" s="101">
        <v>0</v>
      </c>
      <c r="Q847" s="101">
        <v>0</v>
      </c>
      <c r="R847" s="101" t="s">
        <v>428</v>
      </c>
      <c r="S847" s="101">
        <v>148669</v>
      </c>
      <c r="T847" s="101" t="s">
        <v>394</v>
      </c>
      <c r="V847" s="245">
        <v>43433</v>
      </c>
      <c r="W847" s="101" t="s">
        <v>424</v>
      </c>
      <c r="X847" s="101" t="s">
        <v>429</v>
      </c>
      <c r="Y847" s="101" t="s">
        <v>392</v>
      </c>
      <c r="Z847" s="101" t="s">
        <v>430</v>
      </c>
      <c r="AA847" s="101" t="s">
        <v>397</v>
      </c>
      <c r="AB847" s="101">
        <v>5101000018</v>
      </c>
      <c r="AC847" s="101" t="s">
        <v>431</v>
      </c>
      <c r="AD847" s="101" t="s">
        <v>431</v>
      </c>
      <c r="AE847" s="101" t="s">
        <v>75</v>
      </c>
      <c r="AF847" s="101" t="s">
        <v>400</v>
      </c>
      <c r="AG847" s="101" t="s">
        <v>704</v>
      </c>
      <c r="AI847" s="101" t="s">
        <v>760</v>
      </c>
    </row>
    <row r="848" spans="1:35">
      <c r="A848" s="246" t="s">
        <v>110</v>
      </c>
      <c r="B848" s="246" t="s">
        <v>66</v>
      </c>
      <c r="C848" s="246" t="s">
        <v>126</v>
      </c>
      <c r="D848" s="246" t="s">
        <v>281</v>
      </c>
      <c r="E848" s="246"/>
      <c r="F848" s="246" t="s">
        <v>276</v>
      </c>
      <c r="G848" s="132" t="s">
        <v>458</v>
      </c>
      <c r="H848" s="132" t="s">
        <v>1649</v>
      </c>
      <c r="I848" s="132">
        <v>-125.43</v>
      </c>
      <c r="J848" s="101" t="s">
        <v>889</v>
      </c>
      <c r="K848" s="245" t="s">
        <v>390</v>
      </c>
      <c r="L848" s="245">
        <v>42643</v>
      </c>
      <c r="M848" s="245" t="s">
        <v>391</v>
      </c>
      <c r="N848" s="101">
        <v>0</v>
      </c>
      <c r="O848" s="101" t="s">
        <v>392</v>
      </c>
      <c r="P848" s="101">
        <v>0</v>
      </c>
      <c r="Q848" s="101">
        <v>0</v>
      </c>
      <c r="R848" s="101" t="s">
        <v>444</v>
      </c>
      <c r="S848" s="101" t="s">
        <v>459</v>
      </c>
      <c r="T848" s="101" t="s">
        <v>394</v>
      </c>
      <c r="U848" s="101" t="s">
        <v>21</v>
      </c>
      <c r="V848" s="245">
        <v>14521</v>
      </c>
      <c r="W848" s="101" t="s">
        <v>411</v>
      </c>
      <c r="X848" s="101" t="s">
        <v>77</v>
      </c>
      <c r="Y848" s="101" t="s">
        <v>392</v>
      </c>
      <c r="Z848" s="101" t="s">
        <v>412</v>
      </c>
      <c r="AA848" s="101" t="s">
        <v>460</v>
      </c>
      <c r="AB848" s="101">
        <v>101000520</v>
      </c>
      <c r="AC848" s="101" t="s">
        <v>414</v>
      </c>
      <c r="AD848" s="101" t="s">
        <v>79</v>
      </c>
      <c r="AE848" s="101" t="s">
        <v>6</v>
      </c>
      <c r="AF848" s="101" t="s">
        <v>400</v>
      </c>
      <c r="AI848" s="101" t="s">
        <v>190</v>
      </c>
    </row>
    <row r="849" spans="1:35">
      <c r="A849" s="246" t="s">
        <v>110</v>
      </c>
      <c r="B849" s="246" t="s">
        <v>66</v>
      </c>
      <c r="C849" s="246" t="s">
        <v>265</v>
      </c>
      <c r="D849" s="246" t="s">
        <v>283</v>
      </c>
      <c r="E849" s="246"/>
      <c r="F849" s="246" t="s">
        <v>276</v>
      </c>
      <c r="G849" s="132" t="s">
        <v>461</v>
      </c>
      <c r="H849" s="132" t="s">
        <v>1650</v>
      </c>
      <c r="I849" s="132">
        <v>494940.13999999996</v>
      </c>
      <c r="J849" s="101" t="s">
        <v>889</v>
      </c>
      <c r="K849" s="245" t="s">
        <v>390</v>
      </c>
      <c r="L849" s="245">
        <v>42643</v>
      </c>
      <c r="M849" s="245" t="s">
        <v>421</v>
      </c>
      <c r="N849" s="101">
        <v>0</v>
      </c>
      <c r="O849" s="101" t="s">
        <v>392</v>
      </c>
      <c r="P849" s="101">
        <v>0</v>
      </c>
      <c r="Q849" s="101">
        <v>0</v>
      </c>
      <c r="R849" s="101" t="s">
        <v>453</v>
      </c>
      <c r="S849" s="101" t="s">
        <v>459</v>
      </c>
      <c r="T849" s="101" t="s">
        <v>394</v>
      </c>
      <c r="U849" s="101" t="s">
        <v>21</v>
      </c>
      <c r="V849" s="245">
        <v>14521</v>
      </c>
      <c r="W849" s="101" t="s">
        <v>411</v>
      </c>
      <c r="X849" s="101" t="s">
        <v>77</v>
      </c>
      <c r="Y849" s="101" t="s">
        <v>392</v>
      </c>
      <c r="Z849" s="101" t="s">
        <v>412</v>
      </c>
      <c r="AA849" s="101" t="s">
        <v>460</v>
      </c>
      <c r="AB849" s="101">
        <v>101000520</v>
      </c>
      <c r="AC849" s="101" t="s">
        <v>414</v>
      </c>
      <c r="AD849" s="101" t="s">
        <v>79</v>
      </c>
      <c r="AE849" s="101" t="s">
        <v>6</v>
      </c>
      <c r="AF849" s="101" t="s">
        <v>400</v>
      </c>
      <c r="AI849" s="101" t="s">
        <v>190</v>
      </c>
    </row>
    <row r="850" spans="1:35">
      <c r="A850" s="246" t="s">
        <v>111</v>
      </c>
      <c r="B850" s="246" t="s">
        <v>66</v>
      </c>
      <c r="C850" s="246" t="s">
        <v>126</v>
      </c>
      <c r="D850" s="246" t="s">
        <v>273</v>
      </c>
      <c r="E850" s="246"/>
      <c r="F850" s="246" t="s">
        <v>277</v>
      </c>
      <c r="G850" s="132" t="s">
        <v>462</v>
      </c>
      <c r="H850" s="132" t="s">
        <v>1651</v>
      </c>
      <c r="I850" s="132">
        <v>-8421.52</v>
      </c>
      <c r="J850" s="101" t="s">
        <v>889</v>
      </c>
      <c r="K850" s="245" t="s">
        <v>390</v>
      </c>
      <c r="L850" s="245">
        <v>42825</v>
      </c>
      <c r="M850" s="245" t="s">
        <v>391</v>
      </c>
      <c r="N850" s="101">
        <v>0</v>
      </c>
      <c r="O850" s="101" t="s">
        <v>392</v>
      </c>
      <c r="P850" s="101">
        <v>0</v>
      </c>
      <c r="Q850" s="101">
        <v>0</v>
      </c>
      <c r="R850" s="101" t="s">
        <v>444</v>
      </c>
      <c r="S850" s="101" t="s">
        <v>459</v>
      </c>
      <c r="T850" s="101" t="s">
        <v>394</v>
      </c>
      <c r="U850" s="101" t="s">
        <v>21</v>
      </c>
      <c r="V850" s="245">
        <v>14521</v>
      </c>
      <c r="W850" s="101" t="s">
        <v>411</v>
      </c>
      <c r="X850" s="101" t="s">
        <v>77</v>
      </c>
      <c r="Y850" s="101" t="s">
        <v>392</v>
      </c>
      <c r="Z850" s="101" t="s">
        <v>412</v>
      </c>
      <c r="AA850" s="101" t="s">
        <v>460</v>
      </c>
      <c r="AB850" s="101">
        <v>101000520</v>
      </c>
      <c r="AC850" s="101" t="s">
        <v>414</v>
      </c>
      <c r="AD850" s="101" t="s">
        <v>79</v>
      </c>
      <c r="AE850" s="101" t="s">
        <v>6</v>
      </c>
      <c r="AF850" s="101" t="s">
        <v>400</v>
      </c>
      <c r="AI850" s="101" t="s">
        <v>190</v>
      </c>
    </row>
    <row r="851" spans="1:35">
      <c r="A851" s="246" t="s">
        <v>112</v>
      </c>
      <c r="B851" s="246" t="s">
        <v>66</v>
      </c>
      <c r="C851" s="246" t="s">
        <v>126</v>
      </c>
      <c r="D851" s="246" t="s">
        <v>270</v>
      </c>
      <c r="E851" s="246"/>
      <c r="F851" s="246" t="s">
        <v>278</v>
      </c>
      <c r="G851" s="132" t="s">
        <v>463</v>
      </c>
      <c r="H851" s="132" t="s">
        <v>1652</v>
      </c>
      <c r="I851" s="132">
        <v>-8328.4699999999993</v>
      </c>
      <c r="J851" s="101" t="s">
        <v>889</v>
      </c>
      <c r="K851" s="245" t="s">
        <v>390</v>
      </c>
      <c r="L851" s="245">
        <v>43007</v>
      </c>
      <c r="M851" s="245" t="s">
        <v>391</v>
      </c>
      <c r="N851" s="101">
        <v>0</v>
      </c>
      <c r="O851" s="101" t="s">
        <v>392</v>
      </c>
      <c r="P851" s="101">
        <v>0</v>
      </c>
      <c r="Q851" s="101">
        <v>0</v>
      </c>
      <c r="R851" s="101" t="s">
        <v>444</v>
      </c>
      <c r="S851" s="101" t="s">
        <v>459</v>
      </c>
      <c r="T851" s="101" t="s">
        <v>394</v>
      </c>
      <c r="U851" s="101" t="s">
        <v>21</v>
      </c>
      <c r="V851" s="245">
        <v>14521</v>
      </c>
      <c r="W851" s="101" t="s">
        <v>411</v>
      </c>
      <c r="X851" s="101" t="s">
        <v>77</v>
      </c>
      <c r="Y851" s="101" t="s">
        <v>392</v>
      </c>
      <c r="Z851" s="101" t="s">
        <v>412</v>
      </c>
      <c r="AA851" s="101" t="s">
        <v>460</v>
      </c>
      <c r="AB851" s="101">
        <v>101000520</v>
      </c>
      <c r="AC851" s="101" t="s">
        <v>414</v>
      </c>
      <c r="AD851" s="101" t="s">
        <v>79</v>
      </c>
      <c r="AE851" s="101" t="s">
        <v>6</v>
      </c>
      <c r="AF851" s="101" t="s">
        <v>400</v>
      </c>
      <c r="AI851" s="101" t="s">
        <v>190</v>
      </c>
    </row>
    <row r="852" spans="1:35">
      <c r="A852" s="246" t="s">
        <v>113</v>
      </c>
      <c r="B852" s="246" t="s">
        <v>66</v>
      </c>
      <c r="C852" s="246" t="s">
        <v>265</v>
      </c>
      <c r="D852" s="246" t="s">
        <v>287</v>
      </c>
      <c r="E852" s="246"/>
      <c r="F852" s="246" t="s">
        <v>279</v>
      </c>
      <c r="G852" s="132">
        <v>-500000</v>
      </c>
      <c r="H852" s="132" t="s">
        <v>1653</v>
      </c>
      <c r="I852" s="132">
        <v>-500000</v>
      </c>
      <c r="J852" s="101" t="s">
        <v>889</v>
      </c>
      <c r="K852" s="245" t="s">
        <v>390</v>
      </c>
      <c r="L852" s="245">
        <v>43161</v>
      </c>
      <c r="M852" s="245" t="s">
        <v>421</v>
      </c>
      <c r="N852" s="101">
        <v>0</v>
      </c>
      <c r="O852" s="101" t="s">
        <v>392</v>
      </c>
      <c r="P852" s="101">
        <v>0</v>
      </c>
      <c r="Q852" s="101">
        <v>0</v>
      </c>
      <c r="R852" s="101" t="s">
        <v>444</v>
      </c>
      <c r="S852" s="101" t="s">
        <v>459</v>
      </c>
      <c r="T852" s="101" t="s">
        <v>394</v>
      </c>
      <c r="U852" s="101" t="s">
        <v>21</v>
      </c>
      <c r="V852" s="245">
        <v>14521</v>
      </c>
      <c r="W852" s="101" t="s">
        <v>411</v>
      </c>
      <c r="X852" s="101" t="s">
        <v>77</v>
      </c>
      <c r="Y852" s="101" t="s">
        <v>392</v>
      </c>
      <c r="Z852" s="101" t="s">
        <v>412</v>
      </c>
      <c r="AA852" s="101" t="s">
        <v>460</v>
      </c>
      <c r="AB852" s="101">
        <v>101000520</v>
      </c>
      <c r="AC852" s="101" t="s">
        <v>414</v>
      </c>
      <c r="AD852" s="101" t="s">
        <v>79</v>
      </c>
      <c r="AE852" s="101" t="s">
        <v>6</v>
      </c>
      <c r="AF852" s="101" t="s">
        <v>400</v>
      </c>
      <c r="AI852" s="101" t="s">
        <v>190</v>
      </c>
    </row>
    <row r="853" spans="1:35">
      <c r="A853" s="246" t="s">
        <v>113</v>
      </c>
      <c r="B853" s="246" t="s">
        <v>66</v>
      </c>
      <c r="C853" s="246" t="s">
        <v>126</v>
      </c>
      <c r="D853" s="246" t="s">
        <v>271</v>
      </c>
      <c r="E853" s="246"/>
      <c r="F853" s="246" t="s">
        <v>279</v>
      </c>
      <c r="G853" s="132" t="s">
        <v>464</v>
      </c>
      <c r="H853" s="132" t="s">
        <v>1654</v>
      </c>
      <c r="I853" s="132">
        <v>-7118.75</v>
      </c>
      <c r="J853" s="101" t="s">
        <v>889</v>
      </c>
      <c r="K853" s="245" t="s">
        <v>390</v>
      </c>
      <c r="L853" s="245">
        <v>43189</v>
      </c>
      <c r="M853" s="245" t="s">
        <v>391</v>
      </c>
      <c r="N853" s="101">
        <v>0</v>
      </c>
      <c r="O853" s="101" t="s">
        <v>392</v>
      </c>
      <c r="P853" s="101">
        <v>0</v>
      </c>
      <c r="Q853" s="101">
        <v>0</v>
      </c>
      <c r="R853" s="101" t="s">
        <v>444</v>
      </c>
      <c r="S853" s="101" t="s">
        <v>459</v>
      </c>
      <c r="T853" s="101" t="s">
        <v>394</v>
      </c>
      <c r="U853" s="101" t="s">
        <v>21</v>
      </c>
      <c r="V853" s="245">
        <v>14521</v>
      </c>
      <c r="W853" s="101" t="s">
        <v>411</v>
      </c>
      <c r="X853" s="101" t="s">
        <v>77</v>
      </c>
      <c r="Y853" s="101" t="s">
        <v>392</v>
      </c>
      <c r="Z853" s="101" t="s">
        <v>412</v>
      </c>
      <c r="AA853" s="101" t="s">
        <v>460</v>
      </c>
      <c r="AB853" s="101">
        <v>101000520</v>
      </c>
      <c r="AC853" s="101" t="s">
        <v>414</v>
      </c>
      <c r="AD853" s="101" t="s">
        <v>79</v>
      </c>
      <c r="AE853" s="101" t="s">
        <v>6</v>
      </c>
      <c r="AF853" s="101" t="s">
        <v>400</v>
      </c>
      <c r="AI853" s="101" t="s">
        <v>190</v>
      </c>
    </row>
    <row r="854" spans="1:35">
      <c r="A854" s="246" t="s">
        <v>111</v>
      </c>
      <c r="B854" s="246" t="s">
        <v>66</v>
      </c>
      <c r="C854" s="246" t="s">
        <v>126</v>
      </c>
      <c r="D854" s="246" t="s">
        <v>273</v>
      </c>
      <c r="E854" s="246"/>
      <c r="F854" s="246"/>
      <c r="G854" s="132" t="s">
        <v>662</v>
      </c>
      <c r="H854" s="132" t="s">
        <v>1655</v>
      </c>
      <c r="I854" s="132">
        <v>-50444.58</v>
      </c>
      <c r="J854" s="101" t="s">
        <v>889</v>
      </c>
      <c r="K854" s="245" t="s">
        <v>390</v>
      </c>
      <c r="L854" s="245">
        <v>42853</v>
      </c>
      <c r="M854" s="245" t="s">
        <v>391</v>
      </c>
      <c r="N854" s="101">
        <v>0</v>
      </c>
      <c r="O854" s="101" t="s">
        <v>392</v>
      </c>
      <c r="P854" s="101">
        <v>0</v>
      </c>
      <c r="Q854" s="101">
        <v>0</v>
      </c>
      <c r="R854" s="101" t="s">
        <v>422</v>
      </c>
      <c r="S854" s="101" t="s">
        <v>600</v>
      </c>
      <c r="T854" s="101" t="s">
        <v>394</v>
      </c>
      <c r="U854" s="101" t="s">
        <v>88</v>
      </c>
      <c r="V854" s="245">
        <v>46371</v>
      </c>
      <c r="W854" s="101" t="s">
        <v>445</v>
      </c>
      <c r="X854" s="101" t="s">
        <v>76</v>
      </c>
      <c r="Y854" s="101" t="s">
        <v>392</v>
      </c>
      <c r="Z854" s="101" t="s">
        <v>412</v>
      </c>
      <c r="AA854" s="101" t="s">
        <v>478</v>
      </c>
      <c r="AB854" s="101">
        <v>3101053970</v>
      </c>
      <c r="AC854" s="101" t="s">
        <v>414</v>
      </c>
      <c r="AD854" s="101" t="s">
        <v>79</v>
      </c>
      <c r="AE854" s="101" t="s">
        <v>75</v>
      </c>
      <c r="AF854" s="101" t="s">
        <v>400</v>
      </c>
      <c r="AI854" s="101" t="s">
        <v>172</v>
      </c>
    </row>
    <row r="855" spans="1:35">
      <c r="A855" s="246" t="s">
        <v>112</v>
      </c>
      <c r="B855" s="246" t="s">
        <v>66</v>
      </c>
      <c r="C855" s="246" t="s">
        <v>126</v>
      </c>
      <c r="D855" s="246" t="s">
        <v>270</v>
      </c>
      <c r="E855" s="246"/>
      <c r="F855" s="246"/>
      <c r="G855" s="132" t="s">
        <v>663</v>
      </c>
      <c r="H855" s="132" t="s">
        <v>1656</v>
      </c>
      <c r="I855" s="132">
        <v>-64033.05</v>
      </c>
      <c r="J855" s="101" t="s">
        <v>889</v>
      </c>
      <c r="K855" s="245" t="s">
        <v>390</v>
      </c>
      <c r="L855" s="245">
        <v>42886</v>
      </c>
      <c r="M855" s="245" t="s">
        <v>391</v>
      </c>
      <c r="N855" s="101">
        <v>0</v>
      </c>
      <c r="O855" s="101" t="s">
        <v>392</v>
      </c>
      <c r="P855" s="101">
        <v>0</v>
      </c>
      <c r="Q855" s="101">
        <v>0</v>
      </c>
      <c r="R855" s="101" t="s">
        <v>422</v>
      </c>
      <c r="S855" s="101" t="s">
        <v>600</v>
      </c>
      <c r="T855" s="101" t="s">
        <v>394</v>
      </c>
      <c r="U855" s="101" t="s">
        <v>88</v>
      </c>
      <c r="V855" s="245">
        <v>46371</v>
      </c>
      <c r="W855" s="101" t="s">
        <v>445</v>
      </c>
      <c r="X855" s="101" t="s">
        <v>76</v>
      </c>
      <c r="Y855" s="101" t="s">
        <v>392</v>
      </c>
      <c r="Z855" s="101" t="s">
        <v>412</v>
      </c>
      <c r="AA855" s="101" t="s">
        <v>478</v>
      </c>
      <c r="AB855" s="101">
        <v>3101053970</v>
      </c>
      <c r="AC855" s="101" t="s">
        <v>414</v>
      </c>
      <c r="AD855" s="101" t="s">
        <v>79</v>
      </c>
      <c r="AE855" s="101" t="s">
        <v>75</v>
      </c>
      <c r="AF855" s="101" t="s">
        <v>400</v>
      </c>
      <c r="AI855" s="101" t="s">
        <v>172</v>
      </c>
    </row>
    <row r="856" spans="1:35">
      <c r="A856" s="246" t="s">
        <v>112</v>
      </c>
      <c r="B856" s="246" t="s">
        <v>66</v>
      </c>
      <c r="C856" s="246" t="s">
        <v>264</v>
      </c>
      <c r="D856" s="246" t="s">
        <v>290</v>
      </c>
      <c r="E856" s="246"/>
      <c r="F856" s="246"/>
      <c r="G856" s="132" t="s">
        <v>664</v>
      </c>
      <c r="H856" s="132" t="s">
        <v>1657</v>
      </c>
      <c r="I856" s="132">
        <v>2084558.71</v>
      </c>
      <c r="J856" s="101" t="s">
        <v>889</v>
      </c>
      <c r="K856" s="245" t="s">
        <v>390</v>
      </c>
      <c r="L856" s="245">
        <v>42886</v>
      </c>
      <c r="M856" s="245" t="s">
        <v>421</v>
      </c>
      <c r="N856" s="101">
        <v>0</v>
      </c>
      <c r="O856" s="101" t="s">
        <v>392</v>
      </c>
      <c r="P856" s="101">
        <v>0</v>
      </c>
      <c r="Q856" s="101">
        <v>0</v>
      </c>
      <c r="R856" s="101" t="s">
        <v>410</v>
      </c>
      <c r="S856" s="101" t="s">
        <v>600</v>
      </c>
      <c r="T856" s="101" t="s">
        <v>394</v>
      </c>
      <c r="U856" s="101" t="s">
        <v>88</v>
      </c>
      <c r="V856" s="245">
        <v>46371</v>
      </c>
      <c r="W856" s="101" t="s">
        <v>445</v>
      </c>
      <c r="X856" s="101" t="s">
        <v>76</v>
      </c>
      <c r="Y856" s="101" t="s">
        <v>392</v>
      </c>
      <c r="Z856" s="101" t="s">
        <v>412</v>
      </c>
      <c r="AA856" s="101" t="s">
        <v>478</v>
      </c>
      <c r="AB856" s="101">
        <v>3101053970</v>
      </c>
      <c r="AC856" s="101" t="s">
        <v>414</v>
      </c>
      <c r="AD856" s="101" t="s">
        <v>79</v>
      </c>
      <c r="AE856" s="101" t="s">
        <v>75</v>
      </c>
      <c r="AF856" s="101" t="s">
        <v>400</v>
      </c>
      <c r="AI856" s="101" t="s">
        <v>172</v>
      </c>
    </row>
    <row r="857" spans="1:35">
      <c r="A857" s="246" t="s">
        <v>112</v>
      </c>
      <c r="B857" s="246" t="s">
        <v>66</v>
      </c>
      <c r="C857" s="246" t="s">
        <v>126</v>
      </c>
      <c r="D857" s="246" t="s">
        <v>270</v>
      </c>
      <c r="E857" s="246"/>
      <c r="F857" s="246"/>
      <c r="G857" s="132" t="s">
        <v>665</v>
      </c>
      <c r="H857" s="132" t="s">
        <v>1658</v>
      </c>
      <c r="I857" s="132">
        <v>-70073.259999999995</v>
      </c>
      <c r="J857" s="101" t="s">
        <v>889</v>
      </c>
      <c r="K857" s="245" t="s">
        <v>390</v>
      </c>
      <c r="L857" s="245">
        <v>42916</v>
      </c>
      <c r="M857" s="245" t="s">
        <v>391</v>
      </c>
      <c r="N857" s="101">
        <v>0</v>
      </c>
      <c r="O857" s="101" t="s">
        <v>392</v>
      </c>
      <c r="P857" s="101">
        <v>0</v>
      </c>
      <c r="Q857" s="101">
        <v>0</v>
      </c>
      <c r="R857" s="101" t="s">
        <v>422</v>
      </c>
      <c r="S857" s="101" t="s">
        <v>600</v>
      </c>
      <c r="T857" s="101" t="s">
        <v>394</v>
      </c>
      <c r="U857" s="101" t="s">
        <v>88</v>
      </c>
      <c r="V857" s="245">
        <v>46371</v>
      </c>
      <c r="W857" s="101" t="s">
        <v>445</v>
      </c>
      <c r="X857" s="101" t="s">
        <v>76</v>
      </c>
      <c r="Y857" s="101" t="s">
        <v>392</v>
      </c>
      <c r="Z857" s="101" t="s">
        <v>412</v>
      </c>
      <c r="AA857" s="101" t="s">
        <v>478</v>
      </c>
      <c r="AB857" s="101">
        <v>3101053970</v>
      </c>
      <c r="AC857" s="101" t="s">
        <v>414</v>
      </c>
      <c r="AD857" s="101" t="s">
        <v>79</v>
      </c>
      <c r="AE857" s="101" t="s">
        <v>75</v>
      </c>
      <c r="AF857" s="101" t="s">
        <v>400</v>
      </c>
      <c r="AI857" s="101" t="s">
        <v>172</v>
      </c>
    </row>
    <row r="858" spans="1:35">
      <c r="A858" s="246" t="s">
        <v>112</v>
      </c>
      <c r="B858" s="246" t="s">
        <v>66</v>
      </c>
      <c r="C858" s="246" t="s">
        <v>264</v>
      </c>
      <c r="D858" s="246" t="s">
        <v>290</v>
      </c>
      <c r="E858" s="246"/>
      <c r="F858" s="246"/>
      <c r="G858" s="132" t="s">
        <v>666</v>
      </c>
      <c r="H858" s="132" t="s">
        <v>1659</v>
      </c>
      <c r="I858" s="132">
        <v>1833486.0499999998</v>
      </c>
      <c r="J858" s="101" t="s">
        <v>889</v>
      </c>
      <c r="K858" s="245" t="s">
        <v>390</v>
      </c>
      <c r="L858" s="245">
        <v>42916</v>
      </c>
      <c r="M858" s="245" t="s">
        <v>421</v>
      </c>
      <c r="N858" s="101">
        <v>0</v>
      </c>
      <c r="O858" s="101" t="s">
        <v>392</v>
      </c>
      <c r="P858" s="101">
        <v>0</v>
      </c>
      <c r="Q858" s="101">
        <v>0</v>
      </c>
      <c r="R858" s="101" t="s">
        <v>410</v>
      </c>
      <c r="S858" s="101" t="s">
        <v>600</v>
      </c>
      <c r="T858" s="101" t="s">
        <v>394</v>
      </c>
      <c r="U858" s="101" t="s">
        <v>88</v>
      </c>
      <c r="V858" s="245">
        <v>46371</v>
      </c>
      <c r="W858" s="101" t="s">
        <v>445</v>
      </c>
      <c r="X858" s="101" t="s">
        <v>76</v>
      </c>
      <c r="Y858" s="101" t="s">
        <v>392</v>
      </c>
      <c r="Z858" s="101" t="s">
        <v>412</v>
      </c>
      <c r="AA858" s="101" t="s">
        <v>478</v>
      </c>
      <c r="AB858" s="101">
        <v>3101053970</v>
      </c>
      <c r="AC858" s="101" t="s">
        <v>414</v>
      </c>
      <c r="AD858" s="101" t="s">
        <v>79</v>
      </c>
      <c r="AE858" s="101" t="s">
        <v>75</v>
      </c>
      <c r="AF858" s="101" t="s">
        <v>400</v>
      </c>
      <c r="AI858" s="101" t="s">
        <v>172</v>
      </c>
    </row>
    <row r="859" spans="1:35">
      <c r="A859" s="246" t="s">
        <v>112</v>
      </c>
      <c r="B859" s="246" t="s">
        <v>66</v>
      </c>
      <c r="C859" s="246" t="s">
        <v>126</v>
      </c>
      <c r="D859" s="246" t="s">
        <v>270</v>
      </c>
      <c r="E859" s="246"/>
      <c r="F859" s="246"/>
      <c r="G859" s="132" t="s">
        <v>667</v>
      </c>
      <c r="H859" s="132" t="s">
        <v>1660</v>
      </c>
      <c r="I859" s="132">
        <v>-79776.179999999993</v>
      </c>
      <c r="J859" s="101" t="s">
        <v>889</v>
      </c>
      <c r="K859" s="245" t="s">
        <v>390</v>
      </c>
      <c r="L859" s="245">
        <v>42947</v>
      </c>
      <c r="M859" s="245" t="s">
        <v>391</v>
      </c>
      <c r="N859" s="101">
        <v>0</v>
      </c>
      <c r="O859" s="101" t="s">
        <v>392</v>
      </c>
      <c r="P859" s="101">
        <v>0</v>
      </c>
      <c r="Q859" s="101">
        <v>0</v>
      </c>
      <c r="R859" s="101" t="s">
        <v>422</v>
      </c>
      <c r="S859" s="101" t="s">
        <v>600</v>
      </c>
      <c r="T859" s="101" t="s">
        <v>394</v>
      </c>
      <c r="U859" s="101" t="s">
        <v>88</v>
      </c>
      <c r="V859" s="245">
        <v>46371</v>
      </c>
      <c r="W859" s="101" t="s">
        <v>445</v>
      </c>
      <c r="X859" s="101" t="s">
        <v>76</v>
      </c>
      <c r="Y859" s="101" t="s">
        <v>392</v>
      </c>
      <c r="Z859" s="101" t="s">
        <v>412</v>
      </c>
      <c r="AA859" s="101" t="s">
        <v>478</v>
      </c>
      <c r="AB859" s="101">
        <v>3101053970</v>
      </c>
      <c r="AC859" s="101" t="s">
        <v>414</v>
      </c>
      <c r="AD859" s="101" t="s">
        <v>79</v>
      </c>
      <c r="AE859" s="101" t="s">
        <v>75</v>
      </c>
      <c r="AF859" s="101" t="s">
        <v>400</v>
      </c>
      <c r="AI859" s="101" t="s">
        <v>172</v>
      </c>
    </row>
    <row r="860" spans="1:35">
      <c r="A860" s="246" t="s">
        <v>112</v>
      </c>
      <c r="B860" s="246" t="s">
        <v>66</v>
      </c>
      <c r="C860" s="246" t="s">
        <v>264</v>
      </c>
      <c r="D860" s="246" t="s">
        <v>290</v>
      </c>
      <c r="E860" s="246"/>
      <c r="F860" s="246"/>
      <c r="G860" s="132" t="s">
        <v>668</v>
      </c>
      <c r="H860" s="132" t="s">
        <v>1661</v>
      </c>
      <c r="I860" s="132">
        <v>1818190.73</v>
      </c>
      <c r="J860" s="101" t="s">
        <v>889</v>
      </c>
      <c r="K860" s="245" t="s">
        <v>390</v>
      </c>
      <c r="L860" s="245">
        <v>42947</v>
      </c>
      <c r="M860" s="245" t="s">
        <v>421</v>
      </c>
      <c r="N860" s="101">
        <v>0</v>
      </c>
      <c r="O860" s="101" t="s">
        <v>392</v>
      </c>
      <c r="P860" s="101">
        <v>0</v>
      </c>
      <c r="Q860" s="101">
        <v>0</v>
      </c>
      <c r="R860" s="101" t="s">
        <v>410</v>
      </c>
      <c r="S860" s="101" t="s">
        <v>600</v>
      </c>
      <c r="T860" s="101" t="s">
        <v>394</v>
      </c>
      <c r="U860" s="101" t="s">
        <v>88</v>
      </c>
      <c r="V860" s="245">
        <v>46371</v>
      </c>
      <c r="W860" s="101" t="s">
        <v>445</v>
      </c>
      <c r="X860" s="101" t="s">
        <v>76</v>
      </c>
      <c r="Y860" s="101" t="s">
        <v>392</v>
      </c>
      <c r="Z860" s="101" t="s">
        <v>412</v>
      </c>
      <c r="AA860" s="101" t="s">
        <v>478</v>
      </c>
      <c r="AB860" s="101">
        <v>3101053970</v>
      </c>
      <c r="AC860" s="101" t="s">
        <v>414</v>
      </c>
      <c r="AD860" s="101" t="s">
        <v>79</v>
      </c>
      <c r="AE860" s="101" t="s">
        <v>75</v>
      </c>
      <c r="AF860" s="101" t="s">
        <v>400</v>
      </c>
      <c r="AI860" s="101" t="s">
        <v>172</v>
      </c>
    </row>
    <row r="861" spans="1:35">
      <c r="A861" s="246" t="s">
        <v>112</v>
      </c>
      <c r="B861" s="246" t="s">
        <v>66</v>
      </c>
      <c r="C861" s="246" t="s">
        <v>126</v>
      </c>
      <c r="D861" s="246" t="s">
        <v>270</v>
      </c>
      <c r="E861" s="246"/>
      <c r="F861" s="246"/>
      <c r="G861" s="132" t="s">
        <v>669</v>
      </c>
      <c r="H861" s="132" t="s">
        <v>1662</v>
      </c>
      <c r="I861" s="132">
        <v>-87081.87</v>
      </c>
      <c r="J861" s="101" t="s">
        <v>889</v>
      </c>
      <c r="K861" s="245" t="s">
        <v>390</v>
      </c>
      <c r="L861" s="245">
        <v>42978</v>
      </c>
      <c r="M861" s="245" t="s">
        <v>391</v>
      </c>
      <c r="N861" s="101">
        <v>0</v>
      </c>
      <c r="O861" s="101" t="s">
        <v>392</v>
      </c>
      <c r="P861" s="101">
        <v>0</v>
      </c>
      <c r="Q861" s="101">
        <v>0</v>
      </c>
      <c r="R861" s="101" t="s">
        <v>422</v>
      </c>
      <c r="S861" s="101" t="s">
        <v>600</v>
      </c>
      <c r="T861" s="101" t="s">
        <v>394</v>
      </c>
      <c r="U861" s="101" t="s">
        <v>88</v>
      </c>
      <c r="V861" s="245">
        <v>46371</v>
      </c>
      <c r="W861" s="101" t="s">
        <v>445</v>
      </c>
      <c r="X861" s="101" t="s">
        <v>76</v>
      </c>
      <c r="Y861" s="101" t="s">
        <v>392</v>
      </c>
      <c r="Z861" s="101" t="s">
        <v>412</v>
      </c>
      <c r="AA861" s="101" t="s">
        <v>478</v>
      </c>
      <c r="AB861" s="101">
        <v>3101053970</v>
      </c>
      <c r="AC861" s="101" t="s">
        <v>414</v>
      </c>
      <c r="AD861" s="101" t="s">
        <v>79</v>
      </c>
      <c r="AE861" s="101" t="s">
        <v>75</v>
      </c>
      <c r="AF861" s="101" t="s">
        <v>400</v>
      </c>
      <c r="AI861" s="101" t="s">
        <v>172</v>
      </c>
    </row>
    <row r="862" spans="1:35">
      <c r="A862" s="246" t="s">
        <v>112</v>
      </c>
      <c r="B862" s="246" t="s">
        <v>66</v>
      </c>
      <c r="C862" s="246" t="s">
        <v>264</v>
      </c>
      <c r="D862" s="246" t="s">
        <v>290</v>
      </c>
      <c r="E862" s="246"/>
      <c r="F862" s="246"/>
      <c r="G862" s="132" t="s">
        <v>670</v>
      </c>
      <c r="H862" s="132" t="s">
        <v>1663</v>
      </c>
      <c r="I862" s="132">
        <v>1953517.86</v>
      </c>
      <c r="J862" s="101" t="s">
        <v>889</v>
      </c>
      <c r="K862" s="245" t="s">
        <v>390</v>
      </c>
      <c r="L862" s="245">
        <v>42978</v>
      </c>
      <c r="M862" s="245" t="s">
        <v>421</v>
      </c>
      <c r="N862" s="101">
        <v>0</v>
      </c>
      <c r="O862" s="101" t="s">
        <v>392</v>
      </c>
      <c r="P862" s="101">
        <v>0</v>
      </c>
      <c r="Q862" s="101">
        <v>0</v>
      </c>
      <c r="R862" s="101" t="s">
        <v>410</v>
      </c>
      <c r="S862" s="101" t="s">
        <v>600</v>
      </c>
      <c r="T862" s="101" t="s">
        <v>394</v>
      </c>
      <c r="U862" s="101" t="s">
        <v>88</v>
      </c>
      <c r="V862" s="245">
        <v>46371</v>
      </c>
      <c r="W862" s="101" t="s">
        <v>445</v>
      </c>
      <c r="X862" s="101" t="s">
        <v>76</v>
      </c>
      <c r="Y862" s="101" t="s">
        <v>392</v>
      </c>
      <c r="Z862" s="101" t="s">
        <v>412</v>
      </c>
      <c r="AA862" s="101" t="s">
        <v>478</v>
      </c>
      <c r="AB862" s="101">
        <v>3101053970</v>
      </c>
      <c r="AC862" s="101" t="s">
        <v>414</v>
      </c>
      <c r="AD862" s="101" t="s">
        <v>79</v>
      </c>
      <c r="AE862" s="101" t="s">
        <v>75</v>
      </c>
      <c r="AF862" s="101" t="s">
        <v>400</v>
      </c>
      <c r="AI862" s="101" t="s">
        <v>172</v>
      </c>
    </row>
    <row r="863" spans="1:35">
      <c r="A863" s="246" t="s">
        <v>112</v>
      </c>
      <c r="B863" s="246" t="s">
        <v>66</v>
      </c>
      <c r="C863" s="246" t="s">
        <v>264</v>
      </c>
      <c r="D863" s="246" t="s">
        <v>290</v>
      </c>
      <c r="E863" s="246"/>
      <c r="F863" s="246"/>
      <c r="G863" s="132" t="s">
        <v>671</v>
      </c>
      <c r="H863" s="132" t="s">
        <v>1664</v>
      </c>
      <c r="I863" s="132">
        <v>2099344.7799999998</v>
      </c>
      <c r="J863" s="101" t="s">
        <v>889</v>
      </c>
      <c r="K863" s="245" t="s">
        <v>390</v>
      </c>
      <c r="L863" s="245">
        <v>43007</v>
      </c>
      <c r="M863" s="245" t="s">
        <v>421</v>
      </c>
      <c r="N863" s="101">
        <v>0</v>
      </c>
      <c r="O863" s="101" t="s">
        <v>392</v>
      </c>
      <c r="P863" s="101">
        <v>0</v>
      </c>
      <c r="Q863" s="101">
        <v>0</v>
      </c>
      <c r="R863" s="101" t="s">
        <v>410</v>
      </c>
      <c r="S863" s="101" t="s">
        <v>600</v>
      </c>
      <c r="T863" s="101" t="s">
        <v>394</v>
      </c>
      <c r="U863" s="101" t="s">
        <v>88</v>
      </c>
      <c r="V863" s="245">
        <v>46371</v>
      </c>
      <c r="W863" s="101" t="s">
        <v>445</v>
      </c>
      <c r="X863" s="101" t="s">
        <v>76</v>
      </c>
      <c r="Y863" s="101" t="s">
        <v>392</v>
      </c>
      <c r="Z863" s="101" t="s">
        <v>412</v>
      </c>
      <c r="AA863" s="101" t="s">
        <v>478</v>
      </c>
      <c r="AB863" s="101">
        <v>3101053970</v>
      </c>
      <c r="AC863" s="101" t="s">
        <v>414</v>
      </c>
      <c r="AD863" s="101" t="s">
        <v>79</v>
      </c>
      <c r="AE863" s="101" t="s">
        <v>75</v>
      </c>
      <c r="AF863" s="101" t="s">
        <v>400</v>
      </c>
      <c r="AI863" s="101" t="s">
        <v>172</v>
      </c>
    </row>
    <row r="864" spans="1:35">
      <c r="A864" s="246" t="s">
        <v>112</v>
      </c>
      <c r="B864" s="246" t="s">
        <v>66</v>
      </c>
      <c r="C864" s="246" t="s">
        <v>126</v>
      </c>
      <c r="D864" s="246" t="s">
        <v>270</v>
      </c>
      <c r="E864" s="246"/>
      <c r="F864" s="246"/>
      <c r="G864" s="132" t="s">
        <v>672</v>
      </c>
      <c r="H864" s="132" t="s">
        <v>1665</v>
      </c>
      <c r="I864" s="132">
        <v>-92141.12999999999</v>
      </c>
      <c r="J864" s="101" t="s">
        <v>889</v>
      </c>
      <c r="K864" s="245" t="s">
        <v>390</v>
      </c>
      <c r="L864" s="245">
        <v>43007</v>
      </c>
      <c r="M864" s="245" t="s">
        <v>391</v>
      </c>
      <c r="N864" s="101">
        <v>0</v>
      </c>
      <c r="O864" s="101" t="s">
        <v>392</v>
      </c>
      <c r="P864" s="101">
        <v>0</v>
      </c>
      <c r="Q864" s="101">
        <v>0</v>
      </c>
      <c r="R864" s="101" t="s">
        <v>422</v>
      </c>
      <c r="S864" s="101" t="s">
        <v>600</v>
      </c>
      <c r="T864" s="101" t="s">
        <v>394</v>
      </c>
      <c r="U864" s="101" t="s">
        <v>88</v>
      </c>
      <c r="V864" s="245">
        <v>46371</v>
      </c>
      <c r="W864" s="101" t="s">
        <v>445</v>
      </c>
      <c r="X864" s="101" t="s">
        <v>76</v>
      </c>
      <c r="Y864" s="101" t="s">
        <v>392</v>
      </c>
      <c r="Z864" s="101" t="s">
        <v>412</v>
      </c>
      <c r="AA864" s="101" t="s">
        <v>478</v>
      </c>
      <c r="AB864" s="101">
        <v>3101053970</v>
      </c>
      <c r="AC864" s="101" t="s">
        <v>414</v>
      </c>
      <c r="AD864" s="101" t="s">
        <v>79</v>
      </c>
      <c r="AE864" s="101" t="s">
        <v>75</v>
      </c>
      <c r="AF864" s="101" t="s">
        <v>400</v>
      </c>
      <c r="AI864" s="101" t="s">
        <v>172</v>
      </c>
    </row>
    <row r="865" spans="1:35">
      <c r="A865" s="246" t="s">
        <v>112</v>
      </c>
      <c r="B865" s="246" t="s">
        <v>66</v>
      </c>
      <c r="C865" s="246" t="s">
        <v>126</v>
      </c>
      <c r="D865" s="246" t="s">
        <v>270</v>
      </c>
      <c r="E865" s="246"/>
      <c r="F865" s="246"/>
      <c r="G865" s="132" t="s">
        <v>673</v>
      </c>
      <c r="H865" s="132" t="s">
        <v>1666</v>
      </c>
      <c r="I865" s="132">
        <v>-103366.70999999999</v>
      </c>
      <c r="J865" s="101" t="s">
        <v>889</v>
      </c>
      <c r="K865" s="245" t="s">
        <v>390</v>
      </c>
      <c r="L865" s="245">
        <v>43039</v>
      </c>
      <c r="M865" s="245" t="s">
        <v>391</v>
      </c>
      <c r="N865" s="101">
        <v>0</v>
      </c>
      <c r="O865" s="101" t="s">
        <v>392</v>
      </c>
      <c r="P865" s="101">
        <v>0</v>
      </c>
      <c r="Q865" s="101">
        <v>0</v>
      </c>
      <c r="R865" s="101" t="s">
        <v>422</v>
      </c>
      <c r="S865" s="101" t="s">
        <v>600</v>
      </c>
      <c r="T865" s="101" t="s">
        <v>394</v>
      </c>
      <c r="U865" s="101" t="s">
        <v>88</v>
      </c>
      <c r="V865" s="245">
        <v>46371</v>
      </c>
      <c r="W865" s="101" t="s">
        <v>445</v>
      </c>
      <c r="X865" s="101" t="s">
        <v>76</v>
      </c>
      <c r="Y865" s="101" t="s">
        <v>392</v>
      </c>
      <c r="Z865" s="101" t="s">
        <v>412</v>
      </c>
      <c r="AA865" s="101" t="s">
        <v>478</v>
      </c>
      <c r="AB865" s="101">
        <v>3101053970</v>
      </c>
      <c r="AC865" s="101" t="s">
        <v>414</v>
      </c>
      <c r="AD865" s="101" t="s">
        <v>79</v>
      </c>
      <c r="AE865" s="101" t="s">
        <v>75</v>
      </c>
      <c r="AF865" s="101" t="s">
        <v>400</v>
      </c>
      <c r="AI865" s="101" t="s">
        <v>172</v>
      </c>
    </row>
    <row r="866" spans="1:35">
      <c r="A866" s="246" t="s">
        <v>112</v>
      </c>
      <c r="B866" s="246" t="s">
        <v>66</v>
      </c>
      <c r="C866" s="246" t="s">
        <v>264</v>
      </c>
      <c r="D866" s="246" t="s">
        <v>290</v>
      </c>
      <c r="E866" s="246"/>
      <c r="F866" s="246"/>
      <c r="G866" s="132" t="s">
        <v>674</v>
      </c>
      <c r="H866" s="132" t="s">
        <v>1667</v>
      </c>
      <c r="I866" s="132">
        <v>2076901.0699999998</v>
      </c>
      <c r="J866" s="101" t="s">
        <v>889</v>
      </c>
      <c r="K866" s="245" t="s">
        <v>390</v>
      </c>
      <c r="L866" s="245">
        <v>43039</v>
      </c>
      <c r="M866" s="245" t="s">
        <v>421</v>
      </c>
      <c r="N866" s="101">
        <v>0</v>
      </c>
      <c r="O866" s="101" t="s">
        <v>392</v>
      </c>
      <c r="P866" s="101">
        <v>0</v>
      </c>
      <c r="Q866" s="101">
        <v>0</v>
      </c>
      <c r="R866" s="101" t="s">
        <v>410</v>
      </c>
      <c r="S866" s="101" t="s">
        <v>600</v>
      </c>
      <c r="T866" s="101" t="s">
        <v>394</v>
      </c>
      <c r="U866" s="101" t="s">
        <v>88</v>
      </c>
      <c r="V866" s="245">
        <v>46371</v>
      </c>
      <c r="W866" s="101" t="s">
        <v>445</v>
      </c>
      <c r="X866" s="101" t="s">
        <v>76</v>
      </c>
      <c r="Y866" s="101" t="s">
        <v>392</v>
      </c>
      <c r="Z866" s="101" t="s">
        <v>412</v>
      </c>
      <c r="AA866" s="101" t="s">
        <v>478</v>
      </c>
      <c r="AB866" s="101">
        <v>3101053970</v>
      </c>
      <c r="AC866" s="101" t="s">
        <v>414</v>
      </c>
      <c r="AD866" s="101" t="s">
        <v>79</v>
      </c>
      <c r="AE866" s="101" t="s">
        <v>75</v>
      </c>
      <c r="AF866" s="101" t="s">
        <v>400</v>
      </c>
      <c r="AI866" s="101" t="s">
        <v>172</v>
      </c>
    </row>
    <row r="867" spans="1:35">
      <c r="A867" s="246" t="s">
        <v>113</v>
      </c>
      <c r="B867" s="246" t="s">
        <v>66</v>
      </c>
      <c r="C867" s="246" t="s">
        <v>126</v>
      </c>
      <c r="D867" s="246" t="s">
        <v>271</v>
      </c>
      <c r="E867" s="246"/>
      <c r="F867" s="246"/>
      <c r="G867" s="132" t="s">
        <v>675</v>
      </c>
      <c r="H867" s="132" t="s">
        <v>1668</v>
      </c>
      <c r="I867" s="132">
        <v>-108108.31999999999</v>
      </c>
      <c r="J867" s="101" t="s">
        <v>889</v>
      </c>
      <c r="K867" s="245" t="s">
        <v>390</v>
      </c>
      <c r="L867" s="245">
        <v>43069</v>
      </c>
      <c r="M867" s="245" t="s">
        <v>391</v>
      </c>
      <c r="N867" s="101">
        <v>0</v>
      </c>
      <c r="O867" s="101" t="s">
        <v>392</v>
      </c>
      <c r="P867" s="101">
        <v>0</v>
      </c>
      <c r="Q867" s="101">
        <v>0</v>
      </c>
      <c r="R867" s="101" t="s">
        <v>422</v>
      </c>
      <c r="S867" s="101" t="s">
        <v>600</v>
      </c>
      <c r="T867" s="101" t="s">
        <v>394</v>
      </c>
      <c r="U867" s="101" t="s">
        <v>88</v>
      </c>
      <c r="V867" s="245">
        <v>46371</v>
      </c>
      <c r="W867" s="101" t="s">
        <v>445</v>
      </c>
      <c r="X867" s="101" t="s">
        <v>76</v>
      </c>
      <c r="Y867" s="101" t="s">
        <v>392</v>
      </c>
      <c r="Z867" s="101" t="s">
        <v>412</v>
      </c>
      <c r="AA867" s="101" t="s">
        <v>478</v>
      </c>
      <c r="AB867" s="101">
        <v>3101053970</v>
      </c>
      <c r="AC867" s="101" t="s">
        <v>414</v>
      </c>
      <c r="AD867" s="101" t="s">
        <v>79</v>
      </c>
      <c r="AE867" s="101" t="s">
        <v>75</v>
      </c>
      <c r="AF867" s="101" t="s">
        <v>400</v>
      </c>
      <c r="AI867" s="101" t="s">
        <v>172</v>
      </c>
    </row>
    <row r="868" spans="1:35">
      <c r="A868" s="246" t="s">
        <v>113</v>
      </c>
      <c r="B868" s="246" t="s">
        <v>66</v>
      </c>
      <c r="C868" s="246" t="s">
        <v>264</v>
      </c>
      <c r="D868" s="246" t="s">
        <v>285</v>
      </c>
      <c r="E868" s="246"/>
      <c r="F868" s="246"/>
      <c r="G868" s="132" t="s">
        <v>676</v>
      </c>
      <c r="H868" s="132" t="s">
        <v>1669</v>
      </c>
      <c r="I868" s="132">
        <v>2197887.8199999998</v>
      </c>
      <c r="J868" s="101" t="s">
        <v>889</v>
      </c>
      <c r="K868" s="245" t="s">
        <v>390</v>
      </c>
      <c r="L868" s="245">
        <v>43069</v>
      </c>
      <c r="M868" s="245" t="s">
        <v>421</v>
      </c>
      <c r="N868" s="101">
        <v>0</v>
      </c>
      <c r="O868" s="101" t="s">
        <v>392</v>
      </c>
      <c r="P868" s="101">
        <v>0</v>
      </c>
      <c r="Q868" s="101">
        <v>0</v>
      </c>
      <c r="R868" s="101" t="s">
        <v>410</v>
      </c>
      <c r="S868" s="101" t="s">
        <v>600</v>
      </c>
      <c r="T868" s="101" t="s">
        <v>394</v>
      </c>
      <c r="U868" s="101" t="s">
        <v>88</v>
      </c>
      <c r="V868" s="245">
        <v>46371</v>
      </c>
      <c r="W868" s="101" t="s">
        <v>445</v>
      </c>
      <c r="X868" s="101" t="s">
        <v>76</v>
      </c>
      <c r="Y868" s="101" t="s">
        <v>392</v>
      </c>
      <c r="Z868" s="101" t="s">
        <v>412</v>
      </c>
      <c r="AA868" s="101" t="s">
        <v>478</v>
      </c>
      <c r="AB868" s="101">
        <v>3101053970</v>
      </c>
      <c r="AC868" s="101" t="s">
        <v>414</v>
      </c>
      <c r="AD868" s="101" t="s">
        <v>79</v>
      </c>
      <c r="AE868" s="101" t="s">
        <v>75</v>
      </c>
      <c r="AF868" s="101" t="s">
        <v>400</v>
      </c>
      <c r="AI868" s="101" t="s">
        <v>172</v>
      </c>
    </row>
    <row r="869" spans="1:35">
      <c r="A869" s="246" t="s">
        <v>113</v>
      </c>
      <c r="B869" s="246" t="s">
        <v>66</v>
      </c>
      <c r="C869" s="246" t="s">
        <v>264</v>
      </c>
      <c r="D869" s="246" t="s">
        <v>285</v>
      </c>
      <c r="E869" s="246"/>
      <c r="F869" s="246"/>
      <c r="G869" s="132">
        <v>-30000000</v>
      </c>
      <c r="H869" s="132" t="s">
        <v>1670</v>
      </c>
      <c r="I869" s="132">
        <v>-30000000</v>
      </c>
      <c r="J869" s="101" t="s">
        <v>889</v>
      </c>
      <c r="K869" s="245" t="s">
        <v>390</v>
      </c>
      <c r="L869" s="245">
        <v>43083</v>
      </c>
      <c r="M869" s="245" t="s">
        <v>421</v>
      </c>
      <c r="N869" s="101">
        <v>0</v>
      </c>
      <c r="O869" s="101" t="s">
        <v>392</v>
      </c>
      <c r="P869" s="101">
        <v>0</v>
      </c>
      <c r="Q869" s="101">
        <v>0</v>
      </c>
      <c r="R869" s="101" t="s">
        <v>422</v>
      </c>
      <c r="S869" s="101" t="s">
        <v>600</v>
      </c>
      <c r="T869" s="101" t="s">
        <v>394</v>
      </c>
      <c r="U869" s="101" t="s">
        <v>88</v>
      </c>
      <c r="V869" s="245">
        <v>46371</v>
      </c>
      <c r="W869" s="101" t="s">
        <v>445</v>
      </c>
      <c r="X869" s="101" t="s">
        <v>76</v>
      </c>
      <c r="Y869" s="101" t="s">
        <v>392</v>
      </c>
      <c r="Z869" s="101" t="s">
        <v>412</v>
      </c>
      <c r="AA869" s="101" t="s">
        <v>478</v>
      </c>
      <c r="AB869" s="101">
        <v>3101053970</v>
      </c>
      <c r="AC869" s="101" t="s">
        <v>414</v>
      </c>
      <c r="AD869" s="101" t="s">
        <v>79</v>
      </c>
      <c r="AE869" s="101" t="s">
        <v>75</v>
      </c>
      <c r="AF869" s="101" t="s">
        <v>400</v>
      </c>
      <c r="AI869" s="101" t="s">
        <v>172</v>
      </c>
    </row>
    <row r="870" spans="1:35">
      <c r="A870" s="246" t="s">
        <v>113</v>
      </c>
      <c r="B870" s="246" t="s">
        <v>66</v>
      </c>
      <c r="C870" s="246" t="s">
        <v>264</v>
      </c>
      <c r="D870" s="246" t="s">
        <v>285</v>
      </c>
      <c r="E870" s="246"/>
      <c r="F870" s="246"/>
      <c r="G870" s="132" t="s">
        <v>677</v>
      </c>
      <c r="H870" s="132" t="s">
        <v>1671</v>
      </c>
      <c r="I870" s="132">
        <v>2729693.82</v>
      </c>
      <c r="J870" s="101" t="s">
        <v>889</v>
      </c>
      <c r="K870" s="245" t="s">
        <v>390</v>
      </c>
      <c r="L870" s="245">
        <v>43098</v>
      </c>
      <c r="M870" s="245" t="s">
        <v>421</v>
      </c>
      <c r="N870" s="101">
        <v>0</v>
      </c>
      <c r="O870" s="101" t="s">
        <v>392</v>
      </c>
      <c r="P870" s="101">
        <v>0</v>
      </c>
      <c r="Q870" s="101">
        <v>0</v>
      </c>
      <c r="R870" s="101" t="s">
        <v>410</v>
      </c>
      <c r="S870" s="101" t="s">
        <v>600</v>
      </c>
      <c r="T870" s="101" t="s">
        <v>394</v>
      </c>
      <c r="U870" s="101" t="s">
        <v>88</v>
      </c>
      <c r="V870" s="245">
        <v>46371</v>
      </c>
      <c r="W870" s="101" t="s">
        <v>445</v>
      </c>
      <c r="X870" s="101" t="s">
        <v>76</v>
      </c>
      <c r="Y870" s="101" t="s">
        <v>392</v>
      </c>
      <c r="Z870" s="101" t="s">
        <v>412</v>
      </c>
      <c r="AA870" s="101" t="s">
        <v>478</v>
      </c>
      <c r="AB870" s="101">
        <v>3101053970</v>
      </c>
      <c r="AC870" s="101" t="s">
        <v>414</v>
      </c>
      <c r="AD870" s="101" t="s">
        <v>79</v>
      </c>
      <c r="AE870" s="101" t="s">
        <v>75</v>
      </c>
      <c r="AF870" s="101" t="s">
        <v>400</v>
      </c>
      <c r="AI870" s="101" t="s">
        <v>172</v>
      </c>
    </row>
    <row r="871" spans="1:35">
      <c r="A871" s="246" t="s">
        <v>113</v>
      </c>
      <c r="B871" s="246" t="s">
        <v>66</v>
      </c>
      <c r="C871" s="246" t="s">
        <v>126</v>
      </c>
      <c r="D871" s="246" t="s">
        <v>271</v>
      </c>
      <c r="E871" s="246"/>
      <c r="F871" s="246"/>
      <c r="G871" s="132" t="s">
        <v>678</v>
      </c>
      <c r="H871" s="132" t="s">
        <v>1672</v>
      </c>
      <c r="I871" s="132">
        <v>-55146.53</v>
      </c>
      <c r="J871" s="101" t="s">
        <v>889</v>
      </c>
      <c r="K871" s="245" t="s">
        <v>390</v>
      </c>
      <c r="L871" s="245">
        <v>43098</v>
      </c>
      <c r="M871" s="245" t="s">
        <v>391</v>
      </c>
      <c r="N871" s="101">
        <v>0</v>
      </c>
      <c r="O871" s="101" t="s">
        <v>392</v>
      </c>
      <c r="P871" s="101">
        <v>0</v>
      </c>
      <c r="Q871" s="101">
        <v>0</v>
      </c>
      <c r="R871" s="101" t="s">
        <v>422</v>
      </c>
      <c r="S871" s="101" t="s">
        <v>600</v>
      </c>
      <c r="T871" s="101" t="s">
        <v>394</v>
      </c>
      <c r="U871" s="101" t="s">
        <v>88</v>
      </c>
      <c r="V871" s="245">
        <v>46371</v>
      </c>
      <c r="W871" s="101" t="s">
        <v>445</v>
      </c>
      <c r="X871" s="101" t="s">
        <v>76</v>
      </c>
      <c r="Y871" s="101" t="s">
        <v>392</v>
      </c>
      <c r="Z871" s="101" t="s">
        <v>412</v>
      </c>
      <c r="AA871" s="101" t="s">
        <v>478</v>
      </c>
      <c r="AB871" s="101">
        <v>3101053970</v>
      </c>
      <c r="AC871" s="101" t="s">
        <v>414</v>
      </c>
      <c r="AD871" s="101" t="s">
        <v>79</v>
      </c>
      <c r="AE871" s="101" t="s">
        <v>75</v>
      </c>
      <c r="AF871" s="101" t="s">
        <v>400</v>
      </c>
      <c r="AI871" s="101" t="s">
        <v>172</v>
      </c>
    </row>
    <row r="872" spans="1:35">
      <c r="A872" s="246" t="s">
        <v>113</v>
      </c>
      <c r="B872" s="246" t="s">
        <v>66</v>
      </c>
      <c r="C872" s="246" t="s">
        <v>126</v>
      </c>
      <c r="D872" s="246" t="s">
        <v>271</v>
      </c>
      <c r="E872" s="246"/>
      <c r="F872" s="246"/>
      <c r="G872" s="132" t="s">
        <v>679</v>
      </c>
      <c r="H872" s="132" t="s">
        <v>1673</v>
      </c>
      <c r="I872" s="132">
        <v>-10968.21</v>
      </c>
      <c r="J872" s="101" t="s">
        <v>889</v>
      </c>
      <c r="K872" s="245" t="s">
        <v>390</v>
      </c>
      <c r="L872" s="245">
        <v>43131</v>
      </c>
      <c r="M872" s="245" t="s">
        <v>391</v>
      </c>
      <c r="N872" s="101">
        <v>0</v>
      </c>
      <c r="O872" s="101" t="s">
        <v>392</v>
      </c>
      <c r="P872" s="101">
        <v>0</v>
      </c>
      <c r="Q872" s="101">
        <v>0</v>
      </c>
      <c r="R872" s="101" t="s">
        <v>422</v>
      </c>
      <c r="S872" s="101" t="s">
        <v>600</v>
      </c>
      <c r="T872" s="101" t="s">
        <v>394</v>
      </c>
      <c r="U872" s="101" t="s">
        <v>88</v>
      </c>
      <c r="V872" s="245">
        <v>46371</v>
      </c>
      <c r="W872" s="101" t="s">
        <v>445</v>
      </c>
      <c r="X872" s="101" t="s">
        <v>76</v>
      </c>
      <c r="Y872" s="101" t="s">
        <v>392</v>
      </c>
      <c r="Z872" s="101" t="s">
        <v>412</v>
      </c>
      <c r="AA872" s="101" t="s">
        <v>478</v>
      </c>
      <c r="AB872" s="101">
        <v>3101053970</v>
      </c>
      <c r="AC872" s="101" t="s">
        <v>414</v>
      </c>
      <c r="AD872" s="101" t="s">
        <v>79</v>
      </c>
      <c r="AE872" s="101" t="s">
        <v>75</v>
      </c>
      <c r="AF872" s="101" t="s">
        <v>400</v>
      </c>
      <c r="AI872" s="101" t="s">
        <v>172</v>
      </c>
    </row>
    <row r="873" spans="1:35">
      <c r="A873" s="246" t="s">
        <v>113</v>
      </c>
      <c r="B873" s="246" t="s">
        <v>66</v>
      </c>
      <c r="C873" s="246" t="s">
        <v>264</v>
      </c>
      <c r="D873" s="246" t="s">
        <v>285</v>
      </c>
      <c r="E873" s="246"/>
      <c r="F873" s="246"/>
      <c r="G873" s="132" t="s">
        <v>680</v>
      </c>
      <c r="H873" s="132" t="s">
        <v>1674</v>
      </c>
      <c r="I873" s="132">
        <v>3320730.17</v>
      </c>
      <c r="J873" s="101" t="s">
        <v>889</v>
      </c>
      <c r="K873" s="245" t="s">
        <v>390</v>
      </c>
      <c r="L873" s="245">
        <v>43131</v>
      </c>
      <c r="M873" s="245" t="s">
        <v>421</v>
      </c>
      <c r="N873" s="101">
        <v>0</v>
      </c>
      <c r="O873" s="101" t="s">
        <v>392</v>
      </c>
      <c r="P873" s="101">
        <v>0</v>
      </c>
      <c r="Q873" s="101">
        <v>0</v>
      </c>
      <c r="R873" s="101" t="s">
        <v>410</v>
      </c>
      <c r="S873" s="101" t="s">
        <v>600</v>
      </c>
      <c r="T873" s="101" t="s">
        <v>394</v>
      </c>
      <c r="U873" s="101" t="s">
        <v>88</v>
      </c>
      <c r="V873" s="245">
        <v>46371</v>
      </c>
      <c r="W873" s="101" t="s">
        <v>445</v>
      </c>
      <c r="X873" s="101" t="s">
        <v>76</v>
      </c>
      <c r="Y873" s="101" t="s">
        <v>392</v>
      </c>
      <c r="Z873" s="101" t="s">
        <v>412</v>
      </c>
      <c r="AA873" s="101" t="s">
        <v>478</v>
      </c>
      <c r="AB873" s="101">
        <v>3101053970</v>
      </c>
      <c r="AC873" s="101" t="s">
        <v>414</v>
      </c>
      <c r="AD873" s="101" t="s">
        <v>79</v>
      </c>
      <c r="AE873" s="101" t="s">
        <v>75</v>
      </c>
      <c r="AF873" s="101" t="s">
        <v>400</v>
      </c>
      <c r="AI873" s="101" t="s">
        <v>172</v>
      </c>
    </row>
    <row r="874" spans="1:35">
      <c r="A874" s="246" t="s">
        <v>113</v>
      </c>
      <c r="B874" s="246" t="s">
        <v>66</v>
      </c>
      <c r="C874" s="246" t="s">
        <v>126</v>
      </c>
      <c r="D874" s="246" t="s">
        <v>271</v>
      </c>
      <c r="E874" s="246"/>
      <c r="F874" s="246"/>
      <c r="G874" s="132" t="s">
        <v>684</v>
      </c>
      <c r="H874" s="132" t="s">
        <v>1675</v>
      </c>
      <c r="I874" s="132">
        <v>-21958.57</v>
      </c>
      <c r="J874" s="101" t="s">
        <v>889</v>
      </c>
      <c r="K874" s="245" t="s">
        <v>390</v>
      </c>
      <c r="L874" s="245">
        <v>43159</v>
      </c>
      <c r="M874" s="245" t="s">
        <v>391</v>
      </c>
      <c r="N874" s="101">
        <v>0</v>
      </c>
      <c r="O874" s="101" t="s">
        <v>392</v>
      </c>
      <c r="P874" s="101">
        <v>0</v>
      </c>
      <c r="Q874" s="101">
        <v>0</v>
      </c>
      <c r="R874" s="101" t="s">
        <v>422</v>
      </c>
      <c r="S874" s="101" t="s">
        <v>600</v>
      </c>
      <c r="T874" s="101" t="s">
        <v>394</v>
      </c>
      <c r="U874" s="101" t="s">
        <v>88</v>
      </c>
      <c r="V874" s="245">
        <v>46371</v>
      </c>
      <c r="W874" s="101" t="s">
        <v>445</v>
      </c>
      <c r="X874" s="101" t="s">
        <v>76</v>
      </c>
      <c r="Y874" s="101" t="s">
        <v>392</v>
      </c>
      <c r="Z874" s="101" t="s">
        <v>412</v>
      </c>
      <c r="AA874" s="101" t="s">
        <v>478</v>
      </c>
      <c r="AB874" s="101">
        <v>3101053970</v>
      </c>
      <c r="AC874" s="101" t="s">
        <v>414</v>
      </c>
      <c r="AD874" s="101" t="s">
        <v>79</v>
      </c>
      <c r="AE874" s="101" t="s">
        <v>75</v>
      </c>
      <c r="AF874" s="101" t="s">
        <v>400</v>
      </c>
      <c r="AI874" s="101" t="s">
        <v>172</v>
      </c>
    </row>
    <row r="875" spans="1:35">
      <c r="A875" s="246" t="s">
        <v>113</v>
      </c>
      <c r="B875" s="246" t="s">
        <v>66</v>
      </c>
      <c r="C875" s="246" t="s">
        <v>264</v>
      </c>
      <c r="D875" s="246" t="s">
        <v>285</v>
      </c>
      <c r="E875" s="246"/>
      <c r="F875" s="246"/>
      <c r="G875" s="132" t="s">
        <v>685</v>
      </c>
      <c r="H875" s="132" t="s">
        <v>1676</v>
      </c>
      <c r="I875" s="132">
        <v>3532478.07</v>
      </c>
      <c r="J875" s="101" t="s">
        <v>889</v>
      </c>
      <c r="K875" s="245" t="s">
        <v>390</v>
      </c>
      <c r="L875" s="245">
        <v>43159</v>
      </c>
      <c r="M875" s="245" t="s">
        <v>421</v>
      </c>
      <c r="N875" s="101">
        <v>0</v>
      </c>
      <c r="O875" s="101" t="s">
        <v>392</v>
      </c>
      <c r="P875" s="101">
        <v>0</v>
      </c>
      <c r="Q875" s="101">
        <v>0</v>
      </c>
      <c r="R875" s="101" t="s">
        <v>410</v>
      </c>
      <c r="S875" s="101" t="s">
        <v>600</v>
      </c>
      <c r="T875" s="101" t="s">
        <v>394</v>
      </c>
      <c r="U875" s="101" t="s">
        <v>88</v>
      </c>
      <c r="V875" s="245">
        <v>46371</v>
      </c>
      <c r="W875" s="101" t="s">
        <v>445</v>
      </c>
      <c r="X875" s="101" t="s">
        <v>76</v>
      </c>
      <c r="Y875" s="101" t="s">
        <v>392</v>
      </c>
      <c r="Z875" s="101" t="s">
        <v>412</v>
      </c>
      <c r="AA875" s="101" t="s">
        <v>478</v>
      </c>
      <c r="AB875" s="101">
        <v>3101053970</v>
      </c>
      <c r="AC875" s="101" t="s">
        <v>414</v>
      </c>
      <c r="AD875" s="101" t="s">
        <v>79</v>
      </c>
      <c r="AE875" s="101" t="s">
        <v>75</v>
      </c>
      <c r="AF875" s="101" t="s">
        <v>400</v>
      </c>
      <c r="AI875" s="101" t="s">
        <v>172</v>
      </c>
    </row>
    <row r="876" spans="1:35">
      <c r="A876" s="246" t="s">
        <v>113</v>
      </c>
      <c r="B876" s="246" t="s">
        <v>66</v>
      </c>
      <c r="C876" s="246" t="s">
        <v>264</v>
      </c>
      <c r="D876" s="246" t="s">
        <v>285</v>
      </c>
      <c r="E876" s="246"/>
      <c r="F876" s="246"/>
      <c r="G876" s="132" t="s">
        <v>686</v>
      </c>
      <c r="H876" s="132" t="s">
        <v>1677</v>
      </c>
      <c r="I876" s="132">
        <v>3022648.3800000004</v>
      </c>
      <c r="J876" s="101" t="s">
        <v>889</v>
      </c>
      <c r="K876" s="245" t="s">
        <v>390</v>
      </c>
      <c r="L876" s="245">
        <v>43189</v>
      </c>
      <c r="M876" s="245" t="s">
        <v>421</v>
      </c>
      <c r="N876" s="101">
        <v>0</v>
      </c>
      <c r="O876" s="101" t="s">
        <v>392</v>
      </c>
      <c r="P876" s="101">
        <v>0</v>
      </c>
      <c r="Q876" s="101">
        <v>0</v>
      </c>
      <c r="R876" s="101" t="s">
        <v>410</v>
      </c>
      <c r="S876" s="101" t="s">
        <v>600</v>
      </c>
      <c r="T876" s="101" t="s">
        <v>394</v>
      </c>
      <c r="U876" s="101" t="s">
        <v>88</v>
      </c>
      <c r="V876" s="245">
        <v>46371</v>
      </c>
      <c r="W876" s="101" t="s">
        <v>445</v>
      </c>
      <c r="X876" s="101" t="s">
        <v>76</v>
      </c>
      <c r="Y876" s="101" t="s">
        <v>392</v>
      </c>
      <c r="Z876" s="101" t="s">
        <v>412</v>
      </c>
      <c r="AA876" s="101" t="s">
        <v>478</v>
      </c>
      <c r="AB876" s="101">
        <v>3101053970</v>
      </c>
      <c r="AC876" s="101" t="s">
        <v>414</v>
      </c>
      <c r="AD876" s="101" t="s">
        <v>79</v>
      </c>
      <c r="AE876" s="101" t="s">
        <v>75</v>
      </c>
      <c r="AF876" s="101" t="s">
        <v>400</v>
      </c>
      <c r="AI876" s="101" t="s">
        <v>172</v>
      </c>
    </row>
    <row r="877" spans="1:35">
      <c r="A877" s="246" t="s">
        <v>113</v>
      </c>
      <c r="B877" s="246" t="s">
        <v>66</v>
      </c>
      <c r="C877" s="246" t="s">
        <v>126</v>
      </c>
      <c r="D877" s="246" t="s">
        <v>271</v>
      </c>
      <c r="E877" s="246"/>
      <c r="F877" s="246"/>
      <c r="G877" s="132" t="s">
        <v>687</v>
      </c>
      <c r="H877" s="132" t="s">
        <v>1678</v>
      </c>
      <c r="I877" s="132">
        <v>-38896.93</v>
      </c>
      <c r="J877" s="101" t="s">
        <v>889</v>
      </c>
      <c r="K877" s="245" t="s">
        <v>390</v>
      </c>
      <c r="L877" s="245">
        <v>43189</v>
      </c>
      <c r="M877" s="245" t="s">
        <v>391</v>
      </c>
      <c r="N877" s="101">
        <v>0</v>
      </c>
      <c r="O877" s="101" t="s">
        <v>392</v>
      </c>
      <c r="P877" s="101">
        <v>0</v>
      </c>
      <c r="Q877" s="101">
        <v>0</v>
      </c>
      <c r="R877" s="101" t="s">
        <v>422</v>
      </c>
      <c r="S877" s="101" t="s">
        <v>600</v>
      </c>
      <c r="T877" s="101" t="s">
        <v>394</v>
      </c>
      <c r="U877" s="101" t="s">
        <v>88</v>
      </c>
      <c r="V877" s="245">
        <v>46371</v>
      </c>
      <c r="W877" s="101" t="s">
        <v>445</v>
      </c>
      <c r="X877" s="101" t="s">
        <v>76</v>
      </c>
      <c r="Y877" s="101" t="s">
        <v>392</v>
      </c>
      <c r="Z877" s="101" t="s">
        <v>412</v>
      </c>
      <c r="AA877" s="101" t="s">
        <v>478</v>
      </c>
      <c r="AB877" s="101">
        <v>3101053970</v>
      </c>
      <c r="AC877" s="101" t="s">
        <v>414</v>
      </c>
      <c r="AD877" s="101" t="s">
        <v>79</v>
      </c>
      <c r="AE877" s="101" t="s">
        <v>75</v>
      </c>
      <c r="AF877" s="101" t="s">
        <v>400</v>
      </c>
      <c r="AI877" s="101" t="s">
        <v>172</v>
      </c>
    </row>
    <row r="878" spans="1:35">
      <c r="A878" s="246" t="s">
        <v>113</v>
      </c>
      <c r="B878" s="246" t="s">
        <v>66</v>
      </c>
      <c r="C878" s="246" t="s">
        <v>126</v>
      </c>
      <c r="D878" s="246" t="s">
        <v>271</v>
      </c>
      <c r="E878" s="246"/>
      <c r="F878" s="246"/>
      <c r="G878" s="132" t="s">
        <v>844</v>
      </c>
      <c r="H878" s="132" t="s">
        <v>1679</v>
      </c>
      <c r="I878" s="132">
        <v>-49016.6</v>
      </c>
      <c r="J878" s="101" t="s">
        <v>889</v>
      </c>
      <c r="K878" s="245" t="s">
        <v>390</v>
      </c>
      <c r="L878" s="245">
        <v>43220</v>
      </c>
      <c r="M878" s="245" t="s">
        <v>391</v>
      </c>
      <c r="N878" s="101">
        <v>0</v>
      </c>
      <c r="O878" s="101" t="s">
        <v>392</v>
      </c>
      <c r="P878" s="101">
        <v>0</v>
      </c>
      <c r="Q878" s="101">
        <v>0</v>
      </c>
      <c r="R878" s="101" t="s">
        <v>422</v>
      </c>
      <c r="S878" s="101" t="s">
        <v>600</v>
      </c>
      <c r="T878" s="101" t="s">
        <v>394</v>
      </c>
      <c r="U878" s="101" t="s">
        <v>88</v>
      </c>
      <c r="V878" s="245">
        <v>46371</v>
      </c>
      <c r="W878" s="101" t="s">
        <v>445</v>
      </c>
      <c r="X878" s="101" t="s">
        <v>76</v>
      </c>
      <c r="Y878" s="101" t="s">
        <v>392</v>
      </c>
      <c r="Z878" s="101" t="s">
        <v>412</v>
      </c>
      <c r="AA878" s="101" t="s">
        <v>478</v>
      </c>
      <c r="AB878" s="101">
        <v>3101053970</v>
      </c>
      <c r="AC878" s="101" t="s">
        <v>414</v>
      </c>
      <c r="AD878" s="101" t="s">
        <v>79</v>
      </c>
      <c r="AE878" s="101" t="s">
        <v>75</v>
      </c>
      <c r="AF878" s="101" t="s">
        <v>400</v>
      </c>
      <c r="AI878" s="101" t="s">
        <v>172</v>
      </c>
    </row>
    <row r="879" spans="1:35">
      <c r="A879" s="246" t="s">
        <v>113</v>
      </c>
      <c r="B879" s="246" t="s">
        <v>66</v>
      </c>
      <c r="C879" s="246" t="s">
        <v>264</v>
      </c>
      <c r="D879" s="246" t="s">
        <v>285</v>
      </c>
      <c r="E879" s="246"/>
      <c r="F879" s="246"/>
      <c r="G879" s="132" t="s">
        <v>845</v>
      </c>
      <c r="H879" s="132" t="s">
        <v>1680</v>
      </c>
      <c r="I879" s="132">
        <v>3149363.5599999996</v>
      </c>
      <c r="J879" s="101" t="s">
        <v>889</v>
      </c>
      <c r="K879" s="245" t="s">
        <v>390</v>
      </c>
      <c r="L879" s="245">
        <v>43220</v>
      </c>
      <c r="M879" s="245" t="s">
        <v>421</v>
      </c>
      <c r="N879" s="101">
        <v>0</v>
      </c>
      <c r="O879" s="101" t="s">
        <v>392</v>
      </c>
      <c r="P879" s="101">
        <v>0</v>
      </c>
      <c r="Q879" s="101">
        <v>0</v>
      </c>
      <c r="R879" s="101" t="s">
        <v>410</v>
      </c>
      <c r="S879" s="101" t="s">
        <v>600</v>
      </c>
      <c r="T879" s="101" t="s">
        <v>394</v>
      </c>
      <c r="U879" s="101" t="s">
        <v>88</v>
      </c>
      <c r="V879" s="245">
        <v>46371</v>
      </c>
      <c r="W879" s="101" t="s">
        <v>445</v>
      </c>
      <c r="X879" s="101" t="s">
        <v>76</v>
      </c>
      <c r="Y879" s="101" t="s">
        <v>392</v>
      </c>
      <c r="Z879" s="101" t="s">
        <v>412</v>
      </c>
      <c r="AA879" s="101" t="s">
        <v>478</v>
      </c>
      <c r="AB879" s="101">
        <v>3101053970</v>
      </c>
      <c r="AC879" s="101" t="s">
        <v>414</v>
      </c>
      <c r="AD879" s="101" t="s">
        <v>79</v>
      </c>
      <c r="AE879" s="101" t="s">
        <v>75</v>
      </c>
      <c r="AF879" s="101" t="s">
        <v>400</v>
      </c>
      <c r="AI879" s="101" t="s">
        <v>172</v>
      </c>
    </row>
    <row r="880" spans="1:35">
      <c r="A880" s="246" t="s">
        <v>109</v>
      </c>
      <c r="B880" s="246" t="s">
        <v>78</v>
      </c>
      <c r="C880" s="246" t="s">
        <v>126</v>
      </c>
      <c r="D880" s="246" t="s">
        <v>337</v>
      </c>
      <c r="E880" s="246" t="s">
        <v>336</v>
      </c>
      <c r="F880" s="246"/>
      <c r="G880" s="132">
        <v>-207625</v>
      </c>
      <c r="H880" s="132" t="s">
        <v>1681</v>
      </c>
      <c r="I880" s="132">
        <v>-207625</v>
      </c>
      <c r="J880" s="101" t="s">
        <v>889</v>
      </c>
      <c r="K880" s="245" t="s">
        <v>390</v>
      </c>
      <c r="L880" s="245">
        <v>42536</v>
      </c>
      <c r="M880" s="245" t="s">
        <v>391</v>
      </c>
      <c r="N880" s="101">
        <v>0</v>
      </c>
      <c r="O880" s="101" t="s">
        <v>392</v>
      </c>
      <c r="P880" s="101">
        <v>0</v>
      </c>
      <c r="Q880" s="101">
        <v>0</v>
      </c>
      <c r="R880" s="101" t="s">
        <v>450</v>
      </c>
      <c r="S880" s="101">
        <v>194060</v>
      </c>
      <c r="T880" s="101" t="s">
        <v>394</v>
      </c>
      <c r="V880" s="245">
        <v>42536</v>
      </c>
      <c r="W880" s="101" t="s">
        <v>441</v>
      </c>
      <c r="X880" s="101" t="s">
        <v>76</v>
      </c>
      <c r="Y880" s="101" t="s">
        <v>392</v>
      </c>
      <c r="Z880" s="101" t="s">
        <v>430</v>
      </c>
      <c r="AA880" s="101" t="s">
        <v>78</v>
      </c>
      <c r="AB880" s="101">
        <v>4101000279</v>
      </c>
      <c r="AC880" s="101" t="s">
        <v>431</v>
      </c>
      <c r="AD880" s="101" t="s">
        <v>431</v>
      </c>
      <c r="AE880" s="101" t="s">
        <v>75</v>
      </c>
      <c r="AF880" s="101" t="s">
        <v>400</v>
      </c>
      <c r="AG880" s="101" t="s">
        <v>532</v>
      </c>
      <c r="AI880" s="101" t="s">
        <v>760</v>
      </c>
    </row>
    <row r="881" spans="1:35">
      <c r="A881" s="246" t="s">
        <v>109</v>
      </c>
      <c r="B881" s="246" t="s">
        <v>78</v>
      </c>
      <c r="C881" s="246" t="s">
        <v>116</v>
      </c>
      <c r="D881" s="246" t="s">
        <v>884</v>
      </c>
      <c r="E881" s="246" t="s">
        <v>336</v>
      </c>
      <c r="F881" s="246"/>
      <c r="G881" s="132">
        <v>-83050000</v>
      </c>
      <c r="H881" s="132" t="s">
        <v>1682</v>
      </c>
      <c r="I881" s="132">
        <v>-83050000</v>
      </c>
      <c r="J881" s="101" t="s">
        <v>889</v>
      </c>
      <c r="K881" s="245" t="s">
        <v>390</v>
      </c>
      <c r="L881" s="245">
        <v>42536</v>
      </c>
      <c r="M881" s="245" t="s">
        <v>421</v>
      </c>
      <c r="N881" s="101">
        <v>0</v>
      </c>
      <c r="O881" s="101" t="s">
        <v>392</v>
      </c>
      <c r="P881" s="101">
        <v>0</v>
      </c>
      <c r="Q881" s="101">
        <v>0</v>
      </c>
      <c r="R881" s="101" t="s">
        <v>450</v>
      </c>
      <c r="S881" s="101">
        <v>194060</v>
      </c>
      <c r="T881" s="101" t="s">
        <v>394</v>
      </c>
      <c r="V881" s="245">
        <v>42536</v>
      </c>
      <c r="W881" s="101" t="s">
        <v>441</v>
      </c>
      <c r="X881" s="101" t="s">
        <v>76</v>
      </c>
      <c r="Y881" s="101" t="s">
        <v>392</v>
      </c>
      <c r="Z881" s="101" t="s">
        <v>430</v>
      </c>
      <c r="AA881" s="101" t="s">
        <v>78</v>
      </c>
      <c r="AB881" s="101">
        <v>4101000279</v>
      </c>
      <c r="AC881" s="101" t="s">
        <v>431</v>
      </c>
      <c r="AD881" s="101" t="s">
        <v>431</v>
      </c>
      <c r="AE881" s="101" t="s">
        <v>75</v>
      </c>
      <c r="AF881" s="101" t="s">
        <v>400</v>
      </c>
      <c r="AG881" s="101" t="s">
        <v>532</v>
      </c>
      <c r="AI881" s="101" t="s">
        <v>760</v>
      </c>
    </row>
    <row r="882" spans="1:35">
      <c r="A882" s="246" t="s">
        <v>109</v>
      </c>
      <c r="B882" s="246" t="s">
        <v>66</v>
      </c>
      <c r="C882" s="246" t="s">
        <v>126</v>
      </c>
      <c r="D882" s="246" t="s">
        <v>272</v>
      </c>
      <c r="E882" s="246"/>
      <c r="F882" s="246" t="s">
        <v>275</v>
      </c>
      <c r="G882" s="132" t="s">
        <v>815</v>
      </c>
      <c r="H882" s="132" t="s">
        <v>1683</v>
      </c>
      <c r="I882" s="132">
        <v>-25475.33</v>
      </c>
      <c r="J882" s="101" t="s">
        <v>889</v>
      </c>
      <c r="K882" s="245" t="s">
        <v>390</v>
      </c>
      <c r="L882" s="245">
        <v>42551</v>
      </c>
      <c r="M882" s="245" t="s">
        <v>391</v>
      </c>
      <c r="N882" s="101">
        <v>0</v>
      </c>
      <c r="O882" s="101" t="s">
        <v>392</v>
      </c>
      <c r="P882" s="101">
        <v>0</v>
      </c>
      <c r="Q882" s="101">
        <v>0</v>
      </c>
      <c r="R882" s="101" t="s">
        <v>422</v>
      </c>
      <c r="S882" s="101" t="s">
        <v>706</v>
      </c>
      <c r="T882" s="101" t="s">
        <v>394</v>
      </c>
      <c r="U882" s="101" t="s">
        <v>12</v>
      </c>
      <c r="V882" s="245">
        <v>14248</v>
      </c>
      <c r="W882" s="101" t="s">
        <v>411</v>
      </c>
      <c r="X882" s="101" t="s">
        <v>77</v>
      </c>
      <c r="Y882" s="101" t="s">
        <v>392</v>
      </c>
      <c r="Z882" s="101" t="s">
        <v>412</v>
      </c>
      <c r="AA882" s="101" t="s">
        <v>413</v>
      </c>
      <c r="AB882" s="101">
        <v>101000512</v>
      </c>
      <c r="AC882" s="101" t="s">
        <v>414</v>
      </c>
      <c r="AD882" s="101" t="s">
        <v>79</v>
      </c>
      <c r="AE882" s="101" t="s">
        <v>6</v>
      </c>
      <c r="AF882" s="101" t="s">
        <v>400</v>
      </c>
      <c r="AI882" s="101" t="s">
        <v>190</v>
      </c>
    </row>
    <row r="883" spans="1:35">
      <c r="A883" s="246" t="s">
        <v>109</v>
      </c>
      <c r="B883" s="246" t="s">
        <v>66</v>
      </c>
      <c r="C883" s="246" t="s">
        <v>265</v>
      </c>
      <c r="D883" s="246" t="s">
        <v>291</v>
      </c>
      <c r="E883" s="246"/>
      <c r="F883" s="246" t="s">
        <v>275</v>
      </c>
      <c r="G883" s="132" t="s">
        <v>816</v>
      </c>
      <c r="H883" s="132" t="s">
        <v>1684</v>
      </c>
      <c r="I883" s="132">
        <v>-903886.29999999993</v>
      </c>
      <c r="J883" s="101" t="s">
        <v>889</v>
      </c>
      <c r="K883" s="245" t="s">
        <v>390</v>
      </c>
      <c r="L883" s="245">
        <v>42551</v>
      </c>
      <c r="M883" s="245" t="s">
        <v>421</v>
      </c>
      <c r="N883" s="101">
        <v>0</v>
      </c>
      <c r="O883" s="101" t="s">
        <v>392</v>
      </c>
      <c r="P883" s="101">
        <v>0</v>
      </c>
      <c r="Q883" s="101">
        <v>0</v>
      </c>
      <c r="R883" s="101" t="s">
        <v>422</v>
      </c>
      <c r="S883" s="101" t="s">
        <v>706</v>
      </c>
      <c r="T883" s="101" t="s">
        <v>394</v>
      </c>
      <c r="U883" s="101" t="s">
        <v>12</v>
      </c>
      <c r="V883" s="245">
        <v>14248</v>
      </c>
      <c r="W883" s="101" t="s">
        <v>411</v>
      </c>
      <c r="X883" s="101" t="s">
        <v>77</v>
      </c>
      <c r="Y883" s="101" t="s">
        <v>392</v>
      </c>
      <c r="Z883" s="101" t="s">
        <v>412</v>
      </c>
      <c r="AA883" s="101" t="s">
        <v>413</v>
      </c>
      <c r="AB883" s="101">
        <v>101000512</v>
      </c>
      <c r="AC883" s="101" t="s">
        <v>414</v>
      </c>
      <c r="AD883" s="101" t="s">
        <v>79</v>
      </c>
      <c r="AE883" s="101" t="s">
        <v>6</v>
      </c>
      <c r="AF883" s="101" t="s">
        <v>400</v>
      </c>
      <c r="AI883" s="101" t="s">
        <v>190</v>
      </c>
    </row>
    <row r="884" spans="1:35">
      <c r="A884" s="246" t="s">
        <v>111</v>
      </c>
      <c r="B884" s="246" t="s">
        <v>66</v>
      </c>
      <c r="C884" s="246" t="s">
        <v>126</v>
      </c>
      <c r="D884" s="246" t="s">
        <v>273</v>
      </c>
      <c r="E884" s="246"/>
      <c r="F884" s="246" t="s">
        <v>277</v>
      </c>
      <c r="G884" s="132">
        <v>-19485</v>
      </c>
      <c r="H884" s="132" t="s">
        <v>1685</v>
      </c>
      <c r="I884" s="132">
        <v>-19485</v>
      </c>
      <c r="J884" s="101" t="s">
        <v>889</v>
      </c>
      <c r="K884" s="245" t="s">
        <v>390</v>
      </c>
      <c r="L884" s="245">
        <v>42734</v>
      </c>
      <c r="M884" s="245" t="s">
        <v>391</v>
      </c>
      <c r="N884" s="101">
        <v>0</v>
      </c>
      <c r="O884" s="101" t="s">
        <v>392</v>
      </c>
      <c r="P884" s="101">
        <v>0</v>
      </c>
      <c r="Q884" s="101">
        <v>0</v>
      </c>
      <c r="R884" s="101" t="s">
        <v>422</v>
      </c>
      <c r="S884" s="101" t="s">
        <v>706</v>
      </c>
      <c r="T884" s="101" t="s">
        <v>394</v>
      </c>
      <c r="U884" s="101" t="s">
        <v>12</v>
      </c>
      <c r="V884" s="245">
        <v>14248</v>
      </c>
      <c r="W884" s="101" t="s">
        <v>411</v>
      </c>
      <c r="X884" s="101" t="s">
        <v>77</v>
      </c>
      <c r="Y884" s="101" t="s">
        <v>392</v>
      </c>
      <c r="Z884" s="101" t="s">
        <v>412</v>
      </c>
      <c r="AA884" s="101" t="s">
        <v>413</v>
      </c>
      <c r="AB884" s="101">
        <v>101000512</v>
      </c>
      <c r="AC884" s="101" t="s">
        <v>414</v>
      </c>
      <c r="AD884" s="101" t="s">
        <v>79</v>
      </c>
      <c r="AE884" s="101" t="s">
        <v>6</v>
      </c>
      <c r="AF884" s="101" t="s">
        <v>400</v>
      </c>
      <c r="AI884" s="101" t="s">
        <v>190</v>
      </c>
    </row>
    <row r="885" spans="1:35">
      <c r="A885" s="246" t="s">
        <v>112</v>
      </c>
      <c r="B885" s="246" t="s">
        <v>66</v>
      </c>
      <c r="C885" s="246" t="s">
        <v>126</v>
      </c>
      <c r="D885" s="246" t="s">
        <v>270</v>
      </c>
      <c r="E885" s="246"/>
      <c r="F885" s="246" t="s">
        <v>278</v>
      </c>
      <c r="G885" s="132">
        <v>-19485</v>
      </c>
      <c r="H885" s="132" t="s">
        <v>1685</v>
      </c>
      <c r="I885" s="132">
        <v>-19485</v>
      </c>
      <c r="J885" s="101" t="s">
        <v>889</v>
      </c>
      <c r="K885" s="245" t="s">
        <v>390</v>
      </c>
      <c r="L885" s="245">
        <v>42916</v>
      </c>
      <c r="M885" s="245" t="s">
        <v>391</v>
      </c>
      <c r="N885" s="101">
        <v>0</v>
      </c>
      <c r="O885" s="101" t="s">
        <v>392</v>
      </c>
      <c r="P885" s="101">
        <v>0</v>
      </c>
      <c r="Q885" s="101">
        <v>0</v>
      </c>
      <c r="R885" s="101" t="s">
        <v>422</v>
      </c>
      <c r="S885" s="101" t="s">
        <v>706</v>
      </c>
      <c r="T885" s="101" t="s">
        <v>394</v>
      </c>
      <c r="U885" s="101" t="s">
        <v>12</v>
      </c>
      <c r="V885" s="245">
        <v>14248</v>
      </c>
      <c r="W885" s="101" t="s">
        <v>411</v>
      </c>
      <c r="X885" s="101" t="s">
        <v>77</v>
      </c>
      <c r="Y885" s="101" t="s">
        <v>392</v>
      </c>
      <c r="Z885" s="101" t="s">
        <v>412</v>
      </c>
      <c r="AA885" s="101" t="s">
        <v>413</v>
      </c>
      <c r="AB885" s="101">
        <v>101000512</v>
      </c>
      <c r="AC885" s="101" t="s">
        <v>414</v>
      </c>
      <c r="AD885" s="101" t="s">
        <v>79</v>
      </c>
      <c r="AE885" s="101" t="s">
        <v>6</v>
      </c>
      <c r="AF885" s="101" t="s">
        <v>400</v>
      </c>
      <c r="AI885" s="101" t="s">
        <v>190</v>
      </c>
    </row>
    <row r="886" spans="1:35">
      <c r="A886" s="246" t="s">
        <v>113</v>
      </c>
      <c r="B886" s="246" t="s">
        <v>66</v>
      </c>
      <c r="C886" s="246" t="s">
        <v>126</v>
      </c>
      <c r="D886" s="246" t="s">
        <v>271</v>
      </c>
      <c r="E886" s="246"/>
      <c r="F886" s="246" t="s">
        <v>279</v>
      </c>
      <c r="G886" s="132" t="s">
        <v>415</v>
      </c>
      <c r="H886" s="132" t="s">
        <v>1686</v>
      </c>
      <c r="I886" s="132">
        <v>-19376.75</v>
      </c>
      <c r="J886" s="101" t="s">
        <v>889</v>
      </c>
      <c r="K886" s="245" t="s">
        <v>390</v>
      </c>
      <c r="L886" s="245">
        <v>43098</v>
      </c>
      <c r="M886" s="245" t="s">
        <v>391</v>
      </c>
      <c r="N886" s="101">
        <v>0</v>
      </c>
      <c r="O886" s="101" t="s">
        <v>392</v>
      </c>
      <c r="P886" s="101">
        <v>0</v>
      </c>
      <c r="Q886" s="101">
        <v>0</v>
      </c>
      <c r="R886" s="101" t="s">
        <v>422</v>
      </c>
      <c r="S886" s="101" t="s">
        <v>706</v>
      </c>
      <c r="T886" s="101" t="s">
        <v>394</v>
      </c>
      <c r="U886" s="101" t="s">
        <v>12</v>
      </c>
      <c r="V886" s="245">
        <v>14248</v>
      </c>
      <c r="W886" s="101" t="s">
        <v>411</v>
      </c>
      <c r="X886" s="101" t="s">
        <v>77</v>
      </c>
      <c r="Y886" s="101" t="s">
        <v>392</v>
      </c>
      <c r="Z886" s="101" t="s">
        <v>412</v>
      </c>
      <c r="AA886" s="101" t="s">
        <v>413</v>
      </c>
      <c r="AB886" s="101">
        <v>101000512</v>
      </c>
      <c r="AC886" s="101" t="s">
        <v>414</v>
      </c>
      <c r="AD886" s="101" t="s">
        <v>79</v>
      </c>
      <c r="AE886" s="101" t="s">
        <v>6</v>
      </c>
      <c r="AF886" s="101" t="s">
        <v>400</v>
      </c>
      <c r="AI886" s="101" t="s">
        <v>190</v>
      </c>
    </row>
    <row r="887" spans="1:35">
      <c r="A887" s="246" t="s">
        <v>110</v>
      </c>
      <c r="B887" s="246" t="s">
        <v>66</v>
      </c>
      <c r="C887" s="246" t="s">
        <v>126</v>
      </c>
      <c r="D887" s="246" t="s">
        <v>281</v>
      </c>
      <c r="E887" s="246"/>
      <c r="F887" s="246"/>
      <c r="G887" s="132" t="s">
        <v>578</v>
      </c>
      <c r="H887" s="132" t="s">
        <v>1687</v>
      </c>
      <c r="I887" s="132">
        <v>-237434.78999999998</v>
      </c>
      <c r="J887" s="101" t="s">
        <v>889</v>
      </c>
      <c r="K887" s="245" t="s">
        <v>390</v>
      </c>
      <c r="L887" s="245">
        <v>42674</v>
      </c>
      <c r="M887" s="245" t="s">
        <v>391</v>
      </c>
      <c r="N887" s="101">
        <v>0</v>
      </c>
      <c r="O887" s="101" t="s">
        <v>392</v>
      </c>
      <c r="P887" s="101">
        <v>0</v>
      </c>
      <c r="Q887" s="101">
        <v>0</v>
      </c>
      <c r="R887" s="101" t="s">
        <v>422</v>
      </c>
      <c r="S887" s="101" t="s">
        <v>568</v>
      </c>
      <c r="T887" s="101" t="s">
        <v>394</v>
      </c>
      <c r="U887" s="101" t="s">
        <v>83</v>
      </c>
      <c r="V887" s="245">
        <v>46371</v>
      </c>
      <c r="W887" s="101" t="s">
        <v>445</v>
      </c>
      <c r="X887" s="101" t="s">
        <v>76</v>
      </c>
      <c r="Y887" s="101" t="s">
        <v>392</v>
      </c>
      <c r="Z887" s="101" t="s">
        <v>412</v>
      </c>
      <c r="AA887" s="101" t="s">
        <v>478</v>
      </c>
      <c r="AB887" s="101">
        <v>3101053970</v>
      </c>
      <c r="AC887" s="101" t="s">
        <v>414</v>
      </c>
      <c r="AD887" s="101" t="s">
        <v>79</v>
      </c>
      <c r="AE887" s="101" t="s">
        <v>75</v>
      </c>
      <c r="AF887" s="101" t="s">
        <v>400</v>
      </c>
      <c r="AI887" s="101" t="s">
        <v>172</v>
      </c>
    </row>
    <row r="888" spans="1:35">
      <c r="A888" s="246" t="s">
        <v>110</v>
      </c>
      <c r="B888" s="246" t="s">
        <v>66</v>
      </c>
      <c r="C888" s="246" t="s">
        <v>264</v>
      </c>
      <c r="D888" s="246" t="s">
        <v>289</v>
      </c>
      <c r="E888" s="246"/>
      <c r="F888" s="246"/>
      <c r="G888" s="132" t="s">
        <v>579</v>
      </c>
      <c r="H888" s="132" t="s">
        <v>1688</v>
      </c>
      <c r="I888" s="132">
        <v>4073000.1</v>
      </c>
      <c r="J888" s="101" t="s">
        <v>889</v>
      </c>
      <c r="K888" s="245" t="s">
        <v>390</v>
      </c>
      <c r="L888" s="245">
        <v>42674</v>
      </c>
      <c r="M888" s="245" t="s">
        <v>421</v>
      </c>
      <c r="N888" s="101">
        <v>0</v>
      </c>
      <c r="O888" s="101" t="s">
        <v>392</v>
      </c>
      <c r="P888" s="101">
        <v>0</v>
      </c>
      <c r="Q888" s="101">
        <v>0</v>
      </c>
      <c r="R888" s="101" t="s">
        <v>410</v>
      </c>
      <c r="S888" s="101" t="s">
        <v>568</v>
      </c>
      <c r="T888" s="101" t="s">
        <v>394</v>
      </c>
      <c r="U888" s="101" t="s">
        <v>83</v>
      </c>
      <c r="V888" s="245">
        <v>46371</v>
      </c>
      <c r="W888" s="101" t="s">
        <v>445</v>
      </c>
      <c r="X888" s="101" t="s">
        <v>76</v>
      </c>
      <c r="Y888" s="101" t="s">
        <v>392</v>
      </c>
      <c r="Z888" s="101" t="s">
        <v>412</v>
      </c>
      <c r="AA888" s="101" t="s">
        <v>478</v>
      </c>
      <c r="AB888" s="101">
        <v>3101053970</v>
      </c>
      <c r="AC888" s="101" t="s">
        <v>414</v>
      </c>
      <c r="AD888" s="101" t="s">
        <v>79</v>
      </c>
      <c r="AE888" s="101" t="s">
        <v>75</v>
      </c>
      <c r="AF888" s="101" t="s">
        <v>400</v>
      </c>
      <c r="AI888" s="101" t="s">
        <v>172</v>
      </c>
    </row>
    <row r="889" spans="1:35">
      <c r="A889" s="246" t="s">
        <v>111</v>
      </c>
      <c r="B889" s="246" t="s">
        <v>66</v>
      </c>
      <c r="C889" s="246" t="s">
        <v>126</v>
      </c>
      <c r="D889" s="246" t="s">
        <v>273</v>
      </c>
      <c r="E889" s="246"/>
      <c r="F889" s="246"/>
      <c r="G889" s="132" t="s">
        <v>580</v>
      </c>
      <c r="H889" s="132" t="s">
        <v>1689</v>
      </c>
      <c r="I889" s="132">
        <v>-245770.47999999998</v>
      </c>
      <c r="J889" s="101" t="s">
        <v>889</v>
      </c>
      <c r="K889" s="245" t="s">
        <v>390</v>
      </c>
      <c r="L889" s="245">
        <v>42704</v>
      </c>
      <c r="M889" s="245" t="s">
        <v>391</v>
      </c>
      <c r="N889" s="101">
        <v>0</v>
      </c>
      <c r="O889" s="101" t="s">
        <v>392</v>
      </c>
      <c r="P889" s="101">
        <v>0</v>
      </c>
      <c r="Q889" s="101">
        <v>0</v>
      </c>
      <c r="R889" s="101" t="s">
        <v>422</v>
      </c>
      <c r="S889" s="101" t="s">
        <v>568</v>
      </c>
      <c r="T889" s="101" t="s">
        <v>394</v>
      </c>
      <c r="U889" s="101" t="s">
        <v>83</v>
      </c>
      <c r="V889" s="245">
        <v>46371</v>
      </c>
      <c r="W889" s="101" t="s">
        <v>445</v>
      </c>
      <c r="X889" s="101" t="s">
        <v>76</v>
      </c>
      <c r="Y889" s="101" t="s">
        <v>392</v>
      </c>
      <c r="Z889" s="101" t="s">
        <v>412</v>
      </c>
      <c r="AA889" s="101" t="s">
        <v>478</v>
      </c>
      <c r="AB889" s="101">
        <v>3101053970</v>
      </c>
      <c r="AC889" s="101" t="s">
        <v>414</v>
      </c>
      <c r="AD889" s="101" t="s">
        <v>79</v>
      </c>
      <c r="AE889" s="101" t="s">
        <v>75</v>
      </c>
      <c r="AF889" s="101" t="s">
        <v>400</v>
      </c>
      <c r="AI889" s="101" t="s">
        <v>172</v>
      </c>
    </row>
    <row r="890" spans="1:35">
      <c r="A890" s="246" t="s">
        <v>111</v>
      </c>
      <c r="B890" s="246" t="s">
        <v>66</v>
      </c>
      <c r="C890" s="246" t="s">
        <v>264</v>
      </c>
      <c r="D890" s="246" t="s">
        <v>284</v>
      </c>
      <c r="E890" s="246"/>
      <c r="F890" s="246"/>
      <c r="G890" s="132" t="s">
        <v>581</v>
      </c>
      <c r="H890" s="132" t="s">
        <v>1690</v>
      </c>
      <c r="I890" s="132">
        <v>4315993.3899999997</v>
      </c>
      <c r="J890" s="101" t="s">
        <v>889</v>
      </c>
      <c r="K890" s="245" t="s">
        <v>390</v>
      </c>
      <c r="L890" s="245">
        <v>42704</v>
      </c>
      <c r="M890" s="245" t="s">
        <v>421</v>
      </c>
      <c r="N890" s="101">
        <v>0</v>
      </c>
      <c r="O890" s="101" t="s">
        <v>392</v>
      </c>
      <c r="P890" s="101">
        <v>0</v>
      </c>
      <c r="Q890" s="101">
        <v>0</v>
      </c>
      <c r="R890" s="101" t="s">
        <v>410</v>
      </c>
      <c r="S890" s="101" t="s">
        <v>568</v>
      </c>
      <c r="T890" s="101" t="s">
        <v>394</v>
      </c>
      <c r="U890" s="101" t="s">
        <v>83</v>
      </c>
      <c r="V890" s="245">
        <v>46371</v>
      </c>
      <c r="W890" s="101" t="s">
        <v>445</v>
      </c>
      <c r="X890" s="101" t="s">
        <v>76</v>
      </c>
      <c r="Y890" s="101" t="s">
        <v>392</v>
      </c>
      <c r="Z890" s="101" t="s">
        <v>412</v>
      </c>
      <c r="AA890" s="101" t="s">
        <v>478</v>
      </c>
      <c r="AB890" s="101">
        <v>3101053970</v>
      </c>
      <c r="AC890" s="101" t="s">
        <v>414</v>
      </c>
      <c r="AD890" s="101" t="s">
        <v>79</v>
      </c>
      <c r="AE890" s="101" t="s">
        <v>75</v>
      </c>
      <c r="AF890" s="101" t="s">
        <v>400</v>
      </c>
      <c r="AI890" s="101" t="s">
        <v>172</v>
      </c>
    </row>
    <row r="891" spans="1:35">
      <c r="A891" s="246" t="s">
        <v>111</v>
      </c>
      <c r="B891" s="246" t="s">
        <v>66</v>
      </c>
      <c r="C891" s="246" t="s">
        <v>264</v>
      </c>
      <c r="D891" s="246" t="s">
        <v>284</v>
      </c>
      <c r="E891" s="246"/>
      <c r="F891" s="246"/>
      <c r="G891" s="132">
        <v>-66900000</v>
      </c>
      <c r="H891" s="132" t="s">
        <v>1691</v>
      </c>
      <c r="I891" s="132">
        <v>-66900000</v>
      </c>
      <c r="J891" s="101" t="s">
        <v>889</v>
      </c>
      <c r="K891" s="245" t="s">
        <v>390</v>
      </c>
      <c r="L891" s="245">
        <v>42719</v>
      </c>
      <c r="M891" s="245" t="s">
        <v>421</v>
      </c>
      <c r="N891" s="101">
        <v>0</v>
      </c>
      <c r="O891" s="101" t="s">
        <v>392</v>
      </c>
      <c r="P891" s="101">
        <v>0</v>
      </c>
      <c r="Q891" s="101">
        <v>0</v>
      </c>
      <c r="R891" s="101" t="s">
        <v>422</v>
      </c>
      <c r="S891" s="101" t="s">
        <v>568</v>
      </c>
      <c r="T891" s="101" t="s">
        <v>394</v>
      </c>
      <c r="U891" s="101" t="s">
        <v>83</v>
      </c>
      <c r="V891" s="245">
        <v>46371</v>
      </c>
      <c r="W891" s="101" t="s">
        <v>445</v>
      </c>
      <c r="X891" s="101" t="s">
        <v>76</v>
      </c>
      <c r="Y891" s="101" t="s">
        <v>392</v>
      </c>
      <c r="Z891" s="101" t="s">
        <v>412</v>
      </c>
      <c r="AA891" s="101" t="s">
        <v>478</v>
      </c>
      <c r="AB891" s="101">
        <v>3101053970</v>
      </c>
      <c r="AC891" s="101" t="s">
        <v>414</v>
      </c>
      <c r="AD891" s="101" t="s">
        <v>79</v>
      </c>
      <c r="AE891" s="101" t="s">
        <v>75</v>
      </c>
      <c r="AF891" s="101" t="s">
        <v>400</v>
      </c>
      <c r="AI891" s="101" t="s">
        <v>172</v>
      </c>
    </row>
    <row r="892" spans="1:35">
      <c r="A892" s="246" t="s">
        <v>111</v>
      </c>
      <c r="B892" s="246" t="s">
        <v>66</v>
      </c>
      <c r="C892" s="246" t="s">
        <v>264</v>
      </c>
      <c r="D892" s="246" t="s">
        <v>284</v>
      </c>
      <c r="E892" s="246"/>
      <c r="F892" s="246"/>
      <c r="G892" s="132" t="s">
        <v>582</v>
      </c>
      <c r="H892" s="132" t="s">
        <v>1692</v>
      </c>
      <c r="I892" s="132">
        <v>6421839.3899999997</v>
      </c>
      <c r="J892" s="101" t="s">
        <v>889</v>
      </c>
      <c r="K892" s="245" t="s">
        <v>390</v>
      </c>
      <c r="L892" s="245">
        <v>42734</v>
      </c>
      <c r="M892" s="245" t="s">
        <v>421</v>
      </c>
      <c r="N892" s="101">
        <v>0</v>
      </c>
      <c r="O892" s="101" t="s">
        <v>392</v>
      </c>
      <c r="P892" s="101">
        <v>0</v>
      </c>
      <c r="Q892" s="101">
        <v>0</v>
      </c>
      <c r="R892" s="101" t="s">
        <v>410</v>
      </c>
      <c r="S892" s="101" t="s">
        <v>568</v>
      </c>
      <c r="T892" s="101" t="s">
        <v>394</v>
      </c>
      <c r="U892" s="101" t="s">
        <v>83</v>
      </c>
      <c r="V892" s="245">
        <v>46371</v>
      </c>
      <c r="W892" s="101" t="s">
        <v>445</v>
      </c>
      <c r="X892" s="101" t="s">
        <v>76</v>
      </c>
      <c r="Y892" s="101" t="s">
        <v>392</v>
      </c>
      <c r="Z892" s="101" t="s">
        <v>412</v>
      </c>
      <c r="AA892" s="101" t="s">
        <v>478</v>
      </c>
      <c r="AB892" s="101">
        <v>3101053970</v>
      </c>
      <c r="AC892" s="101" t="s">
        <v>414</v>
      </c>
      <c r="AD892" s="101" t="s">
        <v>79</v>
      </c>
      <c r="AE892" s="101" t="s">
        <v>75</v>
      </c>
      <c r="AF892" s="101" t="s">
        <v>400</v>
      </c>
      <c r="AI892" s="101" t="s">
        <v>172</v>
      </c>
    </row>
    <row r="893" spans="1:35">
      <c r="A893" s="246" t="s">
        <v>111</v>
      </c>
      <c r="B893" s="246" t="s">
        <v>66</v>
      </c>
      <c r="C893" s="246" t="s">
        <v>126</v>
      </c>
      <c r="D893" s="246" t="s">
        <v>273</v>
      </c>
      <c r="E893" s="246"/>
      <c r="F893" s="246"/>
      <c r="G893" s="132" t="s">
        <v>583</v>
      </c>
      <c r="H893" s="132" t="s">
        <v>1693</v>
      </c>
      <c r="I893" s="132">
        <v>-132200.43</v>
      </c>
      <c r="J893" s="101" t="s">
        <v>889</v>
      </c>
      <c r="K893" s="245" t="s">
        <v>390</v>
      </c>
      <c r="L893" s="245">
        <v>42734</v>
      </c>
      <c r="M893" s="245" t="s">
        <v>391</v>
      </c>
      <c r="N893" s="101">
        <v>0</v>
      </c>
      <c r="O893" s="101" t="s">
        <v>392</v>
      </c>
      <c r="P893" s="101">
        <v>0</v>
      </c>
      <c r="Q893" s="101">
        <v>0</v>
      </c>
      <c r="R893" s="101" t="s">
        <v>422</v>
      </c>
      <c r="S893" s="101" t="s">
        <v>568</v>
      </c>
      <c r="T893" s="101" t="s">
        <v>394</v>
      </c>
      <c r="U893" s="101" t="s">
        <v>83</v>
      </c>
      <c r="V893" s="245">
        <v>46371</v>
      </c>
      <c r="W893" s="101" t="s">
        <v>445</v>
      </c>
      <c r="X893" s="101" t="s">
        <v>76</v>
      </c>
      <c r="Y893" s="101" t="s">
        <v>392</v>
      </c>
      <c r="Z893" s="101" t="s">
        <v>412</v>
      </c>
      <c r="AA893" s="101" t="s">
        <v>478</v>
      </c>
      <c r="AB893" s="101">
        <v>3101053970</v>
      </c>
      <c r="AC893" s="101" t="s">
        <v>414</v>
      </c>
      <c r="AD893" s="101" t="s">
        <v>79</v>
      </c>
      <c r="AE893" s="101" t="s">
        <v>75</v>
      </c>
      <c r="AF893" s="101" t="s">
        <v>400</v>
      </c>
      <c r="AI893" s="101" t="s">
        <v>172</v>
      </c>
    </row>
    <row r="894" spans="1:35">
      <c r="A894" s="246" t="s">
        <v>111</v>
      </c>
      <c r="B894" s="246" t="s">
        <v>66</v>
      </c>
      <c r="C894" s="246" t="s">
        <v>126</v>
      </c>
      <c r="D894" s="246" t="s">
        <v>273</v>
      </c>
      <c r="E894" s="246"/>
      <c r="F894" s="246"/>
      <c r="G894" s="132" t="s">
        <v>584</v>
      </c>
      <c r="H894" s="132" t="s">
        <v>1694</v>
      </c>
      <c r="I894" s="132">
        <v>-26128.6</v>
      </c>
      <c r="J894" s="101" t="s">
        <v>889</v>
      </c>
      <c r="K894" s="245" t="s">
        <v>390</v>
      </c>
      <c r="L894" s="245">
        <v>42766</v>
      </c>
      <c r="M894" s="245" t="s">
        <v>391</v>
      </c>
      <c r="N894" s="101">
        <v>0</v>
      </c>
      <c r="O894" s="101" t="s">
        <v>392</v>
      </c>
      <c r="P894" s="101">
        <v>0</v>
      </c>
      <c r="Q894" s="101">
        <v>0</v>
      </c>
      <c r="R894" s="101" t="s">
        <v>422</v>
      </c>
      <c r="S894" s="101" t="s">
        <v>568</v>
      </c>
      <c r="T894" s="101" t="s">
        <v>394</v>
      </c>
      <c r="U894" s="101" t="s">
        <v>83</v>
      </c>
      <c r="V894" s="245">
        <v>46371</v>
      </c>
      <c r="W894" s="101" t="s">
        <v>445</v>
      </c>
      <c r="X894" s="101" t="s">
        <v>76</v>
      </c>
      <c r="Y894" s="101" t="s">
        <v>392</v>
      </c>
      <c r="Z894" s="101" t="s">
        <v>412</v>
      </c>
      <c r="AA894" s="101" t="s">
        <v>478</v>
      </c>
      <c r="AB894" s="101">
        <v>3101053970</v>
      </c>
      <c r="AC894" s="101" t="s">
        <v>414</v>
      </c>
      <c r="AD894" s="101" t="s">
        <v>79</v>
      </c>
      <c r="AE894" s="101" t="s">
        <v>75</v>
      </c>
      <c r="AF894" s="101" t="s">
        <v>400</v>
      </c>
      <c r="AI894" s="101" t="s">
        <v>172</v>
      </c>
    </row>
    <row r="895" spans="1:35">
      <c r="A895" s="246" t="s">
        <v>111</v>
      </c>
      <c r="B895" s="246" t="s">
        <v>66</v>
      </c>
      <c r="C895" s="246" t="s">
        <v>264</v>
      </c>
      <c r="D895" s="246" t="s">
        <v>284</v>
      </c>
      <c r="E895" s="246"/>
      <c r="F895" s="246"/>
      <c r="G895" s="132" t="s">
        <v>585</v>
      </c>
      <c r="H895" s="132" t="s">
        <v>1695</v>
      </c>
      <c r="I895" s="132">
        <v>7827008.1399999997</v>
      </c>
      <c r="J895" s="101" t="s">
        <v>889</v>
      </c>
      <c r="K895" s="245" t="s">
        <v>390</v>
      </c>
      <c r="L895" s="245">
        <v>42766</v>
      </c>
      <c r="M895" s="245" t="s">
        <v>421</v>
      </c>
      <c r="N895" s="101">
        <v>0</v>
      </c>
      <c r="O895" s="101" t="s">
        <v>392</v>
      </c>
      <c r="P895" s="101">
        <v>0</v>
      </c>
      <c r="Q895" s="101">
        <v>0</v>
      </c>
      <c r="R895" s="101" t="s">
        <v>410</v>
      </c>
      <c r="S895" s="101" t="s">
        <v>568</v>
      </c>
      <c r="T895" s="101" t="s">
        <v>394</v>
      </c>
      <c r="U895" s="101" t="s">
        <v>83</v>
      </c>
      <c r="V895" s="245">
        <v>46371</v>
      </c>
      <c r="W895" s="101" t="s">
        <v>445</v>
      </c>
      <c r="X895" s="101" t="s">
        <v>76</v>
      </c>
      <c r="Y895" s="101" t="s">
        <v>392</v>
      </c>
      <c r="Z895" s="101" t="s">
        <v>412</v>
      </c>
      <c r="AA895" s="101" t="s">
        <v>478</v>
      </c>
      <c r="AB895" s="101">
        <v>3101053970</v>
      </c>
      <c r="AC895" s="101" t="s">
        <v>414</v>
      </c>
      <c r="AD895" s="101" t="s">
        <v>79</v>
      </c>
      <c r="AE895" s="101" t="s">
        <v>75</v>
      </c>
      <c r="AF895" s="101" t="s">
        <v>400</v>
      </c>
      <c r="AI895" s="101" t="s">
        <v>172</v>
      </c>
    </row>
    <row r="896" spans="1:35">
      <c r="A896" s="246" t="s">
        <v>111</v>
      </c>
      <c r="B896" s="246" t="s">
        <v>66</v>
      </c>
      <c r="C896" s="246" t="s">
        <v>126</v>
      </c>
      <c r="D896" s="246" t="s">
        <v>273</v>
      </c>
      <c r="E896" s="246"/>
      <c r="F896" s="246"/>
      <c r="G896" s="132" t="s">
        <v>586</v>
      </c>
      <c r="H896" s="132" t="s">
        <v>1696</v>
      </c>
      <c r="I896" s="132">
        <v>-52368.61</v>
      </c>
      <c r="J896" s="101" t="s">
        <v>889</v>
      </c>
      <c r="K896" s="245" t="s">
        <v>390</v>
      </c>
      <c r="L896" s="245">
        <v>42794</v>
      </c>
      <c r="M896" s="245" t="s">
        <v>391</v>
      </c>
      <c r="N896" s="101">
        <v>0</v>
      </c>
      <c r="O896" s="101" t="s">
        <v>392</v>
      </c>
      <c r="P896" s="101">
        <v>0</v>
      </c>
      <c r="Q896" s="101">
        <v>0</v>
      </c>
      <c r="R896" s="101" t="s">
        <v>422</v>
      </c>
      <c r="S896" s="101" t="s">
        <v>568</v>
      </c>
      <c r="T896" s="101" t="s">
        <v>394</v>
      </c>
      <c r="U896" s="101" t="s">
        <v>83</v>
      </c>
      <c r="V896" s="245">
        <v>46371</v>
      </c>
      <c r="W896" s="101" t="s">
        <v>445</v>
      </c>
      <c r="X896" s="101" t="s">
        <v>76</v>
      </c>
      <c r="Y896" s="101" t="s">
        <v>392</v>
      </c>
      <c r="Z896" s="101" t="s">
        <v>412</v>
      </c>
      <c r="AA896" s="101" t="s">
        <v>478</v>
      </c>
      <c r="AB896" s="101">
        <v>3101053970</v>
      </c>
      <c r="AC896" s="101" t="s">
        <v>414</v>
      </c>
      <c r="AD896" s="101" t="s">
        <v>79</v>
      </c>
      <c r="AE896" s="101" t="s">
        <v>75</v>
      </c>
      <c r="AF896" s="101" t="s">
        <v>400</v>
      </c>
      <c r="AI896" s="101" t="s">
        <v>172</v>
      </c>
    </row>
    <row r="897" spans="1:35">
      <c r="A897" s="246" t="s">
        <v>111</v>
      </c>
      <c r="B897" s="246" t="s">
        <v>66</v>
      </c>
      <c r="C897" s="246" t="s">
        <v>264</v>
      </c>
      <c r="D897" s="246" t="s">
        <v>284</v>
      </c>
      <c r="E897" s="246"/>
      <c r="F897" s="246"/>
      <c r="G897" s="132" t="s">
        <v>587</v>
      </c>
      <c r="H897" s="132" t="s">
        <v>1697</v>
      </c>
      <c r="I897" s="132">
        <v>8309003.5699999994</v>
      </c>
      <c r="J897" s="101" t="s">
        <v>889</v>
      </c>
      <c r="K897" s="245" t="s">
        <v>390</v>
      </c>
      <c r="L897" s="245">
        <v>42794</v>
      </c>
      <c r="M897" s="245" t="s">
        <v>421</v>
      </c>
      <c r="N897" s="101">
        <v>0</v>
      </c>
      <c r="O897" s="101" t="s">
        <v>392</v>
      </c>
      <c r="P897" s="101">
        <v>0</v>
      </c>
      <c r="Q897" s="101">
        <v>0</v>
      </c>
      <c r="R897" s="101" t="s">
        <v>410</v>
      </c>
      <c r="S897" s="101" t="s">
        <v>568</v>
      </c>
      <c r="T897" s="101" t="s">
        <v>394</v>
      </c>
      <c r="U897" s="101" t="s">
        <v>83</v>
      </c>
      <c r="V897" s="245">
        <v>46371</v>
      </c>
      <c r="W897" s="101" t="s">
        <v>445</v>
      </c>
      <c r="X897" s="101" t="s">
        <v>76</v>
      </c>
      <c r="Y897" s="101" t="s">
        <v>392</v>
      </c>
      <c r="Z897" s="101" t="s">
        <v>412</v>
      </c>
      <c r="AA897" s="101" t="s">
        <v>478</v>
      </c>
      <c r="AB897" s="101">
        <v>3101053970</v>
      </c>
      <c r="AC897" s="101" t="s">
        <v>414</v>
      </c>
      <c r="AD897" s="101" t="s">
        <v>79</v>
      </c>
      <c r="AE897" s="101" t="s">
        <v>75</v>
      </c>
      <c r="AF897" s="101" t="s">
        <v>400</v>
      </c>
      <c r="AI897" s="101" t="s">
        <v>172</v>
      </c>
    </row>
    <row r="898" spans="1:35">
      <c r="A898" s="246" t="s">
        <v>111</v>
      </c>
      <c r="B898" s="246" t="s">
        <v>66</v>
      </c>
      <c r="C898" s="246" t="s">
        <v>126</v>
      </c>
      <c r="D898" s="246" t="s">
        <v>273</v>
      </c>
      <c r="E898" s="246"/>
      <c r="F898" s="246"/>
      <c r="G898" s="132" t="s">
        <v>588</v>
      </c>
      <c r="H898" s="132" t="s">
        <v>1698</v>
      </c>
      <c r="I898" s="132">
        <v>-91789.45</v>
      </c>
      <c r="J898" s="101" t="s">
        <v>889</v>
      </c>
      <c r="K898" s="245" t="s">
        <v>390</v>
      </c>
      <c r="L898" s="245">
        <v>42825</v>
      </c>
      <c r="M898" s="245" t="s">
        <v>391</v>
      </c>
      <c r="N898" s="101">
        <v>0</v>
      </c>
      <c r="O898" s="101" t="s">
        <v>392</v>
      </c>
      <c r="P898" s="101">
        <v>0</v>
      </c>
      <c r="Q898" s="101">
        <v>0</v>
      </c>
      <c r="R898" s="101" t="s">
        <v>422</v>
      </c>
      <c r="S898" s="101" t="s">
        <v>568</v>
      </c>
      <c r="T898" s="101" t="s">
        <v>394</v>
      </c>
      <c r="U898" s="101" t="s">
        <v>83</v>
      </c>
      <c r="V898" s="245">
        <v>46371</v>
      </c>
      <c r="W898" s="101" t="s">
        <v>445</v>
      </c>
      <c r="X898" s="101" t="s">
        <v>76</v>
      </c>
      <c r="Y898" s="101" t="s">
        <v>392</v>
      </c>
      <c r="Z898" s="101" t="s">
        <v>412</v>
      </c>
      <c r="AA898" s="101" t="s">
        <v>478</v>
      </c>
      <c r="AB898" s="101">
        <v>3101053970</v>
      </c>
      <c r="AC898" s="101" t="s">
        <v>414</v>
      </c>
      <c r="AD898" s="101" t="s">
        <v>79</v>
      </c>
      <c r="AE898" s="101" t="s">
        <v>75</v>
      </c>
      <c r="AF898" s="101" t="s">
        <v>400</v>
      </c>
      <c r="AI898" s="101" t="s">
        <v>172</v>
      </c>
    </row>
    <row r="899" spans="1:35">
      <c r="A899" s="246" t="s">
        <v>111</v>
      </c>
      <c r="B899" s="246" t="s">
        <v>66</v>
      </c>
      <c r="C899" s="246" t="s">
        <v>264</v>
      </c>
      <c r="D899" s="246" t="s">
        <v>284</v>
      </c>
      <c r="E899" s="246"/>
      <c r="F899" s="246"/>
      <c r="G899" s="132" t="s">
        <v>589</v>
      </c>
      <c r="H899" s="132" t="s">
        <v>1699</v>
      </c>
      <c r="I899" s="132">
        <v>7496523.3700000001</v>
      </c>
      <c r="J899" s="101" t="s">
        <v>889</v>
      </c>
      <c r="K899" s="245" t="s">
        <v>390</v>
      </c>
      <c r="L899" s="245">
        <v>42825</v>
      </c>
      <c r="M899" s="245" t="s">
        <v>421</v>
      </c>
      <c r="N899" s="101">
        <v>0</v>
      </c>
      <c r="O899" s="101" t="s">
        <v>392</v>
      </c>
      <c r="P899" s="101">
        <v>0</v>
      </c>
      <c r="Q899" s="101">
        <v>0</v>
      </c>
      <c r="R899" s="101" t="s">
        <v>410</v>
      </c>
      <c r="S899" s="101" t="s">
        <v>568</v>
      </c>
      <c r="T899" s="101" t="s">
        <v>394</v>
      </c>
      <c r="U899" s="101" t="s">
        <v>83</v>
      </c>
      <c r="V899" s="245">
        <v>46371</v>
      </c>
      <c r="W899" s="101" t="s">
        <v>445</v>
      </c>
      <c r="X899" s="101" t="s">
        <v>76</v>
      </c>
      <c r="Y899" s="101" t="s">
        <v>392</v>
      </c>
      <c r="Z899" s="101" t="s">
        <v>412</v>
      </c>
      <c r="AA899" s="101" t="s">
        <v>478</v>
      </c>
      <c r="AB899" s="101">
        <v>3101053970</v>
      </c>
      <c r="AC899" s="101" t="s">
        <v>414</v>
      </c>
      <c r="AD899" s="101" t="s">
        <v>79</v>
      </c>
      <c r="AE899" s="101" t="s">
        <v>75</v>
      </c>
      <c r="AF899" s="101" t="s">
        <v>400</v>
      </c>
      <c r="AI899" s="101" t="s">
        <v>172</v>
      </c>
    </row>
    <row r="900" spans="1:35">
      <c r="A900" s="246" t="s">
        <v>111</v>
      </c>
      <c r="B900" s="246" t="s">
        <v>66</v>
      </c>
      <c r="C900" s="246" t="s">
        <v>264</v>
      </c>
      <c r="D900" s="246" t="s">
        <v>284</v>
      </c>
      <c r="E900" s="246"/>
      <c r="F900" s="246"/>
      <c r="G900" s="132" t="s">
        <v>590</v>
      </c>
      <c r="H900" s="132" t="s">
        <v>1700</v>
      </c>
      <c r="I900" s="132">
        <v>7808825.6299999999</v>
      </c>
      <c r="J900" s="101" t="s">
        <v>889</v>
      </c>
      <c r="K900" s="245" t="s">
        <v>390</v>
      </c>
      <c r="L900" s="245">
        <v>42853</v>
      </c>
      <c r="M900" s="245" t="s">
        <v>421</v>
      </c>
      <c r="N900" s="101">
        <v>0</v>
      </c>
      <c r="O900" s="101" t="s">
        <v>392</v>
      </c>
      <c r="P900" s="101">
        <v>0</v>
      </c>
      <c r="Q900" s="101">
        <v>0</v>
      </c>
      <c r="R900" s="101" t="s">
        <v>410</v>
      </c>
      <c r="S900" s="101" t="s">
        <v>568</v>
      </c>
      <c r="T900" s="101" t="s">
        <v>394</v>
      </c>
      <c r="U900" s="101" t="s">
        <v>83</v>
      </c>
      <c r="V900" s="245">
        <v>46371</v>
      </c>
      <c r="W900" s="101" t="s">
        <v>445</v>
      </c>
      <c r="X900" s="101" t="s">
        <v>76</v>
      </c>
      <c r="Y900" s="101" t="s">
        <v>392</v>
      </c>
      <c r="Z900" s="101" t="s">
        <v>412</v>
      </c>
      <c r="AA900" s="101" t="s">
        <v>478</v>
      </c>
      <c r="AB900" s="101">
        <v>3101053970</v>
      </c>
      <c r="AC900" s="101" t="s">
        <v>414</v>
      </c>
      <c r="AD900" s="101" t="s">
        <v>79</v>
      </c>
      <c r="AE900" s="101" t="s">
        <v>75</v>
      </c>
      <c r="AF900" s="101" t="s">
        <v>400</v>
      </c>
      <c r="AI900" s="101" t="s">
        <v>172</v>
      </c>
    </row>
    <row r="901" spans="1:35">
      <c r="A901" s="246" t="s">
        <v>111</v>
      </c>
      <c r="B901" s="246" t="s">
        <v>66</v>
      </c>
      <c r="C901" s="246" t="s">
        <v>126</v>
      </c>
      <c r="D901" s="246" t="s">
        <v>273</v>
      </c>
      <c r="E901" s="246"/>
      <c r="F901" s="246"/>
      <c r="G901" s="132" t="s">
        <v>591</v>
      </c>
      <c r="H901" s="132" t="s">
        <v>1701</v>
      </c>
      <c r="I901" s="132">
        <v>-120398.34</v>
      </c>
      <c r="J901" s="101" t="s">
        <v>889</v>
      </c>
      <c r="K901" s="245" t="s">
        <v>390</v>
      </c>
      <c r="L901" s="245">
        <v>42853</v>
      </c>
      <c r="M901" s="245" t="s">
        <v>391</v>
      </c>
      <c r="N901" s="101">
        <v>0</v>
      </c>
      <c r="O901" s="101" t="s">
        <v>392</v>
      </c>
      <c r="P901" s="101">
        <v>0</v>
      </c>
      <c r="Q901" s="101">
        <v>0</v>
      </c>
      <c r="R901" s="101" t="s">
        <v>422</v>
      </c>
      <c r="S901" s="101" t="s">
        <v>568</v>
      </c>
      <c r="T901" s="101" t="s">
        <v>394</v>
      </c>
      <c r="U901" s="101" t="s">
        <v>83</v>
      </c>
      <c r="V901" s="245">
        <v>46371</v>
      </c>
      <c r="W901" s="101" t="s">
        <v>445</v>
      </c>
      <c r="X901" s="101" t="s">
        <v>76</v>
      </c>
      <c r="Y901" s="101" t="s">
        <v>392</v>
      </c>
      <c r="Z901" s="101" t="s">
        <v>412</v>
      </c>
      <c r="AA901" s="101" t="s">
        <v>478</v>
      </c>
      <c r="AB901" s="101">
        <v>3101053970</v>
      </c>
      <c r="AC901" s="101" t="s">
        <v>414</v>
      </c>
      <c r="AD901" s="101" t="s">
        <v>79</v>
      </c>
      <c r="AE901" s="101" t="s">
        <v>75</v>
      </c>
      <c r="AF901" s="101" t="s">
        <v>400</v>
      </c>
      <c r="AI901" s="101" t="s">
        <v>172</v>
      </c>
    </row>
    <row r="902" spans="1:35">
      <c r="A902" s="246" t="s">
        <v>112</v>
      </c>
      <c r="B902" s="246" t="s">
        <v>66</v>
      </c>
      <c r="C902" s="246" t="s">
        <v>126</v>
      </c>
      <c r="D902" s="246" t="s">
        <v>270</v>
      </c>
      <c r="E902" s="246"/>
      <c r="F902" s="246"/>
      <c r="G902" s="132" t="s">
        <v>592</v>
      </c>
      <c r="H902" s="132" t="s">
        <v>1702</v>
      </c>
      <c r="I902" s="132">
        <v>-154067.94999999998</v>
      </c>
      <c r="J902" s="101" t="s">
        <v>889</v>
      </c>
      <c r="K902" s="245" t="s">
        <v>390</v>
      </c>
      <c r="L902" s="245">
        <v>42886</v>
      </c>
      <c r="M902" s="245" t="s">
        <v>391</v>
      </c>
      <c r="N902" s="101">
        <v>0</v>
      </c>
      <c r="O902" s="101" t="s">
        <v>392</v>
      </c>
      <c r="P902" s="101">
        <v>0</v>
      </c>
      <c r="Q902" s="101">
        <v>0</v>
      </c>
      <c r="R902" s="101" t="s">
        <v>422</v>
      </c>
      <c r="S902" s="101" t="s">
        <v>568</v>
      </c>
      <c r="T902" s="101" t="s">
        <v>394</v>
      </c>
      <c r="U902" s="101" t="s">
        <v>83</v>
      </c>
      <c r="V902" s="245">
        <v>46371</v>
      </c>
      <c r="W902" s="101" t="s">
        <v>445</v>
      </c>
      <c r="X902" s="101" t="s">
        <v>76</v>
      </c>
      <c r="Y902" s="101" t="s">
        <v>392</v>
      </c>
      <c r="Z902" s="101" t="s">
        <v>412</v>
      </c>
      <c r="AA902" s="101" t="s">
        <v>478</v>
      </c>
      <c r="AB902" s="101">
        <v>3101053970</v>
      </c>
      <c r="AC902" s="101" t="s">
        <v>414</v>
      </c>
      <c r="AD902" s="101" t="s">
        <v>79</v>
      </c>
      <c r="AE902" s="101" t="s">
        <v>75</v>
      </c>
      <c r="AF902" s="101" t="s">
        <v>400</v>
      </c>
      <c r="AI902" s="101" t="s">
        <v>172</v>
      </c>
    </row>
    <row r="903" spans="1:35">
      <c r="A903" s="246" t="s">
        <v>112</v>
      </c>
      <c r="B903" s="246" t="s">
        <v>66</v>
      </c>
      <c r="C903" s="246" t="s">
        <v>264</v>
      </c>
      <c r="D903" s="246" t="s">
        <v>290</v>
      </c>
      <c r="E903" s="246"/>
      <c r="F903" s="246"/>
      <c r="G903" s="132" t="s">
        <v>593</v>
      </c>
      <c r="H903" s="132" t="s">
        <v>1703</v>
      </c>
      <c r="I903" s="132">
        <v>5126924.92</v>
      </c>
      <c r="J903" s="101" t="s">
        <v>889</v>
      </c>
      <c r="K903" s="245" t="s">
        <v>390</v>
      </c>
      <c r="L903" s="245">
        <v>42886</v>
      </c>
      <c r="M903" s="245" t="s">
        <v>421</v>
      </c>
      <c r="N903" s="101">
        <v>0</v>
      </c>
      <c r="O903" s="101" t="s">
        <v>392</v>
      </c>
      <c r="P903" s="101">
        <v>0</v>
      </c>
      <c r="Q903" s="101">
        <v>0</v>
      </c>
      <c r="R903" s="101" t="s">
        <v>410</v>
      </c>
      <c r="S903" s="101" t="s">
        <v>568</v>
      </c>
      <c r="T903" s="101" t="s">
        <v>394</v>
      </c>
      <c r="U903" s="101" t="s">
        <v>83</v>
      </c>
      <c r="V903" s="245">
        <v>46371</v>
      </c>
      <c r="W903" s="101" t="s">
        <v>445</v>
      </c>
      <c r="X903" s="101" t="s">
        <v>76</v>
      </c>
      <c r="Y903" s="101" t="s">
        <v>392</v>
      </c>
      <c r="Z903" s="101" t="s">
        <v>412</v>
      </c>
      <c r="AA903" s="101" t="s">
        <v>478</v>
      </c>
      <c r="AB903" s="101">
        <v>3101053970</v>
      </c>
      <c r="AC903" s="101" t="s">
        <v>414</v>
      </c>
      <c r="AD903" s="101" t="s">
        <v>79</v>
      </c>
      <c r="AE903" s="101" t="s">
        <v>75</v>
      </c>
      <c r="AF903" s="101" t="s">
        <v>400</v>
      </c>
      <c r="AI903" s="101" t="s">
        <v>172</v>
      </c>
    </row>
    <row r="904" spans="1:35">
      <c r="A904" s="246" t="s">
        <v>112</v>
      </c>
      <c r="B904" s="246" t="s">
        <v>66</v>
      </c>
      <c r="C904" s="246" t="s">
        <v>126</v>
      </c>
      <c r="D904" s="246" t="s">
        <v>270</v>
      </c>
      <c r="E904" s="246"/>
      <c r="F904" s="246"/>
      <c r="G904" s="132" t="s">
        <v>594</v>
      </c>
      <c r="H904" s="132" t="s">
        <v>1704</v>
      </c>
      <c r="I904" s="132">
        <v>-169286.86</v>
      </c>
      <c r="J904" s="101" t="s">
        <v>889</v>
      </c>
      <c r="K904" s="245" t="s">
        <v>390</v>
      </c>
      <c r="L904" s="245">
        <v>42916</v>
      </c>
      <c r="M904" s="245" t="s">
        <v>391</v>
      </c>
      <c r="N904" s="101">
        <v>0</v>
      </c>
      <c r="O904" s="101" t="s">
        <v>392</v>
      </c>
      <c r="P904" s="101">
        <v>0</v>
      </c>
      <c r="Q904" s="101">
        <v>0</v>
      </c>
      <c r="R904" s="101" t="s">
        <v>422</v>
      </c>
      <c r="S904" s="101" t="s">
        <v>568</v>
      </c>
      <c r="T904" s="101" t="s">
        <v>394</v>
      </c>
      <c r="U904" s="101" t="s">
        <v>83</v>
      </c>
      <c r="V904" s="245">
        <v>46371</v>
      </c>
      <c r="W904" s="101" t="s">
        <v>445</v>
      </c>
      <c r="X904" s="101" t="s">
        <v>76</v>
      </c>
      <c r="Y904" s="101" t="s">
        <v>392</v>
      </c>
      <c r="Z904" s="101" t="s">
        <v>412</v>
      </c>
      <c r="AA904" s="101" t="s">
        <v>478</v>
      </c>
      <c r="AB904" s="101">
        <v>3101053970</v>
      </c>
      <c r="AC904" s="101" t="s">
        <v>414</v>
      </c>
      <c r="AD904" s="101" t="s">
        <v>79</v>
      </c>
      <c r="AE904" s="101" t="s">
        <v>75</v>
      </c>
      <c r="AF904" s="101" t="s">
        <v>400</v>
      </c>
      <c r="AI904" s="101" t="s">
        <v>172</v>
      </c>
    </row>
    <row r="905" spans="1:35">
      <c r="A905" s="246" t="s">
        <v>112</v>
      </c>
      <c r="B905" s="246" t="s">
        <v>66</v>
      </c>
      <c r="C905" s="246" t="s">
        <v>264</v>
      </c>
      <c r="D905" s="246" t="s">
        <v>290</v>
      </c>
      <c r="E905" s="246"/>
      <c r="F905" s="246"/>
      <c r="G905" s="132" t="s">
        <v>595</v>
      </c>
      <c r="H905" s="132" t="s">
        <v>1705</v>
      </c>
      <c r="I905" s="132">
        <v>4093968.8299999996</v>
      </c>
      <c r="J905" s="101" t="s">
        <v>889</v>
      </c>
      <c r="K905" s="245" t="s">
        <v>390</v>
      </c>
      <c r="L905" s="245">
        <v>42916</v>
      </c>
      <c r="M905" s="245" t="s">
        <v>421</v>
      </c>
      <c r="N905" s="101">
        <v>0</v>
      </c>
      <c r="O905" s="101" t="s">
        <v>392</v>
      </c>
      <c r="P905" s="101">
        <v>0</v>
      </c>
      <c r="Q905" s="101">
        <v>0</v>
      </c>
      <c r="R905" s="101" t="s">
        <v>410</v>
      </c>
      <c r="S905" s="101" t="s">
        <v>568</v>
      </c>
      <c r="T905" s="101" t="s">
        <v>394</v>
      </c>
      <c r="U905" s="101" t="s">
        <v>83</v>
      </c>
      <c r="V905" s="245">
        <v>46371</v>
      </c>
      <c r="W905" s="101" t="s">
        <v>445</v>
      </c>
      <c r="X905" s="101" t="s">
        <v>76</v>
      </c>
      <c r="Y905" s="101" t="s">
        <v>392</v>
      </c>
      <c r="Z905" s="101" t="s">
        <v>412</v>
      </c>
      <c r="AA905" s="101" t="s">
        <v>478</v>
      </c>
      <c r="AB905" s="101">
        <v>3101053970</v>
      </c>
      <c r="AC905" s="101" t="s">
        <v>414</v>
      </c>
      <c r="AD905" s="101" t="s">
        <v>79</v>
      </c>
      <c r="AE905" s="101" t="s">
        <v>75</v>
      </c>
      <c r="AF905" s="101" t="s">
        <v>400</v>
      </c>
      <c r="AI905" s="101" t="s">
        <v>172</v>
      </c>
    </row>
    <row r="906" spans="1:35">
      <c r="A906" s="246" t="s">
        <v>112</v>
      </c>
      <c r="B906" s="246" t="s">
        <v>66</v>
      </c>
      <c r="C906" s="246" t="s">
        <v>126</v>
      </c>
      <c r="D906" s="246" t="s">
        <v>270</v>
      </c>
      <c r="E906" s="246"/>
      <c r="F906" s="246"/>
      <c r="G906" s="132" t="s">
        <v>596</v>
      </c>
      <c r="H906" s="132" t="s">
        <v>1706</v>
      </c>
      <c r="I906" s="132">
        <v>-191588.41</v>
      </c>
      <c r="J906" s="101" t="s">
        <v>889</v>
      </c>
      <c r="K906" s="245" t="s">
        <v>390</v>
      </c>
      <c r="L906" s="245">
        <v>42947</v>
      </c>
      <c r="M906" s="245" t="s">
        <v>391</v>
      </c>
      <c r="N906" s="101">
        <v>0</v>
      </c>
      <c r="O906" s="101" t="s">
        <v>392</v>
      </c>
      <c r="P906" s="101">
        <v>0</v>
      </c>
      <c r="Q906" s="101">
        <v>0</v>
      </c>
      <c r="R906" s="101" t="s">
        <v>422</v>
      </c>
      <c r="S906" s="101" t="s">
        <v>568</v>
      </c>
      <c r="T906" s="101" t="s">
        <v>394</v>
      </c>
      <c r="U906" s="101" t="s">
        <v>83</v>
      </c>
      <c r="V906" s="245">
        <v>46371</v>
      </c>
      <c r="W906" s="101" t="s">
        <v>445</v>
      </c>
      <c r="X906" s="101" t="s">
        <v>76</v>
      </c>
      <c r="Y906" s="101" t="s">
        <v>392</v>
      </c>
      <c r="Z906" s="101" t="s">
        <v>412</v>
      </c>
      <c r="AA906" s="101" t="s">
        <v>478</v>
      </c>
      <c r="AB906" s="101">
        <v>3101053970</v>
      </c>
      <c r="AC906" s="101" t="s">
        <v>414</v>
      </c>
      <c r="AD906" s="101" t="s">
        <v>79</v>
      </c>
      <c r="AE906" s="101" t="s">
        <v>75</v>
      </c>
      <c r="AF906" s="101" t="s">
        <v>400</v>
      </c>
      <c r="AI906" s="101" t="s">
        <v>172</v>
      </c>
    </row>
    <row r="907" spans="1:35">
      <c r="A907" s="246" t="s">
        <v>112</v>
      </c>
      <c r="B907" s="246" t="s">
        <v>66</v>
      </c>
      <c r="C907" s="246" t="s">
        <v>264</v>
      </c>
      <c r="D907" s="246" t="s">
        <v>290</v>
      </c>
      <c r="E907" s="246"/>
      <c r="F907" s="246"/>
      <c r="G907" s="132" t="s">
        <v>597</v>
      </c>
      <c r="H907" s="132" t="s">
        <v>1707</v>
      </c>
      <c r="I907" s="132">
        <v>4059816.1</v>
      </c>
      <c r="J907" s="101" t="s">
        <v>889</v>
      </c>
      <c r="K907" s="245" t="s">
        <v>390</v>
      </c>
      <c r="L907" s="245">
        <v>42947</v>
      </c>
      <c r="M907" s="245" t="s">
        <v>421</v>
      </c>
      <c r="N907" s="101">
        <v>0</v>
      </c>
      <c r="O907" s="101" t="s">
        <v>392</v>
      </c>
      <c r="P907" s="101">
        <v>0</v>
      </c>
      <c r="Q907" s="101">
        <v>0</v>
      </c>
      <c r="R907" s="101" t="s">
        <v>410</v>
      </c>
      <c r="S907" s="101" t="s">
        <v>568</v>
      </c>
      <c r="T907" s="101" t="s">
        <v>394</v>
      </c>
      <c r="U907" s="101" t="s">
        <v>83</v>
      </c>
      <c r="V907" s="245">
        <v>46371</v>
      </c>
      <c r="W907" s="101" t="s">
        <v>445</v>
      </c>
      <c r="X907" s="101" t="s">
        <v>76</v>
      </c>
      <c r="Y907" s="101" t="s">
        <v>392</v>
      </c>
      <c r="Z907" s="101" t="s">
        <v>412</v>
      </c>
      <c r="AA907" s="101" t="s">
        <v>478</v>
      </c>
      <c r="AB907" s="101">
        <v>3101053970</v>
      </c>
      <c r="AC907" s="101" t="s">
        <v>414</v>
      </c>
      <c r="AD907" s="101" t="s">
        <v>79</v>
      </c>
      <c r="AE907" s="101" t="s">
        <v>75</v>
      </c>
      <c r="AF907" s="101" t="s">
        <v>400</v>
      </c>
      <c r="AI907" s="101" t="s">
        <v>172</v>
      </c>
    </row>
    <row r="908" spans="1:35">
      <c r="A908" s="246" t="s">
        <v>112</v>
      </c>
      <c r="B908" s="246" t="s">
        <v>66</v>
      </c>
      <c r="C908" s="246" t="s">
        <v>126</v>
      </c>
      <c r="D908" s="246" t="s">
        <v>270</v>
      </c>
      <c r="E908" s="246"/>
      <c r="F908" s="246"/>
      <c r="G908" s="132" t="s">
        <v>598</v>
      </c>
      <c r="H908" s="132" t="s">
        <v>1708</v>
      </c>
      <c r="I908" s="132">
        <v>-208108.06999999998</v>
      </c>
      <c r="J908" s="101" t="s">
        <v>889</v>
      </c>
      <c r="K908" s="245" t="s">
        <v>390</v>
      </c>
      <c r="L908" s="245">
        <v>42978</v>
      </c>
      <c r="M908" s="245" t="s">
        <v>391</v>
      </c>
      <c r="N908" s="101">
        <v>0</v>
      </c>
      <c r="O908" s="101" t="s">
        <v>392</v>
      </c>
      <c r="P908" s="101">
        <v>0</v>
      </c>
      <c r="Q908" s="101">
        <v>0</v>
      </c>
      <c r="R908" s="101" t="s">
        <v>422</v>
      </c>
      <c r="S908" s="101" t="s">
        <v>568</v>
      </c>
      <c r="T908" s="101" t="s">
        <v>394</v>
      </c>
      <c r="U908" s="101" t="s">
        <v>83</v>
      </c>
      <c r="V908" s="245">
        <v>46371</v>
      </c>
      <c r="W908" s="101" t="s">
        <v>445</v>
      </c>
      <c r="X908" s="101" t="s">
        <v>76</v>
      </c>
      <c r="Y908" s="101" t="s">
        <v>392</v>
      </c>
      <c r="Z908" s="101" t="s">
        <v>412</v>
      </c>
      <c r="AA908" s="101" t="s">
        <v>478</v>
      </c>
      <c r="AB908" s="101">
        <v>3101053970</v>
      </c>
      <c r="AC908" s="101" t="s">
        <v>414</v>
      </c>
      <c r="AD908" s="101" t="s">
        <v>79</v>
      </c>
      <c r="AE908" s="101" t="s">
        <v>75</v>
      </c>
      <c r="AF908" s="101" t="s">
        <v>400</v>
      </c>
      <c r="AI908" s="101" t="s">
        <v>172</v>
      </c>
    </row>
    <row r="909" spans="1:35">
      <c r="A909" s="246" t="s">
        <v>112</v>
      </c>
      <c r="B909" s="246" t="s">
        <v>66</v>
      </c>
      <c r="C909" s="246" t="s">
        <v>264</v>
      </c>
      <c r="D909" s="246" t="s">
        <v>290</v>
      </c>
      <c r="E909" s="246"/>
      <c r="F909" s="246"/>
      <c r="G909" s="132" t="s">
        <v>599</v>
      </c>
      <c r="H909" s="132" t="s">
        <v>1709</v>
      </c>
      <c r="I909" s="132">
        <v>4361986.41</v>
      </c>
      <c r="J909" s="101" t="s">
        <v>889</v>
      </c>
      <c r="K909" s="245" t="s">
        <v>390</v>
      </c>
      <c r="L909" s="245">
        <v>42978</v>
      </c>
      <c r="M909" s="245" t="s">
        <v>421</v>
      </c>
      <c r="N909" s="101">
        <v>0</v>
      </c>
      <c r="O909" s="101" t="s">
        <v>392</v>
      </c>
      <c r="P909" s="101">
        <v>0</v>
      </c>
      <c r="Q909" s="101">
        <v>0</v>
      </c>
      <c r="R909" s="101" t="s">
        <v>410</v>
      </c>
      <c r="S909" s="101" t="s">
        <v>568</v>
      </c>
      <c r="T909" s="101" t="s">
        <v>394</v>
      </c>
      <c r="U909" s="101" t="s">
        <v>83</v>
      </c>
      <c r="V909" s="245">
        <v>46371</v>
      </c>
      <c r="W909" s="101" t="s">
        <v>445</v>
      </c>
      <c r="X909" s="101" t="s">
        <v>76</v>
      </c>
      <c r="Y909" s="101" t="s">
        <v>392</v>
      </c>
      <c r="Z909" s="101" t="s">
        <v>412</v>
      </c>
      <c r="AA909" s="101" t="s">
        <v>478</v>
      </c>
      <c r="AB909" s="101">
        <v>3101053970</v>
      </c>
      <c r="AC909" s="101" t="s">
        <v>414</v>
      </c>
      <c r="AD909" s="101" t="s">
        <v>79</v>
      </c>
      <c r="AE909" s="101" t="s">
        <v>75</v>
      </c>
      <c r="AF909" s="101" t="s">
        <v>400</v>
      </c>
      <c r="AI909" s="101" t="s">
        <v>172</v>
      </c>
    </row>
    <row r="910" spans="1:35">
      <c r="A910" s="246" t="s">
        <v>112</v>
      </c>
      <c r="B910" s="246" t="s">
        <v>66</v>
      </c>
      <c r="C910" s="246" t="s">
        <v>264</v>
      </c>
      <c r="D910" s="246" t="s">
        <v>290</v>
      </c>
      <c r="E910" s="246"/>
      <c r="F910" s="246"/>
      <c r="G910" s="132" t="s">
        <v>688</v>
      </c>
      <c r="H910" s="132" t="s">
        <v>1710</v>
      </c>
      <c r="I910" s="132">
        <v>4413060.53</v>
      </c>
      <c r="J910" s="101" t="s">
        <v>889</v>
      </c>
      <c r="K910" s="245" t="s">
        <v>390</v>
      </c>
      <c r="L910" s="245">
        <v>43007</v>
      </c>
      <c r="M910" s="245" t="s">
        <v>421</v>
      </c>
      <c r="N910" s="101">
        <v>0</v>
      </c>
      <c r="O910" s="101" t="s">
        <v>392</v>
      </c>
      <c r="P910" s="101">
        <v>0</v>
      </c>
      <c r="Q910" s="101">
        <v>0</v>
      </c>
      <c r="R910" s="101" t="s">
        <v>410</v>
      </c>
      <c r="S910" s="101" t="s">
        <v>568</v>
      </c>
      <c r="T910" s="101" t="s">
        <v>394</v>
      </c>
      <c r="U910" s="101" t="s">
        <v>83</v>
      </c>
      <c r="V910" s="245">
        <v>46371</v>
      </c>
      <c r="W910" s="101" t="s">
        <v>445</v>
      </c>
      <c r="X910" s="101" t="s">
        <v>76</v>
      </c>
      <c r="Y910" s="101" t="s">
        <v>392</v>
      </c>
      <c r="Z910" s="101" t="s">
        <v>412</v>
      </c>
      <c r="AA910" s="101" t="s">
        <v>478</v>
      </c>
      <c r="AB910" s="101">
        <v>3101053970</v>
      </c>
      <c r="AC910" s="101" t="s">
        <v>414</v>
      </c>
      <c r="AD910" s="101" t="s">
        <v>79</v>
      </c>
      <c r="AE910" s="101" t="s">
        <v>75</v>
      </c>
      <c r="AF910" s="101" t="s">
        <v>400</v>
      </c>
      <c r="AI910" s="101" t="s">
        <v>172</v>
      </c>
    </row>
    <row r="911" spans="1:35">
      <c r="A911" s="246" t="s">
        <v>112</v>
      </c>
      <c r="B911" s="246" t="s">
        <v>66</v>
      </c>
      <c r="C911" s="246" t="s">
        <v>126</v>
      </c>
      <c r="D911" s="246" t="s">
        <v>270</v>
      </c>
      <c r="E911" s="246"/>
      <c r="F911" s="246"/>
      <c r="G911" s="132" t="s">
        <v>689</v>
      </c>
      <c r="H911" s="132" t="s">
        <v>1711</v>
      </c>
      <c r="I911" s="132">
        <v>-219150.84</v>
      </c>
      <c r="J911" s="101" t="s">
        <v>889</v>
      </c>
      <c r="K911" s="245" t="s">
        <v>390</v>
      </c>
      <c r="L911" s="245">
        <v>43007</v>
      </c>
      <c r="M911" s="245" t="s">
        <v>391</v>
      </c>
      <c r="N911" s="101">
        <v>0</v>
      </c>
      <c r="O911" s="101" t="s">
        <v>392</v>
      </c>
      <c r="P911" s="101">
        <v>0</v>
      </c>
      <c r="Q911" s="101">
        <v>0</v>
      </c>
      <c r="R911" s="101" t="s">
        <v>422</v>
      </c>
      <c r="S911" s="101" t="s">
        <v>568</v>
      </c>
      <c r="T911" s="101" t="s">
        <v>394</v>
      </c>
      <c r="U911" s="101" t="s">
        <v>83</v>
      </c>
      <c r="V911" s="245">
        <v>46371</v>
      </c>
      <c r="W911" s="101" t="s">
        <v>445</v>
      </c>
      <c r="X911" s="101" t="s">
        <v>76</v>
      </c>
      <c r="Y911" s="101" t="s">
        <v>392</v>
      </c>
      <c r="Z911" s="101" t="s">
        <v>412</v>
      </c>
      <c r="AA911" s="101" t="s">
        <v>478</v>
      </c>
      <c r="AB911" s="101">
        <v>3101053970</v>
      </c>
      <c r="AC911" s="101" t="s">
        <v>414</v>
      </c>
      <c r="AD911" s="101" t="s">
        <v>79</v>
      </c>
      <c r="AE911" s="101" t="s">
        <v>75</v>
      </c>
      <c r="AF911" s="101" t="s">
        <v>400</v>
      </c>
      <c r="AI911" s="101" t="s">
        <v>172</v>
      </c>
    </row>
    <row r="912" spans="1:35">
      <c r="A912" s="246" t="s">
        <v>112</v>
      </c>
      <c r="B912" s="246" t="s">
        <v>66</v>
      </c>
      <c r="C912" s="246" t="s">
        <v>126</v>
      </c>
      <c r="D912" s="246" t="s">
        <v>270</v>
      </c>
      <c r="E912" s="246"/>
      <c r="F912" s="246"/>
      <c r="G912" s="132" t="s">
        <v>690</v>
      </c>
      <c r="H912" s="132" t="s">
        <v>1712</v>
      </c>
      <c r="I912" s="132">
        <v>-243814.34</v>
      </c>
      <c r="J912" s="101" t="s">
        <v>889</v>
      </c>
      <c r="K912" s="245" t="s">
        <v>390</v>
      </c>
      <c r="L912" s="245">
        <v>43039</v>
      </c>
      <c r="M912" s="245" t="s">
        <v>391</v>
      </c>
      <c r="N912" s="101">
        <v>0</v>
      </c>
      <c r="O912" s="101" t="s">
        <v>392</v>
      </c>
      <c r="P912" s="101">
        <v>0</v>
      </c>
      <c r="Q912" s="101">
        <v>0</v>
      </c>
      <c r="R912" s="101" t="s">
        <v>422</v>
      </c>
      <c r="S912" s="101" t="s">
        <v>568</v>
      </c>
      <c r="T912" s="101" t="s">
        <v>394</v>
      </c>
      <c r="U912" s="101" t="s">
        <v>83</v>
      </c>
      <c r="V912" s="245">
        <v>46371</v>
      </c>
      <c r="W912" s="101" t="s">
        <v>445</v>
      </c>
      <c r="X912" s="101" t="s">
        <v>76</v>
      </c>
      <c r="Y912" s="101" t="s">
        <v>392</v>
      </c>
      <c r="Z912" s="101" t="s">
        <v>412</v>
      </c>
      <c r="AA912" s="101" t="s">
        <v>478</v>
      </c>
      <c r="AB912" s="101">
        <v>3101053970</v>
      </c>
      <c r="AC912" s="101" t="s">
        <v>414</v>
      </c>
      <c r="AD912" s="101" t="s">
        <v>79</v>
      </c>
      <c r="AE912" s="101" t="s">
        <v>75</v>
      </c>
      <c r="AF912" s="101" t="s">
        <v>400</v>
      </c>
      <c r="AI912" s="101" t="s">
        <v>172</v>
      </c>
    </row>
    <row r="913" spans="1:35">
      <c r="A913" s="246" t="s">
        <v>112</v>
      </c>
      <c r="B913" s="246" t="s">
        <v>66</v>
      </c>
      <c r="C913" s="246" t="s">
        <v>264</v>
      </c>
      <c r="D913" s="246" t="s">
        <v>290</v>
      </c>
      <c r="E913" s="246"/>
      <c r="F913" s="246"/>
      <c r="G913" s="132" t="s">
        <v>691</v>
      </c>
      <c r="H913" s="132" t="s">
        <v>1713</v>
      </c>
      <c r="I913" s="132">
        <v>4365881.3</v>
      </c>
      <c r="J913" s="101" t="s">
        <v>889</v>
      </c>
      <c r="K913" s="245" t="s">
        <v>390</v>
      </c>
      <c r="L913" s="245">
        <v>43039</v>
      </c>
      <c r="M913" s="245" t="s">
        <v>421</v>
      </c>
      <c r="N913" s="101">
        <v>0</v>
      </c>
      <c r="O913" s="101" t="s">
        <v>392</v>
      </c>
      <c r="P913" s="101">
        <v>0</v>
      </c>
      <c r="Q913" s="101">
        <v>0</v>
      </c>
      <c r="R913" s="101" t="s">
        <v>410</v>
      </c>
      <c r="S913" s="101" t="s">
        <v>568</v>
      </c>
      <c r="T913" s="101" t="s">
        <v>394</v>
      </c>
      <c r="U913" s="101" t="s">
        <v>83</v>
      </c>
      <c r="V913" s="245">
        <v>46371</v>
      </c>
      <c r="W913" s="101" t="s">
        <v>445</v>
      </c>
      <c r="X913" s="101" t="s">
        <v>76</v>
      </c>
      <c r="Y913" s="101" t="s">
        <v>392</v>
      </c>
      <c r="Z913" s="101" t="s">
        <v>412</v>
      </c>
      <c r="AA913" s="101" t="s">
        <v>478</v>
      </c>
      <c r="AB913" s="101">
        <v>3101053970</v>
      </c>
      <c r="AC913" s="101" t="s">
        <v>414</v>
      </c>
      <c r="AD913" s="101" t="s">
        <v>79</v>
      </c>
      <c r="AE913" s="101" t="s">
        <v>75</v>
      </c>
      <c r="AF913" s="101" t="s">
        <v>400</v>
      </c>
      <c r="AI913" s="101" t="s">
        <v>172</v>
      </c>
    </row>
    <row r="914" spans="1:35">
      <c r="A914" s="246" t="s">
        <v>113</v>
      </c>
      <c r="B914" s="246" t="s">
        <v>66</v>
      </c>
      <c r="C914" s="246" t="s">
        <v>126</v>
      </c>
      <c r="D914" s="246" t="s">
        <v>271</v>
      </c>
      <c r="E914" s="246"/>
      <c r="F914" s="246"/>
      <c r="G914" s="132" t="s">
        <v>692</v>
      </c>
      <c r="H914" s="132" t="s">
        <v>1714</v>
      </c>
      <c r="I914" s="132">
        <v>-253141.36</v>
      </c>
      <c r="J914" s="101" t="s">
        <v>889</v>
      </c>
      <c r="K914" s="245" t="s">
        <v>390</v>
      </c>
      <c r="L914" s="245">
        <v>43069</v>
      </c>
      <c r="M914" s="245" t="s">
        <v>391</v>
      </c>
      <c r="N914" s="101">
        <v>0</v>
      </c>
      <c r="O914" s="101" t="s">
        <v>392</v>
      </c>
      <c r="P914" s="101">
        <v>0</v>
      </c>
      <c r="Q914" s="101">
        <v>0</v>
      </c>
      <c r="R914" s="101" t="s">
        <v>422</v>
      </c>
      <c r="S914" s="101" t="s">
        <v>568</v>
      </c>
      <c r="T914" s="101" t="s">
        <v>394</v>
      </c>
      <c r="U914" s="101" t="s">
        <v>83</v>
      </c>
      <c r="V914" s="245">
        <v>46371</v>
      </c>
      <c r="W914" s="101" t="s">
        <v>445</v>
      </c>
      <c r="X914" s="101" t="s">
        <v>76</v>
      </c>
      <c r="Y914" s="101" t="s">
        <v>392</v>
      </c>
      <c r="Z914" s="101" t="s">
        <v>412</v>
      </c>
      <c r="AA914" s="101" t="s">
        <v>478</v>
      </c>
      <c r="AB914" s="101">
        <v>3101053970</v>
      </c>
      <c r="AC914" s="101" t="s">
        <v>414</v>
      </c>
      <c r="AD914" s="101" t="s">
        <v>79</v>
      </c>
      <c r="AE914" s="101" t="s">
        <v>75</v>
      </c>
      <c r="AF914" s="101" t="s">
        <v>400</v>
      </c>
      <c r="AI914" s="101" t="s">
        <v>172</v>
      </c>
    </row>
    <row r="915" spans="1:35">
      <c r="A915" s="246" t="s">
        <v>113</v>
      </c>
      <c r="B915" s="246" t="s">
        <v>66</v>
      </c>
      <c r="C915" s="246" t="s">
        <v>264</v>
      </c>
      <c r="D915" s="246" t="s">
        <v>285</v>
      </c>
      <c r="E915" s="246"/>
      <c r="F915" s="246"/>
      <c r="G915" s="132" t="s">
        <v>693</v>
      </c>
      <c r="H915" s="132" t="s">
        <v>1715</v>
      </c>
      <c r="I915" s="132">
        <v>4615161.8099999996</v>
      </c>
      <c r="J915" s="101" t="s">
        <v>889</v>
      </c>
      <c r="K915" s="245" t="s">
        <v>390</v>
      </c>
      <c r="L915" s="245">
        <v>43069</v>
      </c>
      <c r="M915" s="245" t="s">
        <v>421</v>
      </c>
      <c r="N915" s="101">
        <v>0</v>
      </c>
      <c r="O915" s="101" t="s">
        <v>392</v>
      </c>
      <c r="P915" s="101">
        <v>0</v>
      </c>
      <c r="Q915" s="101">
        <v>0</v>
      </c>
      <c r="R915" s="101" t="s">
        <v>410</v>
      </c>
      <c r="S915" s="101" t="s">
        <v>568</v>
      </c>
      <c r="T915" s="101" t="s">
        <v>394</v>
      </c>
      <c r="U915" s="101" t="s">
        <v>83</v>
      </c>
      <c r="V915" s="245">
        <v>46371</v>
      </c>
      <c r="W915" s="101" t="s">
        <v>445</v>
      </c>
      <c r="X915" s="101" t="s">
        <v>76</v>
      </c>
      <c r="Y915" s="101" t="s">
        <v>392</v>
      </c>
      <c r="Z915" s="101" t="s">
        <v>412</v>
      </c>
      <c r="AA915" s="101" t="s">
        <v>478</v>
      </c>
      <c r="AB915" s="101">
        <v>3101053970</v>
      </c>
      <c r="AC915" s="101" t="s">
        <v>414</v>
      </c>
      <c r="AD915" s="101" t="s">
        <v>79</v>
      </c>
      <c r="AE915" s="101" t="s">
        <v>75</v>
      </c>
      <c r="AF915" s="101" t="s">
        <v>400</v>
      </c>
      <c r="AI915" s="101" t="s">
        <v>172</v>
      </c>
    </row>
    <row r="916" spans="1:35">
      <c r="A916" s="246" t="s">
        <v>113</v>
      </c>
      <c r="B916" s="246" t="s">
        <v>66</v>
      </c>
      <c r="C916" s="246" t="s">
        <v>264</v>
      </c>
      <c r="D916" s="246" t="s">
        <v>285</v>
      </c>
      <c r="E916" s="246"/>
      <c r="F916" s="246"/>
      <c r="G916" s="132">
        <v>-68900000</v>
      </c>
      <c r="H916" s="132" t="s">
        <v>1716</v>
      </c>
      <c r="I916" s="132">
        <v>-68900000</v>
      </c>
      <c r="J916" s="101" t="s">
        <v>889</v>
      </c>
      <c r="K916" s="245" t="s">
        <v>390</v>
      </c>
      <c r="L916" s="245">
        <v>43084</v>
      </c>
      <c r="M916" s="245" t="s">
        <v>421</v>
      </c>
      <c r="N916" s="101">
        <v>0</v>
      </c>
      <c r="O916" s="101" t="s">
        <v>392</v>
      </c>
      <c r="P916" s="101">
        <v>0</v>
      </c>
      <c r="Q916" s="101">
        <v>0</v>
      </c>
      <c r="R916" s="101" t="s">
        <v>422</v>
      </c>
      <c r="S916" s="101" t="s">
        <v>568</v>
      </c>
      <c r="T916" s="101" t="s">
        <v>394</v>
      </c>
      <c r="U916" s="101" t="s">
        <v>83</v>
      </c>
      <c r="V916" s="245">
        <v>46371</v>
      </c>
      <c r="W916" s="101" t="s">
        <v>445</v>
      </c>
      <c r="X916" s="101" t="s">
        <v>76</v>
      </c>
      <c r="Y916" s="101" t="s">
        <v>392</v>
      </c>
      <c r="Z916" s="101" t="s">
        <v>412</v>
      </c>
      <c r="AA916" s="101" t="s">
        <v>478</v>
      </c>
      <c r="AB916" s="101">
        <v>3101053970</v>
      </c>
      <c r="AC916" s="101" t="s">
        <v>414</v>
      </c>
      <c r="AD916" s="101" t="s">
        <v>79</v>
      </c>
      <c r="AE916" s="101" t="s">
        <v>75</v>
      </c>
      <c r="AF916" s="101" t="s">
        <v>400</v>
      </c>
      <c r="AI916" s="101" t="s">
        <v>172</v>
      </c>
    </row>
    <row r="917" spans="1:35">
      <c r="A917" s="246" t="s">
        <v>113</v>
      </c>
      <c r="B917" s="246" t="s">
        <v>66</v>
      </c>
      <c r="C917" s="246" t="s">
        <v>264</v>
      </c>
      <c r="D917" s="246" t="s">
        <v>285</v>
      </c>
      <c r="E917" s="246"/>
      <c r="F917" s="246"/>
      <c r="G917" s="132" t="s">
        <v>694</v>
      </c>
      <c r="H917" s="132" t="s">
        <v>1717</v>
      </c>
      <c r="I917" s="132">
        <v>7103694.5799999991</v>
      </c>
      <c r="J917" s="101" t="s">
        <v>889</v>
      </c>
      <c r="K917" s="245" t="s">
        <v>390</v>
      </c>
      <c r="L917" s="245">
        <v>43098</v>
      </c>
      <c r="M917" s="245" t="s">
        <v>421</v>
      </c>
      <c r="N917" s="101">
        <v>0</v>
      </c>
      <c r="O917" s="101" t="s">
        <v>392</v>
      </c>
      <c r="P917" s="101">
        <v>0</v>
      </c>
      <c r="Q917" s="101">
        <v>0</v>
      </c>
      <c r="R917" s="101" t="s">
        <v>410</v>
      </c>
      <c r="S917" s="101" t="s">
        <v>568</v>
      </c>
      <c r="T917" s="101" t="s">
        <v>394</v>
      </c>
      <c r="U917" s="101" t="s">
        <v>83</v>
      </c>
      <c r="V917" s="245">
        <v>46371</v>
      </c>
      <c r="W917" s="101" t="s">
        <v>445</v>
      </c>
      <c r="X917" s="101" t="s">
        <v>76</v>
      </c>
      <c r="Y917" s="101" t="s">
        <v>392</v>
      </c>
      <c r="Z917" s="101" t="s">
        <v>412</v>
      </c>
      <c r="AA917" s="101" t="s">
        <v>478</v>
      </c>
      <c r="AB917" s="101">
        <v>3101053970</v>
      </c>
      <c r="AC917" s="101" t="s">
        <v>414</v>
      </c>
      <c r="AD917" s="101" t="s">
        <v>79</v>
      </c>
      <c r="AE917" s="101" t="s">
        <v>75</v>
      </c>
      <c r="AF917" s="101" t="s">
        <v>400</v>
      </c>
      <c r="AI917" s="101" t="s">
        <v>172</v>
      </c>
    </row>
    <row r="918" spans="1:35">
      <c r="A918" s="246" t="s">
        <v>113</v>
      </c>
      <c r="B918" s="246" t="s">
        <v>66</v>
      </c>
      <c r="C918" s="246" t="s">
        <v>126</v>
      </c>
      <c r="D918" s="246" t="s">
        <v>271</v>
      </c>
      <c r="E918" s="246"/>
      <c r="F918" s="246"/>
      <c r="G918" s="132" t="s">
        <v>695</v>
      </c>
      <c r="H918" s="132" t="s">
        <v>1718</v>
      </c>
      <c r="I918" s="132">
        <v>-137522.35999999999</v>
      </c>
      <c r="J918" s="101" t="s">
        <v>889</v>
      </c>
      <c r="K918" s="245" t="s">
        <v>390</v>
      </c>
      <c r="L918" s="245">
        <v>43098</v>
      </c>
      <c r="M918" s="245" t="s">
        <v>391</v>
      </c>
      <c r="N918" s="101">
        <v>0</v>
      </c>
      <c r="O918" s="101" t="s">
        <v>392</v>
      </c>
      <c r="P918" s="101">
        <v>0</v>
      </c>
      <c r="Q918" s="101">
        <v>0</v>
      </c>
      <c r="R918" s="101" t="s">
        <v>422</v>
      </c>
      <c r="S918" s="101" t="s">
        <v>568</v>
      </c>
      <c r="T918" s="101" t="s">
        <v>394</v>
      </c>
      <c r="U918" s="101" t="s">
        <v>83</v>
      </c>
      <c r="V918" s="245">
        <v>46371</v>
      </c>
      <c r="W918" s="101" t="s">
        <v>445</v>
      </c>
      <c r="X918" s="101" t="s">
        <v>76</v>
      </c>
      <c r="Y918" s="101" t="s">
        <v>392</v>
      </c>
      <c r="Z918" s="101" t="s">
        <v>412</v>
      </c>
      <c r="AA918" s="101" t="s">
        <v>478</v>
      </c>
      <c r="AB918" s="101">
        <v>3101053970</v>
      </c>
      <c r="AC918" s="101" t="s">
        <v>414</v>
      </c>
      <c r="AD918" s="101" t="s">
        <v>79</v>
      </c>
      <c r="AE918" s="101" t="s">
        <v>75</v>
      </c>
      <c r="AF918" s="101" t="s">
        <v>400</v>
      </c>
      <c r="AI918" s="101" t="s">
        <v>172</v>
      </c>
    </row>
    <row r="919" spans="1:35">
      <c r="A919" s="246" t="s">
        <v>113</v>
      </c>
      <c r="B919" s="246" t="s">
        <v>66</v>
      </c>
      <c r="C919" s="246" t="s">
        <v>126</v>
      </c>
      <c r="D919" s="246" t="s">
        <v>271</v>
      </c>
      <c r="E919" s="246"/>
      <c r="F919" s="246"/>
      <c r="G919" s="132" t="s">
        <v>696</v>
      </c>
      <c r="H919" s="132" t="s">
        <v>1719</v>
      </c>
      <c r="I919" s="132">
        <v>-28905.42</v>
      </c>
      <c r="J919" s="101" t="s">
        <v>889</v>
      </c>
      <c r="K919" s="245" t="s">
        <v>390</v>
      </c>
      <c r="L919" s="245">
        <v>43131</v>
      </c>
      <c r="M919" s="245" t="s">
        <v>391</v>
      </c>
      <c r="N919" s="101">
        <v>0</v>
      </c>
      <c r="O919" s="101" t="s">
        <v>392</v>
      </c>
      <c r="P919" s="101">
        <v>0</v>
      </c>
      <c r="Q919" s="101">
        <v>0</v>
      </c>
      <c r="R919" s="101" t="s">
        <v>422</v>
      </c>
      <c r="S919" s="101" t="s">
        <v>568</v>
      </c>
      <c r="T919" s="101" t="s">
        <v>394</v>
      </c>
      <c r="U919" s="101" t="s">
        <v>83</v>
      </c>
      <c r="V919" s="245">
        <v>46371</v>
      </c>
      <c r="W919" s="101" t="s">
        <v>445</v>
      </c>
      <c r="X919" s="101" t="s">
        <v>76</v>
      </c>
      <c r="Y919" s="101" t="s">
        <v>392</v>
      </c>
      <c r="Z919" s="101" t="s">
        <v>412</v>
      </c>
      <c r="AA919" s="101" t="s">
        <v>478</v>
      </c>
      <c r="AB919" s="101">
        <v>3101053970</v>
      </c>
      <c r="AC919" s="101" t="s">
        <v>414</v>
      </c>
      <c r="AD919" s="101" t="s">
        <v>79</v>
      </c>
      <c r="AE919" s="101" t="s">
        <v>75</v>
      </c>
      <c r="AF919" s="101" t="s">
        <v>400</v>
      </c>
      <c r="AI919" s="101" t="s">
        <v>172</v>
      </c>
    </row>
    <row r="920" spans="1:35">
      <c r="A920" s="246" t="s">
        <v>113</v>
      </c>
      <c r="B920" s="246" t="s">
        <v>66</v>
      </c>
      <c r="C920" s="246" t="s">
        <v>264</v>
      </c>
      <c r="D920" s="246" t="s">
        <v>285</v>
      </c>
      <c r="E920" s="246"/>
      <c r="F920" s="246"/>
      <c r="G920" s="132" t="s">
        <v>697</v>
      </c>
      <c r="H920" s="132" t="s">
        <v>1720</v>
      </c>
      <c r="I920" s="132">
        <v>8641794.4900000002</v>
      </c>
      <c r="J920" s="101" t="s">
        <v>889</v>
      </c>
      <c r="K920" s="245" t="s">
        <v>390</v>
      </c>
      <c r="L920" s="245">
        <v>43131</v>
      </c>
      <c r="M920" s="245" t="s">
        <v>421</v>
      </c>
      <c r="N920" s="101">
        <v>0</v>
      </c>
      <c r="O920" s="101" t="s">
        <v>392</v>
      </c>
      <c r="P920" s="101">
        <v>0</v>
      </c>
      <c r="Q920" s="101">
        <v>0</v>
      </c>
      <c r="R920" s="101" t="s">
        <v>410</v>
      </c>
      <c r="S920" s="101" t="s">
        <v>568</v>
      </c>
      <c r="T920" s="101" t="s">
        <v>394</v>
      </c>
      <c r="U920" s="101" t="s">
        <v>83</v>
      </c>
      <c r="V920" s="245">
        <v>46371</v>
      </c>
      <c r="W920" s="101" t="s">
        <v>445</v>
      </c>
      <c r="X920" s="101" t="s">
        <v>76</v>
      </c>
      <c r="Y920" s="101" t="s">
        <v>392</v>
      </c>
      <c r="Z920" s="101" t="s">
        <v>412</v>
      </c>
      <c r="AA920" s="101" t="s">
        <v>478</v>
      </c>
      <c r="AB920" s="101">
        <v>3101053970</v>
      </c>
      <c r="AC920" s="101" t="s">
        <v>414</v>
      </c>
      <c r="AD920" s="101" t="s">
        <v>79</v>
      </c>
      <c r="AE920" s="101" t="s">
        <v>75</v>
      </c>
      <c r="AF920" s="101" t="s">
        <v>400</v>
      </c>
      <c r="AI920" s="101" t="s">
        <v>172</v>
      </c>
    </row>
    <row r="921" spans="1:35">
      <c r="A921" s="246" t="s">
        <v>113</v>
      </c>
      <c r="B921" s="246" t="s">
        <v>66</v>
      </c>
      <c r="C921" s="246" t="s">
        <v>126</v>
      </c>
      <c r="D921" s="246" t="s">
        <v>271</v>
      </c>
      <c r="E921" s="246"/>
      <c r="F921" s="246"/>
      <c r="G921" s="132" t="s">
        <v>698</v>
      </c>
      <c r="H921" s="132" t="s">
        <v>1721</v>
      </c>
      <c r="I921" s="132">
        <v>-57869.2</v>
      </c>
      <c r="J921" s="101" t="s">
        <v>889</v>
      </c>
      <c r="K921" s="245" t="s">
        <v>390</v>
      </c>
      <c r="L921" s="245">
        <v>43159</v>
      </c>
      <c r="M921" s="245" t="s">
        <v>391</v>
      </c>
      <c r="N921" s="101">
        <v>0</v>
      </c>
      <c r="O921" s="101" t="s">
        <v>392</v>
      </c>
      <c r="P921" s="101">
        <v>0</v>
      </c>
      <c r="Q921" s="101">
        <v>0</v>
      </c>
      <c r="R921" s="101" t="s">
        <v>422</v>
      </c>
      <c r="S921" s="101" t="s">
        <v>568</v>
      </c>
      <c r="T921" s="101" t="s">
        <v>394</v>
      </c>
      <c r="U921" s="101" t="s">
        <v>83</v>
      </c>
      <c r="V921" s="245">
        <v>46371</v>
      </c>
      <c r="W921" s="101" t="s">
        <v>445</v>
      </c>
      <c r="X921" s="101" t="s">
        <v>76</v>
      </c>
      <c r="Y921" s="101" t="s">
        <v>392</v>
      </c>
      <c r="Z921" s="101" t="s">
        <v>412</v>
      </c>
      <c r="AA921" s="101" t="s">
        <v>478</v>
      </c>
      <c r="AB921" s="101">
        <v>3101053970</v>
      </c>
      <c r="AC921" s="101" t="s">
        <v>414</v>
      </c>
      <c r="AD921" s="101" t="s">
        <v>79</v>
      </c>
      <c r="AE921" s="101" t="s">
        <v>75</v>
      </c>
      <c r="AF921" s="101" t="s">
        <v>400</v>
      </c>
      <c r="AI921" s="101" t="s">
        <v>172</v>
      </c>
    </row>
    <row r="922" spans="1:35">
      <c r="A922" s="246" t="s">
        <v>113</v>
      </c>
      <c r="B922" s="246" t="s">
        <v>66</v>
      </c>
      <c r="C922" s="246" t="s">
        <v>264</v>
      </c>
      <c r="D922" s="246" t="s">
        <v>285</v>
      </c>
      <c r="E922" s="246"/>
      <c r="F922" s="246"/>
      <c r="G922" s="132" t="s">
        <v>699</v>
      </c>
      <c r="H922" s="132" t="s">
        <v>1722</v>
      </c>
      <c r="I922" s="132">
        <v>9192842.5500000007</v>
      </c>
      <c r="J922" s="101" t="s">
        <v>889</v>
      </c>
      <c r="K922" s="245" t="s">
        <v>390</v>
      </c>
      <c r="L922" s="245">
        <v>43159</v>
      </c>
      <c r="M922" s="245" t="s">
        <v>421</v>
      </c>
      <c r="N922" s="101">
        <v>0</v>
      </c>
      <c r="O922" s="101" t="s">
        <v>392</v>
      </c>
      <c r="P922" s="101">
        <v>0</v>
      </c>
      <c r="Q922" s="101">
        <v>0</v>
      </c>
      <c r="R922" s="101" t="s">
        <v>410</v>
      </c>
      <c r="S922" s="101" t="s">
        <v>568</v>
      </c>
      <c r="T922" s="101" t="s">
        <v>394</v>
      </c>
      <c r="U922" s="101" t="s">
        <v>83</v>
      </c>
      <c r="V922" s="245">
        <v>46371</v>
      </c>
      <c r="W922" s="101" t="s">
        <v>445</v>
      </c>
      <c r="X922" s="101" t="s">
        <v>76</v>
      </c>
      <c r="Y922" s="101" t="s">
        <v>392</v>
      </c>
      <c r="Z922" s="101" t="s">
        <v>412</v>
      </c>
      <c r="AA922" s="101" t="s">
        <v>478</v>
      </c>
      <c r="AB922" s="101">
        <v>3101053970</v>
      </c>
      <c r="AC922" s="101" t="s">
        <v>414</v>
      </c>
      <c r="AD922" s="101" t="s">
        <v>79</v>
      </c>
      <c r="AE922" s="101" t="s">
        <v>75</v>
      </c>
      <c r="AF922" s="101" t="s">
        <v>400</v>
      </c>
      <c r="AI922" s="101" t="s">
        <v>172</v>
      </c>
    </row>
    <row r="923" spans="1:35">
      <c r="A923" s="246" t="s">
        <v>110</v>
      </c>
      <c r="B923" s="246" t="s">
        <v>66</v>
      </c>
      <c r="C923" s="246" t="s">
        <v>126</v>
      </c>
      <c r="D923" s="246" t="s">
        <v>281</v>
      </c>
      <c r="E923" s="246"/>
      <c r="F923" s="246" t="s">
        <v>276</v>
      </c>
      <c r="G923" s="132" t="s">
        <v>537</v>
      </c>
      <c r="H923" s="132" t="s">
        <v>1723</v>
      </c>
      <c r="I923" s="132">
        <v>-6816.6399999999994</v>
      </c>
      <c r="J923" s="101" t="s">
        <v>889</v>
      </c>
      <c r="K923" s="245" t="s">
        <v>390</v>
      </c>
      <c r="L923" s="245">
        <v>42632</v>
      </c>
      <c r="M923" s="245" t="s">
        <v>391</v>
      </c>
      <c r="N923" s="101">
        <v>0</v>
      </c>
      <c r="O923" s="101" t="s">
        <v>392</v>
      </c>
      <c r="P923" s="101">
        <v>0</v>
      </c>
      <c r="Q923" s="101">
        <v>0</v>
      </c>
      <c r="R923" s="101" t="s">
        <v>444</v>
      </c>
      <c r="S923" s="101" t="s">
        <v>538</v>
      </c>
      <c r="T923" s="101" t="s">
        <v>394</v>
      </c>
      <c r="U923" s="101" t="s">
        <v>39</v>
      </c>
      <c r="V923" s="245">
        <v>17976</v>
      </c>
      <c r="W923" s="101" t="s">
        <v>411</v>
      </c>
      <c r="X923" s="101" t="s">
        <v>77</v>
      </c>
      <c r="Y923" s="101" t="s">
        <v>392</v>
      </c>
      <c r="Z923" s="101" t="s">
        <v>412</v>
      </c>
      <c r="AA923" s="101" t="s">
        <v>539</v>
      </c>
      <c r="AB923" s="101">
        <v>3101057097</v>
      </c>
      <c r="AC923" s="101" t="s">
        <v>414</v>
      </c>
      <c r="AD923" s="101" t="s">
        <v>79</v>
      </c>
      <c r="AE923" s="101" t="s">
        <v>6</v>
      </c>
      <c r="AF923" s="101" t="s">
        <v>400</v>
      </c>
      <c r="AI923" s="101" t="s">
        <v>190</v>
      </c>
    </row>
    <row r="924" spans="1:35">
      <c r="A924" s="246" t="s">
        <v>110</v>
      </c>
      <c r="B924" s="246" t="s">
        <v>66</v>
      </c>
      <c r="C924" s="246" t="s">
        <v>265</v>
      </c>
      <c r="D924" s="246" t="s">
        <v>283</v>
      </c>
      <c r="E924" s="246"/>
      <c r="F924" s="246" t="s">
        <v>276</v>
      </c>
      <c r="G924" s="132" t="s">
        <v>540</v>
      </c>
      <c r="H924" s="132" t="s">
        <v>1724</v>
      </c>
      <c r="I924" s="132">
        <v>320445.18</v>
      </c>
      <c r="J924" s="101" t="s">
        <v>889</v>
      </c>
      <c r="K924" s="245" t="s">
        <v>390</v>
      </c>
      <c r="L924" s="245">
        <v>42634</v>
      </c>
      <c r="M924" s="245" t="s">
        <v>421</v>
      </c>
      <c r="N924" s="101">
        <v>0</v>
      </c>
      <c r="O924" s="101" t="s">
        <v>392</v>
      </c>
      <c r="P924" s="101">
        <v>0</v>
      </c>
      <c r="Q924" s="101">
        <v>0</v>
      </c>
      <c r="R924" s="101" t="s">
        <v>453</v>
      </c>
      <c r="S924" s="101" t="s">
        <v>538</v>
      </c>
      <c r="T924" s="101" t="s">
        <v>394</v>
      </c>
      <c r="U924" s="101" t="s">
        <v>39</v>
      </c>
      <c r="V924" s="245">
        <v>17976</v>
      </c>
      <c r="W924" s="101" t="s">
        <v>411</v>
      </c>
      <c r="X924" s="101" t="s">
        <v>77</v>
      </c>
      <c r="Y924" s="101" t="s">
        <v>392</v>
      </c>
      <c r="Z924" s="101" t="s">
        <v>412</v>
      </c>
      <c r="AA924" s="101" t="s">
        <v>539</v>
      </c>
      <c r="AB924" s="101">
        <v>3101057097</v>
      </c>
      <c r="AC924" s="101" t="s">
        <v>414</v>
      </c>
      <c r="AD924" s="101" t="s">
        <v>79</v>
      </c>
      <c r="AE924" s="101" t="s">
        <v>6</v>
      </c>
      <c r="AF924" s="101" t="s">
        <v>400</v>
      </c>
      <c r="AI924" s="101" t="s">
        <v>190</v>
      </c>
    </row>
    <row r="925" spans="1:35">
      <c r="A925" s="246" t="s">
        <v>111</v>
      </c>
      <c r="B925" s="246" t="s">
        <v>66</v>
      </c>
      <c r="C925" s="246" t="s">
        <v>126</v>
      </c>
      <c r="D925" s="246" t="s">
        <v>273</v>
      </c>
      <c r="E925" s="246"/>
      <c r="F925" s="246" t="s">
        <v>277</v>
      </c>
      <c r="G925" s="132" t="s">
        <v>541</v>
      </c>
      <c r="H925" s="132" t="s">
        <v>1725</v>
      </c>
      <c r="I925" s="132">
        <v>-13743.169999999998</v>
      </c>
      <c r="J925" s="101" t="s">
        <v>889</v>
      </c>
      <c r="K925" s="245" t="s">
        <v>390</v>
      </c>
      <c r="L925" s="245">
        <v>42811</v>
      </c>
      <c r="M925" s="245" t="s">
        <v>391</v>
      </c>
      <c r="N925" s="101">
        <v>0</v>
      </c>
      <c r="O925" s="101" t="s">
        <v>392</v>
      </c>
      <c r="P925" s="101">
        <v>0</v>
      </c>
      <c r="Q925" s="101">
        <v>0</v>
      </c>
      <c r="R925" s="101" t="s">
        <v>444</v>
      </c>
      <c r="S925" s="101" t="s">
        <v>538</v>
      </c>
      <c r="T925" s="101" t="s">
        <v>394</v>
      </c>
      <c r="U925" s="101" t="s">
        <v>39</v>
      </c>
      <c r="V925" s="245">
        <v>17976</v>
      </c>
      <c r="W925" s="101" t="s">
        <v>411</v>
      </c>
      <c r="X925" s="101" t="s">
        <v>77</v>
      </c>
      <c r="Y925" s="101" t="s">
        <v>392</v>
      </c>
      <c r="Z925" s="101" t="s">
        <v>412</v>
      </c>
      <c r="AA925" s="101" t="s">
        <v>539</v>
      </c>
      <c r="AB925" s="101">
        <v>3101057097</v>
      </c>
      <c r="AC925" s="101" t="s">
        <v>414</v>
      </c>
      <c r="AD925" s="101" t="s">
        <v>79</v>
      </c>
      <c r="AE925" s="101" t="s">
        <v>6</v>
      </c>
      <c r="AF925" s="101" t="s">
        <v>400</v>
      </c>
      <c r="AI925" s="101" t="s">
        <v>190</v>
      </c>
    </row>
    <row r="926" spans="1:35">
      <c r="A926" s="246" t="s">
        <v>112</v>
      </c>
      <c r="B926" s="246" t="s">
        <v>66</v>
      </c>
      <c r="C926" s="246" t="s">
        <v>126</v>
      </c>
      <c r="D926" s="246" t="s">
        <v>270</v>
      </c>
      <c r="E926" s="246"/>
      <c r="F926" s="246" t="s">
        <v>278</v>
      </c>
      <c r="G926" s="132" t="s">
        <v>542</v>
      </c>
      <c r="H926" s="132" t="s">
        <v>1726</v>
      </c>
      <c r="I926" s="132">
        <v>-14130.28</v>
      </c>
      <c r="J926" s="101" t="s">
        <v>889</v>
      </c>
      <c r="K926" s="245" t="s">
        <v>390</v>
      </c>
      <c r="L926" s="245">
        <v>42997</v>
      </c>
      <c r="M926" s="245" t="s">
        <v>391</v>
      </c>
      <c r="N926" s="101">
        <v>0</v>
      </c>
      <c r="O926" s="101" t="s">
        <v>392</v>
      </c>
      <c r="P926" s="101">
        <v>0</v>
      </c>
      <c r="Q926" s="101">
        <v>0</v>
      </c>
      <c r="R926" s="101" t="s">
        <v>444</v>
      </c>
      <c r="S926" s="101" t="s">
        <v>538</v>
      </c>
      <c r="T926" s="101" t="s">
        <v>394</v>
      </c>
      <c r="U926" s="101" t="s">
        <v>39</v>
      </c>
      <c r="V926" s="245">
        <v>17976</v>
      </c>
      <c r="W926" s="101" t="s">
        <v>411</v>
      </c>
      <c r="X926" s="101" t="s">
        <v>77</v>
      </c>
      <c r="Y926" s="101" t="s">
        <v>392</v>
      </c>
      <c r="Z926" s="101" t="s">
        <v>412</v>
      </c>
      <c r="AA926" s="101" t="s">
        <v>539</v>
      </c>
      <c r="AB926" s="101">
        <v>3101057097</v>
      </c>
      <c r="AC926" s="101" t="s">
        <v>414</v>
      </c>
      <c r="AD926" s="101" t="s">
        <v>79</v>
      </c>
      <c r="AE926" s="101" t="s">
        <v>6</v>
      </c>
      <c r="AF926" s="101" t="s">
        <v>400</v>
      </c>
      <c r="AI926" s="101" t="s">
        <v>190</v>
      </c>
    </row>
    <row r="927" spans="1:35">
      <c r="A927" s="246" t="s">
        <v>113</v>
      </c>
      <c r="B927" s="246" t="s">
        <v>66</v>
      </c>
      <c r="C927" s="246" t="s">
        <v>126</v>
      </c>
      <c r="D927" s="246" t="s">
        <v>271</v>
      </c>
      <c r="E927" s="246"/>
      <c r="F927" s="246" t="s">
        <v>279</v>
      </c>
      <c r="G927" s="132">
        <v>-13975</v>
      </c>
      <c r="H927" s="132" t="s">
        <v>1727</v>
      </c>
      <c r="I927" s="132">
        <v>-13975</v>
      </c>
      <c r="J927" s="101" t="s">
        <v>889</v>
      </c>
      <c r="K927" s="245" t="s">
        <v>390</v>
      </c>
      <c r="L927" s="245">
        <v>43178</v>
      </c>
      <c r="M927" s="245" t="s">
        <v>391</v>
      </c>
      <c r="N927" s="101">
        <v>0</v>
      </c>
      <c r="O927" s="101" t="s">
        <v>392</v>
      </c>
      <c r="P927" s="101">
        <v>0</v>
      </c>
      <c r="Q927" s="101">
        <v>0</v>
      </c>
      <c r="R927" s="101" t="s">
        <v>444</v>
      </c>
      <c r="S927" s="101" t="s">
        <v>538</v>
      </c>
      <c r="T927" s="101" t="s">
        <v>394</v>
      </c>
      <c r="U927" s="101" t="s">
        <v>39</v>
      </c>
      <c r="V927" s="245">
        <v>17976</v>
      </c>
      <c r="W927" s="101" t="s">
        <v>411</v>
      </c>
      <c r="X927" s="101" t="s">
        <v>77</v>
      </c>
      <c r="Y927" s="101" t="s">
        <v>392</v>
      </c>
      <c r="Z927" s="101" t="s">
        <v>412</v>
      </c>
      <c r="AA927" s="101" t="s">
        <v>539</v>
      </c>
      <c r="AB927" s="101">
        <v>3101057097</v>
      </c>
      <c r="AC927" s="101" t="s">
        <v>414</v>
      </c>
      <c r="AD927" s="101" t="s">
        <v>79</v>
      </c>
      <c r="AE927" s="101" t="s">
        <v>6</v>
      </c>
      <c r="AF927" s="101" t="s">
        <v>400</v>
      </c>
      <c r="AI927" s="101" t="s">
        <v>190</v>
      </c>
    </row>
    <row r="928" spans="1:35">
      <c r="A928" s="246" t="s">
        <v>103</v>
      </c>
      <c r="B928" s="246" t="s">
        <v>78</v>
      </c>
      <c r="C928" s="246" t="s">
        <v>126</v>
      </c>
      <c r="D928" s="246" t="s">
        <v>886</v>
      </c>
      <c r="E928" s="246" t="s">
        <v>887</v>
      </c>
      <c r="F928" s="246"/>
      <c r="G928" s="132" t="s">
        <v>707</v>
      </c>
      <c r="H928" s="132" t="s">
        <v>1728</v>
      </c>
      <c r="I928" s="132">
        <v>-22656.249999999996</v>
      </c>
      <c r="J928" s="101" t="s">
        <v>889</v>
      </c>
      <c r="K928" s="245" t="s">
        <v>390</v>
      </c>
      <c r="L928" s="245">
        <v>42506</v>
      </c>
      <c r="M928" s="245" t="s">
        <v>391</v>
      </c>
      <c r="N928" s="101">
        <v>0</v>
      </c>
      <c r="O928" s="101" t="s">
        <v>392</v>
      </c>
      <c r="P928" s="101">
        <v>0</v>
      </c>
      <c r="Q928" s="101">
        <v>0</v>
      </c>
      <c r="R928" s="101" t="s">
        <v>438</v>
      </c>
      <c r="S928" s="101">
        <v>194026</v>
      </c>
      <c r="T928" s="101" t="s">
        <v>394</v>
      </c>
      <c r="V928" s="245">
        <v>47253</v>
      </c>
      <c r="W928" s="101" t="s">
        <v>424</v>
      </c>
      <c r="X928" s="101" t="s">
        <v>76</v>
      </c>
      <c r="Y928" s="101" t="s">
        <v>392</v>
      </c>
      <c r="Z928" s="101" t="s">
        <v>430</v>
      </c>
      <c r="AA928" s="101" t="s">
        <v>78</v>
      </c>
      <c r="AB928" s="101">
        <v>4101000279</v>
      </c>
      <c r="AC928" s="101" t="s">
        <v>431</v>
      </c>
      <c r="AD928" s="101" t="s">
        <v>431</v>
      </c>
      <c r="AE928" s="101" t="s">
        <v>75</v>
      </c>
      <c r="AF928" s="101" t="s">
        <v>400</v>
      </c>
      <c r="AG928" s="101" t="s">
        <v>427</v>
      </c>
      <c r="AI928" s="101" t="s">
        <v>760</v>
      </c>
    </row>
    <row r="929" spans="1:35">
      <c r="A929" s="246" t="s">
        <v>111</v>
      </c>
      <c r="B929" s="246" t="s">
        <v>78</v>
      </c>
      <c r="C929" s="246" t="s">
        <v>126</v>
      </c>
      <c r="D929" s="246" t="s">
        <v>768</v>
      </c>
      <c r="E929" s="246" t="s">
        <v>769</v>
      </c>
      <c r="F929" s="246"/>
      <c r="G929" s="132" t="s">
        <v>707</v>
      </c>
      <c r="H929" s="132" t="s">
        <v>1728</v>
      </c>
      <c r="I929" s="132">
        <v>-22656.249999999996</v>
      </c>
      <c r="J929" s="101" t="s">
        <v>889</v>
      </c>
      <c r="K929" s="245" t="s">
        <v>390</v>
      </c>
      <c r="L929" s="245">
        <v>42689</v>
      </c>
      <c r="M929" s="245" t="s">
        <v>391</v>
      </c>
      <c r="N929" s="101">
        <v>0</v>
      </c>
      <c r="O929" s="101" t="s">
        <v>392</v>
      </c>
      <c r="P929" s="101">
        <v>0</v>
      </c>
      <c r="Q929" s="101">
        <v>0</v>
      </c>
      <c r="R929" s="101" t="s">
        <v>438</v>
      </c>
      <c r="S929" s="101">
        <v>194026</v>
      </c>
      <c r="T929" s="101" t="s">
        <v>394</v>
      </c>
      <c r="V929" s="245">
        <v>47253</v>
      </c>
      <c r="W929" s="101" t="s">
        <v>424</v>
      </c>
      <c r="X929" s="101" t="s">
        <v>76</v>
      </c>
      <c r="Y929" s="101" t="s">
        <v>392</v>
      </c>
      <c r="Z929" s="101" t="s">
        <v>430</v>
      </c>
      <c r="AA929" s="101" t="s">
        <v>78</v>
      </c>
      <c r="AB929" s="101">
        <v>4101000279</v>
      </c>
      <c r="AC929" s="101" t="s">
        <v>431</v>
      </c>
      <c r="AD929" s="101" t="s">
        <v>431</v>
      </c>
      <c r="AE929" s="101" t="s">
        <v>75</v>
      </c>
      <c r="AF929" s="101" t="s">
        <v>400</v>
      </c>
      <c r="AG929" s="101" t="s">
        <v>427</v>
      </c>
      <c r="AI929" s="101" t="s">
        <v>760</v>
      </c>
    </row>
    <row r="930" spans="1:35">
      <c r="A930" s="246" t="s">
        <v>112</v>
      </c>
      <c r="B930" s="246" t="s">
        <v>78</v>
      </c>
      <c r="C930" s="246" t="s">
        <v>126</v>
      </c>
      <c r="D930" s="246" t="s">
        <v>341</v>
      </c>
      <c r="E930" s="246" t="s">
        <v>342</v>
      </c>
      <c r="F930" s="246"/>
      <c r="G930" s="132" t="s">
        <v>707</v>
      </c>
      <c r="H930" s="132" t="s">
        <v>1728</v>
      </c>
      <c r="I930" s="132">
        <v>-22656.249999999996</v>
      </c>
      <c r="J930" s="101" t="s">
        <v>889</v>
      </c>
      <c r="K930" s="245" t="s">
        <v>390</v>
      </c>
      <c r="L930" s="245">
        <v>42870</v>
      </c>
      <c r="M930" s="245" t="s">
        <v>391</v>
      </c>
      <c r="N930" s="101">
        <v>0</v>
      </c>
      <c r="O930" s="101" t="s">
        <v>392</v>
      </c>
      <c r="P930" s="101">
        <v>0</v>
      </c>
      <c r="Q930" s="101">
        <v>0</v>
      </c>
      <c r="R930" s="101" t="s">
        <v>438</v>
      </c>
      <c r="S930" s="101">
        <v>194026</v>
      </c>
      <c r="T930" s="101" t="s">
        <v>394</v>
      </c>
      <c r="V930" s="245">
        <v>47253</v>
      </c>
      <c r="W930" s="101" t="s">
        <v>424</v>
      </c>
      <c r="X930" s="101" t="s">
        <v>76</v>
      </c>
      <c r="Y930" s="101" t="s">
        <v>392</v>
      </c>
      <c r="Z930" s="101" t="s">
        <v>430</v>
      </c>
      <c r="AA930" s="101" t="s">
        <v>78</v>
      </c>
      <c r="AB930" s="101">
        <v>4101000279</v>
      </c>
      <c r="AC930" s="101" t="s">
        <v>431</v>
      </c>
      <c r="AD930" s="101" t="s">
        <v>431</v>
      </c>
      <c r="AE930" s="101" t="s">
        <v>75</v>
      </c>
      <c r="AF930" s="101" t="s">
        <v>400</v>
      </c>
      <c r="AG930" s="101" t="s">
        <v>427</v>
      </c>
      <c r="AI930" s="101" t="s">
        <v>760</v>
      </c>
    </row>
    <row r="931" spans="1:35">
      <c r="A931" s="246" t="s">
        <v>113</v>
      </c>
      <c r="B931" s="246" t="s">
        <v>78</v>
      </c>
      <c r="C931" s="246" t="s">
        <v>126</v>
      </c>
      <c r="D931" s="246" t="s">
        <v>339</v>
      </c>
      <c r="E931" s="246" t="s">
        <v>340</v>
      </c>
      <c r="F931" s="246"/>
      <c r="G931" s="132" t="s">
        <v>707</v>
      </c>
      <c r="H931" s="132" t="s">
        <v>1728</v>
      </c>
      <c r="I931" s="132">
        <v>-22656.249999999996</v>
      </c>
      <c r="J931" s="101" t="s">
        <v>889</v>
      </c>
      <c r="K931" s="245" t="s">
        <v>390</v>
      </c>
      <c r="L931" s="245">
        <v>43054</v>
      </c>
      <c r="M931" s="245" t="s">
        <v>391</v>
      </c>
      <c r="N931" s="101">
        <v>0</v>
      </c>
      <c r="O931" s="101" t="s">
        <v>392</v>
      </c>
      <c r="P931" s="101">
        <v>0</v>
      </c>
      <c r="Q931" s="101">
        <v>0</v>
      </c>
      <c r="R931" s="101" t="s">
        <v>438</v>
      </c>
      <c r="S931" s="101">
        <v>194026</v>
      </c>
      <c r="T931" s="101" t="s">
        <v>394</v>
      </c>
      <c r="V931" s="245">
        <v>47253</v>
      </c>
      <c r="W931" s="101" t="s">
        <v>424</v>
      </c>
      <c r="X931" s="101" t="s">
        <v>76</v>
      </c>
      <c r="Y931" s="101" t="s">
        <v>392</v>
      </c>
      <c r="Z931" s="101" t="s">
        <v>430</v>
      </c>
      <c r="AA931" s="101" t="s">
        <v>78</v>
      </c>
      <c r="AB931" s="101">
        <v>4101000279</v>
      </c>
      <c r="AC931" s="101" t="s">
        <v>431</v>
      </c>
      <c r="AD931" s="101" t="s">
        <v>431</v>
      </c>
      <c r="AE931" s="101" t="s">
        <v>75</v>
      </c>
      <c r="AF931" s="101" t="s">
        <v>400</v>
      </c>
      <c r="AG931" s="101" t="s">
        <v>427</v>
      </c>
      <c r="AI931" s="101" t="s">
        <v>760</v>
      </c>
    </row>
    <row r="932" spans="1:35">
      <c r="A932" s="246" t="s">
        <v>110</v>
      </c>
      <c r="B932" s="246" t="s">
        <v>78</v>
      </c>
      <c r="C932" s="246" t="s">
        <v>126</v>
      </c>
      <c r="D932" s="246" t="s">
        <v>770</v>
      </c>
      <c r="E932" s="246" t="s">
        <v>771</v>
      </c>
      <c r="F932" s="246" t="s">
        <v>276</v>
      </c>
      <c r="G932" s="132" t="s">
        <v>1729</v>
      </c>
      <c r="H932" s="132" t="s">
        <v>1730</v>
      </c>
      <c r="I932" s="132">
        <v>-5.17</v>
      </c>
      <c r="J932" s="101" t="s">
        <v>889</v>
      </c>
      <c r="K932" s="245" t="s">
        <v>390</v>
      </c>
      <c r="L932" s="245">
        <v>42674</v>
      </c>
      <c r="M932" s="245" t="s">
        <v>391</v>
      </c>
      <c r="N932" s="101">
        <v>0</v>
      </c>
      <c r="O932" s="101" t="s">
        <v>392</v>
      </c>
      <c r="P932" s="101">
        <v>0</v>
      </c>
      <c r="Q932" s="101">
        <v>0</v>
      </c>
      <c r="R932" s="101" t="s">
        <v>393</v>
      </c>
      <c r="S932" s="101" t="s">
        <v>861</v>
      </c>
      <c r="T932" s="101" t="s">
        <v>394</v>
      </c>
      <c r="V932" s="245">
        <v>14427</v>
      </c>
      <c r="W932" s="101" t="s">
        <v>395</v>
      </c>
      <c r="X932" s="101" t="s">
        <v>795</v>
      </c>
      <c r="Y932" s="101" t="s">
        <v>396</v>
      </c>
      <c r="Z932" s="101" t="s">
        <v>402</v>
      </c>
      <c r="AA932" s="101" t="s">
        <v>78</v>
      </c>
      <c r="AB932" s="101">
        <v>4101000279</v>
      </c>
      <c r="AC932" s="101" t="s">
        <v>398</v>
      </c>
      <c r="AD932" s="101" t="s">
        <v>403</v>
      </c>
      <c r="AE932" s="101" t="s">
        <v>6</v>
      </c>
      <c r="AF932" s="101" t="s">
        <v>400</v>
      </c>
      <c r="AI932" s="101" t="s">
        <v>760</v>
      </c>
    </row>
    <row r="933" spans="1:35">
      <c r="A933" s="246" t="s">
        <v>111</v>
      </c>
      <c r="B933" s="246" t="s">
        <v>78</v>
      </c>
      <c r="C933" s="246" t="s">
        <v>126</v>
      </c>
      <c r="D933" s="246" t="s">
        <v>768</v>
      </c>
      <c r="E933" s="246" t="s">
        <v>769</v>
      </c>
      <c r="F933" s="246" t="s">
        <v>277</v>
      </c>
      <c r="G933" s="132" t="s">
        <v>1731</v>
      </c>
      <c r="H933" s="132" t="s">
        <v>1732</v>
      </c>
      <c r="I933" s="132">
        <v>-16.59</v>
      </c>
      <c r="J933" s="101" t="s">
        <v>889</v>
      </c>
      <c r="K933" s="245" t="s">
        <v>390</v>
      </c>
      <c r="L933" s="245">
        <v>42704</v>
      </c>
      <c r="M933" s="245" t="s">
        <v>391</v>
      </c>
      <c r="N933" s="101">
        <v>0</v>
      </c>
      <c r="O933" s="101" t="s">
        <v>392</v>
      </c>
      <c r="P933" s="101">
        <v>0</v>
      </c>
      <c r="Q933" s="101">
        <v>0</v>
      </c>
      <c r="R933" s="101" t="s">
        <v>393</v>
      </c>
      <c r="S933" s="101" t="s">
        <v>861</v>
      </c>
      <c r="T933" s="101" t="s">
        <v>394</v>
      </c>
      <c r="V933" s="245">
        <v>14427</v>
      </c>
      <c r="W933" s="101" t="s">
        <v>395</v>
      </c>
      <c r="X933" s="101" t="s">
        <v>795</v>
      </c>
      <c r="Y933" s="101" t="s">
        <v>396</v>
      </c>
      <c r="Z933" s="101" t="s">
        <v>402</v>
      </c>
      <c r="AA933" s="101" t="s">
        <v>78</v>
      </c>
      <c r="AB933" s="101">
        <v>4101000279</v>
      </c>
      <c r="AC933" s="101" t="s">
        <v>398</v>
      </c>
      <c r="AD933" s="101" t="s">
        <v>403</v>
      </c>
      <c r="AE933" s="101" t="s">
        <v>6</v>
      </c>
      <c r="AF933" s="101" t="s">
        <v>400</v>
      </c>
      <c r="AI933" s="101" t="s">
        <v>760</v>
      </c>
    </row>
    <row r="934" spans="1:35">
      <c r="A934" s="246" t="s">
        <v>111</v>
      </c>
      <c r="B934" s="246" t="s">
        <v>78</v>
      </c>
      <c r="C934" s="246" t="s">
        <v>126</v>
      </c>
      <c r="D934" s="246" t="s">
        <v>768</v>
      </c>
      <c r="E934" s="246" t="s">
        <v>769</v>
      </c>
      <c r="F934" s="246" t="s">
        <v>277</v>
      </c>
      <c r="G934" s="132" t="s">
        <v>1733</v>
      </c>
      <c r="H934" s="132" t="s">
        <v>1734</v>
      </c>
      <c r="I934" s="132">
        <v>-25.86</v>
      </c>
      <c r="J934" s="101" t="s">
        <v>889</v>
      </c>
      <c r="K934" s="245" t="s">
        <v>390</v>
      </c>
      <c r="L934" s="245">
        <v>42734</v>
      </c>
      <c r="M934" s="245" t="s">
        <v>391</v>
      </c>
      <c r="N934" s="101">
        <v>0</v>
      </c>
      <c r="O934" s="101" t="s">
        <v>392</v>
      </c>
      <c r="P934" s="101">
        <v>0</v>
      </c>
      <c r="Q934" s="101">
        <v>0</v>
      </c>
      <c r="R934" s="101" t="s">
        <v>393</v>
      </c>
      <c r="S934" s="101" t="s">
        <v>861</v>
      </c>
      <c r="T934" s="101" t="s">
        <v>394</v>
      </c>
      <c r="V934" s="245">
        <v>14427</v>
      </c>
      <c r="W934" s="101" t="s">
        <v>395</v>
      </c>
      <c r="X934" s="101" t="s">
        <v>795</v>
      </c>
      <c r="Y934" s="101" t="s">
        <v>396</v>
      </c>
      <c r="Z934" s="101" t="s">
        <v>402</v>
      </c>
      <c r="AA934" s="101" t="s">
        <v>78</v>
      </c>
      <c r="AB934" s="101">
        <v>4101000279</v>
      </c>
      <c r="AC934" s="101" t="s">
        <v>398</v>
      </c>
      <c r="AD934" s="101" t="s">
        <v>403</v>
      </c>
      <c r="AE934" s="101" t="s">
        <v>6</v>
      </c>
      <c r="AF934" s="101" t="s">
        <v>400</v>
      </c>
      <c r="AI934" s="101" t="s">
        <v>760</v>
      </c>
    </row>
    <row r="935" spans="1:35">
      <c r="A935" s="246" t="s">
        <v>111</v>
      </c>
      <c r="B935" s="246" t="s">
        <v>78</v>
      </c>
      <c r="C935" s="246" t="s">
        <v>126</v>
      </c>
      <c r="D935" s="246" t="s">
        <v>768</v>
      </c>
      <c r="E935" s="246" t="s">
        <v>769</v>
      </c>
      <c r="F935" s="246" t="s">
        <v>277</v>
      </c>
      <c r="G935" s="132" t="s">
        <v>1735</v>
      </c>
      <c r="H935" s="132" t="s">
        <v>1736</v>
      </c>
      <c r="I935" s="132">
        <v>-27.91</v>
      </c>
      <c r="J935" s="101" t="s">
        <v>889</v>
      </c>
      <c r="K935" s="245" t="s">
        <v>390</v>
      </c>
      <c r="L935" s="245">
        <v>42766</v>
      </c>
      <c r="M935" s="245" t="s">
        <v>391</v>
      </c>
      <c r="N935" s="101">
        <v>0</v>
      </c>
      <c r="O935" s="101" t="s">
        <v>392</v>
      </c>
      <c r="P935" s="101">
        <v>0</v>
      </c>
      <c r="Q935" s="101">
        <v>0</v>
      </c>
      <c r="R935" s="101" t="s">
        <v>393</v>
      </c>
      <c r="S935" s="101" t="s">
        <v>861</v>
      </c>
      <c r="T935" s="101" t="s">
        <v>394</v>
      </c>
      <c r="V935" s="245">
        <v>14427</v>
      </c>
      <c r="W935" s="101" t="s">
        <v>395</v>
      </c>
      <c r="X935" s="101" t="s">
        <v>795</v>
      </c>
      <c r="Y935" s="101" t="s">
        <v>396</v>
      </c>
      <c r="Z935" s="101" t="s">
        <v>402</v>
      </c>
      <c r="AA935" s="101" t="s">
        <v>78</v>
      </c>
      <c r="AB935" s="101">
        <v>4101000279</v>
      </c>
      <c r="AC935" s="101" t="s">
        <v>398</v>
      </c>
      <c r="AD935" s="101" t="s">
        <v>403</v>
      </c>
      <c r="AE935" s="101" t="s">
        <v>6</v>
      </c>
      <c r="AF935" s="101" t="s">
        <v>400</v>
      </c>
      <c r="AI935" s="101" t="s">
        <v>760</v>
      </c>
    </row>
    <row r="936" spans="1:35">
      <c r="A936" s="246" t="s">
        <v>111</v>
      </c>
      <c r="B936" s="246" t="s">
        <v>78</v>
      </c>
      <c r="C936" s="246" t="s">
        <v>126</v>
      </c>
      <c r="D936" s="246" t="s">
        <v>768</v>
      </c>
      <c r="E936" s="246" t="s">
        <v>769</v>
      </c>
      <c r="F936" s="246" t="s">
        <v>277</v>
      </c>
      <c r="G936" s="132" t="s">
        <v>1737</v>
      </c>
      <c r="H936" s="132" t="s">
        <v>1738</v>
      </c>
      <c r="I936" s="132">
        <v>-37.11</v>
      </c>
      <c r="J936" s="101" t="s">
        <v>889</v>
      </c>
      <c r="K936" s="245" t="s">
        <v>390</v>
      </c>
      <c r="L936" s="245">
        <v>42794</v>
      </c>
      <c r="M936" s="245" t="s">
        <v>391</v>
      </c>
      <c r="N936" s="101">
        <v>0</v>
      </c>
      <c r="O936" s="101" t="s">
        <v>392</v>
      </c>
      <c r="P936" s="101">
        <v>0</v>
      </c>
      <c r="Q936" s="101">
        <v>0</v>
      </c>
      <c r="R936" s="101" t="s">
        <v>393</v>
      </c>
      <c r="S936" s="101" t="s">
        <v>861</v>
      </c>
      <c r="T936" s="101" t="s">
        <v>394</v>
      </c>
      <c r="V936" s="245">
        <v>14427</v>
      </c>
      <c r="W936" s="101" t="s">
        <v>395</v>
      </c>
      <c r="X936" s="101" t="s">
        <v>795</v>
      </c>
      <c r="Y936" s="101" t="s">
        <v>396</v>
      </c>
      <c r="Z936" s="101" t="s">
        <v>402</v>
      </c>
      <c r="AA936" s="101" t="s">
        <v>78</v>
      </c>
      <c r="AB936" s="101">
        <v>4101000279</v>
      </c>
      <c r="AC936" s="101" t="s">
        <v>398</v>
      </c>
      <c r="AD936" s="101" t="s">
        <v>403</v>
      </c>
      <c r="AE936" s="101" t="s">
        <v>6</v>
      </c>
      <c r="AF936" s="101" t="s">
        <v>400</v>
      </c>
      <c r="AI936" s="101" t="s">
        <v>760</v>
      </c>
    </row>
    <row r="937" spans="1:35">
      <c r="A937" s="246" t="s">
        <v>111</v>
      </c>
      <c r="B937" s="246" t="s">
        <v>78</v>
      </c>
      <c r="C937" s="246" t="s">
        <v>126</v>
      </c>
      <c r="D937" s="246" t="s">
        <v>768</v>
      </c>
      <c r="E937" s="246" t="s">
        <v>769</v>
      </c>
      <c r="F937" s="246" t="s">
        <v>277</v>
      </c>
      <c r="G937" s="132" t="s">
        <v>1739</v>
      </c>
      <c r="H937" s="132" t="s">
        <v>1740</v>
      </c>
      <c r="I937" s="132">
        <v>-52.199999999999996</v>
      </c>
      <c r="J937" s="101" t="s">
        <v>889</v>
      </c>
      <c r="K937" s="245" t="s">
        <v>390</v>
      </c>
      <c r="L937" s="245">
        <v>42825</v>
      </c>
      <c r="M937" s="245" t="s">
        <v>391</v>
      </c>
      <c r="N937" s="101">
        <v>0</v>
      </c>
      <c r="O937" s="101" t="s">
        <v>392</v>
      </c>
      <c r="P937" s="101">
        <v>0</v>
      </c>
      <c r="Q937" s="101">
        <v>0</v>
      </c>
      <c r="R937" s="101" t="s">
        <v>393</v>
      </c>
      <c r="S937" s="101" t="s">
        <v>861</v>
      </c>
      <c r="T937" s="101" t="s">
        <v>394</v>
      </c>
      <c r="V937" s="245">
        <v>14427</v>
      </c>
      <c r="W937" s="101" t="s">
        <v>395</v>
      </c>
      <c r="X937" s="101" t="s">
        <v>795</v>
      </c>
      <c r="Y937" s="101" t="s">
        <v>396</v>
      </c>
      <c r="Z937" s="101" t="s">
        <v>402</v>
      </c>
      <c r="AA937" s="101" t="s">
        <v>78</v>
      </c>
      <c r="AB937" s="101">
        <v>4101000279</v>
      </c>
      <c r="AC937" s="101" t="s">
        <v>398</v>
      </c>
      <c r="AD937" s="101" t="s">
        <v>403</v>
      </c>
      <c r="AE937" s="101" t="s">
        <v>6</v>
      </c>
      <c r="AF937" s="101" t="s">
        <v>400</v>
      </c>
      <c r="AI937" s="101" t="s">
        <v>760</v>
      </c>
    </row>
    <row r="938" spans="1:35">
      <c r="A938" s="246" t="s">
        <v>111</v>
      </c>
      <c r="B938" s="246" t="s">
        <v>78</v>
      </c>
      <c r="C938" s="246" t="s">
        <v>126</v>
      </c>
      <c r="D938" s="246" t="s">
        <v>768</v>
      </c>
      <c r="E938" s="246" t="s">
        <v>769</v>
      </c>
      <c r="F938" s="246" t="s">
        <v>277</v>
      </c>
      <c r="G938" s="132" t="s">
        <v>1741</v>
      </c>
      <c r="H938" s="132" t="s">
        <v>1742</v>
      </c>
      <c r="I938" s="132">
        <v>-47.47</v>
      </c>
      <c r="J938" s="101" t="s">
        <v>889</v>
      </c>
      <c r="K938" s="245" t="s">
        <v>390</v>
      </c>
      <c r="L938" s="245">
        <v>42853</v>
      </c>
      <c r="M938" s="245" t="s">
        <v>391</v>
      </c>
      <c r="N938" s="101">
        <v>0</v>
      </c>
      <c r="O938" s="101" t="s">
        <v>392</v>
      </c>
      <c r="P938" s="101">
        <v>0</v>
      </c>
      <c r="Q938" s="101">
        <v>0</v>
      </c>
      <c r="R938" s="101" t="s">
        <v>393</v>
      </c>
      <c r="S938" s="101" t="s">
        <v>861</v>
      </c>
      <c r="T938" s="101" t="s">
        <v>394</v>
      </c>
      <c r="V938" s="245">
        <v>14427</v>
      </c>
      <c r="W938" s="101" t="s">
        <v>395</v>
      </c>
      <c r="X938" s="101" t="s">
        <v>795</v>
      </c>
      <c r="Y938" s="101" t="s">
        <v>396</v>
      </c>
      <c r="Z938" s="101" t="s">
        <v>402</v>
      </c>
      <c r="AA938" s="101" t="s">
        <v>78</v>
      </c>
      <c r="AB938" s="101">
        <v>4101000279</v>
      </c>
      <c r="AC938" s="101" t="s">
        <v>398</v>
      </c>
      <c r="AD938" s="101" t="s">
        <v>403</v>
      </c>
      <c r="AE938" s="101" t="s">
        <v>6</v>
      </c>
      <c r="AF938" s="101" t="s">
        <v>400</v>
      </c>
      <c r="AI938" s="101" t="s">
        <v>760</v>
      </c>
    </row>
    <row r="939" spans="1:35">
      <c r="A939" s="246" t="s">
        <v>112</v>
      </c>
      <c r="B939" s="246" t="s">
        <v>78</v>
      </c>
      <c r="C939" s="246" t="s">
        <v>126</v>
      </c>
      <c r="D939" s="246" t="s">
        <v>341</v>
      </c>
      <c r="E939" s="246" t="s">
        <v>342</v>
      </c>
      <c r="F939" s="246" t="s">
        <v>278</v>
      </c>
      <c r="G939" s="132" t="s">
        <v>1743</v>
      </c>
      <c r="H939" s="132" t="s">
        <v>1744</v>
      </c>
      <c r="I939" s="132">
        <v>-71.569999999999993</v>
      </c>
      <c r="J939" s="101" t="s">
        <v>889</v>
      </c>
      <c r="K939" s="245" t="s">
        <v>390</v>
      </c>
      <c r="L939" s="245">
        <v>42886</v>
      </c>
      <c r="M939" s="245" t="s">
        <v>391</v>
      </c>
      <c r="N939" s="101">
        <v>0</v>
      </c>
      <c r="O939" s="101" t="s">
        <v>392</v>
      </c>
      <c r="P939" s="101">
        <v>0</v>
      </c>
      <c r="Q939" s="101">
        <v>0</v>
      </c>
      <c r="R939" s="101" t="s">
        <v>393</v>
      </c>
      <c r="S939" s="101" t="s">
        <v>861</v>
      </c>
      <c r="T939" s="101" t="s">
        <v>394</v>
      </c>
      <c r="V939" s="245">
        <v>14427</v>
      </c>
      <c r="W939" s="101" t="s">
        <v>395</v>
      </c>
      <c r="X939" s="101" t="s">
        <v>795</v>
      </c>
      <c r="Y939" s="101" t="s">
        <v>396</v>
      </c>
      <c r="Z939" s="101" t="s">
        <v>402</v>
      </c>
      <c r="AA939" s="101" t="s">
        <v>78</v>
      </c>
      <c r="AB939" s="101">
        <v>4101000279</v>
      </c>
      <c r="AC939" s="101" t="s">
        <v>398</v>
      </c>
      <c r="AD939" s="101" t="s">
        <v>403</v>
      </c>
      <c r="AE939" s="101" t="s">
        <v>6</v>
      </c>
      <c r="AF939" s="101" t="s">
        <v>400</v>
      </c>
      <c r="AI939" s="101" t="s">
        <v>760</v>
      </c>
    </row>
    <row r="940" spans="1:35">
      <c r="A940" s="246" t="s">
        <v>112</v>
      </c>
      <c r="B940" s="246" t="s">
        <v>78</v>
      </c>
      <c r="C940" s="246" t="s">
        <v>126</v>
      </c>
      <c r="D940" s="246" t="s">
        <v>341</v>
      </c>
      <c r="E940" s="246" t="s">
        <v>342</v>
      </c>
      <c r="F940" s="246" t="s">
        <v>278</v>
      </c>
      <c r="G940" s="132" t="s">
        <v>1745</v>
      </c>
      <c r="H940" s="132" t="s">
        <v>1746</v>
      </c>
      <c r="I940" s="132">
        <v>-74.839999999999989</v>
      </c>
      <c r="J940" s="101" t="s">
        <v>889</v>
      </c>
      <c r="K940" s="245" t="s">
        <v>390</v>
      </c>
      <c r="L940" s="245">
        <v>42916</v>
      </c>
      <c r="M940" s="245" t="s">
        <v>391</v>
      </c>
      <c r="N940" s="101">
        <v>0</v>
      </c>
      <c r="O940" s="101" t="s">
        <v>392</v>
      </c>
      <c r="P940" s="101">
        <v>0</v>
      </c>
      <c r="Q940" s="101">
        <v>0</v>
      </c>
      <c r="R940" s="101" t="s">
        <v>393</v>
      </c>
      <c r="S940" s="101" t="s">
        <v>861</v>
      </c>
      <c r="T940" s="101" t="s">
        <v>394</v>
      </c>
      <c r="V940" s="245">
        <v>14427</v>
      </c>
      <c r="W940" s="101" t="s">
        <v>395</v>
      </c>
      <c r="X940" s="101" t="s">
        <v>795</v>
      </c>
      <c r="Y940" s="101" t="s">
        <v>396</v>
      </c>
      <c r="Z940" s="101" t="s">
        <v>402</v>
      </c>
      <c r="AA940" s="101" t="s">
        <v>78</v>
      </c>
      <c r="AB940" s="101">
        <v>4101000279</v>
      </c>
      <c r="AC940" s="101" t="s">
        <v>398</v>
      </c>
      <c r="AD940" s="101" t="s">
        <v>403</v>
      </c>
      <c r="AE940" s="101" t="s">
        <v>6</v>
      </c>
      <c r="AF940" s="101" t="s">
        <v>400</v>
      </c>
      <c r="AI940" s="101" t="s">
        <v>760</v>
      </c>
    </row>
    <row r="941" spans="1:35">
      <c r="A941" s="246" t="s">
        <v>112</v>
      </c>
      <c r="B941" s="246" t="s">
        <v>78</v>
      </c>
      <c r="C941" s="246" t="s">
        <v>126</v>
      </c>
      <c r="D941" s="246" t="s">
        <v>341</v>
      </c>
      <c r="E941" s="246" t="s">
        <v>342</v>
      </c>
      <c r="F941" s="246" t="s">
        <v>278</v>
      </c>
      <c r="G941" s="132" t="s">
        <v>1747</v>
      </c>
      <c r="H941" s="132" t="s">
        <v>1748</v>
      </c>
      <c r="I941" s="132">
        <v>-77.61</v>
      </c>
      <c r="J941" s="101" t="s">
        <v>889</v>
      </c>
      <c r="K941" s="245" t="s">
        <v>390</v>
      </c>
      <c r="L941" s="245">
        <v>42947</v>
      </c>
      <c r="M941" s="245" t="s">
        <v>391</v>
      </c>
      <c r="N941" s="101">
        <v>0</v>
      </c>
      <c r="O941" s="101" t="s">
        <v>392</v>
      </c>
      <c r="P941" s="101">
        <v>0</v>
      </c>
      <c r="Q941" s="101">
        <v>0</v>
      </c>
      <c r="R941" s="101" t="s">
        <v>393</v>
      </c>
      <c r="S941" s="101" t="s">
        <v>861</v>
      </c>
      <c r="T941" s="101" t="s">
        <v>394</v>
      </c>
      <c r="V941" s="245">
        <v>14427</v>
      </c>
      <c r="W941" s="101" t="s">
        <v>395</v>
      </c>
      <c r="X941" s="101" t="s">
        <v>795</v>
      </c>
      <c r="Y941" s="101" t="s">
        <v>396</v>
      </c>
      <c r="Z941" s="101" t="s">
        <v>402</v>
      </c>
      <c r="AA941" s="101" t="s">
        <v>78</v>
      </c>
      <c r="AB941" s="101">
        <v>4101000279</v>
      </c>
      <c r="AC941" s="101" t="s">
        <v>398</v>
      </c>
      <c r="AD941" s="101" t="s">
        <v>403</v>
      </c>
      <c r="AE941" s="101" t="s">
        <v>6</v>
      </c>
      <c r="AF941" s="101" t="s">
        <v>400</v>
      </c>
      <c r="AI941" s="101" t="s">
        <v>760</v>
      </c>
    </row>
    <row r="942" spans="1:35">
      <c r="A942" s="246" t="s">
        <v>112</v>
      </c>
      <c r="B942" s="246" t="s">
        <v>78</v>
      </c>
      <c r="C942" s="246" t="s">
        <v>126</v>
      </c>
      <c r="D942" s="246" t="s">
        <v>341</v>
      </c>
      <c r="E942" s="246" t="s">
        <v>342</v>
      </c>
      <c r="F942" s="246" t="s">
        <v>278</v>
      </c>
      <c r="G942" s="132" t="s">
        <v>1749</v>
      </c>
      <c r="H942" s="132" t="s">
        <v>1750</v>
      </c>
      <c r="I942" s="132">
        <v>-77.61999999999999</v>
      </c>
      <c r="J942" s="101" t="s">
        <v>889</v>
      </c>
      <c r="K942" s="245" t="s">
        <v>390</v>
      </c>
      <c r="L942" s="245">
        <v>42978</v>
      </c>
      <c r="M942" s="245" t="s">
        <v>391</v>
      </c>
      <c r="N942" s="101">
        <v>0</v>
      </c>
      <c r="O942" s="101" t="s">
        <v>392</v>
      </c>
      <c r="P942" s="101">
        <v>0</v>
      </c>
      <c r="Q942" s="101">
        <v>0</v>
      </c>
      <c r="R942" s="101" t="s">
        <v>393</v>
      </c>
      <c r="S942" s="101" t="s">
        <v>861</v>
      </c>
      <c r="T942" s="101" t="s">
        <v>394</v>
      </c>
      <c r="V942" s="245">
        <v>14427</v>
      </c>
      <c r="W942" s="101" t="s">
        <v>395</v>
      </c>
      <c r="X942" s="101" t="s">
        <v>795</v>
      </c>
      <c r="Y942" s="101" t="s">
        <v>396</v>
      </c>
      <c r="Z942" s="101" t="s">
        <v>402</v>
      </c>
      <c r="AA942" s="101" t="s">
        <v>78</v>
      </c>
      <c r="AB942" s="101">
        <v>4101000279</v>
      </c>
      <c r="AC942" s="101" t="s">
        <v>398</v>
      </c>
      <c r="AD942" s="101" t="s">
        <v>403</v>
      </c>
      <c r="AE942" s="101" t="s">
        <v>6</v>
      </c>
      <c r="AF942" s="101" t="s">
        <v>400</v>
      </c>
      <c r="AI942" s="101" t="s">
        <v>760</v>
      </c>
    </row>
    <row r="943" spans="1:35">
      <c r="A943" s="246" t="s">
        <v>112</v>
      </c>
      <c r="B943" s="246" t="s">
        <v>78</v>
      </c>
      <c r="C943" s="246" t="s">
        <v>126</v>
      </c>
      <c r="D943" s="246" t="s">
        <v>341</v>
      </c>
      <c r="E943" s="246" t="s">
        <v>342</v>
      </c>
      <c r="F943" s="246" t="s">
        <v>278</v>
      </c>
      <c r="G943" s="132" t="s">
        <v>1751</v>
      </c>
      <c r="H943" s="132" t="s">
        <v>1752</v>
      </c>
      <c r="I943" s="132">
        <v>-72.61</v>
      </c>
      <c r="J943" s="101" t="s">
        <v>889</v>
      </c>
      <c r="K943" s="245" t="s">
        <v>390</v>
      </c>
      <c r="L943" s="245">
        <v>43007</v>
      </c>
      <c r="M943" s="245" t="s">
        <v>391</v>
      </c>
      <c r="N943" s="101">
        <v>0</v>
      </c>
      <c r="O943" s="101" t="s">
        <v>392</v>
      </c>
      <c r="P943" s="101">
        <v>0</v>
      </c>
      <c r="Q943" s="101">
        <v>0</v>
      </c>
      <c r="R943" s="101" t="s">
        <v>393</v>
      </c>
      <c r="S943" s="101" t="s">
        <v>861</v>
      </c>
      <c r="T943" s="101" t="s">
        <v>394</v>
      </c>
      <c r="V943" s="245">
        <v>14427</v>
      </c>
      <c r="W943" s="101" t="s">
        <v>395</v>
      </c>
      <c r="X943" s="101" t="s">
        <v>795</v>
      </c>
      <c r="Y943" s="101" t="s">
        <v>396</v>
      </c>
      <c r="Z943" s="101" t="s">
        <v>402</v>
      </c>
      <c r="AA943" s="101" t="s">
        <v>78</v>
      </c>
      <c r="AB943" s="101">
        <v>4101000279</v>
      </c>
      <c r="AC943" s="101" t="s">
        <v>398</v>
      </c>
      <c r="AD943" s="101" t="s">
        <v>403</v>
      </c>
      <c r="AE943" s="101" t="s">
        <v>6</v>
      </c>
      <c r="AF943" s="101" t="s">
        <v>400</v>
      </c>
      <c r="AI943" s="101" t="s">
        <v>760</v>
      </c>
    </row>
    <row r="944" spans="1:35">
      <c r="A944" s="246" t="s">
        <v>112</v>
      </c>
      <c r="B944" s="246" t="s">
        <v>78</v>
      </c>
      <c r="C944" s="246" t="s">
        <v>126</v>
      </c>
      <c r="D944" s="246" t="s">
        <v>341</v>
      </c>
      <c r="E944" s="246" t="s">
        <v>342</v>
      </c>
      <c r="F944" s="246" t="s">
        <v>278</v>
      </c>
      <c r="G944" s="132" t="s">
        <v>1753</v>
      </c>
      <c r="H944" s="132" t="s">
        <v>1754</v>
      </c>
      <c r="I944" s="132">
        <v>-80.12</v>
      </c>
      <c r="J944" s="101" t="s">
        <v>889</v>
      </c>
      <c r="K944" s="245" t="s">
        <v>390</v>
      </c>
      <c r="L944" s="245">
        <v>43039</v>
      </c>
      <c r="M944" s="245" t="s">
        <v>391</v>
      </c>
      <c r="N944" s="101">
        <v>0</v>
      </c>
      <c r="O944" s="101" t="s">
        <v>392</v>
      </c>
      <c r="P944" s="101">
        <v>0</v>
      </c>
      <c r="Q944" s="101">
        <v>0</v>
      </c>
      <c r="R944" s="101" t="s">
        <v>393</v>
      </c>
      <c r="S944" s="101" t="s">
        <v>861</v>
      </c>
      <c r="T944" s="101" t="s">
        <v>394</v>
      </c>
      <c r="V944" s="245">
        <v>14427</v>
      </c>
      <c r="W944" s="101" t="s">
        <v>395</v>
      </c>
      <c r="X944" s="101" t="s">
        <v>795</v>
      </c>
      <c r="Y944" s="101" t="s">
        <v>396</v>
      </c>
      <c r="Z944" s="101" t="s">
        <v>402</v>
      </c>
      <c r="AA944" s="101" t="s">
        <v>78</v>
      </c>
      <c r="AB944" s="101">
        <v>4101000279</v>
      </c>
      <c r="AC944" s="101" t="s">
        <v>398</v>
      </c>
      <c r="AD944" s="101" t="s">
        <v>403</v>
      </c>
      <c r="AE944" s="101" t="s">
        <v>6</v>
      </c>
      <c r="AF944" s="101" t="s">
        <v>400</v>
      </c>
      <c r="AI944" s="101" t="s">
        <v>760</v>
      </c>
    </row>
    <row r="945" spans="1:35">
      <c r="A945" s="246" t="s">
        <v>113</v>
      </c>
      <c r="B945" s="246" t="s">
        <v>78</v>
      </c>
      <c r="C945" s="246" t="s">
        <v>126</v>
      </c>
      <c r="D945" s="246" t="s">
        <v>339</v>
      </c>
      <c r="E945" s="246" t="s">
        <v>340</v>
      </c>
      <c r="F945" s="246" t="s">
        <v>279</v>
      </c>
      <c r="G945" s="132" t="s">
        <v>1755</v>
      </c>
      <c r="H945" s="132" t="s">
        <v>1756</v>
      </c>
      <c r="I945" s="132">
        <v>-75.11</v>
      </c>
      <c r="J945" s="101" t="s">
        <v>889</v>
      </c>
      <c r="K945" s="245" t="s">
        <v>390</v>
      </c>
      <c r="L945" s="245">
        <v>43069</v>
      </c>
      <c r="M945" s="245" t="s">
        <v>391</v>
      </c>
      <c r="N945" s="101">
        <v>0</v>
      </c>
      <c r="O945" s="101" t="s">
        <v>392</v>
      </c>
      <c r="P945" s="101">
        <v>0</v>
      </c>
      <c r="Q945" s="101">
        <v>0</v>
      </c>
      <c r="R945" s="101" t="s">
        <v>393</v>
      </c>
      <c r="S945" s="101" t="s">
        <v>861</v>
      </c>
      <c r="T945" s="101" t="s">
        <v>394</v>
      </c>
      <c r="V945" s="245">
        <v>14427</v>
      </c>
      <c r="W945" s="101" t="s">
        <v>395</v>
      </c>
      <c r="X945" s="101" t="s">
        <v>795</v>
      </c>
      <c r="Y945" s="101" t="s">
        <v>396</v>
      </c>
      <c r="Z945" s="101" t="s">
        <v>402</v>
      </c>
      <c r="AA945" s="101" t="s">
        <v>78</v>
      </c>
      <c r="AB945" s="101">
        <v>4101000279</v>
      </c>
      <c r="AC945" s="101" t="s">
        <v>398</v>
      </c>
      <c r="AD945" s="101" t="s">
        <v>403</v>
      </c>
      <c r="AE945" s="101" t="s">
        <v>6</v>
      </c>
      <c r="AF945" s="101" t="s">
        <v>400</v>
      </c>
      <c r="AI945" s="101" t="s">
        <v>760</v>
      </c>
    </row>
    <row r="946" spans="1:35">
      <c r="A946" s="246" t="s">
        <v>113</v>
      </c>
      <c r="B946" s="246" t="s">
        <v>78</v>
      </c>
      <c r="C946" s="246" t="s">
        <v>126</v>
      </c>
      <c r="D946" s="246" t="s">
        <v>339</v>
      </c>
      <c r="E946" s="246" t="s">
        <v>340</v>
      </c>
      <c r="F946" s="246" t="s">
        <v>279</v>
      </c>
      <c r="G946" s="132" t="s">
        <v>1751</v>
      </c>
      <c r="H946" s="132" t="s">
        <v>1752</v>
      </c>
      <c r="I946" s="132">
        <v>-72.61</v>
      </c>
      <c r="J946" s="101" t="s">
        <v>889</v>
      </c>
      <c r="K946" s="245" t="s">
        <v>390</v>
      </c>
      <c r="L946" s="245">
        <v>43098</v>
      </c>
      <c r="M946" s="245" t="s">
        <v>391</v>
      </c>
      <c r="N946" s="101">
        <v>0</v>
      </c>
      <c r="O946" s="101" t="s">
        <v>392</v>
      </c>
      <c r="P946" s="101">
        <v>0</v>
      </c>
      <c r="Q946" s="101">
        <v>0</v>
      </c>
      <c r="R946" s="101" t="s">
        <v>393</v>
      </c>
      <c r="S946" s="101" t="s">
        <v>861</v>
      </c>
      <c r="T946" s="101" t="s">
        <v>394</v>
      </c>
      <c r="V946" s="245">
        <v>14427</v>
      </c>
      <c r="W946" s="101" t="s">
        <v>395</v>
      </c>
      <c r="X946" s="101" t="s">
        <v>795</v>
      </c>
      <c r="Y946" s="101" t="s">
        <v>396</v>
      </c>
      <c r="Z946" s="101" t="s">
        <v>402</v>
      </c>
      <c r="AA946" s="101" t="s">
        <v>78</v>
      </c>
      <c r="AB946" s="101">
        <v>4101000279</v>
      </c>
      <c r="AC946" s="101" t="s">
        <v>398</v>
      </c>
      <c r="AD946" s="101" t="s">
        <v>403</v>
      </c>
      <c r="AE946" s="101" t="s">
        <v>6</v>
      </c>
      <c r="AF946" s="101" t="s">
        <v>400</v>
      </c>
      <c r="AI946" s="101" t="s">
        <v>760</v>
      </c>
    </row>
    <row r="947" spans="1:35">
      <c r="A947" s="246" t="s">
        <v>110</v>
      </c>
      <c r="B947" s="246" t="s">
        <v>78</v>
      </c>
      <c r="C947" s="246" t="s">
        <v>126</v>
      </c>
      <c r="D947" s="246" t="s">
        <v>770</v>
      </c>
      <c r="E947" s="246" t="s">
        <v>771</v>
      </c>
      <c r="F947" s="246"/>
      <c r="G947" s="132">
        <v>-13750</v>
      </c>
      <c r="H947" s="132" t="s">
        <v>1757</v>
      </c>
      <c r="I947" s="132">
        <v>-13749.999999999998</v>
      </c>
      <c r="J947" s="101" t="s">
        <v>889</v>
      </c>
      <c r="K947" s="245" t="s">
        <v>390</v>
      </c>
      <c r="L947" s="245">
        <v>42597</v>
      </c>
      <c r="M947" s="245" t="s">
        <v>391</v>
      </c>
      <c r="N947" s="101">
        <v>0</v>
      </c>
      <c r="O947" s="101" t="s">
        <v>392</v>
      </c>
      <c r="P947" s="101">
        <v>0</v>
      </c>
      <c r="Q947" s="101">
        <v>0</v>
      </c>
      <c r="R947" s="101" t="s">
        <v>450</v>
      </c>
      <c r="S947" s="101">
        <v>194028</v>
      </c>
      <c r="T947" s="101" t="s">
        <v>394</v>
      </c>
      <c r="V947" s="245">
        <v>46980</v>
      </c>
      <c r="W947" s="101" t="s">
        <v>411</v>
      </c>
      <c r="X947" s="101" t="s">
        <v>77</v>
      </c>
      <c r="Y947" s="101" t="s">
        <v>392</v>
      </c>
      <c r="Z947" s="101" t="s">
        <v>430</v>
      </c>
      <c r="AA947" s="101" t="s">
        <v>78</v>
      </c>
      <c r="AB947" s="101">
        <v>4101000279</v>
      </c>
      <c r="AC947" s="101" t="s">
        <v>431</v>
      </c>
      <c r="AD947" s="101" t="s">
        <v>431</v>
      </c>
      <c r="AE947" s="101" t="s">
        <v>75</v>
      </c>
      <c r="AF947" s="101" t="s">
        <v>400</v>
      </c>
      <c r="AG947" s="101" t="s">
        <v>452</v>
      </c>
      <c r="AI947" s="101" t="s">
        <v>760</v>
      </c>
    </row>
    <row r="948" spans="1:35">
      <c r="A948" s="246" t="s">
        <v>111</v>
      </c>
      <c r="B948" s="246" t="s">
        <v>78</v>
      </c>
      <c r="C948" s="246" t="s">
        <v>126</v>
      </c>
      <c r="D948" s="246" t="s">
        <v>768</v>
      </c>
      <c r="E948" s="246" t="s">
        <v>769</v>
      </c>
      <c r="F948" s="246"/>
      <c r="G948" s="132">
        <v>-13750</v>
      </c>
      <c r="H948" s="132" t="s">
        <v>1757</v>
      </c>
      <c r="I948" s="132">
        <v>-13749.999999999998</v>
      </c>
      <c r="J948" s="101" t="s">
        <v>889</v>
      </c>
      <c r="K948" s="245" t="s">
        <v>390</v>
      </c>
      <c r="L948" s="245">
        <v>42781</v>
      </c>
      <c r="M948" s="245" t="s">
        <v>391</v>
      </c>
      <c r="N948" s="101">
        <v>0</v>
      </c>
      <c r="O948" s="101" t="s">
        <v>392</v>
      </c>
      <c r="P948" s="101">
        <v>0</v>
      </c>
      <c r="Q948" s="101">
        <v>0</v>
      </c>
      <c r="R948" s="101" t="s">
        <v>450</v>
      </c>
      <c r="S948" s="101">
        <v>194028</v>
      </c>
      <c r="T948" s="101" t="s">
        <v>394</v>
      </c>
      <c r="V948" s="245">
        <v>46980</v>
      </c>
      <c r="W948" s="101" t="s">
        <v>411</v>
      </c>
      <c r="X948" s="101" t="s">
        <v>77</v>
      </c>
      <c r="Y948" s="101" t="s">
        <v>392</v>
      </c>
      <c r="Z948" s="101" t="s">
        <v>430</v>
      </c>
      <c r="AA948" s="101" t="s">
        <v>78</v>
      </c>
      <c r="AB948" s="101">
        <v>4101000279</v>
      </c>
      <c r="AC948" s="101" t="s">
        <v>431</v>
      </c>
      <c r="AD948" s="101" t="s">
        <v>431</v>
      </c>
      <c r="AE948" s="101" t="s">
        <v>75</v>
      </c>
      <c r="AF948" s="101" t="s">
        <v>400</v>
      </c>
      <c r="AG948" s="101" t="s">
        <v>452</v>
      </c>
      <c r="AI948" s="101" t="s">
        <v>760</v>
      </c>
    </row>
    <row r="949" spans="1:35">
      <c r="A949" s="246" t="s">
        <v>112</v>
      </c>
      <c r="B949" s="246" t="s">
        <v>78</v>
      </c>
      <c r="C949" s="246" t="s">
        <v>126</v>
      </c>
      <c r="D949" s="246" t="s">
        <v>341</v>
      </c>
      <c r="E949" s="246" t="s">
        <v>342</v>
      </c>
      <c r="F949" s="246"/>
      <c r="G949" s="132">
        <v>-13750</v>
      </c>
      <c r="H949" s="132" t="s">
        <v>1757</v>
      </c>
      <c r="I949" s="132">
        <v>-13749.999999999998</v>
      </c>
      <c r="J949" s="101" t="s">
        <v>889</v>
      </c>
      <c r="K949" s="245" t="s">
        <v>390</v>
      </c>
      <c r="L949" s="245">
        <v>42962</v>
      </c>
      <c r="M949" s="245" t="s">
        <v>391</v>
      </c>
      <c r="N949" s="101">
        <v>0</v>
      </c>
      <c r="O949" s="101" t="s">
        <v>392</v>
      </c>
      <c r="P949" s="101">
        <v>0</v>
      </c>
      <c r="Q949" s="101">
        <v>0</v>
      </c>
      <c r="R949" s="101" t="s">
        <v>450</v>
      </c>
      <c r="S949" s="101">
        <v>194028</v>
      </c>
      <c r="T949" s="101" t="s">
        <v>394</v>
      </c>
      <c r="V949" s="245">
        <v>46980</v>
      </c>
      <c r="W949" s="101" t="s">
        <v>411</v>
      </c>
      <c r="X949" s="101" t="s">
        <v>77</v>
      </c>
      <c r="Y949" s="101" t="s">
        <v>392</v>
      </c>
      <c r="Z949" s="101" t="s">
        <v>430</v>
      </c>
      <c r="AA949" s="101" t="s">
        <v>78</v>
      </c>
      <c r="AB949" s="101">
        <v>4101000279</v>
      </c>
      <c r="AC949" s="101" t="s">
        <v>431</v>
      </c>
      <c r="AD949" s="101" t="s">
        <v>431</v>
      </c>
      <c r="AE949" s="101" t="s">
        <v>75</v>
      </c>
      <c r="AF949" s="101" t="s">
        <v>400</v>
      </c>
      <c r="AG949" s="101" t="s">
        <v>452</v>
      </c>
      <c r="AI949" s="101" t="s">
        <v>760</v>
      </c>
    </row>
    <row r="950" spans="1:35">
      <c r="A950" s="246" t="s">
        <v>113</v>
      </c>
      <c r="B950" s="246" t="s">
        <v>78</v>
      </c>
      <c r="C950" s="246" t="s">
        <v>126</v>
      </c>
      <c r="D950" s="246" t="s">
        <v>339</v>
      </c>
      <c r="E950" s="246" t="s">
        <v>340</v>
      </c>
      <c r="F950" s="246"/>
      <c r="G950" s="132">
        <v>-13750</v>
      </c>
      <c r="H950" s="132" t="s">
        <v>1757</v>
      </c>
      <c r="I950" s="132">
        <v>-13749.999999999998</v>
      </c>
      <c r="J950" s="101" t="s">
        <v>889</v>
      </c>
      <c r="K950" s="245" t="s">
        <v>390</v>
      </c>
      <c r="L950" s="245">
        <v>43146</v>
      </c>
      <c r="M950" s="245" t="s">
        <v>391</v>
      </c>
      <c r="N950" s="101">
        <v>0</v>
      </c>
      <c r="O950" s="101" t="s">
        <v>392</v>
      </c>
      <c r="P950" s="101">
        <v>0</v>
      </c>
      <c r="Q950" s="101">
        <v>0</v>
      </c>
      <c r="R950" s="101" t="s">
        <v>450</v>
      </c>
      <c r="S950" s="101">
        <v>194028</v>
      </c>
      <c r="T950" s="101" t="s">
        <v>394</v>
      </c>
      <c r="V950" s="245">
        <v>46980</v>
      </c>
      <c r="W950" s="101" t="s">
        <v>411</v>
      </c>
      <c r="X950" s="101" t="s">
        <v>77</v>
      </c>
      <c r="Y950" s="101" t="s">
        <v>392</v>
      </c>
      <c r="Z950" s="101" t="s">
        <v>430</v>
      </c>
      <c r="AA950" s="101" t="s">
        <v>78</v>
      </c>
      <c r="AB950" s="101">
        <v>4101000279</v>
      </c>
      <c r="AC950" s="101" t="s">
        <v>431</v>
      </c>
      <c r="AD950" s="101" t="s">
        <v>431</v>
      </c>
      <c r="AE950" s="101" t="s">
        <v>75</v>
      </c>
      <c r="AF950" s="101" t="s">
        <v>400</v>
      </c>
      <c r="AG950" s="101" t="s">
        <v>452</v>
      </c>
      <c r="AI950" s="101" t="s">
        <v>760</v>
      </c>
    </row>
    <row r="951" spans="1:35">
      <c r="A951" s="246" t="s">
        <v>103</v>
      </c>
      <c r="B951" s="246" t="s">
        <v>78</v>
      </c>
      <c r="C951" s="246" t="s">
        <v>126</v>
      </c>
      <c r="D951" s="246" t="s">
        <v>886</v>
      </c>
      <c r="E951" s="246" t="s">
        <v>887</v>
      </c>
      <c r="F951" s="246"/>
      <c r="G951" s="132">
        <v>-234375</v>
      </c>
      <c r="H951" s="132" t="s">
        <v>1758</v>
      </c>
      <c r="I951" s="132">
        <v>-234375</v>
      </c>
      <c r="J951" s="101" t="s">
        <v>889</v>
      </c>
      <c r="K951" s="245" t="s">
        <v>390</v>
      </c>
      <c r="L951" s="245">
        <v>42506</v>
      </c>
      <c r="M951" s="245" t="s">
        <v>391</v>
      </c>
      <c r="N951" s="101">
        <v>0</v>
      </c>
      <c r="O951" s="101" t="s">
        <v>392</v>
      </c>
      <c r="P951" s="101">
        <v>0</v>
      </c>
      <c r="Q951" s="101">
        <v>0</v>
      </c>
      <c r="R951" s="101" t="s">
        <v>438</v>
      </c>
      <c r="S951" s="101">
        <v>193120</v>
      </c>
      <c r="T951" s="101" t="s">
        <v>394</v>
      </c>
      <c r="V951" s="245">
        <v>47253</v>
      </c>
      <c r="W951" s="101" t="s">
        <v>424</v>
      </c>
      <c r="X951" s="101" t="s">
        <v>76</v>
      </c>
      <c r="Y951" s="101" t="s">
        <v>392</v>
      </c>
      <c r="Z951" s="101" t="s">
        <v>430</v>
      </c>
      <c r="AA951" s="101" t="s">
        <v>78</v>
      </c>
      <c r="AB951" s="101">
        <v>4101000279</v>
      </c>
      <c r="AC951" s="101" t="s">
        <v>431</v>
      </c>
      <c r="AD951" s="101" t="s">
        <v>431</v>
      </c>
      <c r="AE951" s="101" t="s">
        <v>75</v>
      </c>
      <c r="AF951" s="101" t="s">
        <v>400</v>
      </c>
      <c r="AG951" s="101" t="s">
        <v>427</v>
      </c>
      <c r="AI951" s="101" t="s">
        <v>760</v>
      </c>
    </row>
    <row r="952" spans="1:35">
      <c r="A952" s="246" t="s">
        <v>111</v>
      </c>
      <c r="B952" s="246" t="s">
        <v>78</v>
      </c>
      <c r="C952" s="246" t="s">
        <v>126</v>
      </c>
      <c r="D952" s="246" t="s">
        <v>768</v>
      </c>
      <c r="E952" s="246" t="s">
        <v>769</v>
      </c>
      <c r="F952" s="246"/>
      <c r="G952" s="132">
        <v>-234375</v>
      </c>
      <c r="H952" s="132" t="s">
        <v>1758</v>
      </c>
      <c r="I952" s="132">
        <v>-234375</v>
      </c>
      <c r="J952" s="101" t="s">
        <v>889</v>
      </c>
      <c r="K952" s="245" t="s">
        <v>390</v>
      </c>
      <c r="L952" s="245">
        <v>42689</v>
      </c>
      <c r="M952" s="245" t="s">
        <v>391</v>
      </c>
      <c r="N952" s="101">
        <v>0</v>
      </c>
      <c r="O952" s="101" t="s">
        <v>392</v>
      </c>
      <c r="P952" s="101">
        <v>0</v>
      </c>
      <c r="Q952" s="101">
        <v>0</v>
      </c>
      <c r="R952" s="101" t="s">
        <v>438</v>
      </c>
      <c r="S952" s="101">
        <v>193120</v>
      </c>
      <c r="T952" s="101" t="s">
        <v>394</v>
      </c>
      <c r="V952" s="245">
        <v>47253</v>
      </c>
      <c r="W952" s="101" t="s">
        <v>424</v>
      </c>
      <c r="X952" s="101" t="s">
        <v>76</v>
      </c>
      <c r="Y952" s="101" t="s">
        <v>392</v>
      </c>
      <c r="Z952" s="101" t="s">
        <v>430</v>
      </c>
      <c r="AA952" s="101" t="s">
        <v>78</v>
      </c>
      <c r="AB952" s="101">
        <v>4101000279</v>
      </c>
      <c r="AC952" s="101" t="s">
        <v>431</v>
      </c>
      <c r="AD952" s="101" t="s">
        <v>431</v>
      </c>
      <c r="AE952" s="101" t="s">
        <v>75</v>
      </c>
      <c r="AF952" s="101" t="s">
        <v>400</v>
      </c>
      <c r="AG952" s="101" t="s">
        <v>427</v>
      </c>
      <c r="AI952" s="101" t="s">
        <v>760</v>
      </c>
    </row>
    <row r="953" spans="1:35">
      <c r="A953" s="246" t="s">
        <v>112</v>
      </c>
      <c r="B953" s="246" t="s">
        <v>78</v>
      </c>
      <c r="C953" s="246" t="s">
        <v>126</v>
      </c>
      <c r="D953" s="246" t="s">
        <v>341</v>
      </c>
      <c r="E953" s="246" t="s">
        <v>342</v>
      </c>
      <c r="F953" s="246"/>
      <c r="G953" s="132">
        <v>-234375</v>
      </c>
      <c r="H953" s="132" t="s">
        <v>1758</v>
      </c>
      <c r="I953" s="132">
        <v>-234375</v>
      </c>
      <c r="J953" s="101" t="s">
        <v>889</v>
      </c>
      <c r="K953" s="245" t="s">
        <v>390</v>
      </c>
      <c r="L953" s="245">
        <v>42870</v>
      </c>
      <c r="M953" s="245" t="s">
        <v>391</v>
      </c>
      <c r="N953" s="101">
        <v>0</v>
      </c>
      <c r="O953" s="101" t="s">
        <v>392</v>
      </c>
      <c r="P953" s="101">
        <v>0</v>
      </c>
      <c r="Q953" s="101">
        <v>0</v>
      </c>
      <c r="R953" s="101" t="s">
        <v>438</v>
      </c>
      <c r="S953" s="101">
        <v>193120</v>
      </c>
      <c r="T953" s="101" t="s">
        <v>394</v>
      </c>
      <c r="V953" s="245">
        <v>47253</v>
      </c>
      <c r="W953" s="101" t="s">
        <v>424</v>
      </c>
      <c r="X953" s="101" t="s">
        <v>76</v>
      </c>
      <c r="Y953" s="101" t="s">
        <v>392</v>
      </c>
      <c r="Z953" s="101" t="s">
        <v>430</v>
      </c>
      <c r="AA953" s="101" t="s">
        <v>78</v>
      </c>
      <c r="AB953" s="101">
        <v>4101000279</v>
      </c>
      <c r="AC953" s="101" t="s">
        <v>431</v>
      </c>
      <c r="AD953" s="101" t="s">
        <v>431</v>
      </c>
      <c r="AE953" s="101" t="s">
        <v>75</v>
      </c>
      <c r="AF953" s="101" t="s">
        <v>400</v>
      </c>
      <c r="AG953" s="101" t="s">
        <v>427</v>
      </c>
      <c r="AI953" s="101" t="s">
        <v>760</v>
      </c>
    </row>
    <row r="954" spans="1:35">
      <c r="A954" s="246" t="s">
        <v>113</v>
      </c>
      <c r="B954" s="246" t="s">
        <v>78</v>
      </c>
      <c r="C954" s="246" t="s">
        <v>126</v>
      </c>
      <c r="D954" s="246" t="s">
        <v>339</v>
      </c>
      <c r="E954" s="246" t="s">
        <v>340</v>
      </c>
      <c r="F954" s="246"/>
      <c r="G954" s="132">
        <v>-234375</v>
      </c>
      <c r="H954" s="132" t="s">
        <v>1758</v>
      </c>
      <c r="I954" s="132">
        <v>-234375</v>
      </c>
      <c r="J954" s="101" t="s">
        <v>889</v>
      </c>
      <c r="K954" s="245" t="s">
        <v>390</v>
      </c>
      <c r="L954" s="245">
        <v>43054</v>
      </c>
      <c r="M954" s="245" t="s">
        <v>391</v>
      </c>
      <c r="N954" s="101">
        <v>0</v>
      </c>
      <c r="O954" s="101" t="s">
        <v>392</v>
      </c>
      <c r="P954" s="101">
        <v>0</v>
      </c>
      <c r="Q954" s="101">
        <v>0</v>
      </c>
      <c r="R954" s="101" t="s">
        <v>438</v>
      </c>
      <c r="S954" s="101">
        <v>193120</v>
      </c>
      <c r="T954" s="101" t="s">
        <v>394</v>
      </c>
      <c r="V954" s="245">
        <v>47253</v>
      </c>
      <c r="W954" s="101" t="s">
        <v>424</v>
      </c>
      <c r="X954" s="101" t="s">
        <v>76</v>
      </c>
      <c r="Y954" s="101" t="s">
        <v>392</v>
      </c>
      <c r="Z954" s="101" t="s">
        <v>430</v>
      </c>
      <c r="AA954" s="101" t="s">
        <v>78</v>
      </c>
      <c r="AB954" s="101">
        <v>4101000279</v>
      </c>
      <c r="AC954" s="101" t="s">
        <v>431</v>
      </c>
      <c r="AD954" s="101" t="s">
        <v>431</v>
      </c>
      <c r="AE954" s="101" t="s">
        <v>75</v>
      </c>
      <c r="AF954" s="101" t="s">
        <v>400</v>
      </c>
      <c r="AG954" s="101" t="s">
        <v>427</v>
      </c>
      <c r="AI954" s="101" t="s">
        <v>760</v>
      </c>
    </row>
    <row r="955" spans="1:35">
      <c r="A955" s="246" t="s">
        <v>111</v>
      </c>
      <c r="B955" s="246" t="s">
        <v>66</v>
      </c>
      <c r="C955" s="246" t="s">
        <v>126</v>
      </c>
      <c r="D955" s="246" t="s">
        <v>273</v>
      </c>
      <c r="E955" s="246"/>
      <c r="F955" s="246"/>
      <c r="G955" s="132">
        <v>0</v>
      </c>
      <c r="H955" s="132">
        <v>0</v>
      </c>
      <c r="I955" s="132">
        <v>0</v>
      </c>
      <c r="J955" s="101" t="s">
        <v>889</v>
      </c>
      <c r="K955" s="245" t="s">
        <v>390</v>
      </c>
      <c r="L955" s="245">
        <v>42856</v>
      </c>
      <c r="M955" s="245" t="s">
        <v>391</v>
      </c>
      <c r="N955" s="101">
        <v>0</v>
      </c>
      <c r="O955" s="101" t="s">
        <v>392</v>
      </c>
      <c r="P955" s="101">
        <v>0</v>
      </c>
      <c r="Q955" s="101">
        <v>0</v>
      </c>
      <c r="R955" s="101" t="s">
        <v>428</v>
      </c>
      <c r="S955" s="101">
        <v>157751</v>
      </c>
      <c r="T955" s="101" t="s">
        <v>394</v>
      </c>
      <c r="V955" s="245">
        <v>42932</v>
      </c>
      <c r="W955" s="101" t="s">
        <v>627</v>
      </c>
      <c r="X955" s="101" t="s">
        <v>429</v>
      </c>
      <c r="Y955" s="101" t="s">
        <v>392</v>
      </c>
      <c r="Z955" s="101" t="s">
        <v>430</v>
      </c>
      <c r="AA955" s="101" t="s">
        <v>628</v>
      </c>
      <c r="AB955" s="101">
        <v>3101055606</v>
      </c>
      <c r="AC955" s="101" t="s">
        <v>431</v>
      </c>
      <c r="AD955" s="101" t="s">
        <v>431</v>
      </c>
      <c r="AE955" s="101" t="s">
        <v>75</v>
      </c>
      <c r="AF955" s="101" t="s">
        <v>400</v>
      </c>
      <c r="AG955" s="101" t="s">
        <v>432</v>
      </c>
      <c r="AI955" s="101" t="s">
        <v>760</v>
      </c>
    </row>
    <row r="956" spans="1:35">
      <c r="A956" s="246" t="s">
        <v>112</v>
      </c>
      <c r="B956" s="246" t="s">
        <v>66</v>
      </c>
      <c r="C956" s="246" t="s">
        <v>126</v>
      </c>
      <c r="D956" s="246" t="s">
        <v>270</v>
      </c>
      <c r="E956" s="246"/>
      <c r="F956" s="246"/>
      <c r="G956" s="132">
        <v>0</v>
      </c>
      <c r="H956" s="132">
        <v>0</v>
      </c>
      <c r="I956" s="132">
        <v>0</v>
      </c>
      <c r="J956" s="101" t="s">
        <v>889</v>
      </c>
      <c r="K956" s="245" t="s">
        <v>390</v>
      </c>
      <c r="L956" s="245">
        <v>42887</v>
      </c>
      <c r="M956" s="245" t="s">
        <v>391</v>
      </c>
      <c r="N956" s="101">
        <v>0</v>
      </c>
      <c r="O956" s="101" t="s">
        <v>392</v>
      </c>
      <c r="P956" s="101">
        <v>0</v>
      </c>
      <c r="Q956" s="101">
        <v>0</v>
      </c>
      <c r="R956" s="101" t="s">
        <v>428</v>
      </c>
      <c r="S956" s="101">
        <v>157751</v>
      </c>
      <c r="T956" s="101" t="s">
        <v>394</v>
      </c>
      <c r="V956" s="245">
        <v>42932</v>
      </c>
      <c r="W956" s="101" t="s">
        <v>627</v>
      </c>
      <c r="X956" s="101" t="s">
        <v>429</v>
      </c>
      <c r="Y956" s="101" t="s">
        <v>392</v>
      </c>
      <c r="Z956" s="101" t="s">
        <v>430</v>
      </c>
      <c r="AA956" s="101" t="s">
        <v>628</v>
      </c>
      <c r="AB956" s="101">
        <v>3101055606</v>
      </c>
      <c r="AC956" s="101" t="s">
        <v>431</v>
      </c>
      <c r="AD956" s="101" t="s">
        <v>431</v>
      </c>
      <c r="AE956" s="101" t="s">
        <v>75</v>
      </c>
      <c r="AF956" s="101" t="s">
        <v>400</v>
      </c>
      <c r="AG956" s="101" t="s">
        <v>432</v>
      </c>
      <c r="AI956" s="101" t="s">
        <v>760</v>
      </c>
    </row>
    <row r="957" spans="1:35">
      <c r="A957" s="246" t="s">
        <v>112</v>
      </c>
      <c r="B957" s="246" t="s">
        <v>66</v>
      </c>
      <c r="C957" s="246" t="s">
        <v>126</v>
      </c>
      <c r="D957" s="246" t="s">
        <v>270</v>
      </c>
      <c r="E957" s="246"/>
      <c r="F957" s="246"/>
      <c r="G957" s="132">
        <v>0</v>
      </c>
      <c r="H957" s="132">
        <v>0</v>
      </c>
      <c r="I957" s="132">
        <v>0</v>
      </c>
      <c r="J957" s="101" t="s">
        <v>889</v>
      </c>
      <c r="K957" s="245" t="s">
        <v>390</v>
      </c>
      <c r="L957" s="245">
        <v>42933</v>
      </c>
      <c r="M957" s="245" t="s">
        <v>391</v>
      </c>
      <c r="N957" s="101">
        <v>0</v>
      </c>
      <c r="O957" s="101" t="s">
        <v>392</v>
      </c>
      <c r="P957" s="101">
        <v>0</v>
      </c>
      <c r="Q957" s="101">
        <v>0</v>
      </c>
      <c r="R957" s="101" t="s">
        <v>428</v>
      </c>
      <c r="S957" s="101">
        <v>157751</v>
      </c>
      <c r="T957" s="101" t="s">
        <v>394</v>
      </c>
      <c r="V957" s="245">
        <v>42932</v>
      </c>
      <c r="W957" s="101" t="s">
        <v>627</v>
      </c>
      <c r="X957" s="101" t="s">
        <v>429</v>
      </c>
      <c r="Y957" s="101" t="s">
        <v>392</v>
      </c>
      <c r="Z957" s="101" t="s">
        <v>430</v>
      </c>
      <c r="AA957" s="101" t="s">
        <v>628</v>
      </c>
      <c r="AB957" s="101">
        <v>3101055606</v>
      </c>
      <c r="AC957" s="101" t="s">
        <v>431</v>
      </c>
      <c r="AD957" s="101" t="s">
        <v>431</v>
      </c>
      <c r="AE957" s="101" t="s">
        <v>75</v>
      </c>
      <c r="AF957" s="101" t="s">
        <v>400</v>
      </c>
      <c r="AG957" s="101" t="s">
        <v>432</v>
      </c>
      <c r="AI957" s="101" t="s">
        <v>760</v>
      </c>
    </row>
    <row r="958" spans="1:35">
      <c r="A958" s="246" t="s">
        <v>112</v>
      </c>
      <c r="B958" s="246" t="s">
        <v>66</v>
      </c>
      <c r="C958" s="246" t="s">
        <v>116</v>
      </c>
      <c r="D958" s="246" t="s">
        <v>330</v>
      </c>
      <c r="E958" s="246"/>
      <c r="F958" s="246"/>
      <c r="G958" s="132">
        <v>0</v>
      </c>
      <c r="H958" s="132">
        <v>0</v>
      </c>
      <c r="I958" s="132">
        <v>0</v>
      </c>
      <c r="J958" s="101" t="s">
        <v>889</v>
      </c>
      <c r="K958" s="245" t="s">
        <v>390</v>
      </c>
      <c r="L958" s="245">
        <v>42933</v>
      </c>
      <c r="M958" s="245" t="s">
        <v>421</v>
      </c>
      <c r="N958" s="101">
        <v>0</v>
      </c>
      <c r="O958" s="101" t="s">
        <v>392</v>
      </c>
      <c r="P958" s="101">
        <v>0</v>
      </c>
      <c r="Q958" s="101">
        <v>0</v>
      </c>
      <c r="R958" s="101" t="s">
        <v>428</v>
      </c>
      <c r="S958" s="101">
        <v>157751</v>
      </c>
      <c r="T958" s="101" t="s">
        <v>394</v>
      </c>
      <c r="V958" s="245">
        <v>42932</v>
      </c>
      <c r="W958" s="101" t="s">
        <v>627</v>
      </c>
      <c r="X958" s="101" t="s">
        <v>429</v>
      </c>
      <c r="Y958" s="101" t="s">
        <v>392</v>
      </c>
      <c r="Z958" s="101" t="s">
        <v>430</v>
      </c>
      <c r="AA958" s="101" t="s">
        <v>628</v>
      </c>
      <c r="AB958" s="101">
        <v>3101055606</v>
      </c>
      <c r="AC958" s="101" t="s">
        <v>431</v>
      </c>
      <c r="AD958" s="101" t="s">
        <v>431</v>
      </c>
      <c r="AE958" s="101" t="s">
        <v>75</v>
      </c>
      <c r="AF958" s="101" t="s">
        <v>400</v>
      </c>
      <c r="AG958" s="101" t="s">
        <v>432</v>
      </c>
      <c r="AI958" s="101" t="s">
        <v>760</v>
      </c>
    </row>
    <row r="959" spans="1:35">
      <c r="A959" s="246" t="s">
        <v>109</v>
      </c>
      <c r="B959" s="246" t="s">
        <v>78</v>
      </c>
      <c r="C959" s="246" t="s">
        <v>126</v>
      </c>
      <c r="D959" s="246" t="s">
        <v>337</v>
      </c>
      <c r="E959" s="246" t="s">
        <v>336</v>
      </c>
      <c r="F959" s="246" t="s">
        <v>275</v>
      </c>
      <c r="G959" s="132" t="s">
        <v>757</v>
      </c>
      <c r="H959" s="132" t="s">
        <v>1759</v>
      </c>
      <c r="I959" s="132">
        <v>1172.1599999999999</v>
      </c>
      <c r="J959" s="101" t="s">
        <v>889</v>
      </c>
      <c r="K959" s="245" t="s">
        <v>390</v>
      </c>
      <c r="L959" s="245">
        <v>42551</v>
      </c>
      <c r="M959" s="245" t="s">
        <v>391</v>
      </c>
      <c r="N959" s="101">
        <v>0</v>
      </c>
      <c r="O959" s="101" t="s">
        <v>392</v>
      </c>
      <c r="P959" s="101">
        <v>0</v>
      </c>
      <c r="Q959" s="101">
        <v>0</v>
      </c>
      <c r="R959" s="101" t="s">
        <v>393</v>
      </c>
      <c r="S959" s="101" t="s">
        <v>861</v>
      </c>
      <c r="T959" s="101" t="s">
        <v>394</v>
      </c>
      <c r="V959" s="245">
        <v>14427</v>
      </c>
      <c r="W959" s="101" t="s">
        <v>395</v>
      </c>
      <c r="X959" s="101" t="s">
        <v>795</v>
      </c>
      <c r="Y959" s="101" t="s">
        <v>396</v>
      </c>
      <c r="Z959" s="101" t="s">
        <v>402</v>
      </c>
      <c r="AA959" s="101" t="s">
        <v>78</v>
      </c>
      <c r="AB959" s="101">
        <v>4101000279</v>
      </c>
      <c r="AC959" s="101" t="s">
        <v>398</v>
      </c>
      <c r="AD959" s="101" t="s">
        <v>403</v>
      </c>
      <c r="AE959" s="101" t="s">
        <v>6</v>
      </c>
      <c r="AF959" s="101" t="s">
        <v>400</v>
      </c>
      <c r="AI959" s="101" t="s">
        <v>760</v>
      </c>
    </row>
    <row r="960" spans="1:35">
      <c r="A960" s="246" t="s">
        <v>109</v>
      </c>
      <c r="B960" s="246" t="s">
        <v>78</v>
      </c>
      <c r="C960" s="246" t="s">
        <v>126</v>
      </c>
      <c r="D960" s="246" t="s">
        <v>337</v>
      </c>
      <c r="E960" s="246" t="s">
        <v>336</v>
      </c>
      <c r="F960" s="246" t="s">
        <v>275</v>
      </c>
      <c r="G960" s="132" t="s">
        <v>862</v>
      </c>
      <c r="H960" s="132" t="s">
        <v>1760</v>
      </c>
      <c r="I960" s="132">
        <v>261.86</v>
      </c>
      <c r="J960" s="101" t="s">
        <v>889</v>
      </c>
      <c r="K960" s="245" t="s">
        <v>390</v>
      </c>
      <c r="L960" s="245">
        <v>42551</v>
      </c>
      <c r="M960" s="245" t="s">
        <v>391</v>
      </c>
      <c r="N960" s="101">
        <v>0</v>
      </c>
      <c r="O960" s="101" t="s">
        <v>392</v>
      </c>
      <c r="P960" s="101">
        <v>0</v>
      </c>
      <c r="Q960" s="101">
        <v>0</v>
      </c>
      <c r="R960" s="101" t="s">
        <v>393</v>
      </c>
      <c r="S960" s="101" t="s">
        <v>861</v>
      </c>
      <c r="T960" s="101" t="s">
        <v>394</v>
      </c>
      <c r="V960" s="245">
        <v>14427</v>
      </c>
      <c r="W960" s="101" t="s">
        <v>395</v>
      </c>
      <c r="X960" s="101" t="s">
        <v>795</v>
      </c>
      <c r="Y960" s="101" t="s">
        <v>396</v>
      </c>
      <c r="Z960" s="101" t="s">
        <v>402</v>
      </c>
      <c r="AA960" s="101" t="s">
        <v>78</v>
      </c>
      <c r="AB960" s="101">
        <v>4101000279</v>
      </c>
      <c r="AC960" s="101" t="s">
        <v>398</v>
      </c>
      <c r="AD960" s="101" t="s">
        <v>403</v>
      </c>
      <c r="AE960" s="101" t="s">
        <v>6</v>
      </c>
      <c r="AF960" s="101" t="s">
        <v>400</v>
      </c>
      <c r="AI960" s="101" t="s">
        <v>760</v>
      </c>
    </row>
    <row r="961" spans="1:35">
      <c r="A961" s="246" t="s">
        <v>109</v>
      </c>
      <c r="B961" s="246" t="s">
        <v>78</v>
      </c>
      <c r="C961" s="246" t="s">
        <v>126</v>
      </c>
      <c r="D961" s="246" t="s">
        <v>337</v>
      </c>
      <c r="E961" s="246" t="s">
        <v>336</v>
      </c>
      <c r="F961" s="246" t="s">
        <v>275</v>
      </c>
      <c r="G961" s="132" t="s">
        <v>863</v>
      </c>
      <c r="H961" s="132" t="s">
        <v>1761</v>
      </c>
      <c r="I961" s="132">
        <v>4040.83</v>
      </c>
      <c r="J961" s="101" t="s">
        <v>889</v>
      </c>
      <c r="K961" s="245" t="s">
        <v>390</v>
      </c>
      <c r="L961" s="245">
        <v>42551</v>
      </c>
      <c r="M961" s="245" t="s">
        <v>391</v>
      </c>
      <c r="N961" s="101">
        <v>0</v>
      </c>
      <c r="O961" s="101" t="s">
        <v>392</v>
      </c>
      <c r="P961" s="101">
        <v>0</v>
      </c>
      <c r="Q961" s="101">
        <v>0</v>
      </c>
      <c r="R961" s="101" t="s">
        <v>393</v>
      </c>
      <c r="S961" s="101" t="s">
        <v>861</v>
      </c>
      <c r="T961" s="101" t="s">
        <v>394</v>
      </c>
      <c r="V961" s="245">
        <v>14427</v>
      </c>
      <c r="W961" s="101" t="s">
        <v>395</v>
      </c>
      <c r="X961" s="101" t="s">
        <v>795</v>
      </c>
      <c r="Y961" s="101" t="s">
        <v>396</v>
      </c>
      <c r="Z961" s="101" t="s">
        <v>402</v>
      </c>
      <c r="AA961" s="101" t="s">
        <v>78</v>
      </c>
      <c r="AB961" s="101">
        <v>4101000279</v>
      </c>
      <c r="AC961" s="101" t="s">
        <v>398</v>
      </c>
      <c r="AD961" s="101" t="s">
        <v>403</v>
      </c>
      <c r="AE961" s="101" t="s">
        <v>6</v>
      </c>
      <c r="AF961" s="101" t="s">
        <v>400</v>
      </c>
      <c r="AI961" s="101" t="s">
        <v>760</v>
      </c>
    </row>
    <row r="962" spans="1:35">
      <c r="A962" s="246" t="s">
        <v>109</v>
      </c>
      <c r="B962" s="246" t="s">
        <v>78</v>
      </c>
      <c r="C962" s="246" t="s">
        <v>126</v>
      </c>
      <c r="D962" s="246" t="s">
        <v>337</v>
      </c>
      <c r="E962" s="246" t="s">
        <v>336</v>
      </c>
      <c r="F962" s="246" t="s">
        <v>275</v>
      </c>
      <c r="G962" s="132" t="s">
        <v>864</v>
      </c>
      <c r="H962" s="132" t="s">
        <v>1762</v>
      </c>
      <c r="I962" s="132">
        <v>2577.29</v>
      </c>
      <c r="J962" s="101" t="s">
        <v>889</v>
      </c>
      <c r="K962" s="245" t="s">
        <v>390</v>
      </c>
      <c r="L962" s="245">
        <v>42551</v>
      </c>
      <c r="M962" s="245" t="s">
        <v>391</v>
      </c>
      <c r="N962" s="101">
        <v>0</v>
      </c>
      <c r="O962" s="101" t="s">
        <v>392</v>
      </c>
      <c r="P962" s="101">
        <v>0</v>
      </c>
      <c r="Q962" s="101">
        <v>0</v>
      </c>
      <c r="R962" s="101" t="s">
        <v>393</v>
      </c>
      <c r="S962" s="101" t="s">
        <v>861</v>
      </c>
      <c r="T962" s="101" t="s">
        <v>394</v>
      </c>
      <c r="V962" s="245">
        <v>14427</v>
      </c>
      <c r="W962" s="101" t="s">
        <v>395</v>
      </c>
      <c r="X962" s="101" t="s">
        <v>795</v>
      </c>
      <c r="Y962" s="101" t="s">
        <v>396</v>
      </c>
      <c r="Z962" s="101" t="s">
        <v>402</v>
      </c>
      <c r="AA962" s="101" t="s">
        <v>78</v>
      </c>
      <c r="AB962" s="101">
        <v>4101000279</v>
      </c>
      <c r="AC962" s="101" t="s">
        <v>398</v>
      </c>
      <c r="AD962" s="101" t="s">
        <v>403</v>
      </c>
      <c r="AE962" s="101" t="s">
        <v>6</v>
      </c>
      <c r="AF962" s="101" t="s">
        <v>400</v>
      </c>
      <c r="AI962" s="101" t="s">
        <v>760</v>
      </c>
    </row>
    <row r="963" spans="1:35">
      <c r="A963" s="246" t="s">
        <v>111</v>
      </c>
      <c r="B963" s="246" t="s">
        <v>78</v>
      </c>
      <c r="C963" s="246" t="s">
        <v>126</v>
      </c>
      <c r="D963" s="246" t="s">
        <v>768</v>
      </c>
      <c r="E963" s="246" t="s">
        <v>769</v>
      </c>
      <c r="F963" s="246" t="s">
        <v>277</v>
      </c>
      <c r="G963" s="132">
        <v>6600</v>
      </c>
      <c r="H963" s="132" t="s">
        <v>1763</v>
      </c>
      <c r="I963" s="132">
        <v>6600</v>
      </c>
      <c r="J963" s="101" t="s">
        <v>889</v>
      </c>
      <c r="K963" s="245" t="s">
        <v>390</v>
      </c>
      <c r="L963" s="245">
        <v>42734</v>
      </c>
      <c r="M963" s="245" t="s">
        <v>391</v>
      </c>
      <c r="N963" s="101">
        <v>0</v>
      </c>
      <c r="O963" s="101" t="s">
        <v>392</v>
      </c>
      <c r="P963" s="101">
        <v>0</v>
      </c>
      <c r="Q963" s="101">
        <v>0</v>
      </c>
      <c r="R963" s="101" t="s">
        <v>393</v>
      </c>
      <c r="S963" s="101" t="s">
        <v>861</v>
      </c>
      <c r="T963" s="101" t="s">
        <v>394</v>
      </c>
      <c r="V963" s="245">
        <v>14427</v>
      </c>
      <c r="W963" s="101" t="s">
        <v>395</v>
      </c>
      <c r="X963" s="101" t="s">
        <v>795</v>
      </c>
      <c r="Y963" s="101" t="s">
        <v>396</v>
      </c>
      <c r="Z963" s="101" t="s">
        <v>402</v>
      </c>
      <c r="AA963" s="101" t="s">
        <v>78</v>
      </c>
      <c r="AB963" s="101">
        <v>4101000279</v>
      </c>
      <c r="AC963" s="101" t="s">
        <v>398</v>
      </c>
      <c r="AD963" s="101" t="s">
        <v>403</v>
      </c>
      <c r="AE963" s="101" t="s">
        <v>6</v>
      </c>
      <c r="AF963" s="101" t="s">
        <v>400</v>
      </c>
      <c r="AI963" s="101" t="s">
        <v>760</v>
      </c>
    </row>
    <row r="964" spans="1:35">
      <c r="A964" s="246" t="s">
        <v>112</v>
      </c>
      <c r="B964" s="246" t="s">
        <v>78</v>
      </c>
      <c r="C964" s="246" t="s">
        <v>126</v>
      </c>
      <c r="D964" s="246" t="s">
        <v>341</v>
      </c>
      <c r="E964" s="246" t="s">
        <v>342</v>
      </c>
      <c r="F964" s="246" t="s">
        <v>278</v>
      </c>
      <c r="G964" s="132">
        <v>6600</v>
      </c>
      <c r="H964" s="132" t="s">
        <v>1763</v>
      </c>
      <c r="I964" s="132">
        <v>6600</v>
      </c>
      <c r="J964" s="101" t="s">
        <v>889</v>
      </c>
      <c r="K964" s="245" t="s">
        <v>390</v>
      </c>
      <c r="L964" s="245">
        <v>42916</v>
      </c>
      <c r="M964" s="245" t="s">
        <v>391</v>
      </c>
      <c r="N964" s="101">
        <v>0</v>
      </c>
      <c r="O964" s="101" t="s">
        <v>392</v>
      </c>
      <c r="P964" s="101">
        <v>0</v>
      </c>
      <c r="Q964" s="101">
        <v>0</v>
      </c>
      <c r="R964" s="101" t="s">
        <v>393</v>
      </c>
      <c r="S964" s="101" t="s">
        <v>861</v>
      </c>
      <c r="T964" s="101" t="s">
        <v>394</v>
      </c>
      <c r="V964" s="245">
        <v>14427</v>
      </c>
      <c r="W964" s="101" t="s">
        <v>395</v>
      </c>
      <c r="X964" s="101" t="s">
        <v>795</v>
      </c>
      <c r="Y964" s="101" t="s">
        <v>396</v>
      </c>
      <c r="Z964" s="101" t="s">
        <v>402</v>
      </c>
      <c r="AA964" s="101" t="s">
        <v>78</v>
      </c>
      <c r="AB964" s="101">
        <v>4101000279</v>
      </c>
      <c r="AC964" s="101" t="s">
        <v>398</v>
      </c>
      <c r="AD964" s="101" t="s">
        <v>403</v>
      </c>
      <c r="AE964" s="101" t="s">
        <v>6</v>
      </c>
      <c r="AF964" s="101" t="s">
        <v>400</v>
      </c>
      <c r="AI964" s="101" t="s">
        <v>760</v>
      </c>
    </row>
    <row r="965" spans="1:35">
      <c r="A965" s="246" t="s">
        <v>113</v>
      </c>
      <c r="B965" s="246" t="s">
        <v>78</v>
      </c>
      <c r="C965" s="246" t="s">
        <v>126</v>
      </c>
      <c r="D965" s="246" t="s">
        <v>339</v>
      </c>
      <c r="E965" s="246" t="s">
        <v>340</v>
      </c>
      <c r="F965" s="246" t="s">
        <v>279</v>
      </c>
      <c r="G965" s="132" t="s">
        <v>758</v>
      </c>
      <c r="H965" s="132" t="s">
        <v>1764</v>
      </c>
      <c r="I965" s="132">
        <v>6563.329999999999</v>
      </c>
      <c r="J965" s="101" t="s">
        <v>889</v>
      </c>
      <c r="K965" s="245" t="s">
        <v>390</v>
      </c>
      <c r="L965" s="245">
        <v>43098</v>
      </c>
      <c r="M965" s="245" t="s">
        <v>391</v>
      </c>
      <c r="N965" s="101">
        <v>0</v>
      </c>
      <c r="O965" s="101" t="s">
        <v>392</v>
      </c>
      <c r="P965" s="101">
        <v>0</v>
      </c>
      <c r="Q965" s="101">
        <v>0</v>
      </c>
      <c r="R965" s="101" t="s">
        <v>393</v>
      </c>
      <c r="S965" s="101" t="s">
        <v>861</v>
      </c>
      <c r="T965" s="101" t="s">
        <v>394</v>
      </c>
      <c r="V965" s="245">
        <v>14427</v>
      </c>
      <c r="W965" s="101" t="s">
        <v>395</v>
      </c>
      <c r="X965" s="101" t="s">
        <v>795</v>
      </c>
      <c r="Y965" s="101" t="s">
        <v>396</v>
      </c>
      <c r="Z965" s="101" t="s">
        <v>402</v>
      </c>
      <c r="AA965" s="101" t="s">
        <v>78</v>
      </c>
      <c r="AB965" s="101">
        <v>4101000279</v>
      </c>
      <c r="AC965" s="101" t="s">
        <v>398</v>
      </c>
      <c r="AD965" s="101" t="s">
        <v>403</v>
      </c>
      <c r="AE965" s="101" t="s">
        <v>6</v>
      </c>
      <c r="AF965" s="101" t="s">
        <v>400</v>
      </c>
      <c r="AI965" s="101" t="s">
        <v>760</v>
      </c>
    </row>
    <row r="966" spans="1:35">
      <c r="A966" s="246" t="s">
        <v>113</v>
      </c>
      <c r="B966" s="246" t="s">
        <v>78</v>
      </c>
      <c r="C966" s="246" t="s">
        <v>126</v>
      </c>
      <c r="D966" s="246" t="s">
        <v>339</v>
      </c>
      <c r="E966" s="246" t="s">
        <v>340</v>
      </c>
      <c r="F966" s="246" t="s">
        <v>279</v>
      </c>
      <c r="G966" s="132" t="s">
        <v>1765</v>
      </c>
      <c r="H966" s="132" t="s">
        <v>1766</v>
      </c>
      <c r="I966" s="132">
        <v>-82.63</v>
      </c>
      <c r="J966" s="101" t="s">
        <v>889</v>
      </c>
      <c r="K966" s="245" t="s">
        <v>390</v>
      </c>
      <c r="L966" s="245">
        <v>43131</v>
      </c>
      <c r="M966" s="245" t="s">
        <v>391</v>
      </c>
      <c r="N966" s="101">
        <v>0</v>
      </c>
      <c r="O966" s="101" t="s">
        <v>392</v>
      </c>
      <c r="P966" s="101">
        <v>0</v>
      </c>
      <c r="Q966" s="101">
        <v>0</v>
      </c>
      <c r="R966" s="101" t="s">
        <v>393</v>
      </c>
      <c r="S966" s="101" t="s">
        <v>861</v>
      </c>
      <c r="T966" s="101" t="s">
        <v>394</v>
      </c>
      <c r="V966" s="245">
        <v>14427</v>
      </c>
      <c r="W966" s="101" t="s">
        <v>395</v>
      </c>
      <c r="X966" s="101" t="s">
        <v>795</v>
      </c>
      <c r="Y966" s="101" t="s">
        <v>396</v>
      </c>
      <c r="Z966" s="101" t="s">
        <v>402</v>
      </c>
      <c r="AA966" s="101" t="s">
        <v>78</v>
      </c>
      <c r="AB966" s="101">
        <v>4101000279</v>
      </c>
      <c r="AC966" s="101" t="s">
        <v>398</v>
      </c>
      <c r="AD966" s="101" t="s">
        <v>403</v>
      </c>
      <c r="AE966" s="101" t="s">
        <v>6</v>
      </c>
      <c r="AF966" s="101" t="s">
        <v>400</v>
      </c>
      <c r="AI966" s="101" t="s">
        <v>760</v>
      </c>
    </row>
    <row r="967" spans="1:35">
      <c r="A967" s="246" t="s">
        <v>113</v>
      </c>
      <c r="B967" s="246" t="s">
        <v>78</v>
      </c>
      <c r="C967" s="246" t="s">
        <v>126</v>
      </c>
      <c r="D967" s="246" t="s">
        <v>339</v>
      </c>
      <c r="E967" s="246" t="s">
        <v>340</v>
      </c>
      <c r="F967" s="246" t="s">
        <v>279</v>
      </c>
      <c r="G967" s="132" t="s">
        <v>1767</v>
      </c>
      <c r="H967" s="132" t="s">
        <v>1768</v>
      </c>
      <c r="I967" s="132">
        <v>-70.099999999999994</v>
      </c>
      <c r="J967" s="101" t="s">
        <v>889</v>
      </c>
      <c r="K967" s="245" t="s">
        <v>390</v>
      </c>
      <c r="L967" s="245">
        <v>43159</v>
      </c>
      <c r="M967" s="245" t="s">
        <v>391</v>
      </c>
      <c r="N967" s="101">
        <v>0</v>
      </c>
      <c r="O967" s="101" t="s">
        <v>392</v>
      </c>
      <c r="P967" s="101">
        <v>0</v>
      </c>
      <c r="Q967" s="101">
        <v>0</v>
      </c>
      <c r="R967" s="101" t="s">
        <v>393</v>
      </c>
      <c r="S967" s="101" t="s">
        <v>861</v>
      </c>
      <c r="T967" s="101" t="s">
        <v>394</v>
      </c>
      <c r="V967" s="245">
        <v>14427</v>
      </c>
      <c r="W967" s="101" t="s">
        <v>395</v>
      </c>
      <c r="X967" s="101" t="s">
        <v>795</v>
      </c>
      <c r="Y967" s="101" t="s">
        <v>396</v>
      </c>
      <c r="Z967" s="101" t="s">
        <v>402</v>
      </c>
      <c r="AA967" s="101" t="s">
        <v>78</v>
      </c>
      <c r="AB967" s="101">
        <v>4101000279</v>
      </c>
      <c r="AC967" s="101" t="s">
        <v>398</v>
      </c>
      <c r="AD967" s="101" t="s">
        <v>403</v>
      </c>
      <c r="AE967" s="101" t="s">
        <v>6</v>
      </c>
      <c r="AF967" s="101" t="s">
        <v>400</v>
      </c>
      <c r="AI967" s="101" t="s">
        <v>760</v>
      </c>
    </row>
    <row r="968" spans="1:35">
      <c r="A968" s="246" t="s">
        <v>113</v>
      </c>
      <c r="B968" s="246" t="s">
        <v>78</v>
      </c>
      <c r="C968" s="246" t="s">
        <v>126</v>
      </c>
      <c r="D968" s="246" t="s">
        <v>339</v>
      </c>
      <c r="E968" s="246" t="s">
        <v>340</v>
      </c>
      <c r="F968" s="246" t="s">
        <v>279</v>
      </c>
      <c r="G968" s="132" t="s">
        <v>1751</v>
      </c>
      <c r="H968" s="132" t="s">
        <v>1752</v>
      </c>
      <c r="I968" s="132">
        <v>-72.61</v>
      </c>
      <c r="J968" s="101" t="s">
        <v>889</v>
      </c>
      <c r="K968" s="245" t="s">
        <v>390</v>
      </c>
      <c r="L968" s="245">
        <v>43188</v>
      </c>
      <c r="M968" s="245" t="s">
        <v>391</v>
      </c>
      <c r="N968" s="101">
        <v>0</v>
      </c>
      <c r="O968" s="101" t="s">
        <v>392</v>
      </c>
      <c r="P968" s="101">
        <v>0</v>
      </c>
      <c r="Q968" s="101">
        <v>0</v>
      </c>
      <c r="R968" s="101" t="s">
        <v>393</v>
      </c>
      <c r="S968" s="101" t="s">
        <v>861</v>
      </c>
      <c r="T968" s="101" t="s">
        <v>394</v>
      </c>
      <c r="V968" s="245">
        <v>14427</v>
      </c>
      <c r="W968" s="101" t="s">
        <v>395</v>
      </c>
      <c r="X968" s="101" t="s">
        <v>795</v>
      </c>
      <c r="Y968" s="101" t="s">
        <v>396</v>
      </c>
      <c r="Z968" s="101" t="s">
        <v>402</v>
      </c>
      <c r="AA968" s="101" t="s">
        <v>78</v>
      </c>
      <c r="AB968" s="101">
        <v>4101000279</v>
      </c>
      <c r="AC968" s="101" t="s">
        <v>398</v>
      </c>
      <c r="AD968" s="101" t="s">
        <v>403</v>
      </c>
      <c r="AE968" s="101" t="s">
        <v>6</v>
      </c>
      <c r="AF968" s="101" t="s">
        <v>400</v>
      </c>
      <c r="AI968" s="101" t="s">
        <v>760</v>
      </c>
    </row>
    <row r="969" spans="1:35">
      <c r="A969" s="246" t="s">
        <v>113</v>
      </c>
      <c r="B969" s="246" t="s">
        <v>78</v>
      </c>
      <c r="C969" s="246" t="s">
        <v>126</v>
      </c>
      <c r="D969" s="246" t="s">
        <v>339</v>
      </c>
      <c r="E969" s="246" t="s">
        <v>340</v>
      </c>
      <c r="F969" s="246" t="s">
        <v>279</v>
      </c>
      <c r="G969" s="132" t="s">
        <v>1753</v>
      </c>
      <c r="H969" s="132" t="s">
        <v>1754</v>
      </c>
      <c r="I969" s="132">
        <v>-80.12</v>
      </c>
      <c r="J969" s="101" t="s">
        <v>889</v>
      </c>
      <c r="K969" s="245" t="s">
        <v>390</v>
      </c>
      <c r="L969" s="245">
        <v>43220</v>
      </c>
      <c r="M969" s="245" t="s">
        <v>391</v>
      </c>
      <c r="N969" s="101">
        <v>0</v>
      </c>
      <c r="O969" s="101" t="s">
        <v>392</v>
      </c>
      <c r="P969" s="101">
        <v>0</v>
      </c>
      <c r="Q969" s="101">
        <v>0</v>
      </c>
      <c r="R969" s="101" t="s">
        <v>393</v>
      </c>
      <c r="S969" s="101" t="s">
        <v>861</v>
      </c>
      <c r="T969" s="101" t="s">
        <v>394</v>
      </c>
      <c r="V969" s="245">
        <v>14427</v>
      </c>
      <c r="W969" s="101" t="s">
        <v>395</v>
      </c>
      <c r="X969" s="101" t="s">
        <v>795</v>
      </c>
      <c r="Y969" s="101" t="s">
        <v>396</v>
      </c>
      <c r="Z969" s="101" t="s">
        <v>402</v>
      </c>
      <c r="AA969" s="101" t="s">
        <v>78</v>
      </c>
      <c r="AB969" s="101">
        <v>4101000279</v>
      </c>
      <c r="AC969" s="101" t="s">
        <v>398</v>
      </c>
      <c r="AD969" s="101" t="s">
        <v>403</v>
      </c>
      <c r="AE969" s="101" t="s">
        <v>6</v>
      </c>
      <c r="AF969" s="101" t="s">
        <v>400</v>
      </c>
      <c r="AI969" s="101" t="s">
        <v>760</v>
      </c>
    </row>
    <row r="970" spans="1:35">
      <c r="A970" s="246" t="s">
        <v>101</v>
      </c>
      <c r="B970" s="246" t="s">
        <v>78</v>
      </c>
      <c r="C970" s="246" t="s">
        <v>126</v>
      </c>
      <c r="D970" s="246" t="s">
        <v>764</v>
      </c>
      <c r="E970" s="246" t="s">
        <v>765</v>
      </c>
      <c r="F970" s="246" t="s">
        <v>312</v>
      </c>
      <c r="G970" s="132">
        <v>0</v>
      </c>
      <c r="H970" s="132">
        <v>0</v>
      </c>
      <c r="I970" s="132">
        <v>0</v>
      </c>
      <c r="J970" s="101" t="s">
        <v>889</v>
      </c>
      <c r="K970" s="245" t="s">
        <v>390</v>
      </c>
      <c r="L970" s="245">
        <v>42501</v>
      </c>
      <c r="M970" s="245" t="s">
        <v>391</v>
      </c>
      <c r="N970" s="101">
        <v>0</v>
      </c>
      <c r="O970" s="101" t="s">
        <v>392</v>
      </c>
      <c r="P970" s="101">
        <v>0</v>
      </c>
      <c r="Q970" s="101">
        <v>0</v>
      </c>
      <c r="R970" s="101" t="s">
        <v>393</v>
      </c>
      <c r="S970" s="101" t="s">
        <v>423</v>
      </c>
      <c r="T970" s="101" t="s">
        <v>394</v>
      </c>
      <c r="V970" s="245">
        <v>36525</v>
      </c>
      <c r="W970" s="101" t="s">
        <v>424</v>
      </c>
      <c r="X970" s="101" t="s">
        <v>425</v>
      </c>
      <c r="Y970" s="101" t="s">
        <v>396</v>
      </c>
      <c r="Z970" s="101" t="s">
        <v>426</v>
      </c>
      <c r="AA970" s="101" t="s">
        <v>78</v>
      </c>
      <c r="AB970" s="101">
        <v>4101000279</v>
      </c>
      <c r="AC970" s="101" t="s">
        <v>419</v>
      </c>
      <c r="AD970" s="101" t="s">
        <v>94</v>
      </c>
      <c r="AE970" s="101" t="s">
        <v>6</v>
      </c>
      <c r="AF970" s="101" t="s">
        <v>400</v>
      </c>
      <c r="AG970" s="101" t="s">
        <v>427</v>
      </c>
      <c r="AI970" s="101" t="s">
        <v>760</v>
      </c>
    </row>
    <row r="971" spans="1:35">
      <c r="K971" s="245"/>
    </row>
    <row r="972" spans="1:35">
      <c r="K972" s="245"/>
    </row>
    <row r="973" spans="1:35">
      <c r="K973" s="245"/>
    </row>
    <row r="974" spans="1:35">
      <c r="K974" s="245"/>
    </row>
    <row r="975" spans="1:35">
      <c r="K975" s="245"/>
    </row>
    <row r="976" spans="1:35">
      <c r="K976" s="245"/>
    </row>
    <row r="977" spans="11:11">
      <c r="K977" s="245"/>
    </row>
    <row r="978" spans="11:11">
      <c r="K978" s="245"/>
    </row>
    <row r="979" spans="11:11">
      <c r="K979" s="245"/>
    </row>
    <row r="980" spans="11:11">
      <c r="K980" s="245"/>
    </row>
    <row r="981" spans="11:11">
      <c r="K981" s="245"/>
    </row>
    <row r="982" spans="11:11">
      <c r="K982" s="245"/>
    </row>
    <row r="983" spans="11:11">
      <c r="K983" s="245"/>
    </row>
    <row r="984" spans="11:11">
      <c r="K984" s="245"/>
    </row>
    <row r="985" spans="11:11">
      <c r="K985" s="245"/>
    </row>
    <row r="986" spans="11:11">
      <c r="K986" s="245"/>
    </row>
    <row r="987" spans="11:11">
      <c r="K987" s="245"/>
    </row>
    <row r="988" spans="11:11">
      <c r="K988" s="245"/>
    </row>
    <row r="989" spans="11:11">
      <c r="K989" s="245"/>
    </row>
    <row r="990" spans="11:11">
      <c r="K990" s="245"/>
    </row>
    <row r="991" spans="11:11">
      <c r="K991" s="245"/>
    </row>
    <row r="992" spans="11:11">
      <c r="K992" s="245"/>
    </row>
    <row r="993" spans="11:11">
      <c r="K993" s="245"/>
    </row>
    <row r="994" spans="11:11">
      <c r="K994" s="245"/>
    </row>
    <row r="995" spans="11:11">
      <c r="K995" s="245"/>
    </row>
    <row r="996" spans="11:11">
      <c r="K996" s="245"/>
    </row>
    <row r="997" spans="11:11">
      <c r="K997" s="245"/>
    </row>
    <row r="998" spans="11:11">
      <c r="K998" s="245"/>
    </row>
    <row r="999" spans="11:11">
      <c r="K999" s="245"/>
    </row>
    <row r="1000" spans="11:11">
      <c r="K1000" s="245"/>
    </row>
    <row r="1001" spans="11:11">
      <c r="K1001" s="245"/>
    </row>
    <row r="1002" spans="11:11">
      <c r="K1002" s="245"/>
    </row>
    <row r="1003" spans="11:11">
      <c r="K1003" s="245"/>
    </row>
    <row r="1004" spans="11:11">
      <c r="K1004" s="245"/>
    </row>
    <row r="1005" spans="11:11">
      <c r="K1005" s="245"/>
    </row>
    <row r="1006" spans="11:11">
      <c r="K1006" s="245"/>
    </row>
    <row r="1007" spans="11:11">
      <c r="K1007" s="245"/>
    </row>
    <row r="1008" spans="11:11">
      <c r="K1008" s="245"/>
    </row>
    <row r="1009" spans="11:11">
      <c r="K1009" s="245"/>
    </row>
    <row r="1010" spans="11:11">
      <c r="K1010" s="245"/>
    </row>
    <row r="1011" spans="11:11">
      <c r="K1011" s="245"/>
    </row>
    <row r="1012" spans="11:11">
      <c r="K1012" s="245"/>
    </row>
    <row r="1013" spans="11:11">
      <c r="K1013" s="245"/>
    </row>
    <row r="1014" spans="11:11">
      <c r="K1014" s="245"/>
    </row>
    <row r="1015" spans="11:11">
      <c r="K1015" s="245"/>
    </row>
    <row r="1016" spans="11:11">
      <c r="K1016" s="245"/>
    </row>
    <row r="1017" spans="11:11">
      <c r="K1017" s="245"/>
    </row>
    <row r="1018" spans="11:11">
      <c r="K1018" s="245"/>
    </row>
    <row r="1019" spans="11:11">
      <c r="K1019" s="245"/>
    </row>
    <row r="1020" spans="11:11">
      <c r="K1020" s="245"/>
    </row>
    <row r="1021" spans="11:11">
      <c r="K1021" s="245"/>
    </row>
    <row r="1022" spans="11:11">
      <c r="K1022" s="245"/>
    </row>
    <row r="1023" spans="11:11">
      <c r="K1023" s="245"/>
    </row>
    <row r="1024" spans="11:11">
      <c r="K1024" s="245"/>
    </row>
    <row r="1025" spans="11:11">
      <c r="K1025" s="245"/>
    </row>
    <row r="1026" spans="11:11">
      <c r="K1026" s="245"/>
    </row>
    <row r="1027" spans="11:11">
      <c r="K1027" s="245"/>
    </row>
    <row r="1028" spans="11:11">
      <c r="K1028" s="245"/>
    </row>
    <row r="1029" spans="11:11">
      <c r="K1029" s="245"/>
    </row>
    <row r="1030" spans="11:11">
      <c r="K1030" s="245"/>
    </row>
    <row r="1031" spans="11:11">
      <c r="K1031" s="245"/>
    </row>
    <row r="1032" spans="11:11">
      <c r="K1032" s="245"/>
    </row>
    <row r="1033" spans="11:11">
      <c r="K1033" s="245"/>
    </row>
    <row r="1034" spans="11:11">
      <c r="K1034" s="245"/>
    </row>
    <row r="1035" spans="11:11">
      <c r="K1035" s="245"/>
    </row>
    <row r="1036" spans="11:11">
      <c r="K1036" s="245"/>
    </row>
    <row r="1037" spans="11:11">
      <c r="K1037" s="245"/>
    </row>
    <row r="1038" spans="11:11">
      <c r="K1038" s="245"/>
    </row>
    <row r="1039" spans="11:11">
      <c r="K1039" s="245"/>
    </row>
    <row r="1040" spans="11:11">
      <c r="K1040" s="245"/>
    </row>
    <row r="1041" spans="11:11">
      <c r="K1041" s="245"/>
    </row>
    <row r="1042" spans="11:11">
      <c r="K1042" s="245"/>
    </row>
    <row r="1043" spans="11:11">
      <c r="K1043" s="245"/>
    </row>
    <row r="1044" spans="11:11">
      <c r="K1044" s="245"/>
    </row>
    <row r="1045" spans="11:11">
      <c r="K1045" s="245"/>
    </row>
    <row r="1046" spans="11:11">
      <c r="K1046" s="245"/>
    </row>
    <row r="1047" spans="11:11">
      <c r="K1047" s="245"/>
    </row>
    <row r="1048" spans="11:11">
      <c r="K1048" s="245"/>
    </row>
    <row r="1049" spans="11:11">
      <c r="K1049" s="245"/>
    </row>
    <row r="1050" spans="11:11">
      <c r="K1050" s="245"/>
    </row>
    <row r="1051" spans="11:11">
      <c r="K1051" s="245"/>
    </row>
    <row r="1052" spans="11:11">
      <c r="K1052" s="245"/>
    </row>
    <row r="1053" spans="11:11">
      <c r="K1053" s="245"/>
    </row>
  </sheetData>
  <autoFilter ref="A1:AQ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13</vt:i4>
      </vt:variant>
    </vt:vector>
  </HeadingPairs>
  <TitlesOfParts>
    <vt:vector size="21" baseType="lpstr">
      <vt:lpstr>Inputs</vt:lpstr>
      <vt:lpstr>BaseCase Report</vt:lpstr>
      <vt:lpstr>RiskCase Report</vt:lpstr>
      <vt:lpstr>XXXXPLC_NY Query output</vt:lpstr>
      <vt:lpstr>GIC Assumptions</vt:lpstr>
      <vt:lpstr>GIC Deposits</vt:lpstr>
      <vt:lpstr>Lookups</vt:lpstr>
      <vt:lpstr>Formated_Data_Table</vt:lpstr>
      <vt:lpstr>CADEUR_FX_Rate</vt:lpstr>
      <vt:lpstr>Formated_Data_Table!ExternalData_1</vt:lpstr>
      <vt:lpstr>'XXXXPLC_NY Query output'!ExternalData_1</vt:lpstr>
      <vt:lpstr>GIC_Details</vt:lpstr>
      <vt:lpstr>GICInfoSheet</vt:lpstr>
      <vt:lpstr>Input_File_Date</vt:lpstr>
      <vt:lpstr>Nostro_Balance__USD</vt:lpstr>
      <vt:lpstr>PivotDataFlows</vt:lpstr>
      <vt:lpstr>'BaseCase Report'!Print_Area</vt:lpstr>
      <vt:lpstr>'RiskCase Report'!Print_Area</vt:lpstr>
      <vt:lpstr>Report_date</vt:lpstr>
      <vt:lpstr>Total_Nostro_USD</vt:lpstr>
      <vt:lpstr>USDEUR_FX_Rate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Kennedy, Noel</dc:creator>
  <cp:lastModifiedBy>Noel Kennedy</cp:lastModifiedBy>
  <cp:lastPrinted>2014-12-01T17:22:11Z</cp:lastPrinted>
  <dcterms:created xsi:type="dcterms:W3CDTF">2013-03-19T14:11:01Z</dcterms:created>
  <dcterms:modified xsi:type="dcterms:W3CDTF">2016-06-01T15:29:59Z</dcterms:modified>
</cp:coreProperties>
</file>